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hidePivotFieldList="1"/>
  <mc:AlternateContent xmlns:mc="http://schemas.openxmlformats.org/markup-compatibility/2006">
    <mc:Choice Requires="x15">
      <x15ac:absPath xmlns:x15ac="http://schemas.microsoft.com/office/spreadsheetml/2010/11/ac" url="N:\Piping\Sonangol UM 6-7 FPSO\07. Piping Spec\02. Piping Material Specification\IFR\Native\"/>
    </mc:Choice>
  </mc:AlternateContent>
  <xr:revisionPtr revIDLastSave="1" documentId="13_ncr:1_{8496EE91-3067-4893-ADFE-9E98A178FFD9}" xr6:coauthVersionLast="47" xr6:coauthVersionMax="47" xr10:uidLastSave="{BDF77121-F82F-4409-AC15-5D99A4D7B006}"/>
  <bookViews>
    <workbookView xWindow="-28920" yWindow="-120" windowWidth="29040" windowHeight="15720" firstSheet="13" activeTab="13" xr2:uid="{7880C539-6B50-4361-B2F4-20D1A0B7DC30}"/>
  </bookViews>
  <sheets>
    <sheet name="INDEX" sheetId="137" r:id="rId1"/>
    <sheet name="A1" sheetId="70" r:id="rId2"/>
    <sheet name="B1" sheetId="71" r:id="rId3"/>
    <sheet name="D1" sheetId="72" r:id="rId4"/>
    <sheet name="E1" sheetId="73" r:id="rId5"/>
    <sheet name="F1" sheetId="173" r:id="rId6"/>
    <sheet name="G1" sheetId="262" r:id="rId7"/>
    <sheet name="A1N" sheetId="212" r:id="rId8"/>
    <sheet name="B1N" sheetId="214" r:id="rId9"/>
    <sheet name="D1N" sheetId="216" r:id="rId10"/>
    <sheet name="E1N" sheetId="218" r:id="rId11"/>
    <sheet name="F1N" sheetId="220" r:id="rId12"/>
    <sheet name="G1N" sheetId="222" r:id="rId13"/>
    <sheet name="A2" sheetId="292" r:id="rId14"/>
    <sheet name="A2N" sheetId="250" r:id="rId15"/>
    <sheet name="B2N" sheetId="252" r:id="rId16"/>
    <sheet name="D2N" sheetId="254" r:id="rId17"/>
    <sheet name="E2N" sheetId="256" r:id="rId18"/>
    <sheet name="F2N" sheetId="258" r:id="rId19"/>
    <sheet name="G2N" sheetId="259" r:id="rId20"/>
    <sheet name="A1LN" sheetId="65" r:id="rId21"/>
    <sheet name="B1LN" sheetId="66" r:id="rId22"/>
    <sheet name="D1LN" sheetId="67" r:id="rId23"/>
    <sheet name="E1LN" sheetId="68" r:id="rId24"/>
    <sheet name="F1LN" sheetId="69" r:id="rId25"/>
    <sheet name="G1LN" sheetId="13" r:id="rId26"/>
    <sheet name="A2LN" sheetId="273" r:id="rId27"/>
    <sheet name="B2LN" sheetId="274" r:id="rId28"/>
    <sheet name="D2LN" sheetId="275" r:id="rId29"/>
    <sheet name="E2LN" sheetId="276" r:id="rId30"/>
    <sheet name="F2LN" sheetId="277" r:id="rId31"/>
    <sheet name="G2LN" sheetId="278" r:id="rId32"/>
    <sheet name="A3" sheetId="119" r:id="rId33"/>
    <sheet name="A4" sheetId="287" r:id="rId34"/>
    <sheet name="B4" sheetId="288" r:id="rId35"/>
    <sheet name="D4" sheetId="289" r:id="rId36"/>
    <sheet name="A5" sheetId="290" r:id="rId37"/>
    <sheet name="A6" sheetId="291" r:id="rId38"/>
    <sheet name="A10" sheetId="279" r:id="rId39"/>
    <sheet name="B10" sheetId="280" r:id="rId40"/>
    <sheet name="D10" sheetId="281" r:id="rId41"/>
    <sheet name="E10" sheetId="282" r:id="rId42"/>
    <sheet name="F10" sheetId="283" r:id="rId43"/>
    <sheet name="G10" sheetId="284" r:id="rId44"/>
    <sheet name="A10N" sheetId="82" r:id="rId45"/>
    <sheet name="B10N" sheetId="105" r:id="rId46"/>
    <sheet name="D10N" sheetId="83" r:id="rId47"/>
    <sheet name="E10N" sheetId="84" r:id="rId48"/>
    <sheet name="F10N" sheetId="85" r:id="rId49"/>
    <sheet name="G10N" sheetId="18" r:id="rId50"/>
    <sheet name="A20N" sheetId="81" r:id="rId51"/>
    <sheet name="B20N" sheetId="128" r:id="rId52"/>
    <sheet name="D20N" sheetId="129" r:id="rId53"/>
    <sheet name="E20N" sheetId="130" r:id="rId54"/>
    <sheet name="F20N" sheetId="131" r:id="rId55"/>
    <sheet name="G20N" sheetId="132" r:id="rId56"/>
    <sheet name="A25" sheetId="286" r:id="rId57"/>
    <sheet name="G25" sheetId="296" r:id="rId58"/>
    <sheet name="A25N" sheetId="263" r:id="rId59"/>
    <sheet name="B25N" sheetId="264" r:id="rId60"/>
    <sheet name="D25N" sheetId="265" r:id="rId61"/>
    <sheet name="E25N" sheetId="266" r:id="rId62"/>
    <sheet name="F25N" sheetId="267" r:id="rId63"/>
    <sheet name="G25N" sheetId="268" r:id="rId64"/>
    <sheet name="A30" sheetId="285" r:id="rId65"/>
    <sheet name="A31" sheetId="294" r:id="rId66"/>
    <sheet name="A40" sheetId="165" r:id="rId67"/>
    <sheet name="A41" sheetId="297" r:id="rId68"/>
    <sheet name="A42" sheetId="295" r:id="rId69"/>
    <sheet name="T50A" sheetId="298" r:id="rId70"/>
    <sheet name="T50B" sheetId="299" r:id="rId71"/>
    <sheet name="T50C" sheetId="300" r:id="rId72"/>
    <sheet name="T60A" sheetId="301" r:id="rId73"/>
    <sheet name="T60B" sheetId="302" r:id="rId74"/>
    <sheet name="T60C" sheetId="303" r:id="rId75"/>
  </sheets>
  <externalReferences>
    <externalReference r:id="rId76"/>
    <externalReference r:id="rId77"/>
    <externalReference r:id="rId78"/>
  </externalReferences>
  <definedNames>
    <definedName name="__123Graph_A" localSheetId="64" hidden="1">'[1]Page 5 of 7'!#REF!</definedName>
    <definedName name="__123Graph_A" localSheetId="65" hidden="1">'[1]Page 5 of 7'!#REF!</definedName>
    <definedName name="__123Graph_A" localSheetId="68" hidden="1">'[1]Page 5 of 7'!#REF!</definedName>
    <definedName name="__123Graph_A" localSheetId="69" hidden="1">'[1]Page 5 of 7'!#REF!</definedName>
    <definedName name="__123Graph_A" localSheetId="70" hidden="1">'[1]Page 5 of 7'!#REF!</definedName>
    <definedName name="__123Graph_A" localSheetId="71" hidden="1">'[1]Page 5 of 7'!#REF!</definedName>
    <definedName name="__123Graph_A" localSheetId="72" hidden="1">'[1]Page 5 of 7'!#REF!</definedName>
    <definedName name="__123Graph_A" localSheetId="73" hidden="1">'[1]Page 5 of 7'!#REF!</definedName>
    <definedName name="__123Graph_A" localSheetId="74" hidden="1">'[1]Page 5 of 7'!#REF!</definedName>
    <definedName name="__123Graph_A" hidden="1">'[1]Page 5 of 7'!#REF!</definedName>
    <definedName name="__123Graph_AGRAPH1" hidden="1">'[2]Sheet 14'!$I$12:$I$12</definedName>
    <definedName name="__123Graph_B" hidden="1">'[1]Page 5 of 7'!#REF!</definedName>
    <definedName name="__123Graph_X" hidden="1">'[1]Page 5 of 7'!#REF!</definedName>
    <definedName name="_xlnm._FilterDatabase" localSheetId="0" hidden="1">INDEX!$A$2:$AF$69</definedName>
    <definedName name="_Order1" hidden="1">0</definedName>
    <definedName name="_Order2" hidden="1">0</definedName>
    <definedName name="A" localSheetId="64">#REF!</definedName>
    <definedName name="A" localSheetId="25">#REF!</definedName>
    <definedName name="A" localSheetId="31">#REF!</definedName>
    <definedName name="A">#REF!</definedName>
    <definedName name="AA" localSheetId="64">#REF!</definedName>
    <definedName name="AA" localSheetId="25">#REF!</definedName>
    <definedName name="AA" localSheetId="31">#REF!</definedName>
    <definedName name="AA">#REF!</definedName>
    <definedName name="AB" localSheetId="64">#REF!</definedName>
    <definedName name="AB" localSheetId="25">#REF!</definedName>
    <definedName name="AB" localSheetId="31">#REF!</definedName>
    <definedName name="AB">#REF!</definedName>
    <definedName name="AC" localSheetId="25">#REF!</definedName>
    <definedName name="AC" localSheetId="31">#REF!</definedName>
    <definedName name="AC">#REF!</definedName>
    <definedName name="AD" localSheetId="25">#REF!</definedName>
    <definedName name="AD" localSheetId="31">#REF!</definedName>
    <definedName name="AD">#REF!</definedName>
    <definedName name="adfad" localSheetId="64" hidden="1">{#N/A,#N/A,FALSE,"cover";#N/A,#N/A,FALSE,"page_1";#N/A,#N/A,FALSE,"page_2";#N/A,#N/A,FALSE,"page_3";#N/A,#N/A,FALSE,"page_4"}</definedName>
    <definedName name="adfad" localSheetId="65" hidden="1">{#N/A,#N/A,FALSE,"cover";#N/A,#N/A,FALSE,"page_1";#N/A,#N/A,FALSE,"page_2";#N/A,#N/A,FALSE,"page_3";#N/A,#N/A,FALSE,"page_4"}</definedName>
    <definedName name="adfad" localSheetId="68" hidden="1">{#N/A,#N/A,FALSE,"cover";#N/A,#N/A,FALSE,"page_1";#N/A,#N/A,FALSE,"page_2";#N/A,#N/A,FALSE,"page_3";#N/A,#N/A,FALSE,"page_4"}</definedName>
    <definedName name="adfad" localSheetId="69" hidden="1">{#N/A,#N/A,FALSE,"cover";#N/A,#N/A,FALSE,"page_1";#N/A,#N/A,FALSE,"page_2";#N/A,#N/A,FALSE,"page_3";#N/A,#N/A,FALSE,"page_4"}</definedName>
    <definedName name="adfad" localSheetId="70" hidden="1">{#N/A,#N/A,FALSE,"cover";#N/A,#N/A,FALSE,"page_1";#N/A,#N/A,FALSE,"page_2";#N/A,#N/A,FALSE,"page_3";#N/A,#N/A,FALSE,"page_4"}</definedName>
    <definedName name="adfad" localSheetId="71" hidden="1">{#N/A,#N/A,FALSE,"cover";#N/A,#N/A,FALSE,"page_1";#N/A,#N/A,FALSE,"page_2";#N/A,#N/A,FALSE,"page_3";#N/A,#N/A,FALSE,"page_4"}</definedName>
    <definedName name="adfad" localSheetId="72" hidden="1">{#N/A,#N/A,FALSE,"cover";#N/A,#N/A,FALSE,"page_1";#N/A,#N/A,FALSE,"page_2";#N/A,#N/A,FALSE,"page_3";#N/A,#N/A,FALSE,"page_4"}</definedName>
    <definedName name="adfad" localSheetId="73" hidden="1">{#N/A,#N/A,FALSE,"cover";#N/A,#N/A,FALSE,"page_1";#N/A,#N/A,FALSE,"page_2";#N/A,#N/A,FALSE,"page_3";#N/A,#N/A,FALSE,"page_4"}</definedName>
    <definedName name="adfad" localSheetId="74" hidden="1">{#N/A,#N/A,FALSE,"cover";#N/A,#N/A,FALSE,"page_1";#N/A,#N/A,FALSE,"page_2";#N/A,#N/A,FALSE,"page_3";#N/A,#N/A,FALSE,"page_4"}</definedName>
    <definedName name="adfad" hidden="1">{#N/A,#N/A,FALSE,"cover";#N/A,#N/A,FALSE,"page_1";#N/A,#N/A,FALSE,"page_2";#N/A,#N/A,FALSE,"page_3";#N/A,#N/A,FALSE,"page_4"}</definedName>
    <definedName name="AE" localSheetId="64">#REF!</definedName>
    <definedName name="AE" localSheetId="25">#REF!</definedName>
    <definedName name="AE" localSheetId="31">#REF!</definedName>
    <definedName name="AE">#REF!</definedName>
    <definedName name="AF" localSheetId="64">#REF!</definedName>
    <definedName name="AF" localSheetId="25">#REF!</definedName>
    <definedName name="AF" localSheetId="31">#REF!</definedName>
    <definedName name="AF">#REF!</definedName>
    <definedName name="as">#REF!</definedName>
    <definedName name="ASD">#REF!</definedName>
    <definedName name="asfsdfgfgjgh">#REF!</definedName>
    <definedName name="B" localSheetId="25">#REF!</definedName>
    <definedName name="B" localSheetId="31">#REF!</definedName>
    <definedName name="B">#REF!</definedName>
    <definedName name="CalH_1">#REF!</definedName>
    <definedName name="CalH_10">#REF!</definedName>
    <definedName name="CalH_2">#REF!</definedName>
    <definedName name="CalH_3">#REF!</definedName>
    <definedName name="CalH_4">#REF!</definedName>
    <definedName name="CalH_5">#REF!</definedName>
    <definedName name="CalH_6">#REF!</definedName>
    <definedName name="CalH_7">#REF!</definedName>
    <definedName name="CalH_8">#REF!</definedName>
    <definedName name="CalH_9">#REF!</definedName>
    <definedName name="CL">#REF!</definedName>
    <definedName name="CumH_1">#REF!</definedName>
    <definedName name="CumH_10">#REF!</definedName>
    <definedName name="CumH_11">#REF!</definedName>
    <definedName name="CumH_2">#REF!</definedName>
    <definedName name="CumH_3">#REF!</definedName>
    <definedName name="CumH_4">#REF!</definedName>
    <definedName name="CumH_5">#REF!</definedName>
    <definedName name="CumH_6">#REF!</definedName>
    <definedName name="CumH_7">#REF!</definedName>
    <definedName name="CumH_8">#REF!</definedName>
    <definedName name="CumH_9">#REF!</definedName>
    <definedName name="D" localSheetId="25">#REF!</definedName>
    <definedName name="D" localSheetId="31">#REF!</definedName>
    <definedName name="D">#REF!</definedName>
    <definedName name="dghjdxj" localSheetId="64" hidden="1">{#N/A,#N/A,FALSE,"cover";#N/A,#N/A,FALSE,"page_1";#N/A,#N/A,FALSE,"page_2";#N/A,#N/A,FALSE,"page_3";#N/A,#N/A,FALSE,"page_4"}</definedName>
    <definedName name="dghjdxj" localSheetId="65" hidden="1">{#N/A,#N/A,FALSE,"cover";#N/A,#N/A,FALSE,"page_1";#N/A,#N/A,FALSE,"page_2";#N/A,#N/A,FALSE,"page_3";#N/A,#N/A,FALSE,"page_4"}</definedName>
    <definedName name="dghjdxj" localSheetId="68" hidden="1">{#N/A,#N/A,FALSE,"cover";#N/A,#N/A,FALSE,"page_1";#N/A,#N/A,FALSE,"page_2";#N/A,#N/A,FALSE,"page_3";#N/A,#N/A,FALSE,"page_4"}</definedName>
    <definedName name="dghjdxj" localSheetId="69" hidden="1">{#N/A,#N/A,FALSE,"cover";#N/A,#N/A,FALSE,"page_1";#N/A,#N/A,FALSE,"page_2";#N/A,#N/A,FALSE,"page_3";#N/A,#N/A,FALSE,"page_4"}</definedName>
    <definedName name="dghjdxj" localSheetId="70" hidden="1">{#N/A,#N/A,FALSE,"cover";#N/A,#N/A,FALSE,"page_1";#N/A,#N/A,FALSE,"page_2";#N/A,#N/A,FALSE,"page_3";#N/A,#N/A,FALSE,"page_4"}</definedName>
    <definedName name="dghjdxj" localSheetId="71" hidden="1">{#N/A,#N/A,FALSE,"cover";#N/A,#N/A,FALSE,"page_1";#N/A,#N/A,FALSE,"page_2";#N/A,#N/A,FALSE,"page_3";#N/A,#N/A,FALSE,"page_4"}</definedName>
    <definedName name="dghjdxj" localSheetId="72" hidden="1">{#N/A,#N/A,FALSE,"cover";#N/A,#N/A,FALSE,"page_1";#N/A,#N/A,FALSE,"page_2";#N/A,#N/A,FALSE,"page_3";#N/A,#N/A,FALSE,"page_4"}</definedName>
    <definedName name="dghjdxj" localSheetId="73" hidden="1">{#N/A,#N/A,FALSE,"cover";#N/A,#N/A,FALSE,"page_1";#N/A,#N/A,FALSE,"page_2";#N/A,#N/A,FALSE,"page_3";#N/A,#N/A,FALSE,"page_4"}</definedName>
    <definedName name="dghjdxj" localSheetId="74" hidden="1">{#N/A,#N/A,FALSE,"cover";#N/A,#N/A,FALSE,"page_1";#N/A,#N/A,FALSE,"page_2";#N/A,#N/A,FALSE,"page_3";#N/A,#N/A,FALSE,"page_4"}</definedName>
    <definedName name="dghjdxj" hidden="1">{#N/A,#N/A,FALSE,"cover";#N/A,#N/A,FALSE,"page_1";#N/A,#N/A,FALSE,"page_2";#N/A,#N/A,FALSE,"page_3";#N/A,#N/A,FALSE,"page_4"}</definedName>
    <definedName name="E" localSheetId="64">#REF!</definedName>
    <definedName name="E" localSheetId="25">#REF!</definedName>
    <definedName name="E" localSheetId="31">#REF!</definedName>
    <definedName name="E">#REF!</definedName>
    <definedName name="F" localSheetId="64">#REF!</definedName>
    <definedName name="F" localSheetId="25">#REF!</definedName>
    <definedName name="F" localSheetId="31">#REF!</definedName>
    <definedName name="F">#REF!</definedName>
    <definedName name="fff" localSheetId="64" hidden="1">{#N/A,#N/A,FALSE,"cover";#N/A,#N/A,FALSE,"page_1";#N/A,#N/A,FALSE,"page_2";#N/A,#N/A,FALSE,"page_3";#N/A,#N/A,FALSE,"page_4"}</definedName>
    <definedName name="fff" localSheetId="65" hidden="1">{#N/A,#N/A,FALSE,"cover";#N/A,#N/A,FALSE,"page_1";#N/A,#N/A,FALSE,"page_2";#N/A,#N/A,FALSE,"page_3";#N/A,#N/A,FALSE,"page_4"}</definedName>
    <definedName name="fff" localSheetId="68" hidden="1">{#N/A,#N/A,FALSE,"cover";#N/A,#N/A,FALSE,"page_1";#N/A,#N/A,FALSE,"page_2";#N/A,#N/A,FALSE,"page_3";#N/A,#N/A,FALSE,"page_4"}</definedName>
    <definedName name="fff" localSheetId="69" hidden="1">{#N/A,#N/A,FALSE,"cover";#N/A,#N/A,FALSE,"page_1";#N/A,#N/A,FALSE,"page_2";#N/A,#N/A,FALSE,"page_3";#N/A,#N/A,FALSE,"page_4"}</definedName>
    <definedName name="fff" localSheetId="70" hidden="1">{#N/A,#N/A,FALSE,"cover";#N/A,#N/A,FALSE,"page_1";#N/A,#N/A,FALSE,"page_2";#N/A,#N/A,FALSE,"page_3";#N/A,#N/A,FALSE,"page_4"}</definedName>
    <definedName name="fff" localSheetId="71" hidden="1">{#N/A,#N/A,FALSE,"cover";#N/A,#N/A,FALSE,"page_1";#N/A,#N/A,FALSE,"page_2";#N/A,#N/A,FALSE,"page_3";#N/A,#N/A,FALSE,"page_4"}</definedName>
    <definedName name="fff" localSheetId="72" hidden="1">{#N/A,#N/A,FALSE,"cover";#N/A,#N/A,FALSE,"page_1";#N/A,#N/A,FALSE,"page_2";#N/A,#N/A,FALSE,"page_3";#N/A,#N/A,FALSE,"page_4"}</definedName>
    <definedName name="fff" localSheetId="73" hidden="1">{#N/A,#N/A,FALSE,"cover";#N/A,#N/A,FALSE,"page_1";#N/A,#N/A,FALSE,"page_2";#N/A,#N/A,FALSE,"page_3";#N/A,#N/A,FALSE,"page_4"}</definedName>
    <definedName name="fff" localSheetId="74" hidden="1">{#N/A,#N/A,FALSE,"cover";#N/A,#N/A,FALSE,"page_1";#N/A,#N/A,FALSE,"page_2";#N/A,#N/A,FALSE,"page_3";#N/A,#N/A,FALSE,"page_4"}</definedName>
    <definedName name="fff" hidden="1">{#N/A,#N/A,FALSE,"cover";#N/A,#N/A,FALSE,"page_1";#N/A,#N/A,FALSE,"page_2";#N/A,#N/A,FALSE,"page_3";#N/A,#N/A,FALSE,"page_4"}</definedName>
    <definedName name="fffff" hidden="1">'[1]Page 5 of 7'!#REF!</definedName>
    <definedName name="G" localSheetId="64">#REF!</definedName>
    <definedName name="G" localSheetId="25">#REF!</definedName>
    <definedName name="G" localSheetId="31">#REF!</definedName>
    <definedName name="G">#REF!</definedName>
    <definedName name="gg" localSheetId="64" hidden="1">{#N/A,#N/A,FALSE,"cover";#N/A,#N/A,FALSE,"page_1";#N/A,#N/A,FALSE,"page_2";#N/A,#N/A,FALSE,"page_3";#N/A,#N/A,FALSE,"page_4"}</definedName>
    <definedName name="gg" localSheetId="65" hidden="1">{#N/A,#N/A,FALSE,"cover";#N/A,#N/A,FALSE,"page_1";#N/A,#N/A,FALSE,"page_2";#N/A,#N/A,FALSE,"page_3";#N/A,#N/A,FALSE,"page_4"}</definedName>
    <definedName name="gg" localSheetId="68" hidden="1">{#N/A,#N/A,FALSE,"cover";#N/A,#N/A,FALSE,"page_1";#N/A,#N/A,FALSE,"page_2";#N/A,#N/A,FALSE,"page_3";#N/A,#N/A,FALSE,"page_4"}</definedName>
    <definedName name="gg" localSheetId="69" hidden="1">{#N/A,#N/A,FALSE,"cover";#N/A,#N/A,FALSE,"page_1";#N/A,#N/A,FALSE,"page_2";#N/A,#N/A,FALSE,"page_3";#N/A,#N/A,FALSE,"page_4"}</definedName>
    <definedName name="gg" localSheetId="70" hidden="1">{#N/A,#N/A,FALSE,"cover";#N/A,#N/A,FALSE,"page_1";#N/A,#N/A,FALSE,"page_2";#N/A,#N/A,FALSE,"page_3";#N/A,#N/A,FALSE,"page_4"}</definedName>
    <definedName name="gg" localSheetId="71" hidden="1">{#N/A,#N/A,FALSE,"cover";#N/A,#N/A,FALSE,"page_1";#N/A,#N/A,FALSE,"page_2";#N/A,#N/A,FALSE,"page_3";#N/A,#N/A,FALSE,"page_4"}</definedName>
    <definedName name="gg" localSheetId="72" hidden="1">{#N/A,#N/A,FALSE,"cover";#N/A,#N/A,FALSE,"page_1";#N/A,#N/A,FALSE,"page_2";#N/A,#N/A,FALSE,"page_3";#N/A,#N/A,FALSE,"page_4"}</definedName>
    <definedName name="gg" localSheetId="73" hidden="1">{#N/A,#N/A,FALSE,"cover";#N/A,#N/A,FALSE,"page_1";#N/A,#N/A,FALSE,"page_2";#N/A,#N/A,FALSE,"page_3";#N/A,#N/A,FALSE,"page_4"}</definedName>
    <definedName name="gg" localSheetId="74" hidden="1">{#N/A,#N/A,FALSE,"cover";#N/A,#N/A,FALSE,"page_1";#N/A,#N/A,FALSE,"page_2";#N/A,#N/A,FALSE,"page_3";#N/A,#N/A,FALSE,"page_4"}</definedName>
    <definedName name="gg" hidden="1">{#N/A,#N/A,FALSE,"cover";#N/A,#N/A,FALSE,"page_1";#N/A,#N/A,FALSE,"page_2";#N/A,#N/A,FALSE,"page_3";#N/A,#N/A,FALSE,"page_4"}</definedName>
    <definedName name="ghfhf" localSheetId="64" hidden="1">{#N/A,#N/A,FALSE,"cover";#N/A,#N/A,FALSE,"page_1";#N/A,#N/A,FALSE,"page_2";#N/A,#N/A,FALSE,"page_3";#N/A,#N/A,FALSE,"page_4"}</definedName>
    <definedName name="ghfhf" localSheetId="65" hidden="1">{#N/A,#N/A,FALSE,"cover";#N/A,#N/A,FALSE,"page_1";#N/A,#N/A,FALSE,"page_2";#N/A,#N/A,FALSE,"page_3";#N/A,#N/A,FALSE,"page_4"}</definedName>
    <definedName name="ghfhf" localSheetId="68" hidden="1">{#N/A,#N/A,FALSE,"cover";#N/A,#N/A,FALSE,"page_1";#N/A,#N/A,FALSE,"page_2";#N/A,#N/A,FALSE,"page_3";#N/A,#N/A,FALSE,"page_4"}</definedName>
    <definedName name="ghfhf" localSheetId="69" hidden="1">{#N/A,#N/A,FALSE,"cover";#N/A,#N/A,FALSE,"page_1";#N/A,#N/A,FALSE,"page_2";#N/A,#N/A,FALSE,"page_3";#N/A,#N/A,FALSE,"page_4"}</definedName>
    <definedName name="ghfhf" localSheetId="70" hidden="1">{#N/A,#N/A,FALSE,"cover";#N/A,#N/A,FALSE,"page_1";#N/A,#N/A,FALSE,"page_2";#N/A,#N/A,FALSE,"page_3";#N/A,#N/A,FALSE,"page_4"}</definedName>
    <definedName name="ghfhf" localSheetId="71" hidden="1">{#N/A,#N/A,FALSE,"cover";#N/A,#N/A,FALSE,"page_1";#N/A,#N/A,FALSE,"page_2";#N/A,#N/A,FALSE,"page_3";#N/A,#N/A,FALSE,"page_4"}</definedName>
    <definedName name="ghfhf" localSheetId="72" hidden="1">{#N/A,#N/A,FALSE,"cover";#N/A,#N/A,FALSE,"page_1";#N/A,#N/A,FALSE,"page_2";#N/A,#N/A,FALSE,"page_3";#N/A,#N/A,FALSE,"page_4"}</definedName>
    <definedName name="ghfhf" localSheetId="73" hidden="1">{#N/A,#N/A,FALSE,"cover";#N/A,#N/A,FALSE,"page_1";#N/A,#N/A,FALSE,"page_2";#N/A,#N/A,FALSE,"page_3";#N/A,#N/A,FALSE,"page_4"}</definedName>
    <definedName name="ghfhf" localSheetId="74" hidden="1">{#N/A,#N/A,FALSE,"cover";#N/A,#N/A,FALSE,"page_1";#N/A,#N/A,FALSE,"page_2";#N/A,#N/A,FALSE,"page_3";#N/A,#N/A,FALSE,"page_4"}</definedName>
    <definedName name="ghfhf" hidden="1">{#N/A,#N/A,FALSE,"cover";#N/A,#N/A,FALSE,"page_1";#N/A,#N/A,FALSE,"page_2";#N/A,#N/A,FALSE,"page_3";#N/A,#N/A,FALSE,"page_4"}</definedName>
    <definedName name="H" localSheetId="64">#REF!</definedName>
    <definedName name="H" localSheetId="25">#REF!</definedName>
    <definedName name="H" localSheetId="31">#REF!</definedName>
    <definedName name="H">#REF!</definedName>
    <definedName name="hgh" localSheetId="64" hidden="1">{#N/A,#N/A,FALSE,"cover";#N/A,#N/A,FALSE,"page_1";#N/A,#N/A,FALSE,"page_2";#N/A,#N/A,FALSE,"page_3";#N/A,#N/A,FALSE,"page_4"}</definedName>
    <definedName name="hgh" localSheetId="65" hidden="1">{#N/A,#N/A,FALSE,"cover";#N/A,#N/A,FALSE,"page_1";#N/A,#N/A,FALSE,"page_2";#N/A,#N/A,FALSE,"page_3";#N/A,#N/A,FALSE,"page_4"}</definedName>
    <definedName name="hgh" localSheetId="68" hidden="1">{#N/A,#N/A,FALSE,"cover";#N/A,#N/A,FALSE,"page_1";#N/A,#N/A,FALSE,"page_2";#N/A,#N/A,FALSE,"page_3";#N/A,#N/A,FALSE,"page_4"}</definedName>
    <definedName name="hgh" localSheetId="69" hidden="1">{#N/A,#N/A,FALSE,"cover";#N/A,#N/A,FALSE,"page_1";#N/A,#N/A,FALSE,"page_2";#N/A,#N/A,FALSE,"page_3";#N/A,#N/A,FALSE,"page_4"}</definedName>
    <definedName name="hgh" localSheetId="70" hidden="1">{#N/A,#N/A,FALSE,"cover";#N/A,#N/A,FALSE,"page_1";#N/A,#N/A,FALSE,"page_2";#N/A,#N/A,FALSE,"page_3";#N/A,#N/A,FALSE,"page_4"}</definedName>
    <definedName name="hgh" localSheetId="71" hidden="1">{#N/A,#N/A,FALSE,"cover";#N/A,#N/A,FALSE,"page_1";#N/A,#N/A,FALSE,"page_2";#N/A,#N/A,FALSE,"page_3";#N/A,#N/A,FALSE,"page_4"}</definedName>
    <definedName name="hgh" localSheetId="72" hidden="1">{#N/A,#N/A,FALSE,"cover";#N/A,#N/A,FALSE,"page_1";#N/A,#N/A,FALSE,"page_2";#N/A,#N/A,FALSE,"page_3";#N/A,#N/A,FALSE,"page_4"}</definedName>
    <definedName name="hgh" localSheetId="73" hidden="1">{#N/A,#N/A,FALSE,"cover";#N/A,#N/A,FALSE,"page_1";#N/A,#N/A,FALSE,"page_2";#N/A,#N/A,FALSE,"page_3";#N/A,#N/A,FALSE,"page_4"}</definedName>
    <definedName name="hgh" localSheetId="74" hidden="1">{#N/A,#N/A,FALSE,"cover";#N/A,#N/A,FALSE,"page_1";#N/A,#N/A,FALSE,"page_2";#N/A,#N/A,FALSE,"page_3";#N/A,#N/A,FALSE,"page_4"}</definedName>
    <definedName name="hgh" hidden="1">{#N/A,#N/A,FALSE,"cover";#N/A,#N/A,FALSE,"page_1";#N/A,#N/A,FALSE,"page_2";#N/A,#N/A,FALSE,"page_3";#N/A,#N/A,FALSE,"page_4"}</definedName>
    <definedName name="hhhjhj" localSheetId="64" hidden="1">{#N/A,#N/A,FALSE,"cover";#N/A,#N/A,FALSE,"page_1";#N/A,#N/A,FALSE,"page_2";#N/A,#N/A,FALSE,"page_3";#N/A,#N/A,FALSE,"page_4"}</definedName>
    <definedName name="hhhjhj" localSheetId="65" hidden="1">{#N/A,#N/A,FALSE,"cover";#N/A,#N/A,FALSE,"page_1";#N/A,#N/A,FALSE,"page_2";#N/A,#N/A,FALSE,"page_3";#N/A,#N/A,FALSE,"page_4"}</definedName>
    <definedName name="hhhjhj" localSheetId="68" hidden="1">{#N/A,#N/A,FALSE,"cover";#N/A,#N/A,FALSE,"page_1";#N/A,#N/A,FALSE,"page_2";#N/A,#N/A,FALSE,"page_3";#N/A,#N/A,FALSE,"page_4"}</definedName>
    <definedName name="hhhjhj" localSheetId="69" hidden="1">{#N/A,#N/A,FALSE,"cover";#N/A,#N/A,FALSE,"page_1";#N/A,#N/A,FALSE,"page_2";#N/A,#N/A,FALSE,"page_3";#N/A,#N/A,FALSE,"page_4"}</definedName>
    <definedName name="hhhjhj" localSheetId="70" hidden="1">{#N/A,#N/A,FALSE,"cover";#N/A,#N/A,FALSE,"page_1";#N/A,#N/A,FALSE,"page_2";#N/A,#N/A,FALSE,"page_3";#N/A,#N/A,FALSE,"page_4"}</definedName>
    <definedName name="hhhjhj" localSheetId="71" hidden="1">{#N/A,#N/A,FALSE,"cover";#N/A,#N/A,FALSE,"page_1";#N/A,#N/A,FALSE,"page_2";#N/A,#N/A,FALSE,"page_3";#N/A,#N/A,FALSE,"page_4"}</definedName>
    <definedName name="hhhjhj" localSheetId="72" hidden="1">{#N/A,#N/A,FALSE,"cover";#N/A,#N/A,FALSE,"page_1";#N/A,#N/A,FALSE,"page_2";#N/A,#N/A,FALSE,"page_3";#N/A,#N/A,FALSE,"page_4"}</definedName>
    <definedName name="hhhjhj" localSheetId="73" hidden="1">{#N/A,#N/A,FALSE,"cover";#N/A,#N/A,FALSE,"page_1";#N/A,#N/A,FALSE,"page_2";#N/A,#N/A,FALSE,"page_3";#N/A,#N/A,FALSE,"page_4"}</definedName>
    <definedName name="hhhjhj" localSheetId="74" hidden="1">{#N/A,#N/A,FALSE,"cover";#N/A,#N/A,FALSE,"page_1";#N/A,#N/A,FALSE,"page_2";#N/A,#N/A,FALSE,"page_3";#N/A,#N/A,FALSE,"page_4"}</definedName>
    <definedName name="hhhjhj" hidden="1">{#N/A,#N/A,FALSE,"cover";#N/A,#N/A,FALSE,"page_1";#N/A,#N/A,FALSE,"page_2";#N/A,#N/A,FALSE,"page_3";#N/A,#N/A,FALSE,"page_4"}</definedName>
    <definedName name="hjjk" localSheetId="64" hidden="1">{#N/A,#N/A,FALSE,"cover";#N/A,#N/A,FALSE,"page_1";#N/A,#N/A,FALSE,"page_2";#N/A,#N/A,FALSE,"page_3";#N/A,#N/A,FALSE,"page_4"}</definedName>
    <definedName name="hjjk" localSheetId="65" hidden="1">{#N/A,#N/A,FALSE,"cover";#N/A,#N/A,FALSE,"page_1";#N/A,#N/A,FALSE,"page_2";#N/A,#N/A,FALSE,"page_3";#N/A,#N/A,FALSE,"page_4"}</definedName>
    <definedName name="hjjk" localSheetId="68" hidden="1">{#N/A,#N/A,FALSE,"cover";#N/A,#N/A,FALSE,"page_1";#N/A,#N/A,FALSE,"page_2";#N/A,#N/A,FALSE,"page_3";#N/A,#N/A,FALSE,"page_4"}</definedName>
    <definedName name="hjjk" localSheetId="69" hidden="1">{#N/A,#N/A,FALSE,"cover";#N/A,#N/A,FALSE,"page_1";#N/A,#N/A,FALSE,"page_2";#N/A,#N/A,FALSE,"page_3";#N/A,#N/A,FALSE,"page_4"}</definedName>
    <definedName name="hjjk" localSheetId="70" hidden="1">{#N/A,#N/A,FALSE,"cover";#N/A,#N/A,FALSE,"page_1";#N/A,#N/A,FALSE,"page_2";#N/A,#N/A,FALSE,"page_3";#N/A,#N/A,FALSE,"page_4"}</definedName>
    <definedName name="hjjk" localSheetId="71" hidden="1">{#N/A,#N/A,FALSE,"cover";#N/A,#N/A,FALSE,"page_1";#N/A,#N/A,FALSE,"page_2";#N/A,#N/A,FALSE,"page_3";#N/A,#N/A,FALSE,"page_4"}</definedName>
    <definedName name="hjjk" localSheetId="72" hidden="1">{#N/A,#N/A,FALSE,"cover";#N/A,#N/A,FALSE,"page_1";#N/A,#N/A,FALSE,"page_2";#N/A,#N/A,FALSE,"page_3";#N/A,#N/A,FALSE,"page_4"}</definedName>
    <definedName name="hjjk" localSheetId="73" hidden="1">{#N/A,#N/A,FALSE,"cover";#N/A,#N/A,FALSE,"page_1";#N/A,#N/A,FALSE,"page_2";#N/A,#N/A,FALSE,"page_3";#N/A,#N/A,FALSE,"page_4"}</definedName>
    <definedName name="hjjk" localSheetId="74" hidden="1">{#N/A,#N/A,FALSE,"cover";#N/A,#N/A,FALSE,"page_1";#N/A,#N/A,FALSE,"page_2";#N/A,#N/A,FALSE,"page_3";#N/A,#N/A,FALSE,"page_4"}</definedName>
    <definedName name="hjjk" hidden="1">{#N/A,#N/A,FALSE,"cover";#N/A,#N/A,FALSE,"page_1";#N/A,#N/A,FALSE,"page_2";#N/A,#N/A,FALSE,"page_3";#N/A,#N/A,FALSE,"page_4"}</definedName>
    <definedName name="I" localSheetId="64">#REF!</definedName>
    <definedName name="I" localSheetId="25">#REF!</definedName>
    <definedName name="I" localSheetId="31">#REF!</definedName>
    <definedName name="I">#REF!</definedName>
    <definedName name="J" localSheetId="64">#REF!</definedName>
    <definedName name="J" localSheetId="25">#REF!</definedName>
    <definedName name="J" localSheetId="31">#REF!</definedName>
    <definedName name="J">#REF!</definedName>
    <definedName name="K" localSheetId="25">#REF!</definedName>
    <definedName name="K" localSheetId="31">#REF!</definedName>
    <definedName name="K">#REF!</definedName>
    <definedName name="kjhkjh" localSheetId="64" hidden="1">{#N/A,#N/A,FALSE,"cover";#N/A,#N/A,FALSE,"page_1";#N/A,#N/A,FALSE,"page_2";#N/A,#N/A,FALSE,"page_3";#N/A,#N/A,FALSE,"page_4"}</definedName>
    <definedName name="kjhkjh" localSheetId="65" hidden="1">{#N/A,#N/A,FALSE,"cover";#N/A,#N/A,FALSE,"page_1";#N/A,#N/A,FALSE,"page_2";#N/A,#N/A,FALSE,"page_3";#N/A,#N/A,FALSE,"page_4"}</definedName>
    <definedName name="kjhkjh" localSheetId="68" hidden="1">{#N/A,#N/A,FALSE,"cover";#N/A,#N/A,FALSE,"page_1";#N/A,#N/A,FALSE,"page_2";#N/A,#N/A,FALSE,"page_3";#N/A,#N/A,FALSE,"page_4"}</definedName>
    <definedName name="kjhkjh" localSheetId="69" hidden="1">{#N/A,#N/A,FALSE,"cover";#N/A,#N/A,FALSE,"page_1";#N/A,#N/A,FALSE,"page_2";#N/A,#N/A,FALSE,"page_3";#N/A,#N/A,FALSE,"page_4"}</definedName>
    <definedName name="kjhkjh" localSheetId="70" hidden="1">{#N/A,#N/A,FALSE,"cover";#N/A,#N/A,FALSE,"page_1";#N/A,#N/A,FALSE,"page_2";#N/A,#N/A,FALSE,"page_3";#N/A,#N/A,FALSE,"page_4"}</definedName>
    <definedName name="kjhkjh" localSheetId="71" hidden="1">{#N/A,#N/A,FALSE,"cover";#N/A,#N/A,FALSE,"page_1";#N/A,#N/A,FALSE,"page_2";#N/A,#N/A,FALSE,"page_3";#N/A,#N/A,FALSE,"page_4"}</definedName>
    <definedName name="kjhkjh" localSheetId="72" hidden="1">{#N/A,#N/A,FALSE,"cover";#N/A,#N/A,FALSE,"page_1";#N/A,#N/A,FALSE,"page_2";#N/A,#N/A,FALSE,"page_3";#N/A,#N/A,FALSE,"page_4"}</definedName>
    <definedName name="kjhkjh" localSheetId="73" hidden="1">{#N/A,#N/A,FALSE,"cover";#N/A,#N/A,FALSE,"page_1";#N/A,#N/A,FALSE,"page_2";#N/A,#N/A,FALSE,"page_3";#N/A,#N/A,FALSE,"page_4"}</definedName>
    <definedName name="kjhkjh" localSheetId="74" hidden="1">{#N/A,#N/A,FALSE,"cover";#N/A,#N/A,FALSE,"page_1";#N/A,#N/A,FALSE,"page_2";#N/A,#N/A,FALSE,"page_3";#N/A,#N/A,FALSE,"page_4"}</definedName>
    <definedName name="kjhkjh" hidden="1">{#N/A,#N/A,FALSE,"cover";#N/A,#N/A,FALSE,"page_1";#N/A,#N/A,FALSE,"page_2";#N/A,#N/A,FALSE,"page_3";#N/A,#N/A,FALSE,"page_4"}</definedName>
    <definedName name="L" localSheetId="64">#REF!</definedName>
    <definedName name="L" localSheetId="25">#REF!</definedName>
    <definedName name="L" localSheetId="31">#REF!</definedName>
    <definedName name="L">#REF!</definedName>
    <definedName name="M" localSheetId="64">#REF!</definedName>
    <definedName name="M" localSheetId="25">#REF!</definedName>
    <definedName name="M" localSheetId="31">#REF!</definedName>
    <definedName name="M">#REF!</definedName>
    <definedName name="MCH_1">#REF!</definedName>
    <definedName name="MCH_10">#REF!</definedName>
    <definedName name="MCH_2">#REF!</definedName>
    <definedName name="MCH_3">#REF!</definedName>
    <definedName name="MCH_4">#REF!</definedName>
    <definedName name="MCH_5">#REF!</definedName>
    <definedName name="MCH_6">#REF!</definedName>
    <definedName name="MCH_7">#REF!</definedName>
    <definedName name="MCH_8">#REF!</definedName>
    <definedName name="MCH_9">#REF!</definedName>
    <definedName name="Methodology3" localSheetId="64" hidden="1">{#N/A,#N/A,FALSE,"cover";#N/A,#N/A,FALSE,"page_1";#N/A,#N/A,FALSE,"page_2";#N/A,#N/A,FALSE,"page_3";#N/A,#N/A,FALSE,"page_4"}</definedName>
    <definedName name="Methodology3" localSheetId="65" hidden="1">{#N/A,#N/A,FALSE,"cover";#N/A,#N/A,FALSE,"page_1";#N/A,#N/A,FALSE,"page_2";#N/A,#N/A,FALSE,"page_3";#N/A,#N/A,FALSE,"page_4"}</definedName>
    <definedName name="Methodology3" localSheetId="68" hidden="1">{#N/A,#N/A,FALSE,"cover";#N/A,#N/A,FALSE,"page_1";#N/A,#N/A,FALSE,"page_2";#N/A,#N/A,FALSE,"page_3";#N/A,#N/A,FALSE,"page_4"}</definedName>
    <definedName name="Methodology3" localSheetId="69" hidden="1">{#N/A,#N/A,FALSE,"cover";#N/A,#N/A,FALSE,"page_1";#N/A,#N/A,FALSE,"page_2";#N/A,#N/A,FALSE,"page_3";#N/A,#N/A,FALSE,"page_4"}</definedName>
    <definedName name="Methodology3" localSheetId="70" hidden="1">{#N/A,#N/A,FALSE,"cover";#N/A,#N/A,FALSE,"page_1";#N/A,#N/A,FALSE,"page_2";#N/A,#N/A,FALSE,"page_3";#N/A,#N/A,FALSE,"page_4"}</definedName>
    <definedName name="Methodology3" localSheetId="71" hidden="1">{#N/A,#N/A,FALSE,"cover";#N/A,#N/A,FALSE,"page_1";#N/A,#N/A,FALSE,"page_2";#N/A,#N/A,FALSE,"page_3";#N/A,#N/A,FALSE,"page_4"}</definedName>
    <definedName name="Methodology3" localSheetId="72" hidden="1">{#N/A,#N/A,FALSE,"cover";#N/A,#N/A,FALSE,"page_1";#N/A,#N/A,FALSE,"page_2";#N/A,#N/A,FALSE,"page_3";#N/A,#N/A,FALSE,"page_4"}</definedName>
    <definedName name="Methodology3" localSheetId="73" hidden="1">{#N/A,#N/A,FALSE,"cover";#N/A,#N/A,FALSE,"page_1";#N/A,#N/A,FALSE,"page_2";#N/A,#N/A,FALSE,"page_3";#N/A,#N/A,FALSE,"page_4"}</definedName>
    <definedName name="Methodology3" localSheetId="74" hidden="1">{#N/A,#N/A,FALSE,"cover";#N/A,#N/A,FALSE,"page_1";#N/A,#N/A,FALSE,"page_2";#N/A,#N/A,FALSE,"page_3";#N/A,#N/A,FALSE,"page_4"}</definedName>
    <definedName name="Methodology3" hidden="1">{#N/A,#N/A,FALSE,"cover";#N/A,#N/A,FALSE,"page_1";#N/A,#N/A,FALSE,"page_2";#N/A,#N/A,FALSE,"page_3";#N/A,#N/A,FALSE,"page_4"}</definedName>
    <definedName name="N" localSheetId="64">#REF!</definedName>
    <definedName name="N" localSheetId="25">#REF!</definedName>
    <definedName name="N" localSheetId="31">#REF!</definedName>
    <definedName name="N">#REF!</definedName>
    <definedName name="ncbcb" localSheetId="64" hidden="1">{#N/A,#N/A,FALSE,"cover";#N/A,#N/A,FALSE,"page_1";#N/A,#N/A,FALSE,"page_2";#N/A,#N/A,FALSE,"page_3";#N/A,#N/A,FALSE,"page_4"}</definedName>
    <definedName name="ncbcb" localSheetId="65" hidden="1">{#N/A,#N/A,FALSE,"cover";#N/A,#N/A,FALSE,"page_1";#N/A,#N/A,FALSE,"page_2";#N/A,#N/A,FALSE,"page_3";#N/A,#N/A,FALSE,"page_4"}</definedName>
    <definedName name="ncbcb" localSheetId="68" hidden="1">{#N/A,#N/A,FALSE,"cover";#N/A,#N/A,FALSE,"page_1";#N/A,#N/A,FALSE,"page_2";#N/A,#N/A,FALSE,"page_3";#N/A,#N/A,FALSE,"page_4"}</definedName>
    <definedName name="ncbcb" localSheetId="69" hidden="1">{#N/A,#N/A,FALSE,"cover";#N/A,#N/A,FALSE,"page_1";#N/A,#N/A,FALSE,"page_2";#N/A,#N/A,FALSE,"page_3";#N/A,#N/A,FALSE,"page_4"}</definedName>
    <definedName name="ncbcb" localSheetId="70" hidden="1">{#N/A,#N/A,FALSE,"cover";#N/A,#N/A,FALSE,"page_1";#N/A,#N/A,FALSE,"page_2";#N/A,#N/A,FALSE,"page_3";#N/A,#N/A,FALSE,"page_4"}</definedName>
    <definedName name="ncbcb" localSheetId="71" hidden="1">{#N/A,#N/A,FALSE,"cover";#N/A,#N/A,FALSE,"page_1";#N/A,#N/A,FALSE,"page_2";#N/A,#N/A,FALSE,"page_3";#N/A,#N/A,FALSE,"page_4"}</definedName>
    <definedName name="ncbcb" localSheetId="72" hidden="1">{#N/A,#N/A,FALSE,"cover";#N/A,#N/A,FALSE,"page_1";#N/A,#N/A,FALSE,"page_2";#N/A,#N/A,FALSE,"page_3";#N/A,#N/A,FALSE,"page_4"}</definedName>
    <definedName name="ncbcb" localSheetId="73" hidden="1">{#N/A,#N/A,FALSE,"cover";#N/A,#N/A,FALSE,"page_1";#N/A,#N/A,FALSE,"page_2";#N/A,#N/A,FALSE,"page_3";#N/A,#N/A,FALSE,"page_4"}</definedName>
    <definedName name="ncbcb" localSheetId="74" hidden="1">{#N/A,#N/A,FALSE,"cover";#N/A,#N/A,FALSE,"page_1";#N/A,#N/A,FALSE,"page_2";#N/A,#N/A,FALSE,"page_3";#N/A,#N/A,FALSE,"page_4"}</definedName>
    <definedName name="ncbcb" hidden="1">{#N/A,#N/A,FALSE,"cover";#N/A,#N/A,FALSE,"page_1";#N/A,#N/A,FALSE,"page_2";#N/A,#N/A,FALSE,"page_3";#N/A,#N/A,FALSE,"page_4"}</definedName>
    <definedName name="O" localSheetId="64">#REF!</definedName>
    <definedName name="O" localSheetId="25">#REF!</definedName>
    <definedName name="O" localSheetId="31">#REF!</definedName>
    <definedName name="O">#REF!</definedName>
    <definedName name="P" localSheetId="64">#REF!</definedName>
    <definedName name="P" localSheetId="25">#REF!</definedName>
    <definedName name="P" localSheetId="31">#REF!</definedName>
    <definedName name="P">#REF!</definedName>
    <definedName name="_xlnm.Print_Area" localSheetId="1">'A1'!$A$1:$W$56</definedName>
    <definedName name="_xlnm.Print_Area" localSheetId="68">'A42'!$A$1:$R$55</definedName>
    <definedName name="_xlnm.Print_Area" localSheetId="0">INDEX!$A$1:$J$76</definedName>
    <definedName name="_xlnm.Print_Area" localSheetId="69">T50A!$A$1:$R$54</definedName>
    <definedName name="_xlnm.Print_Area" localSheetId="70">T50B!$A$1:$R$54</definedName>
    <definedName name="_xlnm.Print_Area" localSheetId="71">T50C!$A$1:$R$54</definedName>
    <definedName name="_xlnm.Print_Area" localSheetId="72">T60A!$A$1:$R$54</definedName>
    <definedName name="_xlnm.Print_Area" localSheetId="73">T60B!$A$1:$R$54</definedName>
    <definedName name="_xlnm.Print_Area" localSheetId="74">T60C!$A$1:$R$54</definedName>
    <definedName name="_xlnm.Print_Titles" localSheetId="0">INDEX!$1:$2</definedName>
    <definedName name="Q" localSheetId="64">#REF!</definedName>
    <definedName name="Q" localSheetId="25">#REF!</definedName>
    <definedName name="Q" localSheetId="31">#REF!</definedName>
    <definedName name="Q">#REF!</definedName>
    <definedName name="S" localSheetId="64">#REF!</definedName>
    <definedName name="S" localSheetId="25">#REF!</definedName>
    <definedName name="S" localSheetId="31">#REF!</definedName>
    <definedName name="S">#REF!</definedName>
    <definedName name="sencount" hidden="1">1</definedName>
    <definedName name="swk" localSheetId="64" hidden="1">'[3]Page 1'!#REF!</definedName>
    <definedName name="swk" localSheetId="65" hidden="1">'[3]Page 1'!#REF!</definedName>
    <definedName name="swk" localSheetId="68" hidden="1">'[3]Page 1'!#REF!</definedName>
    <definedName name="swk" localSheetId="69" hidden="1">'[3]Page 1'!#REF!</definedName>
    <definedName name="swk" localSheetId="70" hidden="1">'[3]Page 1'!#REF!</definedName>
    <definedName name="swk" localSheetId="71" hidden="1">'[3]Page 1'!#REF!</definedName>
    <definedName name="swk" localSheetId="72" hidden="1">'[3]Page 1'!#REF!</definedName>
    <definedName name="swk" localSheetId="73" hidden="1">'[3]Page 1'!#REF!</definedName>
    <definedName name="swk" localSheetId="74" hidden="1">'[3]Page 1'!#REF!</definedName>
    <definedName name="swk" hidden="1">'[3]Page 1'!#REF!</definedName>
    <definedName name="T" localSheetId="64">#REF!</definedName>
    <definedName name="T" localSheetId="25">#REF!</definedName>
    <definedName name="T" localSheetId="31">#REF!</definedName>
    <definedName name="T">#REF!</definedName>
    <definedName name="U" localSheetId="64">#REF!</definedName>
    <definedName name="U" localSheetId="25">#REF!</definedName>
    <definedName name="U" localSheetId="31">#REF!</definedName>
    <definedName name="U">#REF!</definedName>
    <definedName name="V" localSheetId="64">#REF!</definedName>
    <definedName name="V" localSheetId="25">#REF!</definedName>
    <definedName name="V" localSheetId="31">#REF!</definedName>
    <definedName name="V">#REF!</definedName>
    <definedName name="vbnc" localSheetId="64" hidden="1">{#N/A,#N/A,FALSE,"cover";#N/A,#N/A,FALSE,"page_1";#N/A,#N/A,FALSE,"page_2";#N/A,#N/A,FALSE,"page_3";#N/A,#N/A,FALSE,"page_4"}</definedName>
    <definedName name="vbnc" localSheetId="65" hidden="1">{#N/A,#N/A,FALSE,"cover";#N/A,#N/A,FALSE,"page_1";#N/A,#N/A,FALSE,"page_2";#N/A,#N/A,FALSE,"page_3";#N/A,#N/A,FALSE,"page_4"}</definedName>
    <definedName name="vbnc" localSheetId="68" hidden="1">{#N/A,#N/A,FALSE,"cover";#N/A,#N/A,FALSE,"page_1";#N/A,#N/A,FALSE,"page_2";#N/A,#N/A,FALSE,"page_3";#N/A,#N/A,FALSE,"page_4"}</definedName>
    <definedName name="vbnc" localSheetId="69" hidden="1">{#N/A,#N/A,FALSE,"cover";#N/A,#N/A,FALSE,"page_1";#N/A,#N/A,FALSE,"page_2";#N/A,#N/A,FALSE,"page_3";#N/A,#N/A,FALSE,"page_4"}</definedName>
    <definedName name="vbnc" localSheetId="70" hidden="1">{#N/A,#N/A,FALSE,"cover";#N/A,#N/A,FALSE,"page_1";#N/A,#N/A,FALSE,"page_2";#N/A,#N/A,FALSE,"page_3";#N/A,#N/A,FALSE,"page_4"}</definedName>
    <definedName name="vbnc" localSheetId="71" hidden="1">{#N/A,#N/A,FALSE,"cover";#N/A,#N/A,FALSE,"page_1";#N/A,#N/A,FALSE,"page_2";#N/A,#N/A,FALSE,"page_3";#N/A,#N/A,FALSE,"page_4"}</definedName>
    <definedName name="vbnc" localSheetId="72" hidden="1">{#N/A,#N/A,FALSE,"cover";#N/A,#N/A,FALSE,"page_1";#N/A,#N/A,FALSE,"page_2";#N/A,#N/A,FALSE,"page_3";#N/A,#N/A,FALSE,"page_4"}</definedName>
    <definedName name="vbnc" localSheetId="73" hidden="1">{#N/A,#N/A,FALSE,"cover";#N/A,#N/A,FALSE,"page_1";#N/A,#N/A,FALSE,"page_2";#N/A,#N/A,FALSE,"page_3";#N/A,#N/A,FALSE,"page_4"}</definedName>
    <definedName name="vbnc" localSheetId="74" hidden="1">{#N/A,#N/A,FALSE,"cover";#N/A,#N/A,FALSE,"page_1";#N/A,#N/A,FALSE,"page_2";#N/A,#N/A,FALSE,"page_3";#N/A,#N/A,FALSE,"page_4"}</definedName>
    <definedName name="vbnc" hidden="1">{#N/A,#N/A,FALSE,"cover";#N/A,#N/A,FALSE,"page_1";#N/A,#N/A,FALSE,"page_2";#N/A,#N/A,FALSE,"page_3";#N/A,#N/A,FALSE,"page_4"}</definedName>
    <definedName name="W" localSheetId="64">#REF!</definedName>
    <definedName name="W" localSheetId="25">#REF!</definedName>
    <definedName name="W" localSheetId="31">#REF!</definedName>
    <definedName name="W">#REF!</definedName>
    <definedName name="wrn.calculation._.sheets" localSheetId="64" hidden="1">{#N/A,#N/A,FALSE,"cover";#N/A,#N/A,FALSE,"page_1";#N/A,#N/A,FALSE,"page_2";#N/A,#N/A,FALSE,"page_3";#N/A,#N/A,FALSE,"page_4"}</definedName>
    <definedName name="wrn.calculation._.sheets" localSheetId="65" hidden="1">{#N/A,#N/A,FALSE,"cover";#N/A,#N/A,FALSE,"page_1";#N/A,#N/A,FALSE,"page_2";#N/A,#N/A,FALSE,"page_3";#N/A,#N/A,FALSE,"page_4"}</definedName>
    <definedName name="wrn.calculation._.sheets" localSheetId="68" hidden="1">{#N/A,#N/A,FALSE,"cover";#N/A,#N/A,FALSE,"page_1";#N/A,#N/A,FALSE,"page_2";#N/A,#N/A,FALSE,"page_3";#N/A,#N/A,FALSE,"page_4"}</definedName>
    <definedName name="wrn.calculation._.sheets" localSheetId="69" hidden="1">{#N/A,#N/A,FALSE,"cover";#N/A,#N/A,FALSE,"page_1";#N/A,#N/A,FALSE,"page_2";#N/A,#N/A,FALSE,"page_3";#N/A,#N/A,FALSE,"page_4"}</definedName>
    <definedName name="wrn.calculation._.sheets" localSheetId="70" hidden="1">{#N/A,#N/A,FALSE,"cover";#N/A,#N/A,FALSE,"page_1";#N/A,#N/A,FALSE,"page_2";#N/A,#N/A,FALSE,"page_3";#N/A,#N/A,FALSE,"page_4"}</definedName>
    <definedName name="wrn.calculation._.sheets" localSheetId="71" hidden="1">{#N/A,#N/A,FALSE,"cover";#N/A,#N/A,FALSE,"page_1";#N/A,#N/A,FALSE,"page_2";#N/A,#N/A,FALSE,"page_3";#N/A,#N/A,FALSE,"page_4"}</definedName>
    <definedName name="wrn.calculation._.sheets" localSheetId="72" hidden="1">{#N/A,#N/A,FALSE,"cover";#N/A,#N/A,FALSE,"page_1";#N/A,#N/A,FALSE,"page_2";#N/A,#N/A,FALSE,"page_3";#N/A,#N/A,FALSE,"page_4"}</definedName>
    <definedName name="wrn.calculation._.sheets" localSheetId="73" hidden="1">{#N/A,#N/A,FALSE,"cover";#N/A,#N/A,FALSE,"page_1";#N/A,#N/A,FALSE,"page_2";#N/A,#N/A,FALSE,"page_3";#N/A,#N/A,FALSE,"page_4"}</definedName>
    <definedName name="wrn.calculation._.sheets" localSheetId="74" hidden="1">{#N/A,#N/A,FALSE,"cover";#N/A,#N/A,FALSE,"page_1";#N/A,#N/A,FALSE,"page_2";#N/A,#N/A,FALSE,"page_3";#N/A,#N/A,FALSE,"page_4"}</definedName>
    <definedName name="wrn.calculation._.sheets" hidden="1">{#N/A,#N/A,FALSE,"cover";#N/A,#N/A,FALSE,"page_1";#N/A,#N/A,FALSE,"page_2";#N/A,#N/A,FALSE,"page_3";#N/A,#N/A,FALSE,"page_4"}</definedName>
    <definedName name="wrn.Calulation._.Sheets." localSheetId="64" hidden="1">{#N/A,#N/A,FALSE,"cover";#N/A,#N/A,FALSE,"page_1";#N/A,#N/A,FALSE,"page_2";#N/A,#N/A,FALSE,"page_3";#N/A,#N/A,FALSE,"page_4"}</definedName>
    <definedName name="wrn.Calulation._.Sheets." localSheetId="65" hidden="1">{#N/A,#N/A,FALSE,"cover";#N/A,#N/A,FALSE,"page_1";#N/A,#N/A,FALSE,"page_2";#N/A,#N/A,FALSE,"page_3";#N/A,#N/A,FALSE,"page_4"}</definedName>
    <definedName name="wrn.Calulation._.Sheets." localSheetId="68" hidden="1">{#N/A,#N/A,FALSE,"cover";#N/A,#N/A,FALSE,"page_1";#N/A,#N/A,FALSE,"page_2";#N/A,#N/A,FALSE,"page_3";#N/A,#N/A,FALSE,"page_4"}</definedName>
    <definedName name="wrn.Calulation._.Sheets." localSheetId="69" hidden="1">{#N/A,#N/A,FALSE,"cover";#N/A,#N/A,FALSE,"page_1";#N/A,#N/A,FALSE,"page_2";#N/A,#N/A,FALSE,"page_3";#N/A,#N/A,FALSE,"page_4"}</definedName>
    <definedName name="wrn.Calulation._.Sheets." localSheetId="70" hidden="1">{#N/A,#N/A,FALSE,"cover";#N/A,#N/A,FALSE,"page_1";#N/A,#N/A,FALSE,"page_2";#N/A,#N/A,FALSE,"page_3";#N/A,#N/A,FALSE,"page_4"}</definedName>
    <definedName name="wrn.Calulation._.Sheets." localSheetId="71" hidden="1">{#N/A,#N/A,FALSE,"cover";#N/A,#N/A,FALSE,"page_1";#N/A,#N/A,FALSE,"page_2";#N/A,#N/A,FALSE,"page_3";#N/A,#N/A,FALSE,"page_4"}</definedName>
    <definedName name="wrn.Calulation._.Sheets." localSheetId="72" hidden="1">{#N/A,#N/A,FALSE,"cover";#N/A,#N/A,FALSE,"page_1";#N/A,#N/A,FALSE,"page_2";#N/A,#N/A,FALSE,"page_3";#N/A,#N/A,FALSE,"page_4"}</definedName>
    <definedName name="wrn.Calulation._.Sheets." localSheetId="73" hidden="1">{#N/A,#N/A,FALSE,"cover";#N/A,#N/A,FALSE,"page_1";#N/A,#N/A,FALSE,"page_2";#N/A,#N/A,FALSE,"page_3";#N/A,#N/A,FALSE,"page_4"}</definedName>
    <definedName name="wrn.Calulation._.Sheets." localSheetId="74" hidden="1">{#N/A,#N/A,FALSE,"cover";#N/A,#N/A,FALSE,"page_1";#N/A,#N/A,FALSE,"page_2";#N/A,#N/A,FALSE,"page_3";#N/A,#N/A,FALSE,"page_4"}</definedName>
    <definedName name="wrn.Calulation._.Sheets." hidden="1">{#N/A,#N/A,FALSE,"cover";#N/A,#N/A,FALSE,"page_1";#N/A,#N/A,FALSE,"page_2";#N/A,#N/A,FALSE,"page_3";#N/A,#N/A,FALSE,"page_4"}</definedName>
    <definedName name="X" localSheetId="64">#REF!</definedName>
    <definedName name="X" localSheetId="25">#REF!</definedName>
    <definedName name="X" localSheetId="31">#REF!</definedName>
    <definedName name="X">#REF!</definedName>
    <definedName name="xv" localSheetId="64" hidden="1">{#N/A,#N/A,FALSE,"cover";#N/A,#N/A,FALSE,"page_1";#N/A,#N/A,FALSE,"page_2";#N/A,#N/A,FALSE,"page_3";#N/A,#N/A,FALSE,"page_4"}</definedName>
    <definedName name="xv" localSheetId="65" hidden="1">{#N/A,#N/A,FALSE,"cover";#N/A,#N/A,FALSE,"page_1";#N/A,#N/A,FALSE,"page_2";#N/A,#N/A,FALSE,"page_3";#N/A,#N/A,FALSE,"page_4"}</definedName>
    <definedName name="xv" localSheetId="68" hidden="1">{#N/A,#N/A,FALSE,"cover";#N/A,#N/A,FALSE,"page_1";#N/A,#N/A,FALSE,"page_2";#N/A,#N/A,FALSE,"page_3";#N/A,#N/A,FALSE,"page_4"}</definedName>
    <definedName name="xv" localSheetId="69" hidden="1">{#N/A,#N/A,FALSE,"cover";#N/A,#N/A,FALSE,"page_1";#N/A,#N/A,FALSE,"page_2";#N/A,#N/A,FALSE,"page_3";#N/A,#N/A,FALSE,"page_4"}</definedName>
    <definedName name="xv" localSheetId="70" hidden="1">{#N/A,#N/A,FALSE,"cover";#N/A,#N/A,FALSE,"page_1";#N/A,#N/A,FALSE,"page_2";#N/A,#N/A,FALSE,"page_3";#N/A,#N/A,FALSE,"page_4"}</definedName>
    <definedName name="xv" localSheetId="71" hidden="1">{#N/A,#N/A,FALSE,"cover";#N/A,#N/A,FALSE,"page_1";#N/A,#N/A,FALSE,"page_2";#N/A,#N/A,FALSE,"page_3";#N/A,#N/A,FALSE,"page_4"}</definedName>
    <definedName name="xv" localSheetId="72" hidden="1">{#N/A,#N/A,FALSE,"cover";#N/A,#N/A,FALSE,"page_1";#N/A,#N/A,FALSE,"page_2";#N/A,#N/A,FALSE,"page_3";#N/A,#N/A,FALSE,"page_4"}</definedName>
    <definedName name="xv" localSheetId="73" hidden="1">{#N/A,#N/A,FALSE,"cover";#N/A,#N/A,FALSE,"page_1";#N/A,#N/A,FALSE,"page_2";#N/A,#N/A,FALSE,"page_3";#N/A,#N/A,FALSE,"page_4"}</definedName>
    <definedName name="xv" localSheetId="74" hidden="1">{#N/A,#N/A,FALSE,"cover";#N/A,#N/A,FALSE,"page_1";#N/A,#N/A,FALSE,"page_2";#N/A,#N/A,FALSE,"page_3";#N/A,#N/A,FALSE,"page_4"}</definedName>
    <definedName name="xv" hidden="1">{#N/A,#N/A,FALSE,"cover";#N/A,#N/A,FALSE,"page_1";#N/A,#N/A,FALSE,"page_2";#N/A,#N/A,FALSE,"page_3";#N/A,#N/A,FALSE,"page_4"}</definedName>
    <definedName name="xx" localSheetId="64" hidden="1">{#N/A,#N/A,FALSE,"cover";#N/A,#N/A,FALSE,"page_1";#N/A,#N/A,FALSE,"page_2";#N/A,#N/A,FALSE,"page_3";#N/A,#N/A,FALSE,"page_4"}</definedName>
    <definedName name="xx" localSheetId="65" hidden="1">{#N/A,#N/A,FALSE,"cover";#N/A,#N/A,FALSE,"page_1";#N/A,#N/A,FALSE,"page_2";#N/A,#N/A,FALSE,"page_3";#N/A,#N/A,FALSE,"page_4"}</definedName>
    <definedName name="xx" localSheetId="68" hidden="1">{#N/A,#N/A,FALSE,"cover";#N/A,#N/A,FALSE,"page_1";#N/A,#N/A,FALSE,"page_2";#N/A,#N/A,FALSE,"page_3";#N/A,#N/A,FALSE,"page_4"}</definedName>
    <definedName name="xx" localSheetId="69" hidden="1">{#N/A,#N/A,FALSE,"cover";#N/A,#N/A,FALSE,"page_1";#N/A,#N/A,FALSE,"page_2";#N/A,#N/A,FALSE,"page_3";#N/A,#N/A,FALSE,"page_4"}</definedName>
    <definedName name="xx" localSheetId="70" hidden="1">{#N/A,#N/A,FALSE,"cover";#N/A,#N/A,FALSE,"page_1";#N/A,#N/A,FALSE,"page_2";#N/A,#N/A,FALSE,"page_3";#N/A,#N/A,FALSE,"page_4"}</definedName>
    <definedName name="xx" localSheetId="71" hidden="1">{#N/A,#N/A,FALSE,"cover";#N/A,#N/A,FALSE,"page_1";#N/A,#N/A,FALSE,"page_2";#N/A,#N/A,FALSE,"page_3";#N/A,#N/A,FALSE,"page_4"}</definedName>
    <definedName name="xx" localSheetId="72" hidden="1">{#N/A,#N/A,FALSE,"cover";#N/A,#N/A,FALSE,"page_1";#N/A,#N/A,FALSE,"page_2";#N/A,#N/A,FALSE,"page_3";#N/A,#N/A,FALSE,"page_4"}</definedName>
    <definedName name="xx" localSheetId="73" hidden="1">{#N/A,#N/A,FALSE,"cover";#N/A,#N/A,FALSE,"page_1";#N/A,#N/A,FALSE,"page_2";#N/A,#N/A,FALSE,"page_3";#N/A,#N/A,FALSE,"page_4"}</definedName>
    <definedName name="xx" localSheetId="74" hidden="1">{#N/A,#N/A,FALSE,"cover";#N/A,#N/A,FALSE,"page_1";#N/A,#N/A,FALSE,"page_2";#N/A,#N/A,FALSE,"page_3";#N/A,#N/A,FALSE,"page_4"}</definedName>
    <definedName name="xx" hidden="1">{#N/A,#N/A,FALSE,"cover";#N/A,#N/A,FALSE,"page_1";#N/A,#N/A,FALSE,"page_2";#N/A,#N/A,FALSE,"page_3";#N/A,#N/A,FALSE,"page_4"}</definedName>
    <definedName name="Y" localSheetId="64">#REF!</definedName>
    <definedName name="Y" localSheetId="25">#REF!</definedName>
    <definedName name="Y" localSheetId="31">#REF!</definedName>
    <definedName name="Y">#REF!</definedName>
    <definedName name="Z" localSheetId="64">#REF!</definedName>
    <definedName name="Z" localSheetId="25">#REF!</definedName>
    <definedName name="Z" localSheetId="31">#REF!</definedName>
    <definedName name="Z">#REF!</definedName>
    <definedName name="zz" localSheetId="64" hidden="1">{#N/A,#N/A,FALSE,"cover";#N/A,#N/A,FALSE,"page_1";#N/A,#N/A,FALSE,"page_2";#N/A,#N/A,FALSE,"page_3";#N/A,#N/A,FALSE,"page_4"}</definedName>
    <definedName name="zz" localSheetId="65" hidden="1">{#N/A,#N/A,FALSE,"cover";#N/A,#N/A,FALSE,"page_1";#N/A,#N/A,FALSE,"page_2";#N/A,#N/A,FALSE,"page_3";#N/A,#N/A,FALSE,"page_4"}</definedName>
    <definedName name="zz" localSheetId="68" hidden="1">{#N/A,#N/A,FALSE,"cover";#N/A,#N/A,FALSE,"page_1";#N/A,#N/A,FALSE,"page_2";#N/A,#N/A,FALSE,"page_3";#N/A,#N/A,FALSE,"page_4"}</definedName>
    <definedName name="zz" localSheetId="69" hidden="1">{#N/A,#N/A,FALSE,"cover";#N/A,#N/A,FALSE,"page_1";#N/A,#N/A,FALSE,"page_2";#N/A,#N/A,FALSE,"page_3";#N/A,#N/A,FALSE,"page_4"}</definedName>
    <definedName name="zz" localSheetId="70" hidden="1">{#N/A,#N/A,FALSE,"cover";#N/A,#N/A,FALSE,"page_1";#N/A,#N/A,FALSE,"page_2";#N/A,#N/A,FALSE,"page_3";#N/A,#N/A,FALSE,"page_4"}</definedName>
    <definedName name="zz" localSheetId="71" hidden="1">{#N/A,#N/A,FALSE,"cover";#N/A,#N/A,FALSE,"page_1";#N/A,#N/A,FALSE,"page_2";#N/A,#N/A,FALSE,"page_3";#N/A,#N/A,FALSE,"page_4"}</definedName>
    <definedName name="zz" localSheetId="72" hidden="1">{#N/A,#N/A,FALSE,"cover";#N/A,#N/A,FALSE,"page_1";#N/A,#N/A,FALSE,"page_2";#N/A,#N/A,FALSE,"page_3";#N/A,#N/A,FALSE,"page_4"}</definedName>
    <definedName name="zz" localSheetId="73" hidden="1">{#N/A,#N/A,FALSE,"cover";#N/A,#N/A,FALSE,"page_1";#N/A,#N/A,FALSE,"page_2";#N/A,#N/A,FALSE,"page_3";#N/A,#N/A,FALSE,"page_4"}</definedName>
    <definedName name="zz" localSheetId="74" hidden="1">{#N/A,#N/A,FALSE,"cover";#N/A,#N/A,FALSE,"page_1";#N/A,#N/A,FALSE,"page_2";#N/A,#N/A,FALSE,"page_3";#N/A,#N/A,FALSE,"page_4"}</definedName>
    <definedName name="zz" hidden="1">{#N/A,#N/A,FALSE,"cover";#N/A,#N/A,FALSE,"page_1";#N/A,#N/A,FALSE,"page_2";#N/A,#N/A,FALSE,"page_3";#N/A,#N/A,FALSE,"page_4"}</definedName>
    <definedName name="zzz" localSheetId="64" hidden="1">{#N/A,#N/A,FALSE,"cover";#N/A,#N/A,FALSE,"page_1";#N/A,#N/A,FALSE,"page_2";#N/A,#N/A,FALSE,"page_3";#N/A,#N/A,FALSE,"page_4"}</definedName>
    <definedName name="zzz" localSheetId="65" hidden="1">{#N/A,#N/A,FALSE,"cover";#N/A,#N/A,FALSE,"page_1";#N/A,#N/A,FALSE,"page_2";#N/A,#N/A,FALSE,"page_3";#N/A,#N/A,FALSE,"page_4"}</definedName>
    <definedName name="zzz" localSheetId="68" hidden="1">{#N/A,#N/A,FALSE,"cover";#N/A,#N/A,FALSE,"page_1";#N/A,#N/A,FALSE,"page_2";#N/A,#N/A,FALSE,"page_3";#N/A,#N/A,FALSE,"page_4"}</definedName>
    <definedName name="zzz" localSheetId="69" hidden="1">{#N/A,#N/A,FALSE,"cover";#N/A,#N/A,FALSE,"page_1";#N/A,#N/A,FALSE,"page_2";#N/A,#N/A,FALSE,"page_3";#N/A,#N/A,FALSE,"page_4"}</definedName>
    <definedName name="zzz" localSheetId="70" hidden="1">{#N/A,#N/A,FALSE,"cover";#N/A,#N/A,FALSE,"page_1";#N/A,#N/A,FALSE,"page_2";#N/A,#N/A,FALSE,"page_3";#N/A,#N/A,FALSE,"page_4"}</definedName>
    <definedName name="zzz" localSheetId="71" hidden="1">{#N/A,#N/A,FALSE,"cover";#N/A,#N/A,FALSE,"page_1";#N/A,#N/A,FALSE,"page_2";#N/A,#N/A,FALSE,"page_3";#N/A,#N/A,FALSE,"page_4"}</definedName>
    <definedName name="zzz" localSheetId="72" hidden="1">{#N/A,#N/A,FALSE,"cover";#N/A,#N/A,FALSE,"page_1";#N/A,#N/A,FALSE,"page_2";#N/A,#N/A,FALSE,"page_3";#N/A,#N/A,FALSE,"page_4"}</definedName>
    <definedName name="zzz" localSheetId="73" hidden="1">{#N/A,#N/A,FALSE,"cover";#N/A,#N/A,FALSE,"page_1";#N/A,#N/A,FALSE,"page_2";#N/A,#N/A,FALSE,"page_3";#N/A,#N/A,FALSE,"page_4"}</definedName>
    <definedName name="zzz" localSheetId="74" hidden="1">{#N/A,#N/A,FALSE,"cover";#N/A,#N/A,FALSE,"page_1";#N/A,#N/A,FALSE,"page_2";#N/A,#N/A,FALSE,"page_3";#N/A,#N/A,FALSE,"page_4"}</definedName>
    <definedName name="zzz" hidden="1">{#N/A,#N/A,FALSE,"cover";#N/A,#N/A,FALSE,"page_1";#N/A,#N/A,FALSE,"page_2";#N/A,#N/A,FALSE,"page_3";#N/A,#N/A,FALSE,"page_4"}</definedName>
    <definedName name="zzzz" localSheetId="64" hidden="1">{#N/A,#N/A,FALSE,"cover";#N/A,#N/A,FALSE,"page_1";#N/A,#N/A,FALSE,"page_2";#N/A,#N/A,FALSE,"page_3";#N/A,#N/A,FALSE,"page_4"}</definedName>
    <definedName name="zzzz" localSheetId="65" hidden="1">{#N/A,#N/A,FALSE,"cover";#N/A,#N/A,FALSE,"page_1";#N/A,#N/A,FALSE,"page_2";#N/A,#N/A,FALSE,"page_3";#N/A,#N/A,FALSE,"page_4"}</definedName>
    <definedName name="zzzz" localSheetId="68" hidden="1">{#N/A,#N/A,FALSE,"cover";#N/A,#N/A,FALSE,"page_1";#N/A,#N/A,FALSE,"page_2";#N/A,#N/A,FALSE,"page_3";#N/A,#N/A,FALSE,"page_4"}</definedName>
    <definedName name="zzzz" localSheetId="69" hidden="1">{#N/A,#N/A,FALSE,"cover";#N/A,#N/A,FALSE,"page_1";#N/A,#N/A,FALSE,"page_2";#N/A,#N/A,FALSE,"page_3";#N/A,#N/A,FALSE,"page_4"}</definedName>
    <definedName name="zzzz" localSheetId="70" hidden="1">{#N/A,#N/A,FALSE,"cover";#N/A,#N/A,FALSE,"page_1";#N/A,#N/A,FALSE,"page_2";#N/A,#N/A,FALSE,"page_3";#N/A,#N/A,FALSE,"page_4"}</definedName>
    <definedName name="zzzz" localSheetId="71" hidden="1">{#N/A,#N/A,FALSE,"cover";#N/A,#N/A,FALSE,"page_1";#N/A,#N/A,FALSE,"page_2";#N/A,#N/A,FALSE,"page_3";#N/A,#N/A,FALSE,"page_4"}</definedName>
    <definedName name="zzzz" localSheetId="72" hidden="1">{#N/A,#N/A,FALSE,"cover";#N/A,#N/A,FALSE,"page_1";#N/A,#N/A,FALSE,"page_2";#N/A,#N/A,FALSE,"page_3";#N/A,#N/A,FALSE,"page_4"}</definedName>
    <definedName name="zzzz" localSheetId="73" hidden="1">{#N/A,#N/A,FALSE,"cover";#N/A,#N/A,FALSE,"page_1";#N/A,#N/A,FALSE,"page_2";#N/A,#N/A,FALSE,"page_3";#N/A,#N/A,FALSE,"page_4"}</definedName>
    <definedName name="zzzz" localSheetId="74" hidden="1">{#N/A,#N/A,FALSE,"cover";#N/A,#N/A,FALSE,"page_1";#N/A,#N/A,FALSE,"page_2";#N/A,#N/A,FALSE,"page_3";#N/A,#N/A,FALSE,"page_4"}</definedName>
    <definedName name="zzzz" hidden="1">{#N/A,#N/A,FALSE,"cover";#N/A,#N/A,FALSE,"page_1";#N/A,#N/A,FALSE,"page_2";#N/A,#N/A,FALSE,"page_3";#N/A,#N/A,FALSE,"page_4"}</definedName>
    <definedName name="zzzzz" localSheetId="64" hidden="1">{#N/A,#N/A,FALSE,"cover";#N/A,#N/A,FALSE,"page_1";#N/A,#N/A,FALSE,"page_2";#N/A,#N/A,FALSE,"page_3";#N/A,#N/A,FALSE,"page_4"}</definedName>
    <definedName name="zzzzz" localSheetId="65" hidden="1">{#N/A,#N/A,FALSE,"cover";#N/A,#N/A,FALSE,"page_1";#N/A,#N/A,FALSE,"page_2";#N/A,#N/A,FALSE,"page_3";#N/A,#N/A,FALSE,"page_4"}</definedName>
    <definedName name="zzzzz" localSheetId="68" hidden="1">{#N/A,#N/A,FALSE,"cover";#N/A,#N/A,FALSE,"page_1";#N/A,#N/A,FALSE,"page_2";#N/A,#N/A,FALSE,"page_3";#N/A,#N/A,FALSE,"page_4"}</definedName>
    <definedName name="zzzzz" localSheetId="69" hidden="1">{#N/A,#N/A,FALSE,"cover";#N/A,#N/A,FALSE,"page_1";#N/A,#N/A,FALSE,"page_2";#N/A,#N/A,FALSE,"page_3";#N/A,#N/A,FALSE,"page_4"}</definedName>
    <definedName name="zzzzz" localSheetId="70" hidden="1">{#N/A,#N/A,FALSE,"cover";#N/A,#N/A,FALSE,"page_1";#N/A,#N/A,FALSE,"page_2";#N/A,#N/A,FALSE,"page_3";#N/A,#N/A,FALSE,"page_4"}</definedName>
    <definedName name="zzzzz" localSheetId="71" hidden="1">{#N/A,#N/A,FALSE,"cover";#N/A,#N/A,FALSE,"page_1";#N/A,#N/A,FALSE,"page_2";#N/A,#N/A,FALSE,"page_3";#N/A,#N/A,FALSE,"page_4"}</definedName>
    <definedName name="zzzzz" localSheetId="72" hidden="1">{#N/A,#N/A,FALSE,"cover";#N/A,#N/A,FALSE,"page_1";#N/A,#N/A,FALSE,"page_2";#N/A,#N/A,FALSE,"page_3";#N/A,#N/A,FALSE,"page_4"}</definedName>
    <definedName name="zzzzz" localSheetId="73" hidden="1">{#N/A,#N/A,FALSE,"cover";#N/A,#N/A,FALSE,"page_1";#N/A,#N/A,FALSE,"page_2";#N/A,#N/A,FALSE,"page_3";#N/A,#N/A,FALSE,"page_4"}</definedName>
    <definedName name="zzzzz" localSheetId="74" hidden="1">{#N/A,#N/A,FALSE,"cover";#N/A,#N/A,FALSE,"page_1";#N/A,#N/A,FALSE,"page_2";#N/A,#N/A,FALSE,"page_3";#N/A,#N/A,FALSE,"page_4"}</definedName>
    <definedName name="zzzzz" hidden="1">{#N/A,#N/A,FALSE,"cover";#N/A,#N/A,FALSE,"page_1";#N/A,#N/A,FALSE,"page_2";#N/A,#N/A,FALSE,"page_3";#N/A,#N/A,FALSE,"page_4"}</definedName>
    <definedName name="zzzzzz" localSheetId="64" hidden="1">{#N/A,#N/A,FALSE,"cover";#N/A,#N/A,FALSE,"page_1";#N/A,#N/A,FALSE,"page_2";#N/A,#N/A,FALSE,"page_3";#N/A,#N/A,FALSE,"page_4"}</definedName>
    <definedName name="zzzzzz" localSheetId="65" hidden="1">{#N/A,#N/A,FALSE,"cover";#N/A,#N/A,FALSE,"page_1";#N/A,#N/A,FALSE,"page_2";#N/A,#N/A,FALSE,"page_3";#N/A,#N/A,FALSE,"page_4"}</definedName>
    <definedName name="zzzzzz" localSheetId="68" hidden="1">{#N/A,#N/A,FALSE,"cover";#N/A,#N/A,FALSE,"page_1";#N/A,#N/A,FALSE,"page_2";#N/A,#N/A,FALSE,"page_3";#N/A,#N/A,FALSE,"page_4"}</definedName>
    <definedName name="zzzzzz" localSheetId="69" hidden="1">{#N/A,#N/A,FALSE,"cover";#N/A,#N/A,FALSE,"page_1";#N/A,#N/A,FALSE,"page_2";#N/A,#N/A,FALSE,"page_3";#N/A,#N/A,FALSE,"page_4"}</definedName>
    <definedName name="zzzzzz" localSheetId="70" hidden="1">{#N/A,#N/A,FALSE,"cover";#N/A,#N/A,FALSE,"page_1";#N/A,#N/A,FALSE,"page_2";#N/A,#N/A,FALSE,"page_3";#N/A,#N/A,FALSE,"page_4"}</definedName>
    <definedName name="zzzzzz" localSheetId="71" hidden="1">{#N/A,#N/A,FALSE,"cover";#N/A,#N/A,FALSE,"page_1";#N/A,#N/A,FALSE,"page_2";#N/A,#N/A,FALSE,"page_3";#N/A,#N/A,FALSE,"page_4"}</definedName>
    <definedName name="zzzzzz" localSheetId="72" hidden="1">{#N/A,#N/A,FALSE,"cover";#N/A,#N/A,FALSE,"page_1";#N/A,#N/A,FALSE,"page_2";#N/A,#N/A,FALSE,"page_3";#N/A,#N/A,FALSE,"page_4"}</definedName>
    <definedName name="zzzzzz" localSheetId="73" hidden="1">{#N/A,#N/A,FALSE,"cover";#N/A,#N/A,FALSE,"page_1";#N/A,#N/A,FALSE,"page_2";#N/A,#N/A,FALSE,"page_3";#N/A,#N/A,FALSE,"page_4"}</definedName>
    <definedName name="zzzzzz" localSheetId="74" hidden="1">{#N/A,#N/A,FALSE,"cover";#N/A,#N/A,FALSE,"page_1";#N/A,#N/A,FALSE,"page_2";#N/A,#N/A,FALSE,"page_3";#N/A,#N/A,FALSE,"page_4"}</definedName>
    <definedName name="zzzzzz" hidden="1">{#N/A,#N/A,FALSE,"cover";#N/A,#N/A,FALSE,"page_1";#N/A,#N/A,FALSE,"page_2";#N/A,#N/A,FALSE,"page_3";#N/A,#N/A,FALSE,"page_4"}</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6" i="137" l="1"/>
  <c r="L75" i="137"/>
  <c r="L74" i="137"/>
  <c r="L73" i="137"/>
  <c r="L72" i="137"/>
  <c r="L71" i="137"/>
  <c r="P9" i="303"/>
  <c r="F3" i="303"/>
  <c r="B40" i="303" s="1"/>
  <c r="Z12" i="302"/>
  <c r="Z11" i="302"/>
  <c r="Z10" i="302"/>
  <c r="Z9" i="302"/>
  <c r="P9" i="302"/>
  <c r="Z8" i="302"/>
  <c r="F3" i="302"/>
  <c r="B40" i="302" s="1"/>
  <c r="Z12" i="301"/>
  <c r="Z11" i="301"/>
  <c r="Z10" i="301"/>
  <c r="Z9" i="301"/>
  <c r="P9" i="301"/>
  <c r="Z8" i="301"/>
  <c r="F3" i="301"/>
  <c r="B43" i="301" s="1"/>
  <c r="Z12" i="300"/>
  <c r="Z11" i="300"/>
  <c r="Z10" i="300"/>
  <c r="Z9" i="300"/>
  <c r="P9" i="300"/>
  <c r="Z8" i="300"/>
  <c r="F3" i="300"/>
  <c r="B40" i="300" s="1"/>
  <c r="Z12" i="299"/>
  <c r="Z11" i="299"/>
  <c r="Z10" i="299"/>
  <c r="Z9" i="299"/>
  <c r="P9" i="299"/>
  <c r="Z8" i="299"/>
  <c r="F3" i="299"/>
  <c r="B40" i="299" s="1"/>
  <c r="Z12" i="298"/>
  <c r="Z11" i="298"/>
  <c r="Z9" i="298"/>
  <c r="Z8" i="298"/>
  <c r="Z10" i="298"/>
  <c r="P9" i="298"/>
  <c r="F3" i="298"/>
  <c r="B40" i="298" s="1"/>
  <c r="F3" i="71"/>
  <c r="H3" i="71" s="1"/>
  <c r="AF73" i="137"/>
  <c r="AF71" i="137"/>
  <c r="AF74" i="137"/>
  <c r="AF72" i="137"/>
  <c r="AF75" i="137"/>
  <c r="AF76" i="137"/>
  <c r="B43" i="303" l="1"/>
  <c r="B43" i="302"/>
  <c r="B43" i="300"/>
  <c r="B43" i="298"/>
  <c r="B43" i="299"/>
  <c r="B44" i="303"/>
  <c r="B41" i="303"/>
  <c r="B42" i="303"/>
  <c r="B44" i="302"/>
  <c r="B41" i="302"/>
  <c r="B42" i="302"/>
  <c r="B44" i="301"/>
  <c r="B41" i="301"/>
  <c r="B42" i="301"/>
  <c r="B41" i="300"/>
  <c r="B42" i="300"/>
  <c r="B44" i="300"/>
  <c r="B41" i="299"/>
  <c r="B42" i="299"/>
  <c r="B44" i="299"/>
  <c r="B42" i="298"/>
  <c r="B40" i="301"/>
  <c r="Q3" i="301"/>
  <c r="I4" i="301"/>
  <c r="H5" i="301"/>
  <c r="O3" i="301"/>
  <c r="M3" i="301"/>
  <c r="I4" i="302"/>
  <c r="H5" i="302"/>
  <c r="H3" i="303"/>
  <c r="I6" i="302"/>
  <c r="J3" i="303"/>
  <c r="H3" i="302"/>
  <c r="M3" i="303"/>
  <c r="I6" i="301"/>
  <c r="J3" i="302"/>
  <c r="O3" i="303"/>
  <c r="H3" i="301"/>
  <c r="M3" i="302"/>
  <c r="Q3" i="303"/>
  <c r="J3" i="301"/>
  <c r="O3" i="302"/>
  <c r="I4" i="303"/>
  <c r="I6" i="303"/>
  <c r="Q3" i="302"/>
  <c r="H5" i="303"/>
  <c r="B41" i="298"/>
  <c r="I6" i="300"/>
  <c r="O3" i="300"/>
  <c r="Q3" i="300"/>
  <c r="I4" i="300"/>
  <c r="H5" i="300"/>
  <c r="H3" i="300"/>
  <c r="J3" i="300"/>
  <c r="M3" i="300"/>
  <c r="I4" i="299"/>
  <c r="H5" i="299"/>
  <c r="M3" i="299"/>
  <c r="I6" i="299"/>
  <c r="H3" i="299"/>
  <c r="O3" i="299"/>
  <c r="J3" i="299"/>
  <c r="Q3" i="299"/>
  <c r="M3" i="298"/>
  <c r="O3" i="298"/>
  <c r="H3" i="298"/>
  <c r="Q3" i="298"/>
  <c r="J3" i="298"/>
  <c r="I4" i="298"/>
  <c r="B44" i="298"/>
  <c r="H5" i="298"/>
  <c r="I6" i="298"/>
  <c r="Q3" i="71"/>
  <c r="I6" i="71"/>
  <c r="H5" i="71"/>
  <c r="I4" i="71"/>
  <c r="O3" i="71"/>
  <c r="M3" i="71"/>
  <c r="J3" i="71"/>
  <c r="G13" i="297"/>
  <c r="F13" i="297"/>
  <c r="E13" i="297"/>
  <c r="D13" i="297"/>
  <c r="C13" i="297"/>
  <c r="B13" i="297"/>
  <c r="F3" i="297"/>
  <c r="F48" i="297" s="1"/>
  <c r="AG68" i="137"/>
  <c r="L68" i="137"/>
  <c r="H3" i="297" l="1"/>
  <c r="D8" i="297"/>
  <c r="B44" i="297"/>
  <c r="J3" i="297"/>
  <c r="F8" i="297"/>
  <c r="B45" i="297"/>
  <c r="I6" i="297"/>
  <c r="B8" i="297"/>
  <c r="P9" i="297" s="1"/>
  <c r="M3" i="297"/>
  <c r="B46" i="297"/>
  <c r="S3" i="297"/>
  <c r="B47" i="297"/>
  <c r="G49" i="297"/>
  <c r="I4" i="297"/>
  <c r="B48" i="297"/>
  <c r="B9" i="297"/>
  <c r="I5" i="297"/>
  <c r="F3" i="296" l="1"/>
  <c r="B48" i="296" s="1"/>
  <c r="AG59" i="137"/>
  <c r="L59" i="137"/>
  <c r="F3" i="295"/>
  <c r="Q3" i="295" s="1"/>
  <c r="F3" i="294"/>
  <c r="G54" i="294" s="1"/>
  <c r="AF59" i="137"/>
  <c r="Q3" i="296" l="1"/>
  <c r="B42" i="296"/>
  <c r="H3" i="296"/>
  <c r="B8" i="296"/>
  <c r="P9" i="296" s="1"/>
  <c r="F43" i="296"/>
  <c r="I6" i="296"/>
  <c r="J3" i="296"/>
  <c r="D8" i="296"/>
  <c r="B44" i="296"/>
  <c r="M3" i="296"/>
  <c r="F8" i="296"/>
  <c r="B45" i="296"/>
  <c r="O3" i="296"/>
  <c r="H8" i="296"/>
  <c r="B46" i="296"/>
  <c r="J8" i="296"/>
  <c r="F46" i="296"/>
  <c r="I4" i="296"/>
  <c r="B9" i="296"/>
  <c r="B47" i="296"/>
  <c r="H5" i="296"/>
  <c r="G48" i="295"/>
  <c r="F47" i="295"/>
  <c r="B47" i="295"/>
  <c r="B46" i="295"/>
  <c r="B44" i="295"/>
  <c r="B45" i="295"/>
  <c r="B43" i="295"/>
  <c r="I4" i="295"/>
  <c r="H5" i="295"/>
  <c r="I6" i="295"/>
  <c r="H3" i="295"/>
  <c r="P9" i="295"/>
  <c r="J3" i="295"/>
  <c r="M3" i="295"/>
  <c r="O3" i="295"/>
  <c r="H5" i="294"/>
  <c r="B50" i="294"/>
  <c r="Q3" i="294"/>
  <c r="I4" i="294"/>
  <c r="B49" i="294"/>
  <c r="I6" i="294"/>
  <c r="B51" i="294"/>
  <c r="H3" i="294"/>
  <c r="B8" i="294"/>
  <c r="P9" i="294" s="1"/>
  <c r="B52" i="294"/>
  <c r="J3" i="294"/>
  <c r="D8" i="294"/>
  <c r="B53" i="294"/>
  <c r="M3" i="294"/>
  <c r="F8" i="294"/>
  <c r="F53" i="294"/>
  <c r="O3" i="294"/>
  <c r="B9" i="294"/>
  <c r="AG15" i="137"/>
  <c r="L15" i="137"/>
  <c r="F3" i="292"/>
  <c r="J3" i="292" s="1"/>
  <c r="F3" i="291"/>
  <c r="G49" i="291" s="1"/>
  <c r="F3" i="290"/>
  <c r="G49" i="290" s="1"/>
  <c r="F3" i="289"/>
  <c r="G49" i="289" s="1"/>
  <c r="F3" i="288"/>
  <c r="G49" i="288" s="1"/>
  <c r="F3" i="287"/>
  <c r="G49" i="287" s="1"/>
  <c r="AG38" i="137"/>
  <c r="L38" i="137"/>
  <c r="AG70" i="137"/>
  <c r="L70" i="137"/>
  <c r="AG36" i="137"/>
  <c r="AG37" i="137"/>
  <c r="F3" i="286"/>
  <c r="G45" i="286" s="1"/>
  <c r="AG58" i="137"/>
  <c r="L58" i="137"/>
  <c r="AG67" i="137"/>
  <c r="L67" i="137"/>
  <c r="AG39" i="137"/>
  <c r="L39" i="137"/>
  <c r="L37" i="137"/>
  <c r="L36" i="137"/>
  <c r="AG35" i="137"/>
  <c r="L35" i="137"/>
  <c r="AG8" i="137"/>
  <c r="AG9" i="137"/>
  <c r="AG10" i="137"/>
  <c r="AG11" i="137"/>
  <c r="AG12" i="137"/>
  <c r="AG13" i="137"/>
  <c r="AG14" i="137"/>
  <c r="AG16" i="137"/>
  <c r="AG17" i="137"/>
  <c r="AG18" i="137"/>
  <c r="AG19" i="137"/>
  <c r="AG20" i="137"/>
  <c r="AG21" i="137"/>
  <c r="AG22" i="137"/>
  <c r="AG23" i="137"/>
  <c r="AG24" i="137"/>
  <c r="AG25" i="137"/>
  <c r="AG26" i="137"/>
  <c r="AG27" i="137"/>
  <c r="AG28" i="137"/>
  <c r="AG29" i="137"/>
  <c r="AG30" i="137"/>
  <c r="AG31" i="137"/>
  <c r="AG32" i="137"/>
  <c r="AG33" i="137"/>
  <c r="AG34" i="137"/>
  <c r="AG40" i="137"/>
  <c r="AG41" i="137"/>
  <c r="AG42" i="137"/>
  <c r="AG43" i="137"/>
  <c r="AG44" i="137"/>
  <c r="AG45" i="137"/>
  <c r="AG46" i="137"/>
  <c r="AG47" i="137"/>
  <c r="AG48" i="137"/>
  <c r="AG49" i="137"/>
  <c r="AG50" i="137"/>
  <c r="AG51" i="137"/>
  <c r="AG52" i="137"/>
  <c r="AG53" i="137"/>
  <c r="AG54" i="137"/>
  <c r="AG55" i="137"/>
  <c r="AG56" i="137"/>
  <c r="AG57" i="137"/>
  <c r="AG60" i="137"/>
  <c r="AG61" i="137"/>
  <c r="AG62" i="137"/>
  <c r="AG63" i="137"/>
  <c r="AG64" i="137"/>
  <c r="AG65" i="137"/>
  <c r="AG66" i="137"/>
  <c r="AG69" i="137"/>
  <c r="AG3" i="137"/>
  <c r="F3" i="285"/>
  <c r="G50" i="285" s="1"/>
  <c r="N16" i="285"/>
  <c r="M16" i="285"/>
  <c r="L16" i="285"/>
  <c r="K16" i="285"/>
  <c r="J16" i="285"/>
  <c r="I16" i="285"/>
  <c r="H16" i="285"/>
  <c r="G16" i="285"/>
  <c r="F16" i="285"/>
  <c r="E16" i="285"/>
  <c r="D16" i="285"/>
  <c r="C16" i="285"/>
  <c r="B16" i="285"/>
  <c r="AF15" i="137"/>
  <c r="AF36" i="137"/>
  <c r="AF67" i="137"/>
  <c r="AF37" i="137"/>
  <c r="AF35" i="137"/>
  <c r="G45" i="292" l="1"/>
  <c r="I5" i="292"/>
  <c r="I6" i="292"/>
  <c r="B40" i="292"/>
  <c r="I4" i="292"/>
  <c r="B9" i="292"/>
  <c r="H3" i="292"/>
  <c r="B8" i="292"/>
  <c r="P9" i="292" s="1"/>
  <c r="D8" i="292"/>
  <c r="M3" i="292"/>
  <c r="F8" i="292"/>
  <c r="O3" i="292"/>
  <c r="H8" i="292"/>
  <c r="Q3" i="292"/>
  <c r="J8" i="292"/>
  <c r="M3" i="291"/>
  <c r="I4" i="291"/>
  <c r="H5" i="291"/>
  <c r="F8" i="291"/>
  <c r="B44" i="291"/>
  <c r="B48" i="291"/>
  <c r="I6" i="291"/>
  <c r="B45" i="291"/>
  <c r="H3" i="291"/>
  <c r="B8" i="291"/>
  <c r="P9" i="291" s="1"/>
  <c r="B46" i="291"/>
  <c r="J3" i="291"/>
  <c r="D8" i="291"/>
  <c r="B47" i="291"/>
  <c r="O3" i="291"/>
  <c r="H8" i="291"/>
  <c r="F48" i="291"/>
  <c r="Q3" i="291"/>
  <c r="B9" i="291"/>
  <c r="H5" i="290"/>
  <c r="B44" i="290"/>
  <c r="I4" i="290"/>
  <c r="B45" i="290"/>
  <c r="H3" i="290"/>
  <c r="B8" i="290"/>
  <c r="P9" i="290" s="1"/>
  <c r="B46" i="290"/>
  <c r="I6" i="290"/>
  <c r="J3" i="290"/>
  <c r="D8" i="290"/>
  <c r="B47" i="290"/>
  <c r="M3" i="290"/>
  <c r="F8" i="290"/>
  <c r="B48" i="290"/>
  <c r="O3" i="290"/>
  <c r="H8" i="290"/>
  <c r="F48" i="290"/>
  <c r="Q3" i="290"/>
  <c r="B9" i="290"/>
  <c r="B44" i="289"/>
  <c r="I6" i="289"/>
  <c r="B45" i="289"/>
  <c r="H3" i="289"/>
  <c r="B8" i="289"/>
  <c r="P9" i="289" s="1"/>
  <c r="B46" i="289"/>
  <c r="J3" i="289"/>
  <c r="D8" i="289"/>
  <c r="B47" i="289"/>
  <c r="M3" i="289"/>
  <c r="F8" i="289"/>
  <c r="B48" i="289"/>
  <c r="I4" i="289"/>
  <c r="H5" i="289"/>
  <c r="O3" i="289"/>
  <c r="H8" i="289"/>
  <c r="F48" i="289"/>
  <c r="Q3" i="289"/>
  <c r="B9" i="289"/>
  <c r="I6" i="288"/>
  <c r="B45" i="288"/>
  <c r="H3" i="288"/>
  <c r="B8" i="288"/>
  <c r="P9" i="288" s="1"/>
  <c r="B46" i="288"/>
  <c r="J3" i="288"/>
  <c r="D8" i="288"/>
  <c r="B47" i="288"/>
  <c r="I4" i="288"/>
  <c r="H5" i="288"/>
  <c r="M3" i="288"/>
  <c r="F8" i="288"/>
  <c r="B48" i="288"/>
  <c r="B44" i="288"/>
  <c r="O3" i="288"/>
  <c r="H8" i="288"/>
  <c r="F48" i="288"/>
  <c r="Q3" i="288"/>
  <c r="B9" i="288"/>
  <c r="B46" i="287"/>
  <c r="J3" i="287"/>
  <c r="D8" i="287"/>
  <c r="B47" i="287"/>
  <c r="B44" i="287"/>
  <c r="I6" i="287"/>
  <c r="H3" i="287"/>
  <c r="B8" i="287"/>
  <c r="P9" i="287" s="1"/>
  <c r="M3" i="287"/>
  <c r="F8" i="287"/>
  <c r="B48" i="287"/>
  <c r="O3" i="287"/>
  <c r="H8" i="287"/>
  <c r="F48" i="287"/>
  <c r="I4" i="287"/>
  <c r="H5" i="287"/>
  <c r="B45" i="287"/>
  <c r="Q3" i="287"/>
  <c r="B9" i="287"/>
  <c r="B40" i="286"/>
  <c r="H3" i="286"/>
  <c r="B8" i="286"/>
  <c r="R9" i="286" s="1"/>
  <c r="B41" i="286"/>
  <c r="J3" i="286"/>
  <c r="D8" i="286"/>
  <c r="B42" i="286"/>
  <c r="I6" i="286"/>
  <c r="N3" i="286"/>
  <c r="F8" i="286"/>
  <c r="B43" i="286"/>
  <c r="I5" i="286"/>
  <c r="Q3" i="286"/>
  <c r="H8" i="286"/>
  <c r="B44" i="286"/>
  <c r="T3" i="286"/>
  <c r="J8" i="286"/>
  <c r="F44" i="286"/>
  <c r="I4" i="286"/>
  <c r="B9" i="286"/>
  <c r="F49" i="285"/>
  <c r="B48" i="285"/>
  <c r="I6" i="285"/>
  <c r="B49" i="285"/>
  <c r="B47" i="285"/>
  <c r="B46" i="285"/>
  <c r="B45" i="285"/>
  <c r="J3" i="285"/>
  <c r="H3" i="285"/>
  <c r="O3" i="285"/>
  <c r="Q3" i="285"/>
  <c r="M3" i="285"/>
  <c r="I4" i="285"/>
  <c r="H5" i="285"/>
  <c r="B9" i="285"/>
  <c r="B8" i="285"/>
  <c r="P9" i="285" s="1"/>
  <c r="D8" i="285"/>
  <c r="F8" i="285"/>
  <c r="H8" i="285"/>
  <c r="J8" i="285"/>
  <c r="AF38" i="137"/>
  <c r="L66" i="137" l="1"/>
  <c r="F3" i="284"/>
  <c r="F3" i="283"/>
  <c r="F3" i="282"/>
  <c r="F3" i="281"/>
  <c r="F3" i="280"/>
  <c r="F3" i="279"/>
  <c r="L45" i="137"/>
  <c r="L44" i="137"/>
  <c r="L43" i="137"/>
  <c r="L42" i="137"/>
  <c r="L41" i="137"/>
  <c r="L40" i="137"/>
  <c r="F3" i="278"/>
  <c r="F3" i="277"/>
  <c r="F3" i="276"/>
  <c r="F3" i="275"/>
  <c r="F3" i="274"/>
  <c r="F3" i="273"/>
  <c r="L33" i="137"/>
  <c r="L32" i="137"/>
  <c r="L31" i="137"/>
  <c r="L30" i="137"/>
  <c r="L29" i="137"/>
  <c r="L28" i="137"/>
  <c r="F3" i="268"/>
  <c r="F3" i="267"/>
  <c r="F3" i="266"/>
  <c r="F3" i="265"/>
  <c r="F44" i="265" s="1"/>
  <c r="F3" i="264"/>
  <c r="F44" i="264" s="1"/>
  <c r="F3" i="263"/>
  <c r="L65" i="137"/>
  <c r="L64" i="137"/>
  <c r="L63" i="137"/>
  <c r="L62" i="137"/>
  <c r="L61" i="137"/>
  <c r="L60" i="137"/>
  <c r="L8" i="137"/>
  <c r="F3" i="262"/>
  <c r="L4" i="137"/>
  <c r="L5" i="137"/>
  <c r="L6" i="137"/>
  <c r="L7" i="137"/>
  <c r="L9" i="137"/>
  <c r="L10" i="137"/>
  <c r="L11" i="137"/>
  <c r="L12" i="137"/>
  <c r="L13" i="137"/>
  <c r="L14" i="137"/>
  <c r="L16" i="137"/>
  <c r="L17" i="137"/>
  <c r="L18" i="137"/>
  <c r="L19" i="137"/>
  <c r="L20" i="137"/>
  <c r="L21" i="137"/>
  <c r="L22" i="137"/>
  <c r="L23" i="137"/>
  <c r="L24" i="137"/>
  <c r="L25" i="137"/>
  <c r="L26" i="137"/>
  <c r="L27" i="137"/>
  <c r="L46" i="137"/>
  <c r="L47" i="137"/>
  <c r="L48" i="137"/>
  <c r="L49" i="137"/>
  <c r="L50" i="137"/>
  <c r="L51" i="137"/>
  <c r="L52" i="137"/>
  <c r="L53" i="137"/>
  <c r="L54" i="137"/>
  <c r="L55" i="137"/>
  <c r="L56" i="137"/>
  <c r="L57" i="137"/>
  <c r="L34" i="137"/>
  <c r="L69" i="137"/>
  <c r="F3" i="259"/>
  <c r="F3" i="258"/>
  <c r="AG4" i="137"/>
  <c r="AG5" i="137"/>
  <c r="AG6" i="137"/>
  <c r="AG7" i="137"/>
  <c r="F3" i="72"/>
  <c r="F44" i="72" s="1"/>
  <c r="F3" i="73"/>
  <c r="B46" i="73" s="1"/>
  <c r="F3" i="173"/>
  <c r="F3" i="212"/>
  <c r="F3" i="214"/>
  <c r="F44" i="214" s="1"/>
  <c r="F3" i="216"/>
  <c r="F44" i="216" s="1"/>
  <c r="F3" i="218"/>
  <c r="F3" i="220"/>
  <c r="F3" i="222"/>
  <c r="F3" i="250"/>
  <c r="F3" i="252"/>
  <c r="F3" i="254"/>
  <c r="F3" i="256"/>
  <c r="F3" i="65"/>
  <c r="F3" i="66"/>
  <c r="F3" i="67"/>
  <c r="F3" i="68"/>
  <c r="F3" i="69"/>
  <c r="F3" i="13"/>
  <c r="F3" i="119"/>
  <c r="F3" i="82"/>
  <c r="F44" i="82" s="1"/>
  <c r="F3" i="105"/>
  <c r="F44" i="105" s="1"/>
  <c r="F3" i="83"/>
  <c r="F44" i="83" s="1"/>
  <c r="F3" i="84"/>
  <c r="F3" i="85"/>
  <c r="F3" i="18"/>
  <c r="F3" i="81"/>
  <c r="G45" i="81" s="1"/>
  <c r="F3" i="128"/>
  <c r="F44" i="128" s="1"/>
  <c r="F3" i="129"/>
  <c r="F44" i="129" s="1"/>
  <c r="F3" i="130"/>
  <c r="F3" i="131"/>
  <c r="F3" i="132"/>
  <c r="F3" i="165"/>
  <c r="F3" i="70"/>
  <c r="H8" i="70" s="1"/>
  <c r="S13" i="165"/>
  <c r="B13" i="165"/>
  <c r="I13" i="165"/>
  <c r="J13" i="165"/>
  <c r="K13" i="165"/>
  <c r="L13" i="165"/>
  <c r="M13" i="165"/>
  <c r="N13" i="165"/>
  <c r="O13" i="165"/>
  <c r="P13" i="165"/>
  <c r="Q13" i="165"/>
  <c r="R13" i="165"/>
  <c r="T13" i="165"/>
  <c r="U13" i="165"/>
  <c r="H13" i="165"/>
  <c r="D13" i="165"/>
  <c r="E13" i="165"/>
  <c r="F13" i="165"/>
  <c r="G13" i="165"/>
  <c r="C13" i="165"/>
  <c r="L3" i="137"/>
  <c r="AF10" i="137"/>
  <c r="AF58" i="137"/>
  <c r="AF18" i="137"/>
  <c r="AF11" i="137"/>
  <c r="AH25" i="137"/>
  <c r="AH45" i="137"/>
  <c r="AH42" i="137"/>
  <c r="AH26" i="137"/>
  <c r="AF61" i="137"/>
  <c r="AF47" i="137"/>
  <c r="AF62" i="137"/>
  <c r="AF60" i="137"/>
  <c r="AF12" i="137"/>
  <c r="AF22" i="137"/>
  <c r="AF55" i="137"/>
  <c r="AF7" i="137"/>
  <c r="AF53" i="137"/>
  <c r="AH28" i="137"/>
  <c r="AH21" i="137"/>
  <c r="AF54" i="137"/>
  <c r="AF63" i="137"/>
  <c r="AH32" i="137"/>
  <c r="AF49" i="137"/>
  <c r="AF48" i="137"/>
  <c r="AF3" i="137"/>
  <c r="AH23" i="137"/>
  <c r="AF52" i="137"/>
  <c r="AF65" i="137"/>
  <c r="AH30" i="137"/>
  <c r="AH33" i="137"/>
  <c r="AF24" i="137"/>
  <c r="AH18" i="137"/>
  <c r="AF51" i="137"/>
  <c r="AF69" i="137"/>
  <c r="AH17" i="137"/>
  <c r="AF46" i="137"/>
  <c r="AH19" i="137"/>
  <c r="AF56" i="137"/>
  <c r="AF21" i="137"/>
  <c r="AF19" i="137"/>
  <c r="AF9" i="137"/>
  <c r="AF26" i="137"/>
  <c r="AH31" i="137"/>
  <c r="AH22" i="137"/>
  <c r="AH20" i="137"/>
  <c r="AF13" i="137"/>
  <c r="AF5" i="137"/>
  <c r="AF39" i="137"/>
  <c r="AH27" i="137"/>
  <c r="AF66" i="137"/>
  <c r="AF34" i="137"/>
  <c r="AF17" i="137"/>
  <c r="AH16" i="137"/>
  <c r="AF23" i="137"/>
  <c r="AH43" i="137"/>
  <c r="AH44" i="137"/>
  <c r="AF6" i="137"/>
  <c r="AF50" i="137"/>
  <c r="AF20" i="137"/>
  <c r="AF70" i="137"/>
  <c r="AF27" i="137"/>
  <c r="AH29" i="137"/>
  <c r="AF57" i="137"/>
  <c r="AH40" i="137"/>
  <c r="AF64" i="137"/>
  <c r="AF8" i="137"/>
  <c r="AF4" i="137"/>
  <c r="AF14" i="137"/>
  <c r="AF68" i="137"/>
  <c r="AF25" i="137"/>
  <c r="AF16" i="137"/>
  <c r="AH24" i="137"/>
  <c r="AH41" i="137"/>
  <c r="F43" i="132" l="1"/>
  <c r="B48" i="132"/>
  <c r="B48" i="13"/>
  <c r="F43" i="13"/>
  <c r="F43" i="222"/>
  <c r="B48" i="222"/>
  <c r="Q3" i="212"/>
  <c r="N3" i="212"/>
  <c r="F44" i="212"/>
  <c r="T3" i="212"/>
  <c r="F44" i="292"/>
  <c r="B41" i="292"/>
  <c r="B44" i="292"/>
  <c r="B42" i="292"/>
  <c r="B43" i="292"/>
  <c r="G45" i="263"/>
  <c r="G49" i="119"/>
  <c r="G49" i="165"/>
  <c r="J8" i="262"/>
  <c r="L8" i="262"/>
  <c r="F44" i="71"/>
  <c r="G45" i="279"/>
  <c r="F44" i="263"/>
  <c r="F44" i="81"/>
  <c r="G45" i="70"/>
  <c r="I4" i="70"/>
  <c r="N3" i="70"/>
  <c r="I6" i="70"/>
  <c r="H5" i="70"/>
  <c r="F44" i="70"/>
  <c r="F44" i="130"/>
  <c r="B46" i="130"/>
  <c r="B45" i="130"/>
  <c r="B46" i="276"/>
  <c r="B45" i="276"/>
  <c r="B46" i="256"/>
  <c r="B45" i="256"/>
  <c r="B48" i="277"/>
  <c r="B47" i="277"/>
  <c r="B47" i="278"/>
  <c r="B48" i="278"/>
  <c r="B47" i="13"/>
  <c r="B48" i="258"/>
  <c r="B47" i="258"/>
  <c r="F46" i="18"/>
  <c r="B48" i="18"/>
  <c r="B47" i="18"/>
  <c r="B47" i="69"/>
  <c r="B48" i="69"/>
  <c r="B48" i="259"/>
  <c r="B47" i="259"/>
  <c r="F44" i="266"/>
  <c r="B46" i="266"/>
  <c r="B45" i="266"/>
  <c r="B46" i="282"/>
  <c r="B45" i="282"/>
  <c r="F46" i="85"/>
  <c r="B48" i="85"/>
  <c r="B47" i="85"/>
  <c r="B46" i="68"/>
  <c r="B45" i="68"/>
  <c r="F46" i="222"/>
  <c r="B47" i="222"/>
  <c r="F46" i="267"/>
  <c r="B48" i="267"/>
  <c r="B47" i="267"/>
  <c r="B48" i="283"/>
  <c r="B47" i="283"/>
  <c r="F46" i="132"/>
  <c r="B47" i="132"/>
  <c r="F46" i="220"/>
  <c r="B48" i="220"/>
  <c r="B47" i="220"/>
  <c r="F46" i="268"/>
  <c r="B47" i="268"/>
  <c r="B48" i="268"/>
  <c r="B48" i="284"/>
  <c r="B47" i="284"/>
  <c r="F44" i="84"/>
  <c r="B45" i="84"/>
  <c r="B46" i="84"/>
  <c r="F46" i="131"/>
  <c r="B47" i="131"/>
  <c r="B48" i="131"/>
  <c r="F44" i="218"/>
  <c r="B46" i="218"/>
  <c r="B45" i="218"/>
  <c r="F46" i="262"/>
  <c r="B47" i="262"/>
  <c r="B48" i="262"/>
  <c r="F46" i="173"/>
  <c r="B48" i="173"/>
  <c r="B47" i="173"/>
  <c r="B45" i="73"/>
  <c r="F44" i="73"/>
  <c r="F48" i="165"/>
  <c r="F48" i="119"/>
  <c r="F44" i="65"/>
  <c r="F44" i="276"/>
  <c r="F44" i="256"/>
  <c r="F46" i="277"/>
  <c r="F44" i="279"/>
  <c r="F44" i="254"/>
  <c r="F46" i="278"/>
  <c r="F44" i="280"/>
  <c r="F46" i="13"/>
  <c r="F44" i="252"/>
  <c r="F46" i="258"/>
  <c r="F44" i="281"/>
  <c r="F46" i="69"/>
  <c r="F44" i="250"/>
  <c r="F46" i="259"/>
  <c r="F44" i="282"/>
  <c r="F44" i="273"/>
  <c r="F46" i="283"/>
  <c r="F44" i="67"/>
  <c r="F44" i="274"/>
  <c r="F46" i="284"/>
  <c r="F44" i="68"/>
  <c r="F44" i="66"/>
  <c r="F44" i="275"/>
  <c r="B9" i="85"/>
  <c r="B45" i="267"/>
  <c r="B9" i="67"/>
  <c r="B9" i="83"/>
  <c r="B9" i="218"/>
  <c r="B9" i="130"/>
  <c r="B9" i="105"/>
  <c r="B9" i="65"/>
  <c r="L8" i="216"/>
  <c r="B40" i="276"/>
  <c r="B9" i="129"/>
  <c r="B9" i="256"/>
  <c r="L8" i="214"/>
  <c r="B9" i="262"/>
  <c r="B9" i="128"/>
  <c r="B9" i="254"/>
  <c r="J8" i="212"/>
  <c r="B9" i="13"/>
  <c r="H5" i="281"/>
  <c r="B9" i="258"/>
  <c r="H5" i="265"/>
  <c r="B9" i="18"/>
  <c r="B9" i="69"/>
  <c r="B9" i="259"/>
  <c r="F41" i="266"/>
  <c r="B40" i="282"/>
  <c r="B9" i="252"/>
  <c r="B9" i="72"/>
  <c r="B9" i="173"/>
  <c r="B9" i="68"/>
  <c r="B9" i="84"/>
  <c r="B9" i="220"/>
  <c r="B9" i="71"/>
  <c r="B9" i="222"/>
  <c r="B9" i="132"/>
  <c r="B9" i="131"/>
  <c r="B9" i="66"/>
  <c r="B9" i="275"/>
  <c r="B8" i="165"/>
  <c r="P9" i="165" s="1"/>
  <c r="B43" i="263"/>
  <c r="B8" i="119"/>
  <c r="P9" i="119" s="1"/>
  <c r="B9" i="70"/>
  <c r="B42" i="73"/>
  <c r="B44" i="73"/>
  <c r="B9" i="73"/>
  <c r="B9" i="250"/>
  <c r="B9" i="119"/>
  <c r="H8" i="119"/>
  <c r="F8" i="119"/>
  <c r="D8" i="119"/>
  <c r="B9" i="81"/>
  <c r="B9" i="82"/>
  <c r="I6" i="165"/>
  <c r="B44" i="274"/>
  <c r="B44" i="277"/>
  <c r="B46" i="278"/>
  <c r="B42" i="273"/>
  <c r="B44" i="283"/>
  <c r="B46" i="284"/>
  <c r="B42" i="279"/>
  <c r="B44" i="280"/>
  <c r="B9" i="282"/>
  <c r="B9" i="274"/>
  <c r="L8" i="218"/>
  <c r="B9" i="264"/>
  <c r="B9" i="263"/>
  <c r="B9" i="281"/>
  <c r="B9" i="273"/>
  <c r="B9" i="216"/>
  <c r="B9" i="165"/>
  <c r="B9" i="280"/>
  <c r="B9" i="214"/>
  <c r="B9" i="279"/>
  <c r="B9" i="212"/>
  <c r="B9" i="268"/>
  <c r="B9" i="278"/>
  <c r="B9" i="267"/>
  <c r="B9" i="277"/>
  <c r="B9" i="266"/>
  <c r="B9" i="284"/>
  <c r="B9" i="276"/>
  <c r="B9" i="265"/>
  <c r="B9" i="283"/>
  <c r="I4" i="280"/>
  <c r="H3" i="282"/>
  <c r="F41" i="282"/>
  <c r="M3" i="280"/>
  <c r="J3" i="282"/>
  <c r="H5" i="282"/>
  <c r="F8" i="280"/>
  <c r="B43" i="280"/>
  <c r="I4" i="283"/>
  <c r="B8" i="283"/>
  <c r="P9" i="283" s="1"/>
  <c r="Q3" i="280"/>
  <c r="M3" i="284"/>
  <c r="H3" i="279"/>
  <c r="B41" i="279"/>
  <c r="J8" i="280"/>
  <c r="O3" i="282"/>
  <c r="B42" i="282"/>
  <c r="F8" i="283"/>
  <c r="Q3" i="284"/>
  <c r="M3" i="279"/>
  <c r="B43" i="279"/>
  <c r="I4" i="282"/>
  <c r="B44" i="282"/>
  <c r="H8" i="283"/>
  <c r="I4" i="284"/>
  <c r="O3" i="279"/>
  <c r="B44" i="279"/>
  <c r="F8" i="284"/>
  <c r="I4" i="279"/>
  <c r="B8" i="282"/>
  <c r="P9" i="282" s="1"/>
  <c r="H3" i="283"/>
  <c r="F43" i="283"/>
  <c r="J8" i="284"/>
  <c r="B8" i="279"/>
  <c r="P9" i="279" s="1"/>
  <c r="D8" i="282"/>
  <c r="M3" i="283"/>
  <c r="B45" i="283"/>
  <c r="F8" i="279"/>
  <c r="H8" i="282"/>
  <c r="O3" i="283"/>
  <c r="B46" i="283"/>
  <c r="B45" i="284"/>
  <c r="H8" i="279"/>
  <c r="I6" i="281"/>
  <c r="B40" i="281"/>
  <c r="Q3" i="279"/>
  <c r="J8" i="279"/>
  <c r="H5" i="280"/>
  <c r="H3" i="281"/>
  <c r="B8" i="281"/>
  <c r="P9" i="281" s="1"/>
  <c r="B41" i="281"/>
  <c r="M3" i="282"/>
  <c r="F8" i="282"/>
  <c r="B43" i="282"/>
  <c r="Q3" i="283"/>
  <c r="J8" i="283"/>
  <c r="H5" i="284"/>
  <c r="I6" i="280"/>
  <c r="B40" i="280"/>
  <c r="J3" i="281"/>
  <c r="D8" i="281"/>
  <c r="B42" i="281"/>
  <c r="I6" i="284"/>
  <c r="B42" i="284"/>
  <c r="H5" i="279"/>
  <c r="H3" i="280"/>
  <c r="B8" i="280"/>
  <c r="P9" i="280" s="1"/>
  <c r="B41" i="280"/>
  <c r="M3" i="281"/>
  <c r="F8" i="281"/>
  <c r="B43" i="281"/>
  <c r="Q3" i="282"/>
  <c r="J8" i="282"/>
  <c r="H5" i="283"/>
  <c r="H3" i="284"/>
  <c r="B8" i="284"/>
  <c r="P9" i="284" s="1"/>
  <c r="F43" i="284"/>
  <c r="I6" i="279"/>
  <c r="B40" i="279"/>
  <c r="J3" i="280"/>
  <c r="D8" i="280"/>
  <c r="B42" i="280"/>
  <c r="O3" i="281"/>
  <c r="H8" i="281"/>
  <c r="B44" i="281"/>
  <c r="I6" i="283"/>
  <c r="B42" i="283"/>
  <c r="J3" i="284"/>
  <c r="D8" i="284"/>
  <c r="B44" i="284"/>
  <c r="Q3" i="281"/>
  <c r="J8" i="281"/>
  <c r="J3" i="279"/>
  <c r="D8" i="279"/>
  <c r="O3" i="280"/>
  <c r="H8" i="280"/>
  <c r="I4" i="281"/>
  <c r="I6" i="282"/>
  <c r="J3" i="283"/>
  <c r="D8" i="283"/>
  <c r="O3" i="284"/>
  <c r="H8" i="284"/>
  <c r="L8" i="212"/>
  <c r="J8" i="274"/>
  <c r="H3" i="276"/>
  <c r="H5" i="276"/>
  <c r="H3" i="273"/>
  <c r="B41" i="273"/>
  <c r="F41" i="276"/>
  <c r="I4" i="277"/>
  <c r="B8" i="277"/>
  <c r="P9" i="277" s="1"/>
  <c r="J3" i="276"/>
  <c r="M3" i="278"/>
  <c r="M3" i="273"/>
  <c r="B43" i="273"/>
  <c r="O3" i="276"/>
  <c r="B42" i="276"/>
  <c r="F8" i="277"/>
  <c r="Q3" i="278"/>
  <c r="P3" i="273"/>
  <c r="B44" i="273"/>
  <c r="B43" i="274"/>
  <c r="I4" i="276"/>
  <c r="B44" i="276"/>
  <c r="H8" i="277"/>
  <c r="I4" i="278"/>
  <c r="I4" i="273"/>
  <c r="F8" i="278"/>
  <c r="B8" i="273"/>
  <c r="P9" i="273" s="1"/>
  <c r="M3" i="274"/>
  <c r="B8" i="276"/>
  <c r="P9" i="276" s="1"/>
  <c r="H3" i="277"/>
  <c r="F43" i="277"/>
  <c r="J8" i="278"/>
  <c r="F8" i="273"/>
  <c r="Q3" i="274"/>
  <c r="H5" i="275"/>
  <c r="D8" i="276"/>
  <c r="M3" i="277"/>
  <c r="B45" i="277"/>
  <c r="H8" i="273"/>
  <c r="I4" i="274"/>
  <c r="H8" i="276"/>
  <c r="O3" i="277"/>
  <c r="B46" i="277"/>
  <c r="B45" i="278"/>
  <c r="F8" i="274"/>
  <c r="S3" i="273"/>
  <c r="J8" i="273"/>
  <c r="H5" i="274"/>
  <c r="H3" i="275"/>
  <c r="B8" i="275"/>
  <c r="P9" i="275" s="1"/>
  <c r="B41" i="275"/>
  <c r="M3" i="276"/>
  <c r="F8" i="276"/>
  <c r="B43" i="276"/>
  <c r="Q3" i="277"/>
  <c r="J8" i="277"/>
  <c r="H5" i="278"/>
  <c r="I6" i="275"/>
  <c r="B40" i="275"/>
  <c r="I6" i="274"/>
  <c r="B40" i="274"/>
  <c r="J3" i="275"/>
  <c r="D8" i="275"/>
  <c r="B42" i="275"/>
  <c r="I6" i="278"/>
  <c r="B42" i="278"/>
  <c r="I5" i="273"/>
  <c r="H3" i="274"/>
  <c r="B8" i="274"/>
  <c r="P9" i="274" s="1"/>
  <c r="B41" i="274"/>
  <c r="M3" i="275"/>
  <c r="F8" i="275"/>
  <c r="B43" i="275"/>
  <c r="Q3" i="276"/>
  <c r="J8" i="276"/>
  <c r="H5" i="277"/>
  <c r="H3" i="278"/>
  <c r="B8" i="278"/>
  <c r="P9" i="278" s="1"/>
  <c r="F43" i="278"/>
  <c r="I6" i="273"/>
  <c r="B40" i="273"/>
  <c r="J3" i="274"/>
  <c r="D8" i="274"/>
  <c r="B42" i="274"/>
  <c r="O3" i="275"/>
  <c r="H8" i="275"/>
  <c r="B44" i="275"/>
  <c r="I6" i="277"/>
  <c r="B42" i="277"/>
  <c r="J3" i="278"/>
  <c r="D8" i="278"/>
  <c r="B44" i="278"/>
  <c r="Q3" i="275"/>
  <c r="J8" i="275"/>
  <c r="J3" i="273"/>
  <c r="D8" i="273"/>
  <c r="O3" i="274"/>
  <c r="H8" i="274"/>
  <c r="I4" i="275"/>
  <c r="I6" i="276"/>
  <c r="J3" i="277"/>
  <c r="D8" i="277"/>
  <c r="O3" i="278"/>
  <c r="H8" i="278"/>
  <c r="B42" i="263"/>
  <c r="J3" i="263"/>
  <c r="D8" i="263"/>
  <c r="O3" i="267"/>
  <c r="H8" i="263"/>
  <c r="B44" i="263"/>
  <c r="I4" i="267"/>
  <c r="H8" i="267"/>
  <c r="Q3" i="263"/>
  <c r="I4" i="264"/>
  <c r="I4" i="263"/>
  <c r="B46" i="267"/>
  <c r="I4" i="268"/>
  <c r="B40" i="265"/>
  <c r="J3" i="266"/>
  <c r="D8" i="266"/>
  <c r="B42" i="266"/>
  <c r="T3" i="263"/>
  <c r="J8" i="263"/>
  <c r="I5" i="264"/>
  <c r="H3" i="265"/>
  <c r="B8" i="265"/>
  <c r="P9" i="265" s="1"/>
  <c r="B41" i="265"/>
  <c r="M3" i="266"/>
  <c r="F8" i="266"/>
  <c r="B43" i="266"/>
  <c r="Q3" i="267"/>
  <c r="J8" i="267"/>
  <c r="H5" i="268"/>
  <c r="J3" i="265"/>
  <c r="I6" i="268"/>
  <c r="B42" i="268"/>
  <c r="I6" i="264"/>
  <c r="B44" i="266"/>
  <c r="I5" i="263"/>
  <c r="H3" i="264"/>
  <c r="B8" i="264"/>
  <c r="R9" i="264" s="1"/>
  <c r="B41" i="264"/>
  <c r="M3" i="265"/>
  <c r="F8" i="265"/>
  <c r="B43" i="265"/>
  <c r="Q3" i="266"/>
  <c r="J8" i="266"/>
  <c r="H5" i="267"/>
  <c r="H3" i="268"/>
  <c r="B8" i="268"/>
  <c r="P9" i="268" s="1"/>
  <c r="F43" i="268"/>
  <c r="B40" i="264"/>
  <c r="D8" i="265"/>
  <c r="B42" i="265"/>
  <c r="H8" i="266"/>
  <c r="I6" i="263"/>
  <c r="B40" i="263"/>
  <c r="J3" i="264"/>
  <c r="D8" i="264"/>
  <c r="B42" i="264"/>
  <c r="O3" i="265"/>
  <c r="H8" i="265"/>
  <c r="B44" i="265"/>
  <c r="I4" i="266"/>
  <c r="I6" i="267"/>
  <c r="B42" i="267"/>
  <c r="J3" i="268"/>
  <c r="D8" i="268"/>
  <c r="B44" i="268"/>
  <c r="I6" i="265"/>
  <c r="O3" i="266"/>
  <c r="H3" i="263"/>
  <c r="B8" i="263"/>
  <c r="R9" i="263" s="1"/>
  <c r="B41" i="263"/>
  <c r="N3" i="264"/>
  <c r="F8" i="264"/>
  <c r="B43" i="264"/>
  <c r="Q3" i="265"/>
  <c r="J8" i="265"/>
  <c r="H5" i="266"/>
  <c r="H3" i="267"/>
  <c r="B8" i="267"/>
  <c r="P9" i="267" s="1"/>
  <c r="F43" i="267"/>
  <c r="M3" i="268"/>
  <c r="F8" i="268"/>
  <c r="B45" i="268"/>
  <c r="I6" i="266"/>
  <c r="B40" i="266"/>
  <c r="J3" i="267"/>
  <c r="D8" i="267"/>
  <c r="B44" i="267"/>
  <c r="O3" i="268"/>
  <c r="H8" i="268"/>
  <c r="B46" i="268"/>
  <c r="Q3" i="264"/>
  <c r="H8" i="264"/>
  <c r="B44" i="264"/>
  <c r="I4" i="265"/>
  <c r="N3" i="263"/>
  <c r="F8" i="263"/>
  <c r="T3" i="264"/>
  <c r="J8" i="264"/>
  <c r="H3" i="266"/>
  <c r="B8" i="266"/>
  <c r="P9" i="266" s="1"/>
  <c r="M3" i="267"/>
  <c r="F8" i="267"/>
  <c r="Q3" i="268"/>
  <c r="J8" i="268"/>
  <c r="D8" i="212"/>
  <c r="F41" i="84"/>
  <c r="B42" i="65"/>
  <c r="F43" i="131"/>
  <c r="B42" i="130"/>
  <c r="B42" i="129"/>
  <c r="F41" i="256"/>
  <c r="T3" i="81"/>
  <c r="B40" i="68"/>
  <c r="B42" i="252"/>
  <c r="F8" i="173"/>
  <c r="B42" i="105"/>
  <c r="B42" i="216"/>
  <c r="B42" i="82"/>
  <c r="B42" i="214"/>
  <c r="B42" i="128"/>
  <c r="B42" i="254"/>
  <c r="B44" i="18"/>
  <c r="H5" i="67"/>
  <c r="B42" i="250"/>
  <c r="F43" i="220"/>
  <c r="B42" i="83"/>
  <c r="B46" i="119"/>
  <c r="B42" i="72"/>
  <c r="B44" i="69"/>
  <c r="H8" i="85"/>
  <c r="H5" i="66"/>
  <c r="H3" i="222"/>
  <c r="O3" i="258"/>
  <c r="B46" i="259"/>
  <c r="H8" i="222"/>
  <c r="J8" i="66"/>
  <c r="B8" i="258"/>
  <c r="P9" i="258" s="1"/>
  <c r="I4" i="66"/>
  <c r="H8" i="66"/>
  <c r="B41" i="66"/>
  <c r="D8" i="222"/>
  <c r="I6" i="258"/>
  <c r="I4" i="259"/>
  <c r="I4" i="258"/>
  <c r="J3" i="258"/>
  <c r="B44" i="66"/>
  <c r="B40" i="66"/>
  <c r="B44" i="258"/>
  <c r="B42" i="258"/>
  <c r="M3" i="258"/>
  <c r="I4" i="85"/>
  <c r="H5" i="85"/>
  <c r="B8" i="66"/>
  <c r="P9" i="66" s="1"/>
  <c r="J3" i="66"/>
  <c r="I6" i="66"/>
  <c r="O3" i="66"/>
  <c r="O3" i="85"/>
  <c r="H5" i="258"/>
  <c r="Q3" i="258"/>
  <c r="F8" i="258"/>
  <c r="M3" i="85"/>
  <c r="B42" i="66"/>
  <c r="D8" i="258"/>
  <c r="H3" i="66"/>
  <c r="Q3" i="66"/>
  <c r="M3" i="66"/>
  <c r="F43" i="258"/>
  <c r="H3" i="258"/>
  <c r="H8" i="258"/>
  <c r="D8" i="66"/>
  <c r="F8" i="66"/>
  <c r="B8" i="85"/>
  <c r="P9" i="85" s="1"/>
  <c r="B45" i="258"/>
  <c r="J8" i="258"/>
  <c r="B46" i="258"/>
  <c r="B43" i="66"/>
  <c r="B42" i="71"/>
  <c r="O3" i="83"/>
  <c r="H3" i="165"/>
  <c r="H8" i="68"/>
  <c r="S3" i="165"/>
  <c r="F8" i="165"/>
  <c r="D8" i="68"/>
  <c r="J8" i="81"/>
  <c r="M3" i="165"/>
  <c r="B42" i="68"/>
  <c r="I5" i="165"/>
  <c r="H5" i="68"/>
  <c r="D8" i="165"/>
  <c r="B8" i="81"/>
  <c r="R9" i="81" s="1"/>
  <c r="F8" i="68"/>
  <c r="Q3" i="252"/>
  <c r="J3" i="165"/>
  <c r="I4" i="165"/>
  <c r="J8" i="250"/>
  <c r="H3" i="250"/>
  <c r="O3" i="250"/>
  <c r="I4" i="250"/>
  <c r="Q3" i="18"/>
  <c r="D8" i="250"/>
  <c r="I4" i="67"/>
  <c r="B42" i="18"/>
  <c r="B8" i="254"/>
  <c r="P9" i="254" s="1"/>
  <c r="Q3" i="254"/>
  <c r="I4" i="254"/>
  <c r="B40" i="254"/>
  <c r="H3" i="254"/>
  <c r="D8" i="70"/>
  <c r="J8" i="254"/>
  <c r="I6" i="254"/>
  <c r="I4" i="212"/>
  <c r="Q3" i="69"/>
  <c r="O3" i="254"/>
  <c r="D8" i="254"/>
  <c r="B41" i="254"/>
  <c r="M3" i="254"/>
  <c r="F8" i="212"/>
  <c r="B43" i="254"/>
  <c r="B8" i="70"/>
  <c r="P9" i="70" s="1"/>
  <c r="J3" i="254"/>
  <c r="H5" i="254"/>
  <c r="B44" i="254"/>
  <c r="B41" i="70"/>
  <c r="F8" i="254"/>
  <c r="H8" i="254"/>
  <c r="H5" i="18"/>
  <c r="D8" i="18"/>
  <c r="I6" i="250"/>
  <c r="M3" i="18"/>
  <c r="B8" i="18"/>
  <c r="P9" i="18" s="1"/>
  <c r="B45" i="18"/>
  <c r="B43" i="250"/>
  <c r="F8" i="250"/>
  <c r="M3" i="250"/>
  <c r="J3" i="250"/>
  <c r="J3" i="18"/>
  <c r="J8" i="18"/>
  <c r="O3" i="18"/>
  <c r="J8" i="67"/>
  <c r="I6" i="256"/>
  <c r="R3" i="250"/>
  <c r="I6" i="18"/>
  <c r="F8" i="71"/>
  <c r="I5" i="250"/>
  <c r="B46" i="18"/>
  <c r="H8" i="18"/>
  <c r="M3" i="67"/>
  <c r="J8" i="256"/>
  <c r="H3" i="18"/>
  <c r="H8" i="250"/>
  <c r="B40" i="250"/>
  <c r="B44" i="250"/>
  <c r="B8" i="250"/>
  <c r="P9" i="250" s="1"/>
  <c r="I4" i="18"/>
  <c r="F8" i="18"/>
  <c r="B43" i="256"/>
  <c r="B41" i="250"/>
  <c r="B45" i="165"/>
  <c r="B45" i="131"/>
  <c r="B47" i="165"/>
  <c r="M3" i="262"/>
  <c r="I4" i="262"/>
  <c r="H8" i="256"/>
  <c r="H8" i="71"/>
  <c r="B43" i="73"/>
  <c r="O3" i="262"/>
  <c r="I6" i="131"/>
  <c r="H8" i="259"/>
  <c r="F43" i="259"/>
  <c r="F8" i="262"/>
  <c r="B44" i="259"/>
  <c r="B8" i="259"/>
  <c r="P9" i="259" s="1"/>
  <c r="D8" i="218"/>
  <c r="D8" i="71"/>
  <c r="I4" i="83"/>
  <c r="J8" i="259"/>
  <c r="H5" i="259"/>
  <c r="B40" i="256"/>
  <c r="B45" i="262"/>
  <c r="B46" i="262"/>
  <c r="I4" i="256"/>
  <c r="F8" i="256"/>
  <c r="B8" i="71"/>
  <c r="P9" i="71" s="1"/>
  <c r="J8" i="71"/>
  <c r="F43" i="18"/>
  <c r="H5" i="262"/>
  <c r="J3" i="256"/>
  <c r="B40" i="70"/>
  <c r="I6" i="262"/>
  <c r="B42" i="262"/>
  <c r="D8" i="256"/>
  <c r="H5" i="256"/>
  <c r="B40" i="71"/>
  <c r="H3" i="262"/>
  <c r="B8" i="262"/>
  <c r="P9" i="262" s="1"/>
  <c r="F43" i="262"/>
  <c r="Q3" i="256"/>
  <c r="M3" i="256"/>
  <c r="B8" i="256"/>
  <c r="P9" i="256" s="1"/>
  <c r="J3" i="262"/>
  <c r="D8" i="262"/>
  <c r="B44" i="262"/>
  <c r="O3" i="256"/>
  <c r="H3" i="256"/>
  <c r="B44" i="256"/>
  <c r="B41" i="71"/>
  <c r="Q3" i="262"/>
  <c r="F8" i="259"/>
  <c r="I4" i="218"/>
  <c r="M3" i="83"/>
  <c r="B8" i="83"/>
  <c r="P9" i="83" s="1"/>
  <c r="H5" i="83"/>
  <c r="F41" i="218"/>
  <c r="F8" i="131"/>
  <c r="I6" i="259"/>
  <c r="M3" i="131"/>
  <c r="B8" i="131"/>
  <c r="P9" i="131" s="1"/>
  <c r="J8" i="83"/>
  <c r="O3" i="119"/>
  <c r="J8" i="218"/>
  <c r="B40" i="218"/>
  <c r="B40" i="83"/>
  <c r="B42" i="218"/>
  <c r="F8" i="218"/>
  <c r="H8" i="131"/>
  <c r="F8" i="83"/>
  <c r="H3" i="83"/>
  <c r="I6" i="218"/>
  <c r="D8" i="259"/>
  <c r="M3" i="259"/>
  <c r="D8" i="131"/>
  <c r="B43" i="218"/>
  <c r="B42" i="259"/>
  <c r="B41" i="83"/>
  <c r="J3" i="73"/>
  <c r="D8" i="83"/>
  <c r="O3" i="131"/>
  <c r="I6" i="83"/>
  <c r="H8" i="218"/>
  <c r="J3" i="218"/>
  <c r="H3" i="259"/>
  <c r="J3" i="83"/>
  <c r="H3" i="131"/>
  <c r="Q3" i="83"/>
  <c r="J8" i="131"/>
  <c r="Q3" i="218"/>
  <c r="I4" i="131"/>
  <c r="M3" i="218"/>
  <c r="B44" i="218"/>
  <c r="B45" i="259"/>
  <c r="Q3" i="259"/>
  <c r="J3" i="259"/>
  <c r="O3" i="259"/>
  <c r="H8" i="83"/>
  <c r="J3" i="131"/>
  <c r="H5" i="131"/>
  <c r="Q3" i="131"/>
  <c r="H5" i="218"/>
  <c r="O3" i="218"/>
  <c r="B8" i="218"/>
  <c r="P9" i="218" s="1"/>
  <c r="H3" i="218"/>
  <c r="B42" i="131"/>
  <c r="B44" i="165"/>
  <c r="B8" i="220"/>
  <c r="P9" i="220" s="1"/>
  <c r="J8" i="173"/>
  <c r="J3" i="65"/>
  <c r="D8" i="132"/>
  <c r="J8" i="84"/>
  <c r="M3" i="132"/>
  <c r="I6" i="220"/>
  <c r="M3" i="65"/>
  <c r="I4" i="220"/>
  <c r="O3" i="220"/>
  <c r="B45" i="173"/>
  <c r="B40" i="65"/>
  <c r="B42" i="84"/>
  <c r="B8" i="84"/>
  <c r="P9" i="84" s="1"/>
  <c r="I4" i="84"/>
  <c r="H8" i="84"/>
  <c r="S3" i="65"/>
  <c r="I5" i="65"/>
  <c r="H8" i="65"/>
  <c r="I6" i="84"/>
  <c r="O3" i="84"/>
  <c r="J8" i="65"/>
  <c r="J3" i="220"/>
  <c r="D8" i="220"/>
  <c r="Q3" i="220"/>
  <c r="B42" i="220"/>
  <c r="D8" i="84"/>
  <c r="J8" i="132"/>
  <c r="H3" i="220"/>
  <c r="H8" i="220"/>
  <c r="J8" i="220"/>
  <c r="F8" i="65"/>
  <c r="B45" i="220"/>
  <c r="O3" i="132"/>
  <c r="Q3" i="84"/>
  <c r="B8" i="65"/>
  <c r="P9" i="65" s="1"/>
  <c r="I4" i="65"/>
  <c r="F8" i="220"/>
  <c r="I6" i="65"/>
  <c r="B46" i="220"/>
  <c r="H5" i="84"/>
  <c r="F8" i="84"/>
  <c r="M3" i="84"/>
  <c r="J3" i="84"/>
  <c r="H3" i="84"/>
  <c r="H8" i="132"/>
  <c r="H5" i="220"/>
  <c r="J3" i="173"/>
  <c r="P3" i="65"/>
  <c r="M3" i="220"/>
  <c r="H3" i="65"/>
  <c r="D8" i="65"/>
  <c r="J3" i="105"/>
  <c r="H5" i="119"/>
  <c r="B8" i="130"/>
  <c r="P9" i="130" s="1"/>
  <c r="B8" i="105"/>
  <c r="P9" i="105" s="1"/>
  <c r="B47" i="119"/>
  <c r="H8" i="130"/>
  <c r="D8" i="130"/>
  <c r="B44" i="71"/>
  <c r="H5" i="130"/>
  <c r="Q3" i="119"/>
  <c r="B43" i="71"/>
  <c r="B42" i="256"/>
  <c r="H3" i="119"/>
  <c r="J3" i="119"/>
  <c r="B44" i="119"/>
  <c r="B48" i="119"/>
  <c r="I6" i="119"/>
  <c r="M3" i="119"/>
  <c r="I4" i="119"/>
  <c r="B45" i="119"/>
  <c r="B41" i="65"/>
  <c r="B40" i="84"/>
  <c r="B43" i="65"/>
  <c r="B46" i="165"/>
  <c r="B43" i="84"/>
  <c r="B44" i="65"/>
  <c r="B44" i="84"/>
  <c r="B44" i="173"/>
  <c r="B44" i="220"/>
  <c r="R3" i="70"/>
  <c r="H8" i="82"/>
  <c r="H3" i="13"/>
  <c r="U3" i="70"/>
  <c r="Q3" i="128"/>
  <c r="I4" i="82"/>
  <c r="B40" i="82"/>
  <c r="B46" i="131"/>
  <c r="B44" i="83"/>
  <c r="B42" i="70"/>
  <c r="B43" i="70"/>
  <c r="J8" i="70"/>
  <c r="H3" i="129"/>
  <c r="J8" i="82"/>
  <c r="Q3" i="13"/>
  <c r="J3" i="82"/>
  <c r="B45" i="13"/>
  <c r="B44" i="70"/>
  <c r="B43" i="82"/>
  <c r="H3" i="82"/>
  <c r="I6" i="82"/>
  <c r="I6" i="13"/>
  <c r="F8" i="70"/>
  <c r="B8" i="82"/>
  <c r="P9" i="82" s="1"/>
  <c r="H5" i="82"/>
  <c r="Q3" i="82"/>
  <c r="H3" i="70"/>
  <c r="B46" i="13"/>
  <c r="B44" i="82"/>
  <c r="B44" i="13"/>
  <c r="P9" i="13"/>
  <c r="B42" i="13"/>
  <c r="B41" i="82"/>
  <c r="J8" i="128"/>
  <c r="M3" i="82"/>
  <c r="D8" i="82"/>
  <c r="O3" i="82"/>
  <c r="O3" i="13"/>
  <c r="M3" i="13"/>
  <c r="F8" i="82"/>
  <c r="H5" i="13"/>
  <c r="J3" i="70"/>
  <c r="I4" i="13"/>
  <c r="J3" i="13"/>
  <c r="D8" i="128"/>
  <c r="H3" i="128"/>
  <c r="M3" i="72"/>
  <c r="B8" i="128"/>
  <c r="R9" i="128" s="1"/>
  <c r="B8" i="216"/>
  <c r="P9" i="216" s="1"/>
  <c r="H3" i="216"/>
  <c r="F8" i="216"/>
  <c r="B40" i="128"/>
  <c r="B44" i="128"/>
  <c r="B43" i="72"/>
  <c r="N3" i="128"/>
  <c r="H5" i="69"/>
  <c r="O3" i="69"/>
  <c r="M3" i="69"/>
  <c r="Q3" i="216"/>
  <c r="O3" i="216"/>
  <c r="B45" i="69"/>
  <c r="B41" i="128"/>
  <c r="B41" i="216"/>
  <c r="J8" i="69"/>
  <c r="H8" i="216"/>
  <c r="B42" i="69"/>
  <c r="B43" i="128"/>
  <c r="B43" i="216"/>
  <c r="B44" i="131"/>
  <c r="D8" i="69"/>
  <c r="I4" i="128"/>
  <c r="H8" i="128"/>
  <c r="F8" i="128"/>
  <c r="J8" i="72"/>
  <c r="H3" i="69"/>
  <c r="H8" i="69"/>
  <c r="B46" i="69"/>
  <c r="B44" i="216"/>
  <c r="I5" i="128"/>
  <c r="J3" i="69"/>
  <c r="I4" i="216"/>
  <c r="M3" i="216"/>
  <c r="T3" i="128"/>
  <c r="I6" i="128"/>
  <c r="B8" i="69"/>
  <c r="P9" i="69" s="1"/>
  <c r="I6" i="69"/>
  <c r="F8" i="69"/>
  <c r="J3" i="216"/>
  <c r="I6" i="216"/>
  <c r="D8" i="216"/>
  <c r="B40" i="216"/>
  <c r="F43" i="69"/>
  <c r="J3" i="128"/>
  <c r="I4" i="69"/>
  <c r="H5" i="216"/>
  <c r="J8" i="216"/>
  <c r="H5" i="72"/>
  <c r="Q3" i="72"/>
  <c r="B8" i="72"/>
  <c r="P9" i="72" s="1"/>
  <c r="D8" i="72"/>
  <c r="I6" i="129"/>
  <c r="H5" i="105"/>
  <c r="Q3" i="129"/>
  <c r="F8" i="105"/>
  <c r="D8" i="105"/>
  <c r="H5" i="252"/>
  <c r="D8" i="252"/>
  <c r="I6" i="72"/>
  <c r="B40" i="105"/>
  <c r="B44" i="72"/>
  <c r="H3" i="72"/>
  <c r="F8" i="72"/>
  <c r="D8" i="129"/>
  <c r="J3" i="252"/>
  <c r="H8" i="252"/>
  <c r="O3" i="252"/>
  <c r="M3" i="252"/>
  <c r="I6" i="252"/>
  <c r="B40" i="72"/>
  <c r="B41" i="105"/>
  <c r="B8" i="129"/>
  <c r="P9" i="129" s="1"/>
  <c r="O3" i="105"/>
  <c r="J3" i="72"/>
  <c r="H3" i="252"/>
  <c r="B40" i="252"/>
  <c r="B40" i="129"/>
  <c r="B43" i="252"/>
  <c r="B41" i="129"/>
  <c r="B43" i="105"/>
  <c r="M3" i="214"/>
  <c r="F8" i="129"/>
  <c r="O3" i="214"/>
  <c r="H8" i="129"/>
  <c r="Q3" i="105"/>
  <c r="I4" i="129"/>
  <c r="F8" i="252"/>
  <c r="B41" i="252"/>
  <c r="B43" i="129"/>
  <c r="B44" i="105"/>
  <c r="O3" i="72"/>
  <c r="I4" i="72"/>
  <c r="H5" i="129"/>
  <c r="M3" i="129"/>
  <c r="O3" i="129"/>
  <c r="J3" i="129"/>
  <c r="J8" i="105"/>
  <c r="I4" i="252"/>
  <c r="B44" i="252"/>
  <c r="B44" i="129"/>
  <c r="B8" i="214"/>
  <c r="P9" i="214" s="1"/>
  <c r="H3" i="105"/>
  <c r="I4" i="105"/>
  <c r="M3" i="105"/>
  <c r="H8" i="72"/>
  <c r="J8" i="129"/>
  <c r="H8" i="105"/>
  <c r="I6" i="105"/>
  <c r="J8" i="252"/>
  <c r="B8" i="252"/>
  <c r="P9" i="252" s="1"/>
  <c r="B41" i="72"/>
  <c r="B44" i="212"/>
  <c r="H3" i="212"/>
  <c r="B43" i="212"/>
  <c r="I6" i="212"/>
  <c r="B41" i="212"/>
  <c r="B40" i="212"/>
  <c r="J3" i="212"/>
  <c r="B8" i="212"/>
  <c r="P9" i="212" s="1"/>
  <c r="I5" i="212"/>
  <c r="B42" i="212"/>
  <c r="H8" i="212"/>
  <c r="B42" i="81"/>
  <c r="F8" i="81"/>
  <c r="I5" i="81"/>
  <c r="B44" i="81"/>
  <c r="N3" i="81"/>
  <c r="I6" i="81"/>
  <c r="B43" i="81"/>
  <c r="B40" i="81"/>
  <c r="I4" i="81"/>
  <c r="B41" i="81"/>
  <c r="Q3" i="81"/>
  <c r="H8" i="81"/>
  <c r="H3" i="81"/>
  <c r="J3" i="81"/>
  <c r="D8" i="81"/>
  <c r="B46" i="222"/>
  <c r="I6" i="222"/>
  <c r="F8" i="222"/>
  <c r="B44" i="222"/>
  <c r="B45" i="222"/>
  <c r="J3" i="222"/>
  <c r="Q3" i="222"/>
  <c r="B42" i="222"/>
  <c r="O3" i="222"/>
  <c r="B8" i="222"/>
  <c r="P9" i="222" s="1"/>
  <c r="M3" i="222"/>
  <c r="J8" i="222"/>
  <c r="I4" i="222"/>
  <c r="H5" i="222"/>
  <c r="B42" i="132"/>
  <c r="H5" i="132"/>
  <c r="H3" i="132"/>
  <c r="B46" i="132"/>
  <c r="I4" i="132"/>
  <c r="I6" i="132"/>
  <c r="J3" i="132"/>
  <c r="B45" i="132"/>
  <c r="Q3" i="132"/>
  <c r="B44" i="132"/>
  <c r="F8" i="132"/>
  <c r="B8" i="132"/>
  <c r="P9" i="132" s="1"/>
  <c r="B45" i="85"/>
  <c r="B42" i="85"/>
  <c r="H3" i="85"/>
  <c r="F8" i="85"/>
  <c r="J8" i="85"/>
  <c r="B44" i="85"/>
  <c r="B46" i="85"/>
  <c r="I6" i="85"/>
  <c r="F43" i="85"/>
  <c r="D8" i="85"/>
  <c r="Q3" i="85"/>
  <c r="J3" i="85"/>
  <c r="J3" i="130"/>
  <c r="I4" i="130"/>
  <c r="B40" i="130"/>
  <c r="F8" i="130"/>
  <c r="Q3" i="130"/>
  <c r="O3" i="130"/>
  <c r="I6" i="130"/>
  <c r="B44" i="130"/>
  <c r="H3" i="130"/>
  <c r="B43" i="130"/>
  <c r="M3" i="130"/>
  <c r="J8" i="130"/>
  <c r="F41" i="130"/>
  <c r="F41" i="68"/>
  <c r="B8" i="68"/>
  <c r="P9" i="68" s="1"/>
  <c r="M3" i="68"/>
  <c r="J3" i="68"/>
  <c r="I6" i="68"/>
  <c r="H3" i="68"/>
  <c r="O3" i="68"/>
  <c r="B44" i="68"/>
  <c r="I4" i="68"/>
  <c r="B43" i="68"/>
  <c r="Q3" i="68"/>
  <c r="J8" i="68"/>
  <c r="B40" i="73"/>
  <c r="M3" i="73"/>
  <c r="D8" i="73"/>
  <c r="H5" i="73"/>
  <c r="Q3" i="73"/>
  <c r="H3" i="73"/>
  <c r="I6" i="73"/>
  <c r="O3" i="73"/>
  <c r="J8" i="73"/>
  <c r="B8" i="73"/>
  <c r="P9" i="73" s="1"/>
  <c r="F41" i="73"/>
  <c r="I4" i="73"/>
  <c r="H8" i="73"/>
  <c r="F8" i="73"/>
  <c r="H8" i="67"/>
  <c r="B44" i="67"/>
  <c r="Q3" i="67"/>
  <c r="H3" i="67"/>
  <c r="B43" i="67"/>
  <c r="B40" i="67"/>
  <c r="F8" i="67"/>
  <c r="B41" i="67"/>
  <c r="O3" i="67"/>
  <c r="I6" i="67"/>
  <c r="J3" i="67"/>
  <c r="B42" i="67"/>
  <c r="D8" i="67"/>
  <c r="B8" i="67"/>
  <c r="P9" i="67" s="1"/>
  <c r="J3" i="214"/>
  <c r="I4" i="173"/>
  <c r="B48" i="165"/>
  <c r="F43" i="173"/>
  <c r="B8" i="173"/>
  <c r="P9" i="173" s="1"/>
  <c r="H5" i="173"/>
  <c r="H5" i="214"/>
  <c r="I4" i="214"/>
  <c r="H8" i="214"/>
  <c r="M3" i="173"/>
  <c r="Q3" i="173"/>
  <c r="O3" i="173"/>
  <c r="B42" i="173"/>
  <c r="B43" i="214"/>
  <c r="B43" i="83"/>
  <c r="H3" i="214"/>
  <c r="D8" i="173"/>
  <c r="B46" i="173"/>
  <c r="B44" i="214"/>
  <c r="D8" i="214"/>
  <c r="I6" i="173"/>
  <c r="F8" i="214"/>
  <c r="Q3" i="214"/>
  <c r="J8" i="214"/>
  <c r="I6" i="214"/>
  <c r="H3" i="173"/>
  <c r="H8" i="173"/>
  <c r="B40" i="214"/>
  <c r="B41" i="214"/>
  <c r="AF30" i="137"/>
  <c r="AF32" i="137"/>
  <c r="AF44" i="137"/>
  <c r="AF29" i="137"/>
  <c r="AF28" i="137"/>
  <c r="AF42" i="137"/>
  <c r="AF33" i="137"/>
  <c r="AF43" i="137"/>
  <c r="AF45" i="137"/>
  <c r="AF41" i="137"/>
  <c r="AF31" i="137"/>
  <c r="AF40" i="13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<sst xmlns="http://schemas.openxmlformats.org/spreadsheetml/2006/main" count="7630" uniqueCount="528">
  <si>
    <t>1.15 - PIPING MATERIAL SPECIFICATION INDEX</t>
  </si>
  <si>
    <t>SL No.</t>
  </si>
  <si>
    <t>SPEC</t>
  </si>
  <si>
    <t>RATING</t>
  </si>
  <si>
    <t>ASME MATERIAL GROUP</t>
  </si>
  <si>
    <t>PIPE MATERIAL</t>
  </si>
  <si>
    <t>CORROSION ALLOWANCE</t>
  </si>
  <si>
    <t>SERVICE</t>
  </si>
  <si>
    <t>MaxPressure 
@ Min Temp
(barg)</t>
  </si>
  <si>
    <t>MaxPressure 
@ Max Temp
(barg)</t>
  </si>
  <si>
    <t>Sheet No.</t>
  </si>
  <si>
    <t>Link</t>
  </si>
  <si>
    <t>Branch Chart</t>
  </si>
  <si>
    <t>Mill Tol</t>
  </si>
  <si>
    <t>Design Code</t>
  </si>
  <si>
    <t>MIN
TEMP
(°C)</t>
  </si>
  <si>
    <t>HT</t>
  </si>
  <si>
    <t>Valve Material Code</t>
  </si>
  <si>
    <t>A1</t>
  </si>
  <si>
    <t>150#</t>
  </si>
  <si>
    <t>CS</t>
  </si>
  <si>
    <t>3 mm</t>
  </si>
  <si>
    <r>
      <t>Cooling Water, Diesel, Steam, WI, HC with low CO</t>
    </r>
    <r>
      <rPr>
        <vertAlign val="subscript"/>
        <sz val="11"/>
        <rFont val="Calibri"/>
        <family val="2"/>
        <scheme val="minor"/>
      </rPr>
      <t>2</t>
    </r>
    <r>
      <rPr>
        <sz val="11"/>
        <rFont val="Calibri"/>
        <family val="2"/>
        <scheme val="minor"/>
      </rPr>
      <t xml:space="preserve"> and H</t>
    </r>
    <r>
      <rPr>
        <vertAlign val="subscript"/>
        <sz val="11"/>
        <rFont val="Calibri"/>
        <family val="2"/>
        <scheme val="minor"/>
      </rPr>
      <t>2</t>
    </r>
    <r>
      <rPr>
        <sz val="11"/>
        <rFont val="Calibri"/>
        <family val="2"/>
        <scheme val="minor"/>
      </rPr>
      <t>S, Fresh Water, Hydraulic, Nitrogen, Exhaust, Fuel Oil, Tank Air Vent</t>
    </r>
  </si>
  <si>
    <t>19.6 @ -29°C</t>
  </si>
  <si>
    <t>13.8 @ 200°C</t>
  </si>
  <si>
    <t>Ref. APPENDIX-1, Chart 1</t>
  </si>
  <si>
    <t>ASME B 31.3</t>
  </si>
  <si>
    <t>B1</t>
  </si>
  <si>
    <t>300#</t>
  </si>
  <si>
    <r>
      <t>Cooling Water, Diesel, WI, HC with low CO</t>
    </r>
    <r>
      <rPr>
        <vertAlign val="subscript"/>
        <sz val="11"/>
        <rFont val="Calibri"/>
        <family val="2"/>
        <scheme val="minor"/>
      </rPr>
      <t>2</t>
    </r>
    <r>
      <rPr>
        <sz val="11"/>
        <rFont val="Calibri"/>
        <family val="2"/>
        <scheme val="minor"/>
      </rPr>
      <t xml:space="preserve"> and H</t>
    </r>
    <r>
      <rPr>
        <vertAlign val="subscript"/>
        <sz val="11"/>
        <rFont val="Calibri"/>
        <family val="2"/>
        <scheme val="minor"/>
      </rPr>
      <t>2</t>
    </r>
    <r>
      <rPr>
        <sz val="11"/>
        <rFont val="Calibri"/>
        <family val="2"/>
        <scheme val="minor"/>
      </rPr>
      <t>S, Steam, Hydraulic</t>
    </r>
  </si>
  <si>
    <t>51.1 @ -29°C</t>
  </si>
  <si>
    <t>43.8 @ 200°C</t>
  </si>
  <si>
    <t>D1</t>
  </si>
  <si>
    <t>600#</t>
  </si>
  <si>
    <t>102.1 @ -29°C</t>
  </si>
  <si>
    <t>87.6 @ 200°C</t>
  </si>
  <si>
    <t>E1</t>
  </si>
  <si>
    <t>900#</t>
  </si>
  <si>
    <r>
      <t>Diesel, WI, HC with low CO</t>
    </r>
    <r>
      <rPr>
        <vertAlign val="subscript"/>
        <sz val="11"/>
        <rFont val="Calibri"/>
        <family val="2"/>
        <scheme val="minor"/>
      </rPr>
      <t>2</t>
    </r>
    <r>
      <rPr>
        <sz val="11"/>
        <rFont val="Calibri"/>
        <family val="2"/>
        <scheme val="minor"/>
      </rPr>
      <t xml:space="preserve"> and H</t>
    </r>
    <r>
      <rPr>
        <vertAlign val="subscript"/>
        <sz val="11"/>
        <rFont val="Calibri"/>
        <family val="2"/>
        <scheme val="minor"/>
      </rPr>
      <t>2</t>
    </r>
    <r>
      <rPr>
        <sz val="11"/>
        <rFont val="Calibri"/>
        <family val="2"/>
        <scheme val="minor"/>
      </rPr>
      <t>S, Steam, Hydraulic</t>
    </r>
  </si>
  <si>
    <t>153.2 @ -29°C</t>
  </si>
  <si>
    <t>131.4 @ 200°C</t>
  </si>
  <si>
    <t>F1</t>
  </si>
  <si>
    <t>1500#</t>
  </si>
  <si>
    <t>255.3 @ -29°C</t>
  </si>
  <si>
    <t>219 @ 200°C</t>
  </si>
  <si>
    <t>G1</t>
  </si>
  <si>
    <t>2500#</t>
  </si>
  <si>
    <t>HC with low CO2 and H2S, Steam, Hydraulic</t>
  </si>
  <si>
    <t>399.8 @ -29°C</t>
  </si>
  <si>
    <t>342.9 @ 200°C</t>
  </si>
  <si>
    <t>A1N</t>
  </si>
  <si>
    <t>CS NACE</t>
  </si>
  <si>
    <t>Glycol, FG, HC service</t>
  </si>
  <si>
    <t>13.8 @ 250°C</t>
  </si>
  <si>
    <t>ASME B 31.3, NACE-MR-01-75/ISO-15156-1/2/3</t>
  </si>
  <si>
    <t>B1N</t>
  </si>
  <si>
    <t>43.8 @ 250°C</t>
  </si>
  <si>
    <t>D1N</t>
  </si>
  <si>
    <t>87.6 @ 250°C</t>
  </si>
  <si>
    <t>E1N</t>
  </si>
  <si>
    <t>131.4 @ 250°C</t>
  </si>
  <si>
    <t>F1N</t>
  </si>
  <si>
    <t>G1N</t>
  </si>
  <si>
    <t>A2</t>
  </si>
  <si>
    <t>6 mm</t>
  </si>
  <si>
    <t>Crude Oil</t>
  </si>
  <si>
    <t>A2N</t>
  </si>
  <si>
    <t>Corrosive HC service</t>
  </si>
  <si>
    <t>B2N</t>
  </si>
  <si>
    <t>D2N</t>
  </si>
  <si>
    <t>E2N</t>
  </si>
  <si>
    <t>F2N</t>
  </si>
  <si>
    <t>G2N</t>
  </si>
  <si>
    <t>A1LN</t>
  </si>
  <si>
    <t>LTCS NACE</t>
  </si>
  <si>
    <t>Flare, Corrosive HC service (Low Temp)</t>
  </si>
  <si>
    <t>19.6 @ -45°C</t>
  </si>
  <si>
    <t>B1LN</t>
  </si>
  <si>
    <t>51.1 @ -45°C</t>
  </si>
  <si>
    <t>D1LN</t>
  </si>
  <si>
    <t>Corrosive HC service (Low Temp)</t>
  </si>
  <si>
    <t>102.1 @ -45°C</t>
  </si>
  <si>
    <t>E1LN</t>
  </si>
  <si>
    <t>153.2 @ -45°C</t>
  </si>
  <si>
    <t>F1LN</t>
  </si>
  <si>
    <t>255.3 @ -45°C</t>
  </si>
  <si>
    <t>G1LN</t>
  </si>
  <si>
    <t>Gas Lift, Corrosive HC service (Low Temp)</t>
  </si>
  <si>
    <t>A2LN</t>
  </si>
  <si>
    <t>B2LN</t>
  </si>
  <si>
    <t>D2LN</t>
  </si>
  <si>
    <t>E2LN</t>
  </si>
  <si>
    <t>F2LN</t>
  </si>
  <si>
    <t>G2LN</t>
  </si>
  <si>
    <t>A3</t>
  </si>
  <si>
    <t>CS GALV (Valve: SS)</t>
  </si>
  <si>
    <t>Utility Water</t>
  </si>
  <si>
    <t>19 @ -29°C</t>
  </si>
  <si>
    <t xml:space="preserve"> 16.2 @ 100°C</t>
  </si>
  <si>
    <t>Ref. APPENDIX-1, Chart 2</t>
  </si>
  <si>
    <t>A10</t>
  </si>
  <si>
    <t>A4</t>
  </si>
  <si>
    <t>1.5 mm</t>
  </si>
  <si>
    <t>Bilge, drain, sewage, produced water, C02 Gas</t>
  </si>
  <si>
    <t>B4</t>
  </si>
  <si>
    <t>B10</t>
  </si>
  <si>
    <t>D4</t>
  </si>
  <si>
    <t>D10</t>
  </si>
  <si>
    <t>A5</t>
  </si>
  <si>
    <t>CS GALV</t>
  </si>
  <si>
    <t>Chemical (penetration), Firewater (penetration), Seawater (penetration), Ballast, Inert Gas, COW/Tank Cleaning, Slop, Stripping, Seawater</t>
  </si>
  <si>
    <t>A6</t>
  </si>
  <si>
    <t>CS - Epoxy Lined</t>
  </si>
  <si>
    <t>Ballast, Inert Gas, COW/Tank Cleaning, Slop, Seawater, Firewater</t>
  </si>
  <si>
    <t>SS316L</t>
  </si>
  <si>
    <t>NIL</t>
  </si>
  <si>
    <t>Air, Nitrogen, Lube oil, Chemical, Foam, hydraulic, Instrument Air, Diesel Fuel</t>
  </si>
  <si>
    <t>15.9 @ -100°C</t>
  </si>
  <si>
    <t>11.2 @ 200°C</t>
  </si>
  <si>
    <t>Air, Nitrogen, Lube oil, Chemical, Foam, Hydraulic, Instrument Air, Diesel Fuel</t>
  </si>
  <si>
    <t>41.4 @ -100°C</t>
  </si>
  <si>
    <t>29.2 @ 200°C</t>
  </si>
  <si>
    <t>Air, Nitrogen, Lube oil, Chemical, Hydraulic</t>
  </si>
  <si>
    <t>82.7 @ -100°C</t>
  </si>
  <si>
    <t>58.3 @ 200°C</t>
  </si>
  <si>
    <t>E10</t>
  </si>
  <si>
    <t>124.1 @ -100°C</t>
  </si>
  <si>
    <t>87.5 @ 200°C</t>
  </si>
  <si>
    <t>F10</t>
  </si>
  <si>
    <t>206.8 @ -100°C</t>
  </si>
  <si>
    <t>145.8 @ 200°C</t>
  </si>
  <si>
    <t>G10</t>
  </si>
  <si>
    <t>344.7 @ -100°C</t>
  </si>
  <si>
    <t>243 @ 200°C</t>
  </si>
  <si>
    <t>A10N</t>
  </si>
  <si>
    <t>SS316L NACE</t>
  </si>
  <si>
    <t>Glycol, Corrosive HC service</t>
  </si>
  <si>
    <t>B10N</t>
  </si>
  <si>
    <t>D10N</t>
  </si>
  <si>
    <t>E10N</t>
  </si>
  <si>
    <t>F10N</t>
  </si>
  <si>
    <t>G10N</t>
  </si>
  <si>
    <t>A20N</t>
  </si>
  <si>
    <t>DSS NACE</t>
  </si>
  <si>
    <t>20 @ -46°C</t>
  </si>
  <si>
    <t>B20N</t>
  </si>
  <si>
    <t>51.7 @ -46°C</t>
  </si>
  <si>
    <t>42.7 @ 200°C</t>
  </si>
  <si>
    <t>D20N</t>
  </si>
  <si>
    <t>103.4 @ -46°C</t>
  </si>
  <si>
    <t>85.3 @ 200°C</t>
  </si>
  <si>
    <t>E20N</t>
  </si>
  <si>
    <t>155.1 @ -46°C</t>
  </si>
  <si>
    <t>128 @ 200°C</t>
  </si>
  <si>
    <t>F20N</t>
  </si>
  <si>
    <t>258.6 @ -46°C</t>
  </si>
  <si>
    <t>213.3 @ 200°C</t>
  </si>
  <si>
    <t>G20N</t>
  </si>
  <si>
    <t>430.9 @ -46°C</t>
  </si>
  <si>
    <t>355.4 @ 200°C</t>
  </si>
  <si>
    <t>A25</t>
  </si>
  <si>
    <t>SDSS</t>
  </si>
  <si>
    <t>Firewater, Raw Seawater and Topsides Seawater</t>
  </si>
  <si>
    <t>G25</t>
  </si>
  <si>
    <t>Topside Seawater and Water Injection</t>
  </si>
  <si>
    <t>A25N</t>
  </si>
  <si>
    <t>SDSS NACE</t>
  </si>
  <si>
    <t>B25N</t>
  </si>
  <si>
    <t>D25N</t>
  </si>
  <si>
    <t>E25N</t>
  </si>
  <si>
    <t>F25N</t>
  </si>
  <si>
    <t>G25N</t>
  </si>
  <si>
    <t>A30</t>
  </si>
  <si>
    <t>EEMUA 20 bar</t>
  </si>
  <si>
    <t>-</t>
  </si>
  <si>
    <t>CuNi (Valve: NAB)</t>
  </si>
  <si>
    <t>Raw Sea Water, Fire Water</t>
  </si>
  <si>
    <t>20 @ 0°C</t>
  </si>
  <si>
    <t>17.3 @ 100°C</t>
  </si>
  <si>
    <t>Ref. APPENDIX-1, Chart 3</t>
  </si>
  <si>
    <t>ASME B 31.3 / EEMUA 234</t>
  </si>
  <si>
    <t>A31</t>
  </si>
  <si>
    <t>Copper</t>
  </si>
  <si>
    <t>Potable Water</t>
  </si>
  <si>
    <t>A40</t>
  </si>
  <si>
    <t>GRE (Valve: NAB)</t>
  </si>
  <si>
    <t>Raw Sea Water</t>
  </si>
  <si>
    <t>20 @ 90°C</t>
  </si>
  <si>
    <t>Ref. APPENDIX-1, Chart 4</t>
  </si>
  <si>
    <t>ASME B31.3 / ISO 14692 / UKOOA</t>
  </si>
  <si>
    <t>A41</t>
  </si>
  <si>
    <t>Hypochlorite</t>
  </si>
  <si>
    <t>16.32 @ 0°C</t>
  </si>
  <si>
    <t>16.32 @ 82°C</t>
  </si>
  <si>
    <t>A42</t>
  </si>
  <si>
    <t>CPVC (Valve: NAB)</t>
  </si>
  <si>
    <t>Sewage, Hypochlorite</t>
  </si>
  <si>
    <t>ASME B31.3</t>
  </si>
  <si>
    <t>T50A</t>
  </si>
  <si>
    <t>SS 316 / 316L (Tubing)</t>
  </si>
  <si>
    <t>Chemical Injection (Except Hypochlorite)</t>
  </si>
  <si>
    <t>125 @ 0°C</t>
  </si>
  <si>
    <t>116 @ 60°C</t>
  </si>
  <si>
    <t>T50B</t>
  </si>
  <si>
    <t>206 @ 0°C</t>
  </si>
  <si>
    <t>200 @ 60°C</t>
  </si>
  <si>
    <t>T50C</t>
  </si>
  <si>
    <t>325 @ 0°C</t>
  </si>
  <si>
    <t>325 @ 60°C</t>
  </si>
  <si>
    <t>T60A</t>
  </si>
  <si>
    <t>6 MO Tubing</t>
  </si>
  <si>
    <t>T60B</t>
  </si>
  <si>
    <t>T60C</t>
  </si>
  <si>
    <t>PIPING MATERIAL SPECIFICATION</t>
  </si>
  <si>
    <t>Rev: C0</t>
  </si>
  <si>
    <t>Piping Class</t>
  </si>
  <si>
    <t>Material</t>
  </si>
  <si>
    <t>C.A</t>
  </si>
  <si>
    <t xml:space="preserve">Design Code: </t>
  </si>
  <si>
    <t>Service:</t>
  </si>
  <si>
    <t xml:space="preserve">Branch Chart: </t>
  </si>
  <si>
    <t>Pressure-Temperature Rating</t>
  </si>
  <si>
    <t>Press., barg</t>
  </si>
  <si>
    <t>Hydrotest Pr. (barg)</t>
  </si>
  <si>
    <t>Temp., °C</t>
  </si>
  <si>
    <t>Pipe Data</t>
  </si>
  <si>
    <t>Code</t>
  </si>
  <si>
    <t>ASME B 36.10M</t>
  </si>
  <si>
    <t>Size(in)</t>
  </si>
  <si>
    <t>O.D.mm</t>
  </si>
  <si>
    <t>Sch.</t>
  </si>
  <si>
    <t>STD</t>
  </si>
  <si>
    <t>XS</t>
  </si>
  <si>
    <t>WT. mm</t>
  </si>
  <si>
    <t>TYPE</t>
  </si>
  <si>
    <t>Seamless</t>
  </si>
  <si>
    <t>LSAW, 100% RT</t>
  </si>
  <si>
    <t>MOC</t>
  </si>
  <si>
    <t>ASTM A 106 Gr. B</t>
  </si>
  <si>
    <t>API 5L Gr. B</t>
  </si>
  <si>
    <t>Ends</t>
  </si>
  <si>
    <t>BE</t>
  </si>
  <si>
    <t>Fittings Data</t>
  </si>
  <si>
    <t>Butt Weld (SCH to match pipe), Seamless</t>
  </si>
  <si>
    <t>Butt Weld (SCH to match pipe), Welded</t>
  </si>
  <si>
    <t>ASTM A 234 Gr. WPB</t>
  </si>
  <si>
    <t>Elbow</t>
  </si>
  <si>
    <t>ASME B 16.9</t>
  </si>
  <si>
    <t>Tee</t>
  </si>
  <si>
    <t>Red.</t>
  </si>
  <si>
    <t>Cap</t>
  </si>
  <si>
    <t>Plug</t>
  </si>
  <si>
    <t>Hex Head, ASME B 16.11</t>
  </si>
  <si>
    <t>Weldolet</t>
  </si>
  <si>
    <t>MSS SP 97, ASTM A 105N</t>
  </si>
  <si>
    <t>Flange</t>
  </si>
  <si>
    <t>ASTM A 105N</t>
  </si>
  <si>
    <t>FACE</t>
  </si>
  <si>
    <t>150# RF, Serrated Finish</t>
  </si>
  <si>
    <t>Weld Neck, ASME B 16.5/ 16.47A, Butt Welding ends as per ASME B 16.25</t>
  </si>
  <si>
    <t>Spectacle Blind/Spacer Blinds</t>
  </si>
  <si>
    <t>Spectacle</t>
  </si>
  <si>
    <t>ASME B 16.48</t>
  </si>
  <si>
    <t>Spacer and blind as per ASME B 16.48 (Note 5)</t>
  </si>
  <si>
    <t>Bolts/ Nuts/ Gaskets</t>
  </si>
  <si>
    <t>Stud Bolts</t>
  </si>
  <si>
    <t>ASTM A 193 Gr. B7M, XYLAR 2 + XYLAN 1070 coated with minimum combined thickness of 50μm</t>
  </si>
  <si>
    <t>Hex Nuts</t>
  </si>
  <si>
    <t>ASTM A 194 Gr. 2HM, XYLAR 2 + XYLAN 1070 coated with minimum combined thickness of 50μm</t>
  </si>
  <si>
    <t>Gasket</t>
  </si>
  <si>
    <t>ASME B 16.20, 4.5mm, SS316/SS316L Spiral Wound with Flexible Graphite (F.G.) filler</t>
  </si>
  <si>
    <t>Valves</t>
  </si>
  <si>
    <t>Rating</t>
  </si>
  <si>
    <t>Ball</t>
  </si>
  <si>
    <t>Gate</t>
  </si>
  <si>
    <t>Globe</t>
  </si>
  <si>
    <t>Check</t>
  </si>
  <si>
    <t>Butterfly</t>
  </si>
  <si>
    <t>Notes</t>
  </si>
  <si>
    <t>1. PMS to be read in conjunction with Piping Design Basis, Doc No. 50502-SPE- 80000-PP-BD-0001 and Valve Material Specification, Doc. No. 50502-SPE- 80000-PP-SP-0002.</t>
  </si>
  <si>
    <t>2. Weld Joint Factor for welded pipe shall be as per ASME B 31.3.</t>
  </si>
  <si>
    <t>3. Welded fittings shall be 100% radiographed.</t>
  </si>
  <si>
    <t>4. Two jackscrew, 180 degree apart shall be provided in one of the flanges for all orifice flange and specified spectacle blind assemblies.</t>
  </si>
  <si>
    <t>5. Spectacle blinds and spacer sizes and rating that are not available in ASME B 16.48 shall be as per manuf. standard. Design shall be submitted to Company for review and approval.</t>
  </si>
  <si>
    <t>6. Maximum temperature limit for all Soft Seat Ball Valve shall be 200°C.</t>
  </si>
  <si>
    <t xml:space="preserve">7. Wafer check valve to be avoided, unless the available space constraint does not allow normal check valve. </t>
  </si>
  <si>
    <t>8. Wafer type Butterfly Valve may be used only in water service and shall not be used in hydrocarbon service.</t>
  </si>
  <si>
    <t>EFW, 100% RT</t>
  </si>
  <si>
    <t>ASTM A 671 - CC60 Class 22</t>
  </si>
  <si>
    <t>ASTM A 420 Gr. WPL6</t>
  </si>
  <si>
    <t>Hex Head Plug, ASME B 16.11</t>
  </si>
  <si>
    <t>300# RF, Serrated Finish</t>
  </si>
  <si>
    <t>Weld Neck, ASME B 16.5, Butt Welding ends as per ASME B 16.25</t>
  </si>
  <si>
    <t>Spacer and blind as per ASME B 16.48</t>
  </si>
  <si>
    <t>Sheet NO</t>
  </si>
  <si>
    <t>ASTM A 333 Gr.6</t>
  </si>
  <si>
    <t xml:space="preserve">ASTM A 234 Gr. WPB </t>
  </si>
  <si>
    <t xml:space="preserve">ASTM A 420 Gr. WPL6 </t>
  </si>
  <si>
    <t>600# RF, Serrated Finish</t>
  </si>
  <si>
    <t>1500#, RTJ</t>
  </si>
  <si>
    <t>900#, RTJ</t>
  </si>
  <si>
    <t>Weld Neck, ASME B16.5, Butt welding ends as per ASME 16.25, Note 8,9</t>
  </si>
  <si>
    <t>ASME B 16.20, OCT ring of Soft Iron with Max. Hardness of 90 BHN, HDG</t>
  </si>
  <si>
    <t>USE GATE VALVE</t>
  </si>
  <si>
    <t>DBB (Inst)</t>
  </si>
  <si>
    <t>DBB</t>
  </si>
  <si>
    <t>8. Gasket Contact Surface shall have maximum roughness of 63AARH.</t>
  </si>
  <si>
    <t>9. Minimum RTJ groove hardness shall be 120 BHN.</t>
  </si>
  <si>
    <t>XXS</t>
  </si>
  <si>
    <t>API 5L Gr, X60 PSL-2</t>
  </si>
  <si>
    <t>ASTM A 860 WPHY 60</t>
  </si>
  <si>
    <t>MSS SP 97, ASTM A 694 F60</t>
  </si>
  <si>
    <t>ASTM A 694 F60</t>
  </si>
  <si>
    <t>WN Flange</t>
  </si>
  <si>
    <t>Weld Neck, ASME B16.5, Butt welding ends as per ASME 16.25, RTJ, Note 8,9</t>
  </si>
  <si>
    <t>Compact Flange</t>
  </si>
  <si>
    <t>WN Compact Flange (Norsok Standard L-005)* To be used for layout contraint.</t>
  </si>
  <si>
    <t>Hub Connector</t>
  </si>
  <si>
    <t>Seal Ring - ASTM A 182 F 316L, Hub and Blind Hub - ASTM A 694 F60, Clamp - AISI 4140, Bolt Material as below * To be used where ANSI or Compact Flange not suitable.</t>
  </si>
  <si>
    <t>Spacer and Blind as per ASME B 16.48</t>
  </si>
  <si>
    <t>1. PMS to be read in conjunction with Piping Design Basis, Doc No. 30901-SPE- 80000-PP-BD-0001 and Valve Material Specification, Doc. No. 30901-SPE- 80000-PP-SP-0002.</t>
  </si>
  <si>
    <t xml:space="preserve">Butt Weld (SCH to match pipe), Welded </t>
  </si>
  <si>
    <t xml:space="preserve">Butt Weld (SCH to match pipe), Seamless </t>
  </si>
  <si>
    <t>MSS SP 97, ASTM A 105</t>
  </si>
  <si>
    <t>4. Two jackscrew, 180 degree apart shall be provided in one of the flanges for all orifice flange, WNRTJ flange 3" and above and specified spectacle blind assemblies.</t>
  </si>
  <si>
    <t>MSS SP 97, ASTM A 350 Gr. LF2</t>
  </si>
  <si>
    <t>ASTM A 350 Gr. LF2</t>
  </si>
  <si>
    <t xml:space="preserve"> Spacer and blind as per ASME B 16.48</t>
  </si>
  <si>
    <t>ASTM A 320 Gr. L7M, XYLAR 2 + XYLAN 1070 coated with minimum combined thickness of 50μm</t>
  </si>
  <si>
    <t>ASTM A 194 Gr. 7ML, XYLAR 2 + XYLAN 1070 coated with minimum combined thickness of 50μm</t>
  </si>
  <si>
    <t>ASME B 16.20, 4.5 mm, SS316/SS316L Spiral Wound with Flexible Graphite (F.G.) filler</t>
  </si>
  <si>
    <t>Size (in)</t>
  </si>
  <si>
    <t>O.D. (mm)</t>
  </si>
  <si>
    <t>WT(mm)</t>
  </si>
  <si>
    <t>ASME B16.9</t>
  </si>
  <si>
    <t>Hex Head Plug, 
ASME B 16.11</t>
  </si>
  <si>
    <t>ASTM A333 Gr. 6</t>
  </si>
  <si>
    <t>ASME B 16.20, OCT Ring of Soft Iron with Max. Hardness 90 BHN</t>
  </si>
  <si>
    <t>Seal Ring - ASTM A 182 F 316L, Hub and Blind Hub - ASTM A 350 Gr. LF2, Clamp - AISI 4140, Bolt Material as below * To be used where ANSI or Compact Flange not suitable</t>
  </si>
  <si>
    <t>2500#, RTJ</t>
  </si>
  <si>
    <t xml:space="preserve">Seal Ring - ASTM A 182 F 316L, Hub and Blind Hub - ASTM A 350 Gr. LF2, Clamp - AISI 4140, Bolt Material as below * To be used where ANSI or Compact Flange not suitable </t>
  </si>
  <si>
    <t>Screwed (SCRD), #3000</t>
  </si>
  <si>
    <t xml:space="preserve">ASTM A 105N-Galvanized </t>
  </si>
  <si>
    <t>ASTM A 234 Gr. WPB, Seamless Galvanized</t>
  </si>
  <si>
    <t>ASME B 16.11</t>
  </si>
  <si>
    <t>Coupl</t>
  </si>
  <si>
    <t>Hex Hd.Plug</t>
  </si>
  <si>
    <t>Union</t>
  </si>
  <si>
    <t>BS 3799</t>
  </si>
  <si>
    <t>Olet</t>
  </si>
  <si>
    <t>MSS SP 97</t>
  </si>
  <si>
    <t>MSS SP 97, ASTM A 105N, Galvanized</t>
  </si>
  <si>
    <t>Swage</t>
  </si>
  <si>
    <t>MSS SP 95, MOC Same as pipe, Galvanized</t>
  </si>
  <si>
    <t>Screwed (SCRD)</t>
  </si>
  <si>
    <t>WN</t>
  </si>
  <si>
    <t xml:space="preserve">ASTM A 105N Galvanized </t>
  </si>
  <si>
    <t>ASME B 16.5</t>
  </si>
  <si>
    <t>Stud Bolt</t>
  </si>
  <si>
    <t>3mm thick flat ring of neoprene/ EPDM rubber as ASME B 16.21</t>
  </si>
  <si>
    <t xml:space="preserve">6. Wafer check valve to be avoided, unless the available space constraint does not allow normal check valve. </t>
  </si>
  <si>
    <t>7. All pipe thread shall be as per ASME B 1.20.1</t>
  </si>
  <si>
    <t>8. Flanged galvanized spool to be used to minimize welding at site.</t>
  </si>
  <si>
    <t>9. All pipe fittings galvanized shall be hot dip galvanized with a minimum of 763 gram of galvanizing material per square meter of surface area in accordance with ASTM A 123/ASTM A 153. Pipe spool requiring welding shall be galvanized after welding. Spool shall be of such shape and dimension to suite the size and shape that the galvanizing shop can accomodate. Contractor to ensure of the spools such that it can be thoroughly cleaned from inside out before galvanizing.</t>
  </si>
  <si>
    <t>10. Exposed thread and piping assemblies etc. Shall be coated with zinc primer or epoxy coating after installation.</t>
  </si>
  <si>
    <t>11. Wafer type Butterfly Valve may be used only in water service and shall not be used in hydrocarbon service.</t>
  </si>
  <si>
    <t>Hex Head Plug, ASME B 16.11, 3000#</t>
  </si>
  <si>
    <t>ASME B 36.19M</t>
  </si>
  <si>
    <t>80S</t>
  </si>
  <si>
    <t>40S</t>
  </si>
  <si>
    <t>ASTM A 312 TP 316L</t>
  </si>
  <si>
    <t>ASTM A 358 TP 316L</t>
  </si>
  <si>
    <t>ASTM A 403 Gr. WP 316L</t>
  </si>
  <si>
    <t>MSS SP 97, ASTM A 182 F 316L</t>
  </si>
  <si>
    <t>ASTM A 182 F 316L</t>
  </si>
  <si>
    <t>ASME B 36.19M / B 36.10M</t>
  </si>
  <si>
    <t>Weld Neck, ASME B 16.5, Butt Welding ends as per ASME B 16.25, Note 6,7</t>
  </si>
  <si>
    <t>ASME B 16.20, OCT ring of SS316L with Max. Hardness of 160 BHN</t>
  </si>
  <si>
    <t>6. Gasket Contact Surface shall have maximum roughness of 63AARH.</t>
  </si>
  <si>
    <t>7. Minimum RTJ groove hardness shall be 160 BHN.</t>
  </si>
  <si>
    <t>8. Maximum temperature limit for all Soft Seat Ball Valve shall be 200°C.</t>
  </si>
  <si>
    <t xml:space="preserve">9. Wafer check valve to be avoided, unless the available space constraint does not allow normal check valve. </t>
  </si>
  <si>
    <t xml:space="preserve">Seal Ring - ASTM A 182 F 316L, Hub and Blind Hub - ASTM A 182 F 316L, Clamp - AISI 4140, Bolt Material as below * To be used where ANSI or Compact Flange not suitable  </t>
  </si>
  <si>
    <t xml:space="preserve">Seal Ring - ASTM A 182 F 316L, Hub and Blind Hub - ASTM A 182 F 316L, Clamp - AISI 4140, Bolt Material as below * To be used where ANSI or Compact Flange not suitable </t>
  </si>
  <si>
    <t>80s</t>
  </si>
  <si>
    <t>10S</t>
  </si>
  <si>
    <t>Welded (Longitudinally) with 100% RT</t>
  </si>
  <si>
    <t>ASTM A 790 Gr. S31803</t>
  </si>
  <si>
    <t>ASTM A 928 Class 1, Gr. S31803</t>
  </si>
  <si>
    <t>ASTM A 815 Gr.WP-S UNS S31803</t>
  </si>
  <si>
    <t>ASTM A 815 Gr.WP-WX UNS S31803</t>
  </si>
  <si>
    <t>MSS SP 97, ASTM A 182 Gr. F51</t>
  </si>
  <si>
    <t>MSS SP 97, ASTM A 182 Gr. F60</t>
  </si>
  <si>
    <t>ASTM A 182 Gr. F51</t>
  </si>
  <si>
    <t>ASTM A 453 Gr. 660</t>
  </si>
  <si>
    <t>ASME B 16.20, 4.5mm, DSS UNS S31803 Spiral Wound with Flexible Graphite (F.G.) filler</t>
  </si>
  <si>
    <t>ASME B 16.20, OCT ring of UNS S 31803 with Max. Hardness of 22 HRC</t>
  </si>
  <si>
    <t>7. Minimum RTJ groove hardness shall be 24 -25 HRC</t>
  </si>
  <si>
    <t>ASME B 36.19M / 36.10</t>
  </si>
  <si>
    <t>Seal Ring - ASTM A 182 Gr. F51, Hub and Blind Hub - ASTM A 182 Gr. F51, Clamp - AISI 4140, Bolt Material as below * To be used where ANSI or Compact Flange not suitable</t>
  </si>
  <si>
    <t>120(note 10)</t>
  </si>
  <si>
    <t>10. Pipe Wall thickness is for design pressure 300 bar and design temp 100 deg c.</t>
  </si>
  <si>
    <t>ASTM A 790 Gr. S32750</t>
  </si>
  <si>
    <t>ASTM A 815 Gr.WP-S UNS S32750</t>
  </si>
  <si>
    <t>ASTM A 815 Gr.WP-WX UNS S32750</t>
  </si>
  <si>
    <t>MSS SP 97, ASTM A 182 Gr. F53</t>
  </si>
  <si>
    <t>ASTM A 182 Gr. F53</t>
  </si>
  <si>
    <t>ASME B 16.20, 4.5mm, DSS UNS S32750 Spiral Wound with Flexible Graphite (F.G.) filler</t>
  </si>
  <si>
    <t>Seal Ring - ASTM A 182 Gr. F53, Hub and Blind Hub - ASTM A 182 Gr. F53, Clamp - AISI 4140, Bolt Material as below * To be used where ANSI or Compact Flange not suitable</t>
  </si>
  <si>
    <t>ASME B 16.20, OCT ring of UNS S 332750 with Max. Hardness of 22 HRC</t>
  </si>
  <si>
    <t>Pressure-Temperature Rating (EEMUA 234, Table 69)</t>
  </si>
  <si>
    <t>EEMUA 234 20 BAR</t>
  </si>
  <si>
    <t>Min. Thk. mm.</t>
  </si>
  <si>
    <t>Seam Welded</t>
  </si>
  <si>
    <t>Annealed tube 90-10 CU-NI ALLOY UNS 7060X EEMUA 234 20 BAR/
ASTM B 466 Copper Alloy UNS No. 70600 / BS 2871 CN 102</t>
  </si>
  <si>
    <t>PE</t>
  </si>
  <si>
    <t>Bevel Ends</t>
  </si>
  <si>
    <t>SW</t>
  </si>
  <si>
    <t>BW, Welded</t>
  </si>
  <si>
    <t>90-10 Cu-Ni</t>
  </si>
  <si>
    <t>EEMUA 234</t>
  </si>
  <si>
    <t>Sockolet</t>
  </si>
  <si>
    <t>Nipple</t>
  </si>
  <si>
    <t>EEMUA 234, MOC Same as pipe</t>
  </si>
  <si>
    <t>SW Flange</t>
  </si>
  <si>
    <t>90-10Cu-Ni</t>
  </si>
  <si>
    <t>Blind Flange</t>
  </si>
  <si>
    <t>ASTM A 105N FF with 3mm 90-10 CuNi weld deposit</t>
  </si>
  <si>
    <t>6. Threading on Cu-Ni piping is not allowed. However, screwed fittings may be used for vent and drain connections only with Coontractor's approval.</t>
  </si>
  <si>
    <t>ASTM B42 (Regular)</t>
  </si>
  <si>
    <t>M.T (mm)</t>
  </si>
  <si>
    <t>Seamless Hard Drawn H80 (Regular)</t>
  </si>
  <si>
    <t>Seamless light Drawn H55 (Regular)</t>
  </si>
  <si>
    <t>ASTM B 42 UNS C12200</t>
  </si>
  <si>
    <t>Brazed Fittings (SCH to match pipe), Seamless</t>
  </si>
  <si>
    <t>ASTM B 124 UNS C11000</t>
  </si>
  <si>
    <t xml:space="preserve">Solid slip on flange </t>
  </si>
  <si>
    <t>FF</t>
  </si>
  <si>
    <t>ASTM B61 UNS C92200</t>
  </si>
  <si>
    <t>ASME B 16.24</t>
  </si>
  <si>
    <t>ASTM A 105N RF With 3mm Copper over lay</t>
  </si>
  <si>
    <t>Mechanical Joints</t>
  </si>
  <si>
    <t>ASME B 16.21, Full face gasket, 2mm, CNAF</t>
  </si>
  <si>
    <t>Notes Related to Pipe, Fittings, Flanges, Gasket and Stud Bolts -Nuts</t>
  </si>
  <si>
    <t>1. Welded fittings shall be 100% radiographed.</t>
  </si>
  <si>
    <t>2. All stud bolts and nuts shall be XYLAR 2 + XYLAN 1070 coated with minimum combined thickness of 50μm.</t>
  </si>
  <si>
    <t>3. Threading on piping is not allowed. Screwed fittings can be used only for vents and drains.</t>
  </si>
  <si>
    <t>4. PMS to be read in conjunction with Piping Design Basis, Doc No. 50502-SPE- 80000-PP-BD-0001 and Valve Material Specification, Doc. No. 50502-SPE- 80000-PP-SP-0002.</t>
  </si>
  <si>
    <t>5. For Flanged connections between CS and Copper, sacrificial spool or electrical isolation kit i.e. insulating gaskets shall be used.</t>
  </si>
  <si>
    <t>NA</t>
  </si>
  <si>
    <t>Manufacturer's Std.</t>
  </si>
  <si>
    <t>OD (mm)</t>
  </si>
  <si>
    <t>ID (mm)</t>
  </si>
  <si>
    <t>Manufacturer standard (TBA)</t>
  </si>
  <si>
    <t>Filament wound Glassfiber Reinforced Epoxy (GRE) pipe, Conductive, ASTM D2996: RTRP-11AW</t>
  </si>
  <si>
    <t>Taper / Taper Socket x Spigot, Adhesive bonded</t>
  </si>
  <si>
    <t>20 bar, 93degC</t>
  </si>
  <si>
    <t>Filament wound Glassfiber Reinforced Epoxy (GRE) fitting, Conductive, ASTM D5685: RTRF, 11F1, or equivalent</t>
  </si>
  <si>
    <t>22.5°, 45°, 90° elbow</t>
  </si>
  <si>
    <t>Tee or Reducing Tee</t>
  </si>
  <si>
    <t>Mold. Tee</t>
  </si>
  <si>
    <t>Molded Tee</t>
  </si>
  <si>
    <t>Red. Sad</t>
  </si>
  <si>
    <t>Reducing Saddle - Flat Face (FF)</t>
  </si>
  <si>
    <t>Reducer</t>
  </si>
  <si>
    <t>Conc and Ecc Reducer</t>
  </si>
  <si>
    <t>Coupler</t>
  </si>
  <si>
    <t>Adaptor</t>
  </si>
  <si>
    <t xml:space="preserve">Adapter </t>
  </si>
  <si>
    <t>Filament Wound Fibre reinforced epoxy flange, conductive, Heavy duty, ASTM D4024</t>
  </si>
  <si>
    <t>Flat Face (FF)</t>
  </si>
  <si>
    <t>Drilled to ASME B 16.5/ 16.47A, 150#</t>
  </si>
  <si>
    <t>Spade and Spacer</t>
  </si>
  <si>
    <t>Manufacturer standard, Flat Face (FF)</t>
  </si>
  <si>
    <t>Washers</t>
  </si>
  <si>
    <t>ASTM A 307 Gr. B HDG</t>
  </si>
  <si>
    <t>EPDM Rubber Full Face Gasket with SS insert Shore A Hardness 70 ± 5, #150 (e.g. Kroll &amp; Ziller G-ST/PS )</t>
  </si>
  <si>
    <t>EPDM Rubber Flat Ring Gasket with SS insert Shore A Hardness 70 ± 5, #150 (e.g. Kroll &amp; Ziller G-ST/PS )</t>
  </si>
  <si>
    <t>2. The GRE piping should be conductive to avoid accumulation of static electrical charges in the offshore environment. Piping system should be grounded.</t>
  </si>
  <si>
    <t>3. The GRE pipe and fitting should comply to IMO L3 fire rating requirement and TA certified by related ship societies.</t>
  </si>
  <si>
    <t>4. All fittings shall be epoxy design single piece filament wound.</t>
  </si>
  <si>
    <t>5. Flange face finish, branch connection and dimensions as per manufacturer's standard.</t>
  </si>
  <si>
    <t>6. Design limits according to nominal pressure of valves.</t>
  </si>
  <si>
    <t>7. Lines shall be supported and stress analysed as per manufacturer's standard.</t>
  </si>
  <si>
    <t>Manufacturer's Std (BONSTRAND Series 50000C)</t>
  </si>
  <si>
    <t>Manufacturer standard (BONSTRAND Series 50000C)</t>
  </si>
  <si>
    <t>Drilled to ASME B 16.5, 150#</t>
  </si>
  <si>
    <t>ASME B16.21, Flat Ring, 3mm, CNAF, Oil Resistant, Glass Fibre Composite with NBR Binder</t>
  </si>
  <si>
    <t>ASTM F 441</t>
  </si>
  <si>
    <t>CPVC, Type IV Grade 1, Cell classification 23447-B, ASTM D 1784</t>
  </si>
  <si>
    <t>Socket on one end</t>
  </si>
  <si>
    <t>Fittings</t>
  </si>
  <si>
    <t>ASTM F 439</t>
  </si>
  <si>
    <t>Socket Type</t>
  </si>
  <si>
    <t>ASTM F 437</t>
  </si>
  <si>
    <t>Manufacturer Standard, Threaded (ASME B 1.20.1)</t>
  </si>
  <si>
    <t>CPVC, Type IV Grade 1, Cell classification 23447-B, ASTM D 1784; O-ring material : EPDM</t>
  </si>
  <si>
    <t>Flange (F 439, Bolt hole as per ASME B 16.5)</t>
  </si>
  <si>
    <t>#150 Socket Type/ Manufacturer Standard</t>
  </si>
  <si>
    <t>FF STOCK FINISH (1000 micro inch AARH)</t>
  </si>
  <si>
    <t>#150 / Manufacturer Standard</t>
  </si>
  <si>
    <t>ASTM A 193 GR B7, HDG AS PER ASTM A 153, ASME B 1.1</t>
  </si>
  <si>
    <t>ASTM A 194 GR 2H, HDG AS PER ASTM A 153, ASME B 18.2.2 WITH 3.2 mm thk Steel &amp; CPVC washer on both sides</t>
  </si>
  <si>
    <t>#150 Full face gasket 3 mm thk to ASME B 16.21, PTFE/EPDM</t>
  </si>
  <si>
    <t>1. All socket type connections shall be joined with approved CPVC solvent in accordance with ASTM F 493.</t>
  </si>
  <si>
    <t>2. Complete piping system shall be FRP coated with 8mm thickness.</t>
  </si>
  <si>
    <t>3. Union shall be provided on one side of SCRD valves to facilitate its removal.</t>
  </si>
  <si>
    <t>5. When used in hazardous area, this piping class shall comply to ABS requirements for hazardous area.</t>
  </si>
  <si>
    <t>ASTM A 269</t>
  </si>
  <si>
    <t>Sch. (Thk)</t>
  </si>
  <si>
    <t>ASTM A269 Type 316/316L SML, Annealed, Hardness &lt;= 90 HRB SML</t>
  </si>
  <si>
    <t>According to manufacturer standard</t>
  </si>
  <si>
    <t>Compression Fitting</t>
  </si>
  <si>
    <t>Compression fitting with double ferrule, body AISI 316, ferrules and nuts in AISI 316</t>
  </si>
  <si>
    <t>OD X THD, OD X OD, &amp; OD X SW (Manufacturer Standard)</t>
  </si>
  <si>
    <t>Needle (Inst)</t>
  </si>
  <si>
    <t>Ball (Inst)</t>
  </si>
  <si>
    <t>Check (Inst)</t>
  </si>
  <si>
    <t>1. The Tubing shall be prepared (cut, burred, and bent) only with the tools recommended by the OD fittings manufacturer.</t>
  </si>
  <si>
    <t>2. The minimum Molybednum content shall be 2.5% for tubing material.</t>
  </si>
  <si>
    <t>3. The maximum work pressure for fittings shall be above the maximum work pressure of the tubing for all operation conditions.</t>
  </si>
  <si>
    <t>4. Seal or fillet welds are not allowed in OD fittings and valves assembly.</t>
  </si>
  <si>
    <t>5. Proper tools shall be used to assemble the OD fittings ( feeler gauge, wrench etc) in accordance with the fitting manufacturer instructions. Special attention shall be given for assemblies with OD 1" and bigger, where preswage must be done.</t>
  </si>
  <si>
    <t>5. PMS to be read in conjunction with Piping Design Basis, Doc No. 50502-SPE- 80000-PP-BD-0001 and Valve Material Specification, Doc. No. 50502-SPE- 80000-PP-SP-0002.</t>
  </si>
  <si>
    <t>6. When used in hazardous area, this piping class shall comply to ABS requirements for hazardous area.</t>
  </si>
  <si>
    <t>7. Thickness mentioned in this spec is preliminary, Manufacturer recommended thickness will update during project execution</t>
  </si>
  <si>
    <t>ASTM A269 (UNS S31254) SML, Annealed, Hardness &lt;= 90 HRB SML</t>
  </si>
  <si>
    <t>Valves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</si>
</sst>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Times New Roman"/>
      <family val="1"/>
    </font>
    <font>
      <sz val="10"/>
      <name val="Arial"/>
      <family val="2"/>
    </font>
    <font>
      <u/>
      <sz val="10"/>
      <color theme="10"/>
      <name val="Arial"/>
      <family val="2"/>
    </font>
    <font>
      <sz val="8"/>
      <name val="Arial"/>
      <family val="2"/>
    </font>
    <font>
      <sz val="8"/>
      <name val="Arial"/>
      <family val="2"/>
    </font>
    <font>
      <sz val="11"/>
      <name val="Calibri"/>
      <family val="2"/>
      <scheme val="minor"/>
    </font>
    <font>
      <b/>
      <sz val="11"/>
      <name val="Calibri"/>
      <family val="2"/>
      <scheme val="minor"/>
    </font>
    <font>
      <vertAlign val="subscript"/>
      <sz val="11"/>
      <name val="Calibri"/>
      <family val="2"/>
      <scheme val="minor"/>
    </font>
    <font>
      <u/>
      <sz val="11"/>
      <color theme="10"/>
      <name val="Calibri"/>
      <family val="2"/>
      <scheme val="minor"/>
    </font>
    <font>
      <b/>
      <sz val="16"/>
      <name val="Calibri"/>
      <family val="2"/>
      <scheme val="minor"/>
    </font>
    <font>
      <sz val="11"/>
      <color rgb="FF231F20"/>
      <name val="Calibri"/>
      <family val="2"/>
      <scheme val="minor"/>
    </font>
    <font>
      <b/>
      <sz val="11"/>
      <color rgb="FF002060"/>
      <name val="Calibri"/>
      <family val="2"/>
      <scheme val="minor"/>
    </font>
    <font>
      <b/>
      <i/>
      <sz val="11"/>
      <name val="Calibri"/>
      <family val="2"/>
      <scheme val="minor"/>
    </font>
    <font>
      <sz val="8"/>
      <name val="Arial"/>
      <family val="2"/>
    </font>
    <font>
      <sz val="8"/>
      <name val="Arial"/>
      <family val="2"/>
    </font>
    <font>
      <b/>
      <sz val="11"/>
      <color rgb="FF231F20"/>
      <name val="Calibri"/>
      <family val="2"/>
      <scheme val="minor"/>
    </font>
  </fonts>
  <fills count="2">
    <fill>
      <patternFill patternType="none"/>
    </fill>
    <fill>
      <patternFill patternType="gray125"/>
    </fill>
  </fills>
  <borders count="51">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auto="1"/>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style="thin">
        <color auto="1"/>
      </top>
      <bottom style="thin">
        <color auto="1"/>
      </bottom>
      <diagonal/>
    </border>
    <border>
      <left style="medium">
        <color indexed="64"/>
      </left>
      <right/>
      <top/>
      <bottom style="thin">
        <color indexed="64"/>
      </bottom>
      <diagonal/>
    </border>
    <border>
      <left style="medium">
        <color indexed="64"/>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auto="1"/>
      </top>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1">
    <xf numFmtId="0" fontId="0" fillId="0" borderId="0"/>
    <xf numFmtId="0" fontId="3" fillId="0" borderId="0"/>
    <xf numFmtId="0" fontId="4" fillId="0" borderId="0"/>
    <xf numFmtId="0" fontId="4" fillId="0" borderId="0"/>
    <xf numFmtId="0" fontId="6" fillId="0" borderId="0"/>
    <xf numFmtId="0" fontId="2" fillId="0" borderId="0"/>
    <xf numFmtId="0" fontId="4" fillId="0" borderId="0"/>
    <xf numFmtId="0" fontId="1" fillId="0" borderId="0"/>
    <xf numFmtId="0" fontId="7" fillId="0" borderId="0" applyNumberFormat="0" applyFill="0" applyBorder="0" applyAlignment="0" applyProtection="0"/>
    <xf numFmtId="0" fontId="5" fillId="0" borderId="10" applyBorder="0" applyProtection="0">
      <alignment horizontal="left" vertical="center" wrapText="1"/>
    </xf>
    <xf numFmtId="0" fontId="4" fillId="0" borderId="0"/>
  </cellStyleXfs>
  <cellXfs count="333">
    <xf numFmtId="0" fontId="0" fillId="0" borderId="0" xfId="0"/>
    <xf numFmtId="0" fontId="10" fillId="0" borderId="0" xfId="0" applyFont="1"/>
    <xf numFmtId="0" fontId="13" fillId="0" borderId="1" xfId="8" applyFont="1" applyFill="1" applyBorder="1" applyAlignment="1">
      <alignment horizontal="center" vertical="center"/>
    </xf>
    <xf numFmtId="0" fontId="10" fillId="0" borderId="0" xfId="0" applyFont="1" applyAlignment="1">
      <alignment horizontal="center" shrinkToFit="1"/>
    </xf>
    <xf numFmtId="0" fontId="10" fillId="0" borderId="0" xfId="2" applyFont="1" applyAlignment="1">
      <alignment horizontal="center"/>
    </xf>
    <xf numFmtId="0" fontId="10" fillId="0" borderId="0" xfId="0" applyFont="1" applyAlignment="1">
      <alignment horizontal="center"/>
    </xf>
    <xf numFmtId="0" fontId="10" fillId="0" borderId="0" xfId="0" applyFont="1" applyAlignment="1">
      <alignment horizontal="left"/>
    </xf>
    <xf numFmtId="0" fontId="10" fillId="0" borderId="5" xfId="0" applyFont="1" applyBorder="1"/>
    <xf numFmtId="0" fontId="10" fillId="0" borderId="8" xfId="0" applyFont="1" applyBorder="1"/>
    <xf numFmtId="0" fontId="10" fillId="0" borderId="0" xfId="0" quotePrefix="1" applyFont="1"/>
    <xf numFmtId="0" fontId="15" fillId="0" borderId="1" xfId="0" applyFont="1" applyBorder="1" applyAlignment="1">
      <alignment horizontal="center" vertical="center" shrinkToFit="1"/>
    </xf>
    <xf numFmtId="0" fontId="10" fillId="0" borderId="1" xfId="0" quotePrefix="1" applyFont="1" applyBorder="1" applyAlignment="1">
      <alignment horizontal="center" vertical="center" shrinkToFit="1"/>
    </xf>
    <xf numFmtId="0" fontId="10" fillId="0" borderId="0" xfId="0" applyFont="1" applyAlignment="1">
      <alignment shrinkToFit="1"/>
    </xf>
    <xf numFmtId="2" fontId="10" fillId="0" borderId="1" xfId="0" applyNumberFormat="1" applyFont="1" applyBorder="1" applyAlignment="1">
      <alignment horizontal="center" vertical="center" shrinkToFit="1"/>
    </xf>
    <xf numFmtId="0" fontId="16" fillId="0" borderId="1" xfId="0" applyFont="1" applyBorder="1" applyAlignment="1">
      <alignment horizontal="center" vertical="center" shrinkToFit="1"/>
    </xf>
    <xf numFmtId="1" fontId="10" fillId="0" borderId="1" xfId="0" applyNumberFormat="1" applyFont="1" applyBorder="1" applyAlignment="1">
      <alignment horizontal="center" vertical="center" shrinkToFit="1"/>
    </xf>
    <xf numFmtId="2" fontId="10" fillId="0" borderId="1" xfId="0" quotePrefix="1" applyNumberFormat="1" applyFont="1" applyBorder="1" applyAlignment="1">
      <alignment horizontal="center" vertical="center" shrinkToFit="1"/>
    </xf>
    <xf numFmtId="0" fontId="10" fillId="0" borderId="1" xfId="0" applyFont="1" applyBorder="1" applyAlignment="1">
      <alignment horizontal="center" vertical="center" shrinkToFit="1"/>
    </xf>
    <xf numFmtId="2" fontId="15" fillId="0" borderId="1" xfId="0" applyNumberFormat="1" applyFont="1" applyBorder="1" applyAlignment="1">
      <alignment horizontal="center" vertical="center" shrinkToFit="1"/>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 xfId="2" applyFont="1" applyBorder="1" applyAlignment="1">
      <alignment horizontal="center" vertical="center" wrapText="1"/>
    </xf>
    <xf numFmtId="0" fontId="10" fillId="0" borderId="0" xfId="0" applyFont="1" applyAlignment="1">
      <alignment horizontal="center" vertical="center" wrapText="1"/>
    </xf>
    <xf numFmtId="0" fontId="15" fillId="0" borderId="1" xfId="0" applyFont="1" applyBorder="1" applyAlignment="1">
      <alignment horizontal="center" vertical="center" wrapText="1"/>
    </xf>
    <xf numFmtId="0" fontId="10" fillId="0" borderId="1" xfId="0" applyFont="1" applyBorder="1" applyAlignment="1">
      <alignment horizontal="left" vertical="center" shrinkToFit="1"/>
    </xf>
    <xf numFmtId="0" fontId="10" fillId="0" borderId="6" xfId="0" applyFont="1" applyBorder="1" applyAlignment="1">
      <alignment horizontal="center" shrinkToFit="1"/>
    </xf>
    <xf numFmtId="0" fontId="10" fillId="0" borderId="8" xfId="0" applyFont="1" applyBorder="1" applyAlignment="1">
      <alignment horizontal="center" shrinkToFit="1"/>
    </xf>
    <xf numFmtId="0" fontId="10" fillId="0" borderId="7" xfId="0" applyFont="1" applyBorder="1" applyAlignment="1">
      <alignment vertical="center" shrinkToFit="1"/>
    </xf>
    <xf numFmtId="0" fontId="10" fillId="0" borderId="13" xfId="0" applyFont="1" applyBorder="1" applyAlignment="1">
      <alignment vertical="center" shrinkToFit="1"/>
    </xf>
    <xf numFmtId="0" fontId="10" fillId="0" borderId="8" xfId="0" applyFont="1" applyBorder="1" applyAlignment="1">
      <alignment vertical="center" shrinkToFit="1"/>
    </xf>
    <xf numFmtId="0" fontId="10" fillId="0" borderId="9" xfId="0" applyFont="1" applyBorder="1" applyAlignment="1">
      <alignment vertical="center" shrinkToFit="1"/>
    </xf>
    <xf numFmtId="0" fontId="10" fillId="0" borderId="0" xfId="0" applyFont="1" applyAlignment="1">
      <alignment horizontal="left" shrinkToFit="1"/>
    </xf>
    <xf numFmtId="0" fontId="11" fillId="0" borderId="5" xfId="0" applyFont="1" applyBorder="1" applyAlignment="1">
      <alignment horizontal="center" vertical="center" wrapText="1"/>
    </xf>
    <xf numFmtId="0" fontId="10" fillId="0" borderId="5" xfId="0" applyFont="1" applyBorder="1" applyAlignment="1">
      <alignment horizontal="center" vertical="center" shrinkToFi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0" xfId="2" applyFont="1"/>
    <xf numFmtId="0" fontId="10" fillId="0" borderId="1" xfId="2" applyFont="1" applyBorder="1" applyAlignment="1">
      <alignment horizontal="center" vertical="center" shrinkToFit="1"/>
    </xf>
    <xf numFmtId="0" fontId="10" fillId="0" borderId="0" xfId="2" applyFont="1" applyAlignment="1">
      <alignment horizontal="center" shrinkToFit="1"/>
    </xf>
    <xf numFmtId="0" fontId="10" fillId="0" borderId="0" xfId="2" applyFont="1" applyAlignment="1">
      <alignment shrinkToFit="1"/>
    </xf>
    <xf numFmtId="2" fontId="10" fillId="0" borderId="1" xfId="2" applyNumberFormat="1" applyFont="1" applyBorder="1" applyAlignment="1">
      <alignment horizontal="center" vertical="center" shrinkToFit="1"/>
    </xf>
    <xf numFmtId="0" fontId="10" fillId="0" borderId="0" xfId="0" applyFont="1" applyAlignment="1">
      <alignment vertical="center"/>
    </xf>
    <xf numFmtId="0" fontId="11" fillId="0" borderId="1" xfId="0" applyFont="1" applyBorder="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center" vertical="center"/>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wrapText="1"/>
    </xf>
    <xf numFmtId="0" fontId="11" fillId="0" borderId="0" xfId="0" applyFont="1" applyAlignment="1">
      <alignment horizontal="center" wrapText="1"/>
    </xf>
    <xf numFmtId="0" fontId="10" fillId="0" borderId="1" xfId="0" applyFont="1" applyBorder="1" applyAlignment="1">
      <alignment horizontal="center" vertical="center"/>
    </xf>
    <xf numFmtId="164" fontId="10" fillId="0" borderId="1" xfId="0" applyNumberFormat="1" applyFont="1" applyBorder="1" applyAlignment="1">
      <alignment horizontal="center" vertical="center"/>
    </xf>
    <xf numFmtId="164" fontId="10" fillId="0" borderId="0" xfId="0" applyNumberFormat="1" applyFont="1" applyAlignment="1">
      <alignment horizontal="center" vertical="center"/>
    </xf>
    <xf numFmtId="2" fontId="10" fillId="0" borderId="0" xfId="0" applyNumberFormat="1" applyFont="1" applyAlignment="1">
      <alignment horizont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0" xfId="0" applyFont="1" applyBorder="1" applyAlignment="1">
      <alignment horizontal="center" vertical="center" wrapText="1"/>
    </xf>
    <xf numFmtId="0" fontId="15" fillId="0" borderId="1" xfId="2" applyFont="1" applyBorder="1" applyAlignment="1">
      <alignment horizontal="center" vertical="center" wrapText="1"/>
    </xf>
    <xf numFmtId="0" fontId="15" fillId="0" borderId="1" xfId="2" applyFont="1" applyBorder="1" applyAlignment="1">
      <alignment horizontal="center" vertical="center" shrinkToFit="1"/>
    </xf>
    <xf numFmtId="0" fontId="15" fillId="0" borderId="0" xfId="2" applyFont="1" applyAlignment="1">
      <alignment horizontal="left" vertical="top" wrapText="1"/>
    </xf>
    <xf numFmtId="0" fontId="10" fillId="0" borderId="1" xfId="0" applyFont="1" applyBorder="1" applyAlignment="1">
      <alignment horizontal="center"/>
    </xf>
    <xf numFmtId="0" fontId="11" fillId="0" borderId="26" xfId="0" applyFont="1" applyBorder="1" applyAlignment="1">
      <alignment horizontal="center" vertical="center" wrapText="1"/>
    </xf>
    <xf numFmtId="2" fontId="10" fillId="0" borderId="0" xfId="0" applyNumberFormat="1" applyFont="1" applyAlignment="1">
      <alignment horizontal="center" vertical="center"/>
    </xf>
    <xf numFmtId="0" fontId="10" fillId="0" borderId="1" xfId="0" quotePrefix="1" applyFont="1" applyBorder="1" applyAlignment="1">
      <alignment horizontal="center" vertical="center"/>
    </xf>
    <xf numFmtId="0" fontId="10" fillId="0" borderId="18" xfId="0" applyFont="1" applyBorder="1" applyAlignment="1">
      <alignment horizontal="center" vertical="center" shrinkToFit="1"/>
    </xf>
    <xf numFmtId="0" fontId="10" fillId="0" borderId="17" xfId="0" applyFont="1" applyBorder="1" applyAlignment="1">
      <alignment horizontal="left" vertical="center" shrinkToFit="1"/>
    </xf>
    <xf numFmtId="0" fontId="10" fillId="0" borderId="31" xfId="0" applyFont="1" applyBorder="1" applyAlignment="1">
      <alignment horizontal="center" vertical="center" shrinkToFit="1"/>
    </xf>
    <xf numFmtId="0" fontId="10" fillId="0" borderId="17" xfId="0" applyFont="1" applyBorder="1" applyAlignment="1">
      <alignment horizontal="center" vertical="center" wrapText="1"/>
    </xf>
    <xf numFmtId="0" fontId="10" fillId="0" borderId="17" xfId="0" applyFont="1" applyBorder="1" applyAlignment="1">
      <alignment horizontal="center" vertical="center" shrinkToFit="1"/>
    </xf>
    <xf numFmtId="0" fontId="10" fillId="0" borderId="31" xfId="0" applyFont="1" applyBorder="1" applyAlignment="1">
      <alignment horizontal="center" vertical="center" wrapText="1"/>
    </xf>
    <xf numFmtId="0" fontId="10" fillId="0" borderId="36" xfId="0" applyFont="1" applyBorder="1" applyAlignment="1">
      <alignment horizontal="left" vertical="center" wrapText="1"/>
    </xf>
    <xf numFmtId="0" fontId="10" fillId="0" borderId="17" xfId="2" applyFont="1" applyBorder="1" applyAlignment="1">
      <alignment horizontal="center" vertical="center" wrapText="1"/>
    </xf>
    <xf numFmtId="0" fontId="10" fillId="0" borderId="18" xfId="0" applyFont="1" applyBorder="1" applyAlignment="1">
      <alignment horizontal="left"/>
    </xf>
    <xf numFmtId="0" fontId="10" fillId="0" borderId="18" xfId="0" applyFont="1" applyBorder="1" applyAlignment="1">
      <alignment horizontal="center" shrinkToFit="1"/>
    </xf>
    <xf numFmtId="0" fontId="10" fillId="0" borderId="45" xfId="0" applyFont="1" applyBorder="1"/>
    <xf numFmtId="1" fontId="10" fillId="0" borderId="18" xfId="0" applyNumberFormat="1" applyFont="1" applyBorder="1" applyAlignment="1">
      <alignment horizontal="center" vertical="center" shrinkToFit="1"/>
    </xf>
    <xf numFmtId="2" fontId="10" fillId="0" borderId="18" xfId="0" applyNumberFormat="1" applyFont="1" applyBorder="1" applyAlignment="1">
      <alignment horizontal="center" vertical="center" shrinkToFit="1"/>
    </xf>
    <xf numFmtId="0" fontId="10" fillId="0" borderId="31" xfId="0" applyFont="1" applyBorder="1"/>
    <xf numFmtId="0" fontId="10" fillId="0" borderId="31" xfId="0" applyFont="1" applyBorder="1" applyAlignment="1">
      <alignment horizontal="center"/>
    </xf>
    <xf numFmtId="0" fontId="10" fillId="0" borderId="31" xfId="0" applyFont="1" applyBorder="1" applyAlignment="1">
      <alignment vertical="center" wrapText="1"/>
    </xf>
    <xf numFmtId="0" fontId="10" fillId="0" borderId="34" xfId="0" applyFont="1" applyBorder="1"/>
    <xf numFmtId="0" fontId="10" fillId="0" borderId="37" xfId="0" applyFont="1" applyBorder="1" applyAlignment="1">
      <alignment vertical="center" wrapText="1"/>
    </xf>
    <xf numFmtId="0" fontId="10" fillId="0" borderId="27" xfId="0" applyFont="1" applyBorder="1" applyAlignment="1">
      <alignment horizontal="center" vertical="center" wrapText="1"/>
    </xf>
    <xf numFmtId="0" fontId="10" fillId="0" borderId="45" xfId="0" applyFont="1" applyBorder="1" applyAlignment="1">
      <alignment horizontal="center" shrinkToFit="1"/>
    </xf>
    <xf numFmtId="0" fontId="15" fillId="0" borderId="18" xfId="0" applyFont="1" applyBorder="1" applyAlignment="1">
      <alignment horizontal="center" vertical="center" shrinkToFit="1"/>
    </xf>
    <xf numFmtId="0" fontId="10" fillId="0" borderId="18" xfId="2" applyFont="1" applyBorder="1" applyAlignment="1">
      <alignment horizontal="center" vertical="center" shrinkToFit="1"/>
    </xf>
    <xf numFmtId="0" fontId="10" fillId="0" borderId="17" xfId="2" applyFont="1" applyBorder="1" applyAlignment="1">
      <alignment horizontal="left" vertical="center" shrinkToFit="1"/>
    </xf>
    <xf numFmtId="0" fontId="10" fillId="0" borderId="18" xfId="2" applyFont="1" applyBorder="1" applyAlignment="1">
      <alignment horizontal="center" vertical="center" wrapText="1"/>
    </xf>
    <xf numFmtId="0" fontId="10" fillId="0" borderId="17" xfId="2" applyFont="1" applyBorder="1" applyAlignment="1">
      <alignment horizontal="center" vertical="center" shrinkToFit="1"/>
    </xf>
    <xf numFmtId="0" fontId="15" fillId="0" borderId="17" xfId="2" applyFont="1" applyBorder="1" applyAlignment="1">
      <alignment horizontal="center" vertical="center" wrapText="1"/>
    </xf>
    <xf numFmtId="0" fontId="15" fillId="0" borderId="17" xfId="2" applyFont="1" applyBorder="1" applyAlignment="1">
      <alignment horizontal="center" vertical="center" shrinkToFit="1"/>
    </xf>
    <xf numFmtId="0" fontId="14" fillId="0" borderId="22" xfId="0" applyFont="1" applyBorder="1" applyAlignment="1">
      <alignment horizontal="center" vertical="center"/>
    </xf>
    <xf numFmtId="0" fontId="14" fillId="0" borderId="25" xfId="0" applyFont="1" applyBorder="1" applyAlignment="1">
      <alignment horizontal="center" vertical="center"/>
    </xf>
    <xf numFmtId="0" fontId="14" fillId="0" borderId="47" xfId="0" applyFont="1" applyBorder="1" applyAlignment="1">
      <alignment horizontal="center" vertical="center"/>
    </xf>
    <xf numFmtId="0" fontId="14" fillId="0" borderId="48" xfId="0" applyFont="1" applyBorder="1" applyAlignment="1">
      <alignment horizontal="center" vertical="center"/>
    </xf>
    <xf numFmtId="0" fontId="14" fillId="0" borderId="49" xfId="0" applyFont="1" applyBorder="1" applyAlignment="1">
      <alignment horizontal="center" vertical="center"/>
    </xf>
    <xf numFmtId="0" fontId="10" fillId="0" borderId="43"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1" xfId="0" applyFont="1" applyBorder="1" applyAlignment="1">
      <alignment horizontal="center" vertical="center" shrinkToFit="1"/>
    </xf>
    <xf numFmtId="0" fontId="10" fillId="0" borderId="18" xfId="0" applyFont="1" applyBorder="1" applyAlignment="1">
      <alignment horizontal="center" vertical="center" shrinkToFit="1"/>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164" fontId="10" fillId="0" borderId="1" xfId="0" quotePrefix="1" applyNumberFormat="1" applyFont="1" applyBorder="1" applyAlignment="1">
      <alignment horizontal="center" vertical="center" shrinkToFi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38" xfId="0" applyFont="1" applyBorder="1" applyAlignment="1">
      <alignment horizontal="left" vertical="center" wrapText="1"/>
    </xf>
    <xf numFmtId="0" fontId="10" fillId="0" borderId="7" xfId="0" applyFont="1" applyBorder="1" applyAlignment="1">
      <alignment horizontal="left" vertical="center" wrapText="1"/>
    </xf>
    <xf numFmtId="0" fontId="10" fillId="0" borderId="39" xfId="0" applyFont="1" applyBorder="1" applyAlignment="1">
      <alignment horizontal="left" vertical="center" wrapText="1"/>
    </xf>
    <xf numFmtId="0" fontId="10" fillId="0" borderId="30" xfId="0" applyFont="1" applyBorder="1" applyAlignment="1">
      <alignment horizontal="left" vertical="center" wrapText="1"/>
    </xf>
    <xf numFmtId="0" fontId="10" fillId="0" borderId="0" xfId="0" applyFont="1" applyAlignment="1">
      <alignment horizontal="left" vertical="center" wrapText="1"/>
    </xf>
    <xf numFmtId="0" fontId="10" fillId="0" borderId="34" xfId="0" applyFont="1" applyBorder="1" applyAlignment="1">
      <alignment horizontal="left" vertical="center" wrapText="1"/>
    </xf>
    <xf numFmtId="0" fontId="11" fillId="0" borderId="17"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27" xfId="2" applyFont="1" applyBorder="1" applyAlignment="1">
      <alignment horizontal="center" vertical="center" wrapText="1"/>
    </xf>
    <xf numFmtId="0" fontId="11" fillId="0" borderId="50" xfId="2" applyFont="1" applyBorder="1" applyAlignment="1">
      <alignment horizontal="center" vertical="center" wrapText="1"/>
    </xf>
    <xf numFmtId="0" fontId="11" fillId="0" borderId="1" xfId="2" applyFont="1" applyBorder="1" applyAlignment="1">
      <alignment horizontal="center" vertical="center" wrapText="1"/>
    </xf>
    <xf numFmtId="0" fontId="11" fillId="0" borderId="18" xfId="2" applyFont="1" applyBorder="1" applyAlignment="1">
      <alignment horizontal="center" vertical="center" wrapText="1"/>
    </xf>
    <xf numFmtId="0" fontId="11" fillId="0" borderId="17" xfId="0" applyFont="1" applyBorder="1" applyAlignment="1">
      <alignment horizontal="center" vertical="center" shrinkToFit="1"/>
    </xf>
    <xf numFmtId="0" fontId="11" fillId="0" borderId="1" xfId="0" applyFont="1" applyBorder="1" applyAlignment="1">
      <alignment horizontal="center" vertical="center" shrinkToFit="1"/>
    </xf>
    <xf numFmtId="0" fontId="11" fillId="0" borderId="18" xfId="0" applyFont="1" applyBorder="1" applyAlignment="1">
      <alignment horizontal="center" vertical="center" shrinkToFit="1"/>
    </xf>
    <xf numFmtId="0" fontId="10" fillId="0" borderId="2" xfId="0" applyFont="1" applyBorder="1" applyAlignment="1">
      <alignment horizontal="center" vertical="center" shrinkToFit="1"/>
    </xf>
    <xf numFmtId="0" fontId="11" fillId="0" borderId="2" xfId="0" applyFont="1" applyBorder="1" applyAlignment="1">
      <alignment horizontal="lef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shrinkToFit="1"/>
    </xf>
    <xf numFmtId="0" fontId="11" fillId="0" borderId="1" xfId="0" applyFont="1" applyBorder="1" applyAlignment="1">
      <alignment horizontal="left" vertical="center" shrinkToFit="1"/>
    </xf>
    <xf numFmtId="0" fontId="10" fillId="0" borderId="14"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16" xfId="2" applyFont="1" applyBorder="1" applyAlignment="1">
      <alignment horizontal="center" vertical="center" wrapText="1"/>
    </xf>
    <xf numFmtId="0" fontId="10" fillId="0" borderId="17" xfId="2" applyFont="1" applyBorder="1" applyAlignment="1">
      <alignment horizontal="center" vertical="center" wrapText="1"/>
    </xf>
    <xf numFmtId="0" fontId="10" fillId="0" borderId="1" xfId="2" applyFont="1" applyBorder="1" applyAlignment="1">
      <alignment horizontal="center" vertical="center" wrapText="1"/>
    </xf>
    <xf numFmtId="0" fontId="10" fillId="0" borderId="18" xfId="2" applyFont="1" applyBorder="1" applyAlignment="1">
      <alignment horizontal="center" vertical="center" wrapText="1"/>
    </xf>
    <xf numFmtId="0" fontId="10" fillId="0" borderId="19" xfId="2" applyFont="1" applyBorder="1" applyAlignment="1">
      <alignment horizontal="center" vertical="center" wrapText="1"/>
    </xf>
    <xf numFmtId="0" fontId="10" fillId="0" borderId="20" xfId="2" applyFont="1" applyBorder="1" applyAlignment="1">
      <alignment horizontal="center" vertical="center" wrapText="1"/>
    </xf>
    <xf numFmtId="0" fontId="10" fillId="0" borderId="21" xfId="2" applyFont="1" applyBorder="1" applyAlignment="1">
      <alignment horizontal="center" vertical="center" wrapText="1"/>
    </xf>
    <xf numFmtId="0" fontId="11" fillId="0" borderId="30"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1"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31" xfId="0" applyFont="1" applyBorder="1" applyAlignment="1">
      <alignment horizontal="center" vertical="center" wrapText="1"/>
    </xf>
    <xf numFmtId="0" fontId="10" fillId="0" borderId="4" xfId="0" applyFont="1" applyBorder="1" applyAlignment="1">
      <alignment horizontal="center" vertical="center" shrinkToFit="1"/>
    </xf>
    <xf numFmtId="0" fontId="10" fillId="0" borderId="5" xfId="0" applyFont="1" applyBorder="1" applyAlignment="1">
      <alignment horizontal="center" vertical="center" shrinkToFi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1" fillId="0" borderId="5" xfId="0" applyFont="1" applyBorder="1" applyAlignment="1">
      <alignment horizontal="left" vertical="center" shrinkToFit="1"/>
    </xf>
    <xf numFmtId="0" fontId="10" fillId="0" borderId="5" xfId="0" applyFont="1" applyBorder="1" applyAlignment="1">
      <alignment horizontal="left" vertical="center" wrapText="1"/>
    </xf>
    <xf numFmtId="0" fontId="10" fillId="0" borderId="31" xfId="0" applyFont="1" applyBorder="1" applyAlignment="1">
      <alignment horizontal="left" vertical="center" wrapText="1"/>
    </xf>
    <xf numFmtId="0" fontId="11" fillId="0" borderId="5" xfId="0" applyFont="1" applyBorder="1" applyAlignment="1">
      <alignment horizontal="left" vertical="center" wrapText="1"/>
    </xf>
    <xf numFmtId="0" fontId="10" fillId="0" borderId="5" xfId="0" applyFont="1" applyBorder="1" applyAlignment="1">
      <alignment horizontal="left" vertical="center" shrinkToFit="1"/>
    </xf>
    <xf numFmtId="0" fontId="10" fillId="0" borderId="31" xfId="0" applyFont="1" applyBorder="1" applyAlignment="1">
      <alignment horizontal="left" vertical="center" shrinkToFit="1"/>
    </xf>
    <xf numFmtId="0" fontId="10" fillId="0" borderId="31" xfId="0" applyFont="1" applyBorder="1" applyAlignment="1">
      <alignment horizontal="center" vertical="center" shrinkToFit="1"/>
    </xf>
    <xf numFmtId="0" fontId="11" fillId="0" borderId="33"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31" xfId="0" applyFont="1" applyBorder="1" applyAlignment="1">
      <alignment horizontal="center" vertical="center" shrinkToFit="1"/>
    </xf>
    <xf numFmtId="0" fontId="11" fillId="0" borderId="46"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32" xfId="2" applyFont="1" applyBorder="1" applyAlignment="1">
      <alignment horizontal="center" vertical="center" wrapText="1"/>
    </xf>
    <xf numFmtId="0" fontId="11" fillId="0" borderId="8"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31" xfId="2" applyFont="1" applyBorder="1" applyAlignment="1">
      <alignment horizontal="center" vertical="center" wrapText="1"/>
    </xf>
    <xf numFmtId="0" fontId="10" fillId="0" borderId="12" xfId="0" applyFont="1" applyBorder="1" applyAlignment="1">
      <alignment horizontal="center" vertical="center" shrinkToFit="1"/>
    </xf>
    <xf numFmtId="0" fontId="10" fillId="0" borderId="7" xfId="0" applyFont="1" applyBorder="1" applyAlignment="1">
      <alignment horizontal="center" vertical="center" shrinkToFit="1"/>
    </xf>
    <xf numFmtId="0" fontId="10" fillId="0" borderId="13" xfId="0" applyFont="1" applyBorder="1" applyAlignment="1">
      <alignment horizontal="center" vertical="center" shrinkToFit="1"/>
    </xf>
    <xf numFmtId="0" fontId="10" fillId="0" borderId="6" xfId="0" applyFont="1" applyBorder="1" applyAlignment="1">
      <alignment horizontal="center" vertical="center" shrinkToFit="1"/>
    </xf>
    <xf numFmtId="0" fontId="10" fillId="0" borderId="8"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35" xfId="0" applyFont="1" applyBorder="1" applyAlignment="1">
      <alignment horizontal="left" vertical="center" wrapText="1"/>
    </xf>
    <xf numFmtId="0" fontId="10" fillId="0" borderId="36" xfId="0" applyFont="1" applyBorder="1" applyAlignment="1">
      <alignment horizontal="left" vertical="center" wrapText="1"/>
    </xf>
    <xf numFmtId="0" fontId="10" fillId="0" borderId="37" xfId="0" applyFont="1" applyBorder="1" applyAlignment="1">
      <alignment horizontal="left" vertical="center" wrapText="1"/>
    </xf>
    <xf numFmtId="0" fontId="11" fillId="0" borderId="2" xfId="0" applyFont="1" applyBorder="1" applyAlignment="1">
      <alignment horizontal="center" vertical="center" wrapText="1"/>
    </xf>
    <xf numFmtId="0" fontId="10" fillId="0" borderId="2" xfId="0" applyFont="1" applyBorder="1" applyAlignment="1">
      <alignment horizontal="left" vertical="center" shrinkToFit="1"/>
    </xf>
    <xf numFmtId="0" fontId="10" fillId="0" borderId="2" xfId="0" applyFont="1" applyBorder="1" applyAlignment="1">
      <alignment horizontal="left" vertical="center" wrapText="1"/>
    </xf>
    <xf numFmtId="0" fontId="11" fillId="0" borderId="6" xfId="2" applyFont="1" applyBorder="1" applyAlignment="1">
      <alignment horizontal="center" vertical="center" wrapText="1"/>
    </xf>
    <xf numFmtId="0" fontId="11" fillId="0" borderId="2" xfId="2" applyFont="1" applyBorder="1" applyAlignment="1">
      <alignment horizontal="center" vertical="center" wrapText="1"/>
    </xf>
    <xf numFmtId="0" fontId="11" fillId="0" borderId="4"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6"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1"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8" xfId="0" applyFont="1" applyBorder="1" applyAlignment="1">
      <alignment horizontal="left" vertical="center" wrapText="1"/>
    </xf>
    <xf numFmtId="0" fontId="11" fillId="0" borderId="30" xfId="2" applyFont="1" applyBorder="1" applyAlignment="1">
      <alignment horizontal="center" vertical="center" wrapText="1"/>
    </xf>
    <xf numFmtId="0" fontId="11" fillId="0" borderId="0" xfId="2" applyFont="1" applyAlignment="1">
      <alignment horizontal="center" vertical="center" wrapText="1"/>
    </xf>
    <xf numFmtId="0" fontId="11" fillId="0" borderId="34" xfId="2" applyFont="1" applyBorder="1" applyAlignment="1">
      <alignment horizontal="center" vertical="center" wrapText="1"/>
    </xf>
    <xf numFmtId="0" fontId="10" fillId="0" borderId="15" xfId="0" applyFont="1" applyBorder="1" applyAlignment="1">
      <alignment horizontal="center"/>
    </xf>
    <xf numFmtId="0" fontId="10" fillId="0" borderId="16" xfId="0" applyFont="1" applyBorder="1" applyAlignment="1">
      <alignment horizontal="center"/>
    </xf>
    <xf numFmtId="0" fontId="10" fillId="0" borderId="12"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32"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45" xfId="0" applyFont="1" applyBorder="1" applyAlignment="1">
      <alignment horizontal="center" vertical="center" shrinkToFit="1"/>
    </xf>
    <xf numFmtId="0" fontId="10" fillId="0" borderId="4" xfId="0" applyFont="1" applyBorder="1" applyAlignment="1">
      <alignment horizontal="left" vertical="center" shrinkToFit="1"/>
    </xf>
    <xf numFmtId="0" fontId="10" fillId="0" borderId="1" xfId="0" applyFont="1" applyBorder="1" applyAlignment="1">
      <alignment horizontal="left" vertical="center" shrinkToFit="1"/>
    </xf>
    <xf numFmtId="0" fontId="10" fillId="0" borderId="18" xfId="0" applyFont="1" applyBorder="1" applyAlignment="1">
      <alignment horizontal="left" vertical="center" shrinkToFit="1"/>
    </xf>
    <xf numFmtId="0" fontId="11" fillId="0" borderId="46" xfId="0" applyFont="1" applyBorder="1" applyAlignment="1">
      <alignment horizontal="center"/>
    </xf>
    <xf numFmtId="0" fontId="11" fillId="0" borderId="15" xfId="0" applyFont="1" applyBorder="1" applyAlignment="1">
      <alignment horizontal="center"/>
    </xf>
    <xf numFmtId="0" fontId="10" fillId="0" borderId="3" xfId="0" applyFont="1" applyBorder="1" applyAlignment="1">
      <alignment horizontal="center" vertical="center" shrinkToFit="1"/>
    </xf>
    <xf numFmtId="164" fontId="10" fillId="0" borderId="3" xfId="0" quotePrefix="1" applyNumberFormat="1" applyFont="1" applyBorder="1" applyAlignment="1">
      <alignment horizontal="center" vertical="center" shrinkToFit="1"/>
    </xf>
    <xf numFmtId="0" fontId="10" fillId="0" borderId="40" xfId="0" applyFont="1" applyBorder="1" applyAlignment="1">
      <alignment horizontal="center"/>
    </xf>
    <xf numFmtId="0" fontId="10" fillId="0" borderId="41" xfId="0" applyFont="1" applyBorder="1" applyAlignment="1">
      <alignment horizontal="center"/>
    </xf>
    <xf numFmtId="0" fontId="10" fillId="0" borderId="42" xfId="0" applyFont="1" applyBorder="1" applyAlignment="1">
      <alignment horizontal="center"/>
    </xf>
    <xf numFmtId="0" fontId="11" fillId="0" borderId="41" xfId="0" applyFont="1" applyBorder="1" applyAlignment="1">
      <alignment horizontal="center"/>
    </xf>
    <xf numFmtId="0" fontId="10" fillId="0" borderId="1" xfId="0" applyFont="1" applyBorder="1" applyAlignment="1">
      <alignment horizontal="center"/>
    </xf>
    <xf numFmtId="0" fontId="10" fillId="0" borderId="18" xfId="0" applyFont="1" applyBorder="1" applyAlignment="1">
      <alignment horizontal="center"/>
    </xf>
    <xf numFmtId="0" fontId="11" fillId="0" borderId="7" xfId="2" applyFont="1" applyBorder="1" applyAlignment="1">
      <alignment horizontal="center" vertical="center" wrapText="1"/>
    </xf>
    <xf numFmtId="0" fontId="11" fillId="0" borderId="39" xfId="2" applyFont="1" applyBorder="1" applyAlignment="1">
      <alignment horizontal="center" vertical="center" wrapText="1"/>
    </xf>
    <xf numFmtId="0" fontId="10" fillId="0" borderId="13" xfId="0" applyFont="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shrinkToFit="1"/>
    </xf>
    <xf numFmtId="0" fontId="10" fillId="0" borderId="31" xfId="0" applyFont="1" applyBorder="1" applyAlignment="1">
      <alignment horizontal="left" vertical="center" wrapText="1" shrinkToFi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31" xfId="0" applyFont="1" applyBorder="1" applyAlignment="1">
      <alignment horizontal="center" vertical="center"/>
    </xf>
    <xf numFmtId="0" fontId="10" fillId="0" borderId="10" xfId="0" applyFont="1" applyBorder="1" applyAlignment="1">
      <alignment horizontal="center" vertical="center" wrapText="1"/>
    </xf>
    <xf numFmtId="0" fontId="11" fillId="0" borderId="9" xfId="0" applyFont="1" applyBorder="1" applyAlignment="1">
      <alignment horizontal="center" vertical="center" shrinkToFit="1"/>
    </xf>
    <xf numFmtId="0" fontId="10" fillId="0" borderId="1" xfId="0" applyFont="1" applyBorder="1" applyAlignment="1">
      <alignment vertical="center" wrapText="1"/>
    </xf>
    <xf numFmtId="0" fontId="10" fillId="0" borderId="18" xfId="0" applyFont="1" applyBorder="1" applyAlignment="1">
      <alignment vertical="center" wrapText="1"/>
    </xf>
    <xf numFmtId="0" fontId="10" fillId="0" borderId="1" xfId="0" applyFont="1" applyBorder="1" applyAlignment="1">
      <alignment vertical="center" shrinkToFit="1"/>
    </xf>
    <xf numFmtId="0" fontId="10" fillId="0" borderId="18" xfId="0" applyFont="1" applyBorder="1" applyAlignment="1">
      <alignment vertical="center" shrinkToFit="1"/>
    </xf>
    <xf numFmtId="0" fontId="11" fillId="0" borderId="2" xfId="0" applyFont="1" applyBorder="1" applyAlignment="1">
      <alignment vertical="center" wrapText="1"/>
    </xf>
    <xf numFmtId="0" fontId="11" fillId="0" borderId="1" xfId="0" applyFont="1" applyBorder="1" applyAlignment="1">
      <alignment vertical="center" wrapText="1"/>
    </xf>
    <xf numFmtId="0" fontId="11" fillId="0" borderId="2" xfId="0" applyFont="1" applyBorder="1" applyAlignment="1">
      <alignment vertical="center" shrinkToFit="1"/>
    </xf>
    <xf numFmtId="0" fontId="11" fillId="0" borderId="1" xfId="0" applyFont="1" applyBorder="1" applyAlignment="1">
      <alignment vertical="center" shrinkToFit="1"/>
    </xf>
    <xf numFmtId="0" fontId="10" fillId="0" borderId="30" xfId="2" applyFont="1" applyBorder="1" applyAlignment="1">
      <alignment horizontal="left" vertical="center" wrapText="1"/>
    </xf>
    <xf numFmtId="0" fontId="10" fillId="0" borderId="0" xfId="2" applyFont="1" applyAlignment="1">
      <alignment horizontal="left" vertical="center" wrapText="1"/>
    </xf>
    <xf numFmtId="0" fontId="10" fillId="0" borderId="34" xfId="2" applyFont="1" applyBorder="1" applyAlignment="1">
      <alignment horizontal="left" vertical="center" wrapText="1"/>
    </xf>
    <xf numFmtId="0" fontId="10" fillId="0" borderId="4" xfId="2" applyFont="1" applyBorder="1" applyAlignment="1">
      <alignment horizontal="center" vertical="center" shrinkToFit="1"/>
    </xf>
    <xf numFmtId="0" fontId="10" fillId="0" borderId="5" xfId="2" applyFont="1" applyBorder="1" applyAlignment="1">
      <alignment horizontal="center" vertical="center" shrinkToFit="1"/>
    </xf>
    <xf numFmtId="0" fontId="10" fillId="0" borderId="31" xfId="2" applyFont="1" applyBorder="1" applyAlignment="1">
      <alignment horizontal="center" vertical="center" shrinkToFit="1"/>
    </xf>
    <xf numFmtId="0" fontId="10" fillId="0" borderId="4" xfId="2" applyFont="1" applyBorder="1" applyAlignment="1">
      <alignment horizontal="center" vertical="center" wrapText="1"/>
    </xf>
    <xf numFmtId="0" fontId="10" fillId="0" borderId="5" xfId="2" applyFont="1" applyBorder="1" applyAlignment="1">
      <alignment horizontal="center" vertical="center" wrapText="1"/>
    </xf>
    <xf numFmtId="0" fontId="10" fillId="0" borderId="31" xfId="2" applyFont="1" applyBorder="1" applyAlignment="1">
      <alignment horizontal="center" vertical="center" wrapText="1"/>
    </xf>
    <xf numFmtId="0" fontId="10" fillId="0" borderId="1" xfId="2" applyFont="1" applyBorder="1" applyAlignment="1">
      <alignment horizontal="left" vertical="center" indent="1" shrinkToFit="1"/>
    </xf>
    <xf numFmtId="0" fontId="10" fillId="0" borderId="4" xfId="2" applyFont="1" applyBorder="1" applyAlignment="1">
      <alignment horizontal="left" vertical="center" wrapText="1" indent="1"/>
    </xf>
    <xf numFmtId="0" fontId="10" fillId="0" borderId="5" xfId="2" applyFont="1" applyBorder="1" applyAlignment="1">
      <alignment horizontal="left" vertical="center" wrapText="1" indent="1"/>
    </xf>
    <xf numFmtId="0" fontId="10" fillId="0" borderId="31" xfId="2" applyFont="1" applyBorder="1" applyAlignment="1">
      <alignment horizontal="left" vertical="center" wrapText="1" indent="1"/>
    </xf>
    <xf numFmtId="0" fontId="10" fillId="0" borderId="2" xfId="2" applyFont="1" applyBorder="1" applyAlignment="1">
      <alignment horizontal="center" vertical="center" wrapText="1"/>
    </xf>
    <xf numFmtId="0" fontId="10" fillId="0" borderId="35" xfId="2" applyFont="1" applyBorder="1" applyAlignment="1">
      <alignment horizontal="left" vertical="center" wrapText="1"/>
    </xf>
    <xf numFmtId="0" fontId="10" fillId="0" borderId="36" xfId="2" applyFont="1" applyBorder="1" applyAlignment="1">
      <alignment horizontal="left" vertical="center" wrapText="1"/>
    </xf>
    <xf numFmtId="0" fontId="10" fillId="0" borderId="37" xfId="2" applyFont="1" applyBorder="1" applyAlignment="1">
      <alignment horizontal="left" vertical="center" wrapText="1"/>
    </xf>
    <xf numFmtId="0" fontId="11" fillId="0" borderId="33" xfId="2" applyFont="1" applyBorder="1" applyAlignment="1">
      <alignment horizontal="center" vertical="center" wrapText="1"/>
    </xf>
    <xf numFmtId="0" fontId="10" fillId="0" borderId="38" xfId="2" applyFont="1" applyBorder="1" applyAlignment="1">
      <alignment horizontal="left" vertical="center" wrapText="1"/>
    </xf>
    <xf numFmtId="0" fontId="10" fillId="0" borderId="7" xfId="2" applyFont="1" applyBorder="1" applyAlignment="1">
      <alignment horizontal="left" vertical="center" wrapText="1"/>
    </xf>
    <xf numFmtId="0" fontId="10" fillId="0" borderId="39" xfId="2" applyFont="1" applyBorder="1" applyAlignment="1">
      <alignment horizontal="left" vertical="center" wrapText="1"/>
    </xf>
    <xf numFmtId="0" fontId="11" fillId="0" borderId="38" xfId="2" applyFont="1" applyBorder="1" applyAlignment="1">
      <alignment horizontal="center" vertical="center" wrapText="1"/>
    </xf>
    <xf numFmtId="0" fontId="11" fillId="0" borderId="17" xfId="2" applyFont="1" applyBorder="1" applyAlignment="1">
      <alignment horizontal="center" vertical="center" wrapText="1"/>
    </xf>
    <xf numFmtId="0" fontId="11" fillId="0" borderId="33" xfId="2" applyFont="1" applyBorder="1" applyAlignment="1">
      <alignment horizontal="center" vertical="center" shrinkToFit="1"/>
    </xf>
    <xf numFmtId="0" fontId="11" fillId="0" borderId="5" xfId="2" applyFont="1" applyBorder="1" applyAlignment="1">
      <alignment horizontal="center" vertical="center" shrinkToFit="1"/>
    </xf>
    <xf numFmtId="0" fontId="11" fillId="0" borderId="31" xfId="2" applyFont="1" applyBorder="1" applyAlignment="1">
      <alignment horizontal="center" vertical="center" shrinkToFit="1"/>
    </xf>
    <xf numFmtId="0" fontId="10" fillId="0" borderId="12" xfId="2" applyFont="1" applyBorder="1" applyAlignment="1">
      <alignment horizontal="center" vertical="center" shrinkToFit="1"/>
    </xf>
    <xf numFmtId="0" fontId="10" fillId="0" borderId="7" xfId="2" applyFont="1" applyBorder="1" applyAlignment="1">
      <alignment horizontal="center" vertical="center" shrinkToFit="1"/>
    </xf>
    <xf numFmtId="0" fontId="10" fillId="0" borderId="13" xfId="2" applyFont="1" applyBorder="1" applyAlignment="1">
      <alignment horizontal="center" vertical="center" shrinkToFit="1"/>
    </xf>
    <xf numFmtId="0" fontId="10" fillId="0" borderId="6" xfId="2" applyFont="1" applyBorder="1" applyAlignment="1">
      <alignment horizontal="center" vertical="center" shrinkToFit="1"/>
    </xf>
    <xf numFmtId="0" fontId="10" fillId="0" borderId="8" xfId="2" applyFont="1" applyBorder="1" applyAlignment="1">
      <alignment horizontal="center" vertical="center" shrinkToFit="1"/>
    </xf>
    <xf numFmtId="0" fontId="10" fillId="0" borderId="9" xfId="2" applyFont="1" applyBorder="1" applyAlignment="1">
      <alignment horizontal="center" vertical="center" shrinkToFit="1"/>
    </xf>
    <xf numFmtId="0" fontId="11" fillId="0" borderId="46" xfId="2" applyFont="1" applyBorder="1" applyAlignment="1">
      <alignment horizontal="center" vertical="center" wrapText="1"/>
    </xf>
    <xf numFmtId="0" fontId="11" fillId="0" borderId="15" xfId="2" applyFont="1" applyBorder="1" applyAlignment="1">
      <alignment horizontal="center" vertical="center" wrapText="1"/>
    </xf>
    <xf numFmtId="0" fontId="10" fillId="0" borderId="2" xfId="2" applyFont="1" applyBorder="1" applyAlignment="1">
      <alignment horizontal="center" vertical="center" shrinkToFit="1"/>
    </xf>
    <xf numFmtId="0" fontId="10" fillId="0" borderId="1" xfId="2" applyFont="1" applyBorder="1" applyAlignment="1">
      <alignment horizontal="center" vertical="center" shrinkToFit="1"/>
    </xf>
    <xf numFmtId="0" fontId="10" fillId="0" borderId="18" xfId="2" applyFont="1" applyBorder="1" applyAlignment="1">
      <alignment horizontal="center" vertical="center" shrinkToFit="1"/>
    </xf>
    <xf numFmtId="0" fontId="10" fillId="0" borderId="12" xfId="2" applyFont="1" applyBorder="1" applyAlignment="1">
      <alignment horizontal="center" vertical="center" wrapText="1"/>
    </xf>
    <xf numFmtId="0" fontId="10" fillId="0" borderId="7"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0" xfId="2" applyFont="1" applyAlignment="1">
      <alignment horizontal="center" vertical="center" wrapText="1"/>
    </xf>
    <xf numFmtId="0" fontId="10" fillId="0" borderId="6" xfId="2" applyFont="1" applyBorder="1" applyAlignment="1">
      <alignment horizontal="center" vertical="center" wrapText="1"/>
    </xf>
    <xf numFmtId="0" fontId="10" fillId="0" borderId="8" xfId="2" applyFont="1" applyBorder="1" applyAlignment="1">
      <alignment horizontal="center" vertical="center" wrapText="1"/>
    </xf>
    <xf numFmtId="0" fontId="11" fillId="0" borderId="5" xfId="2" applyFont="1" applyBorder="1" applyAlignment="1">
      <alignment horizontal="left" vertical="center" wrapText="1"/>
    </xf>
    <xf numFmtId="0" fontId="10" fillId="0" borderId="5" xfId="2" applyFont="1" applyBorder="1" applyAlignment="1">
      <alignment horizontal="left" vertical="center" shrinkToFit="1"/>
    </xf>
    <xf numFmtId="0" fontId="10" fillId="0" borderId="31" xfId="2" applyFont="1" applyBorder="1" applyAlignment="1">
      <alignment horizontal="left" vertical="center" shrinkToFit="1"/>
    </xf>
    <xf numFmtId="0" fontId="11" fillId="0" borderId="5" xfId="2" applyFont="1" applyBorder="1" applyAlignment="1">
      <alignment horizontal="left" vertical="center" shrinkToFit="1"/>
    </xf>
    <xf numFmtId="0" fontId="10" fillId="0" borderId="5" xfId="2" applyFont="1" applyBorder="1" applyAlignment="1">
      <alignment horizontal="left" vertical="center" wrapText="1"/>
    </xf>
    <xf numFmtId="0" fontId="10" fillId="0" borderId="31" xfId="2" applyFont="1" applyBorder="1" applyAlignment="1">
      <alignment horizontal="left" vertical="center" wrapText="1"/>
    </xf>
    <xf numFmtId="164" fontId="10" fillId="0" borderId="1" xfId="2" quotePrefix="1" applyNumberFormat="1" applyFont="1" applyBorder="1" applyAlignment="1">
      <alignment horizontal="center" vertical="center" shrinkToFit="1"/>
    </xf>
    <xf numFmtId="0" fontId="17" fillId="0" borderId="35"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39" xfId="0" applyFont="1" applyBorder="1" applyAlignment="1">
      <alignment horizontal="center" vertical="center" wrapText="1"/>
    </xf>
    <xf numFmtId="0" fontId="20" fillId="0" borderId="17" xfId="2" applyFont="1" applyBorder="1" applyAlignment="1">
      <alignment horizontal="center" vertical="center" wrapText="1"/>
    </xf>
    <xf numFmtId="0" fontId="20" fillId="0" borderId="1" xfId="2" applyFont="1" applyBorder="1" applyAlignment="1">
      <alignment horizontal="center" vertical="center" wrapText="1"/>
    </xf>
    <xf numFmtId="0" fontId="20" fillId="0" borderId="18" xfId="2" applyFont="1" applyBorder="1" applyAlignment="1">
      <alignment horizontal="center" vertical="center" wrapText="1"/>
    </xf>
    <xf numFmtId="0" fontId="15" fillId="0" borderId="38" xfId="2" applyFont="1" applyBorder="1" applyAlignment="1">
      <alignment horizontal="left" vertical="top" wrapText="1"/>
    </xf>
    <xf numFmtId="0" fontId="15" fillId="0" borderId="7" xfId="2" applyFont="1" applyBorder="1" applyAlignment="1">
      <alignment horizontal="left" vertical="top" wrapText="1"/>
    </xf>
    <xf numFmtId="0" fontId="15" fillId="0" borderId="39" xfId="2" applyFont="1" applyBorder="1" applyAlignment="1">
      <alignment horizontal="left" vertical="top" wrapText="1"/>
    </xf>
    <xf numFmtId="0" fontId="15" fillId="0" borderId="4" xfId="2" applyFont="1" applyBorder="1" applyAlignment="1">
      <alignment horizontal="left" vertical="center" wrapText="1" indent="2"/>
    </xf>
    <xf numFmtId="0" fontId="15" fillId="0" borderId="5" xfId="2" applyFont="1" applyBorder="1" applyAlignment="1">
      <alignment horizontal="left" vertical="center" wrapText="1" indent="2"/>
    </xf>
    <xf numFmtId="0" fontId="15" fillId="0" borderId="31" xfId="2" applyFont="1" applyBorder="1" applyAlignment="1">
      <alignment horizontal="left" vertical="center" wrapText="1" indent="2"/>
    </xf>
    <xf numFmtId="0" fontId="15" fillId="0" borderId="30" xfId="2" applyFont="1" applyBorder="1" applyAlignment="1">
      <alignment horizontal="left" vertical="top" wrapText="1"/>
    </xf>
    <xf numFmtId="0" fontId="15" fillId="0" borderId="0" xfId="2" applyFont="1" applyAlignment="1">
      <alignment horizontal="left" vertical="top" wrapText="1"/>
    </xf>
    <xf numFmtId="0" fontId="15" fillId="0" borderId="34" xfId="2" applyFont="1" applyBorder="1" applyAlignment="1">
      <alignment horizontal="left" vertical="top" wrapText="1"/>
    </xf>
    <xf numFmtId="0" fontId="15" fillId="0" borderId="35" xfId="2" applyFont="1" applyBorder="1" applyAlignment="1">
      <alignment horizontal="left" vertical="top" wrapText="1"/>
    </xf>
    <xf numFmtId="0" fontId="15" fillId="0" borderId="36" xfId="2" applyFont="1" applyBorder="1" applyAlignment="1">
      <alignment horizontal="left" vertical="top" wrapText="1"/>
    </xf>
    <xf numFmtId="0" fontId="15" fillId="0" borderId="37" xfId="2" applyFont="1" applyBorder="1" applyAlignment="1">
      <alignment horizontal="left" vertical="top" wrapText="1"/>
    </xf>
    <xf numFmtId="0" fontId="15" fillId="0" borderId="4" xfId="2" applyFont="1" applyBorder="1" applyAlignment="1">
      <alignment horizontal="center" vertical="center" wrapText="1"/>
    </xf>
    <xf numFmtId="0" fontId="15" fillId="0" borderId="5" xfId="2" applyFont="1" applyBorder="1" applyAlignment="1">
      <alignment horizontal="center" vertical="center" wrapText="1"/>
    </xf>
    <xf numFmtId="0" fontId="15" fillId="0" borderId="31" xfId="2" applyFont="1" applyBorder="1" applyAlignment="1">
      <alignment horizontal="center" vertical="center" wrapText="1"/>
    </xf>
    <xf numFmtId="0" fontId="15" fillId="0" borderId="17" xfId="2" applyFont="1" applyBorder="1" applyAlignment="1">
      <alignment horizontal="center" vertical="center" wrapText="1"/>
    </xf>
    <xf numFmtId="0" fontId="15" fillId="0" borderId="1" xfId="2" applyFont="1" applyBorder="1" applyAlignment="1">
      <alignment horizontal="center" vertical="center" wrapText="1"/>
    </xf>
    <xf numFmtId="0" fontId="15" fillId="0" borderId="18" xfId="2" applyFont="1" applyBorder="1" applyAlignment="1">
      <alignment horizontal="center" vertical="center" wrapText="1"/>
    </xf>
    <xf numFmtId="0" fontId="15" fillId="0" borderId="33" xfId="2" applyFont="1" applyBorder="1" applyAlignment="1">
      <alignment horizontal="center" vertical="center" wrapText="1"/>
    </xf>
    <xf numFmtId="0" fontId="10" fillId="0" borderId="4" xfId="2" applyFont="1" applyBorder="1" applyAlignment="1">
      <alignment horizontal="left" vertical="center" wrapText="1" indent="2"/>
    </xf>
    <xf numFmtId="0" fontId="10" fillId="0" borderId="5" xfId="2" applyFont="1" applyBorder="1" applyAlignment="1">
      <alignment horizontal="left" vertical="center" wrapText="1" indent="2"/>
    </xf>
    <xf numFmtId="0" fontId="10" fillId="0" borderId="31" xfId="2" applyFont="1" applyBorder="1" applyAlignment="1">
      <alignment horizontal="left" vertical="center" wrapText="1" indent="2"/>
    </xf>
    <xf numFmtId="0" fontId="15" fillId="0" borderId="12" xfId="2" applyFont="1" applyBorder="1" applyAlignment="1">
      <alignment horizontal="center" vertical="center" shrinkToFit="1"/>
    </xf>
    <xf numFmtId="0" fontId="15" fillId="0" borderId="7" xfId="2" applyFont="1" applyBorder="1" applyAlignment="1">
      <alignment horizontal="center" vertical="center" shrinkToFit="1"/>
    </xf>
    <xf numFmtId="0" fontId="15" fillId="0" borderId="39" xfId="2" applyFont="1" applyBorder="1" applyAlignment="1">
      <alignment horizontal="center" vertical="center" shrinkToFit="1"/>
    </xf>
    <xf numFmtId="0" fontId="15" fillId="0" borderId="6" xfId="2" applyFont="1" applyBorder="1" applyAlignment="1">
      <alignment horizontal="center" vertical="center" shrinkToFit="1"/>
    </xf>
    <xf numFmtId="0" fontId="15" fillId="0" borderId="8" xfId="2" applyFont="1" applyBorder="1" applyAlignment="1">
      <alignment horizontal="center" vertical="center" shrinkToFit="1"/>
    </xf>
    <xf numFmtId="0" fontId="15" fillId="0" borderId="45" xfId="2" applyFont="1" applyBorder="1" applyAlignment="1">
      <alignment horizontal="center" vertical="center" shrinkToFit="1"/>
    </xf>
    <xf numFmtId="0" fontId="15" fillId="0" borderId="4" xfId="2" applyFont="1" applyBorder="1" applyAlignment="1">
      <alignment horizontal="left" vertical="center" indent="2" shrinkToFit="1"/>
    </xf>
    <xf numFmtId="0" fontId="15" fillId="0" borderId="5" xfId="2" applyFont="1" applyBorder="1" applyAlignment="1">
      <alignment horizontal="left" vertical="center" indent="2" shrinkToFit="1"/>
    </xf>
    <xf numFmtId="0" fontId="15" fillId="0" borderId="31" xfId="2" applyFont="1" applyBorder="1" applyAlignment="1">
      <alignment horizontal="left" vertical="center" indent="2" shrinkToFit="1"/>
    </xf>
  </cellXfs>
  <cellStyles count="11">
    <cellStyle name="Hyperlink" xfId="8" builtinId="8"/>
    <cellStyle name="Normal" xfId="0" builtinId="0"/>
    <cellStyle name="Normal 2" xfId="1" xr:uid="{00000000-0005-0000-0000-000001000000}"/>
    <cellStyle name="Normal 2 2" xfId="2" xr:uid="{00000000-0005-0000-0000-000002000000}"/>
    <cellStyle name="Normal 2 3" xfId="3" xr:uid="{00000000-0005-0000-0000-000003000000}"/>
    <cellStyle name="Normal 2 4" xfId="4" xr:uid="{00000000-0005-0000-0000-000004000000}"/>
    <cellStyle name="Normal 2 4 2" xfId="6" xr:uid="{00000000-0005-0000-0000-000005000000}"/>
    <cellStyle name="Normal 2 5" xfId="5" xr:uid="{00000000-0005-0000-0000-000006000000}"/>
    <cellStyle name="Normal 2 6 2" xfId="10" xr:uid="{9EA76EF3-4B6D-4CFB-9EE2-BEE0D8B5D83D}"/>
    <cellStyle name="Normal 3" xfId="7" xr:uid="{00000000-0005-0000-0000-000007000000}"/>
    <cellStyle name="Style 1" xfId="9" xr:uid="{69E24027-BD6E-4C71-AC49-9288870A8104}"/>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microsoft.com/office/2017/06/relationships/rdRichValue" Target="richData/rdrichvalue.xml"/><Relationship Id="rId89"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customXml" Target="../customXml/item3.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85"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microsoft.com/office/2022/10/relationships/richValueRel" Target="richData/richValueRel.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3.xml"/><Relationship Id="rId81" Type="http://schemas.openxmlformats.org/officeDocument/2006/relationships/sharedStrings" Target="sharedStrings.xml"/><Relationship Id="rId86"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sheetMetadata" Target="metadata.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9.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0.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6.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212911</xdr:colOff>
      <xdr:row>0</xdr:row>
      <xdr:rowOff>168088</xdr:rowOff>
    </xdr:from>
    <xdr:to>
      <xdr:col>4</xdr:col>
      <xdr:colOff>494565</xdr:colOff>
      <xdr:row>0</xdr:row>
      <xdr:rowOff>829235</xdr:rowOff>
    </xdr:to>
    <xdr:pic>
      <xdr:nvPicPr>
        <xdr:cNvPr id="2" name="Picture 1">
          <a:extLst>
            <a:ext uri="{FF2B5EF4-FFF2-40B4-BE49-F238E27FC236}">
              <a16:creationId xmlns:a16="http://schemas.microsoft.com/office/drawing/2014/main" id="{DBE26E38-3088-43D7-9E78-0CD128E351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470" y="168088"/>
          <a:ext cx="2343536" cy="6611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272143</xdr:colOff>
      <xdr:row>21</xdr:row>
      <xdr:rowOff>81643</xdr:rowOff>
    </xdr:from>
    <xdr:to>
      <xdr:col>15</xdr:col>
      <xdr:colOff>248925</xdr:colOff>
      <xdr:row>35</xdr:row>
      <xdr:rowOff>55210</xdr:rowOff>
    </xdr:to>
    <xdr:pic>
      <xdr:nvPicPr>
        <xdr:cNvPr id="2" name="Picture 1">
          <a:extLst>
            <a:ext uri="{FF2B5EF4-FFF2-40B4-BE49-F238E27FC236}">
              <a16:creationId xmlns:a16="http://schemas.microsoft.com/office/drawing/2014/main" id="{78C76200-8843-D975-E899-9CDB7B08ACEB}"/>
            </a:ext>
          </a:extLst>
        </xdr:cNvPr>
        <xdr:cNvPicPr>
          <a:picLocks noChangeAspect="1"/>
        </xdr:cNvPicPr>
      </xdr:nvPicPr>
      <xdr:blipFill>
        <a:blip xmlns:r="http://schemas.openxmlformats.org/officeDocument/2006/relationships" r:embed="rId1"/>
        <a:stretch>
          <a:fillRect/>
        </a:stretch>
      </xdr:blipFill>
      <xdr:spPr>
        <a:xfrm>
          <a:off x="952500" y="4041322"/>
          <a:ext cx="5106947" cy="24946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272143</xdr:colOff>
      <xdr:row>21</xdr:row>
      <xdr:rowOff>81643</xdr:rowOff>
    </xdr:from>
    <xdr:to>
      <xdr:col>15</xdr:col>
      <xdr:colOff>245115</xdr:colOff>
      <xdr:row>35</xdr:row>
      <xdr:rowOff>59020</xdr:rowOff>
    </xdr:to>
    <xdr:pic>
      <xdr:nvPicPr>
        <xdr:cNvPr id="2" name="Picture 1">
          <a:extLst>
            <a:ext uri="{FF2B5EF4-FFF2-40B4-BE49-F238E27FC236}">
              <a16:creationId xmlns:a16="http://schemas.microsoft.com/office/drawing/2014/main" id="{BD107FF3-8482-4412-A7DB-F28D723F7394}"/>
            </a:ext>
          </a:extLst>
        </xdr:cNvPr>
        <xdr:cNvPicPr>
          <a:picLocks noChangeAspect="1"/>
        </xdr:cNvPicPr>
      </xdr:nvPicPr>
      <xdr:blipFill>
        <a:blip xmlns:r="http://schemas.openxmlformats.org/officeDocument/2006/relationships" r:embed="rId1"/>
        <a:stretch>
          <a:fillRect/>
        </a:stretch>
      </xdr:blipFill>
      <xdr:spPr>
        <a:xfrm>
          <a:off x="959848" y="4045948"/>
          <a:ext cx="5042177" cy="24481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272143</xdr:colOff>
      <xdr:row>21</xdr:row>
      <xdr:rowOff>81643</xdr:rowOff>
    </xdr:from>
    <xdr:to>
      <xdr:col>15</xdr:col>
      <xdr:colOff>248925</xdr:colOff>
      <xdr:row>35</xdr:row>
      <xdr:rowOff>55210</xdr:rowOff>
    </xdr:to>
    <xdr:pic>
      <xdr:nvPicPr>
        <xdr:cNvPr id="2" name="Picture 1">
          <a:extLst>
            <a:ext uri="{FF2B5EF4-FFF2-40B4-BE49-F238E27FC236}">
              <a16:creationId xmlns:a16="http://schemas.microsoft.com/office/drawing/2014/main" id="{AA76C0AB-5070-432E-A517-4CFADA848940}"/>
            </a:ext>
          </a:extLst>
        </xdr:cNvPr>
        <xdr:cNvPicPr>
          <a:picLocks noChangeAspect="1"/>
        </xdr:cNvPicPr>
      </xdr:nvPicPr>
      <xdr:blipFill>
        <a:blip xmlns:r="http://schemas.openxmlformats.org/officeDocument/2006/relationships" r:embed="rId1"/>
        <a:stretch>
          <a:fillRect/>
        </a:stretch>
      </xdr:blipFill>
      <xdr:spPr>
        <a:xfrm>
          <a:off x="959848" y="4045948"/>
          <a:ext cx="5042177" cy="24481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272143</xdr:colOff>
      <xdr:row>21</xdr:row>
      <xdr:rowOff>81643</xdr:rowOff>
    </xdr:from>
    <xdr:to>
      <xdr:col>15</xdr:col>
      <xdr:colOff>248925</xdr:colOff>
      <xdr:row>35</xdr:row>
      <xdr:rowOff>55210</xdr:rowOff>
    </xdr:to>
    <xdr:pic>
      <xdr:nvPicPr>
        <xdr:cNvPr id="2" name="Picture 1">
          <a:extLst>
            <a:ext uri="{FF2B5EF4-FFF2-40B4-BE49-F238E27FC236}">
              <a16:creationId xmlns:a16="http://schemas.microsoft.com/office/drawing/2014/main" id="{0A414B07-BB8B-4C7C-B58A-EFA27324EBC7}"/>
            </a:ext>
          </a:extLst>
        </xdr:cNvPr>
        <xdr:cNvPicPr>
          <a:picLocks noChangeAspect="1"/>
        </xdr:cNvPicPr>
      </xdr:nvPicPr>
      <xdr:blipFill>
        <a:blip xmlns:r="http://schemas.openxmlformats.org/officeDocument/2006/relationships" r:embed="rId1"/>
        <a:stretch>
          <a:fillRect/>
        </a:stretch>
      </xdr:blipFill>
      <xdr:spPr>
        <a:xfrm>
          <a:off x="959848" y="3874498"/>
          <a:ext cx="5038367" cy="24519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272143</xdr:colOff>
      <xdr:row>21</xdr:row>
      <xdr:rowOff>81643</xdr:rowOff>
    </xdr:from>
    <xdr:to>
      <xdr:col>15</xdr:col>
      <xdr:colOff>245115</xdr:colOff>
      <xdr:row>35</xdr:row>
      <xdr:rowOff>59020</xdr:rowOff>
    </xdr:to>
    <xdr:pic>
      <xdr:nvPicPr>
        <xdr:cNvPr id="2" name="Picture 1">
          <a:extLst>
            <a:ext uri="{FF2B5EF4-FFF2-40B4-BE49-F238E27FC236}">
              <a16:creationId xmlns:a16="http://schemas.microsoft.com/office/drawing/2014/main" id="{EF14B7B3-B3AE-4648-89B1-FB0431D74C15}"/>
            </a:ext>
          </a:extLst>
        </xdr:cNvPr>
        <xdr:cNvPicPr>
          <a:picLocks noChangeAspect="1"/>
        </xdr:cNvPicPr>
      </xdr:nvPicPr>
      <xdr:blipFill>
        <a:blip xmlns:r="http://schemas.openxmlformats.org/officeDocument/2006/relationships" r:embed="rId1"/>
        <a:stretch>
          <a:fillRect/>
        </a:stretch>
      </xdr:blipFill>
      <xdr:spPr>
        <a:xfrm>
          <a:off x="959848" y="3874498"/>
          <a:ext cx="5042177" cy="24481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272143</xdr:colOff>
      <xdr:row>21</xdr:row>
      <xdr:rowOff>81643</xdr:rowOff>
    </xdr:from>
    <xdr:to>
      <xdr:col>15</xdr:col>
      <xdr:colOff>248925</xdr:colOff>
      <xdr:row>35</xdr:row>
      <xdr:rowOff>55210</xdr:rowOff>
    </xdr:to>
    <xdr:pic>
      <xdr:nvPicPr>
        <xdr:cNvPr id="2" name="Picture 1">
          <a:extLst>
            <a:ext uri="{FF2B5EF4-FFF2-40B4-BE49-F238E27FC236}">
              <a16:creationId xmlns:a16="http://schemas.microsoft.com/office/drawing/2014/main" id="{FB57C2E9-42ED-48CF-B392-86FA0FFA13BA}"/>
            </a:ext>
          </a:extLst>
        </xdr:cNvPr>
        <xdr:cNvPicPr>
          <a:picLocks noChangeAspect="1"/>
        </xdr:cNvPicPr>
      </xdr:nvPicPr>
      <xdr:blipFill>
        <a:blip xmlns:r="http://schemas.openxmlformats.org/officeDocument/2006/relationships" r:embed="rId1"/>
        <a:stretch>
          <a:fillRect/>
        </a:stretch>
      </xdr:blipFill>
      <xdr:spPr>
        <a:xfrm>
          <a:off x="959848" y="3874498"/>
          <a:ext cx="5038367" cy="24519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galleon.bumiarmada.com/Mechanical%20Engineering/General/Discipline%20Development/Standard%20Data%20Sheets/Unfired%20Pressure%20Vessel%20to%20ASME%20VIII/J8328A-M-DS-13502%20Datasheet%20-%20Expander%20Suction%20Drum/Expander%20Suction%20Drum%20datasheet%20Rev%20D1.xls?FCDB4DF4" TargetMode="External"/><Relationship Id="rId1" Type="http://schemas.openxmlformats.org/officeDocument/2006/relationships/externalLinkPath" Target="file:///\\FCDB4DF4\Expander%20Suction%20Drum%20datasheet%20Rev%20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b005sv1006\vealej$\GWMSDATA\DATA\J08328\A\10.0%20Mechanical\10.2%20-%20Data%20Sheets\J8328A-M-DS-13573%20Datasheet%20-%20Air%20Supply%20Package\J8328A-M-DS-13573-D2%20Data%20Sheet%20-%20Air%20Supply%20Packag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1.mwk.com/machinery/forms/datashts/Revised%20l551aeds%20New%20Log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Sheet 2"/>
      <sheetName val="Sheet 3"/>
      <sheetName val="Sheet 4"/>
      <sheetName val="Sheet 5"/>
      <sheetName val="Sheet 6"/>
      <sheetName val="Sheet 7"/>
      <sheetName val="Sheet 8"/>
      <sheetName val="Sheet 9"/>
      <sheetName val="Sheet 10"/>
      <sheetName val="Sheet 11"/>
      <sheetName val="Sheet 12"/>
      <sheetName val="Sheet 13"/>
      <sheetName val="Sheet 14"/>
      <sheetName val="Sheet 15"/>
      <sheetName val="Sheet 16"/>
      <sheetName val="Page 5 of 7"/>
      <sheetName val="Page 6 of 10"/>
      <sheetName val="RefTables"/>
      <sheetName val="A"/>
      <sheetName val="Sheet_1"/>
      <sheetName val="Sheet_2"/>
      <sheetName val="Sheet_3"/>
      <sheetName val="Sheet_4"/>
      <sheetName val="Sheet_5"/>
      <sheetName val="Sheet_6"/>
      <sheetName val="Sheet_7"/>
      <sheetName val="Sheet_8"/>
      <sheetName val="Sheet_9"/>
      <sheetName val="Sheet_10"/>
      <sheetName val="Sheet_11"/>
      <sheetName val="Sheet_12"/>
      <sheetName val="Sheet_13"/>
      <sheetName val="Sheet_14"/>
      <sheetName val="Sheet_15"/>
      <sheetName val="Sheet_16"/>
      <sheetName val="Sheet_17"/>
      <sheetName val="Sheet_21"/>
      <sheetName val="Sheet_31"/>
      <sheetName val="Sheet_41"/>
      <sheetName val="Sheet_51"/>
      <sheetName val="Sheet_61"/>
      <sheetName val="Sheet_71"/>
      <sheetName val="Sheet_81"/>
      <sheetName val="Sheet_91"/>
      <sheetName val="Sheet_101"/>
      <sheetName val="Sheet_111"/>
      <sheetName val="Sheet_121"/>
      <sheetName val="Sheet_131"/>
      <sheetName val="Sheet_141"/>
      <sheetName val="Sheet_151"/>
      <sheetName val="Sheet_161"/>
      <sheetName val="MDR"/>
      <sheetName val="Code Tables"/>
      <sheetName val="calca"/>
      <sheetName val="Main Worksheet"/>
      <sheetName val="page_5_of_7"/>
      <sheetName val="Page_6_of_10"/>
      <sheetName val="page_5_of_71"/>
      <sheetName val="Page_6_of_101"/>
      <sheetName val="J8328A-M-DS-13573-D2 Data Sheet"/>
      <sheetName val="Motor"/>
      <sheetName val="DEF"/>
      <sheetName val="New List"/>
      <sheetName val="WBSList"/>
      <sheetName val="RESUMO"/>
      <sheetName val="Quantity"/>
      <sheetName val="SOR CODE"/>
      <sheetName val="BQMPALOC"/>
      <sheetName val="1210"/>
      <sheetName val="Main_Worksheet"/>
      <sheetName val="Sheet_18"/>
      <sheetName val="Sheet_22"/>
      <sheetName val="Sheet_32"/>
      <sheetName val="Sheet_42"/>
      <sheetName val="Sheet_52"/>
      <sheetName val="Sheet_62"/>
      <sheetName val="Sheet_72"/>
      <sheetName val="Sheet_82"/>
      <sheetName val="Sheet_92"/>
      <sheetName val="Sheet_102"/>
      <sheetName val="Sheet_112"/>
      <sheetName val="Sheet_122"/>
      <sheetName val="Sheet_132"/>
      <sheetName val="Sheet_142"/>
      <sheetName val="Sheet_152"/>
      <sheetName val="Sheet_162"/>
      <sheetName val="Page_6_of_102"/>
      <sheetName val="Main_Worksheet1"/>
      <sheetName val="J8328A-M-DS-13573-D2_Data_Sheet"/>
      <sheetName val="New_List"/>
      <sheetName val="Code_Tables"/>
      <sheetName val="nozsch "/>
      <sheetName val="Sheet1"/>
      <sheetName val="E-1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Alternator"/>
      <sheetName val="Page_1"/>
      <sheetName val="Revised l551aeds New Logo"/>
      <sheetName val="BILAL2"/>
      <sheetName val="Pipe ID"/>
      <sheetName val="IA drier Page 1"/>
      <sheetName val="MECH1"/>
      <sheetName val="Air Cooler kPa"/>
      <sheetName val="Electrical Load List"/>
      <sheetName val="C-3204"/>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ipeSizes"/>
      <sheetName val="2STG"/>
      <sheetName val="DP"/>
      <sheetName val="DB_Gear"/>
      <sheetName val="DB_Master"/>
      <sheetName val="Fluids"/>
      <sheetName val="S0"/>
      <sheetName val="oil syst data shts"/>
      <sheetName val="AOP Summary-2"/>
      <sheetName val="Summary of BQ Material"/>
      <sheetName val="Satuan Dasar"/>
      <sheetName val="Calc"/>
      <sheetName val="Tank2"/>
      <sheetName val="Conn. Lib"/>
      <sheetName val="List Doc"/>
      <sheetName val="Material"/>
      <sheetName val="Works"/>
      <sheetName val="Services"/>
      <sheetName val="A(Rev.3)"/>
      <sheetName val="process data (2)"/>
      <sheetName val="Template"/>
      <sheetName val="STRUKTUR"/>
      <sheetName val="VLL BAFF SDLL"/>
      <sheetName val="Pages 1-5"/>
      <sheetName val="CMP_A2series_Gland"/>
      <sheetName val="Kukdong_Cable_data"/>
      <sheetName val="Scan Code Standards"/>
      <sheetName val="Page_12"/>
      <sheetName val="Assmpns"/>
      <sheetName val="Dist_analys"/>
      <sheetName val="subkon"/>
      <sheetName val="SELL-SUMM-COST"/>
      <sheetName val="노임단가"/>
      <sheetName val="Macro"/>
      <sheetName val="Taux"/>
      <sheetName val="Perm. Test"/>
      <sheetName val="HARGA MATERIAL"/>
      <sheetName val="Daf. An"/>
      <sheetName val="JADWAL"/>
      <sheetName val="A-ars"/>
      <sheetName val="name"/>
      <sheetName val="Pag_hal"/>
      <sheetName val="BAG-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54.v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55.v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vmlDrawing" Target="../drawings/vmlDrawing56.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vmlDrawing" Target="../drawings/vmlDrawing57.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vmlDrawing" Target="../drawings/vmlDrawing58.v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vmlDrawing" Target="../drawings/vmlDrawing59.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vmlDrawing" Target="../drawings/vmlDrawing60.v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vmlDrawing" Target="../drawings/vmlDrawing61.v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vmlDrawing" Target="../drawings/vmlDrawing62.v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vmlDrawing" Target="../drawings/vmlDrawing63.v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vmlDrawing" Target="../drawings/vmlDrawing64.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vmlDrawing" Target="../drawings/vmlDrawing65.v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vmlDrawing" Target="../drawings/vmlDrawing66.v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H77"/>
  <sheetViews>
    <sheetView view="pageBreakPreview" zoomScale="85" zoomScaleNormal="85" zoomScaleSheetLayoutView="85" workbookViewId="0">
      <selection activeCell="A31" sqref="A31"/>
    </sheetView>
  </sheetViews>
  <sheetFormatPr defaultColWidth="8.85546875" defaultRowHeight="15"/>
  <cols>
    <col min="1" max="1" width="4.5703125" style="44" customWidth="1"/>
    <col min="2" max="2" width="7.28515625" style="44" customWidth="1"/>
    <col min="3" max="3" width="12.7109375" style="44" customWidth="1"/>
    <col min="4" max="4" width="11" style="44" customWidth="1"/>
    <col min="5" max="5" width="20.28515625" style="44" bestFit="1" customWidth="1"/>
    <col min="6" max="6" width="13.85546875" style="44" customWidth="1"/>
    <col min="7" max="7" width="52.7109375" style="22" customWidth="1"/>
    <col min="8" max="8" width="16.7109375" style="44" bestFit="1" customWidth="1"/>
    <col min="9" max="9" width="17.28515625" style="44" bestFit="1" customWidth="1"/>
    <col min="10" max="10" width="9.42578125" style="44" customWidth="1"/>
    <col min="11" max="11" width="7.7109375" style="44" customWidth="1"/>
    <col min="12" max="12" width="13.5703125" style="44" customWidth="1"/>
    <col min="13" max="15" width="1.42578125" style="44" customWidth="1"/>
    <col min="16" max="16" width="1.5703125" style="44" customWidth="1"/>
    <col min="17" max="18" width="23.7109375" style="44" customWidth="1"/>
    <col min="19" max="19" width="42.28515625" style="44" customWidth="1"/>
    <col min="20" max="30" width="10.140625" style="44" customWidth="1"/>
    <col min="31" max="31" width="8.5703125" style="1" customWidth="1"/>
    <col min="32" max="32" width="8.85546875" style="1" customWidth="1"/>
    <col min="33" max="33" width="8.85546875" style="5" customWidth="1"/>
    <col min="34" max="34" width="8.85546875" style="1" customWidth="1"/>
    <col min="35" max="16384" width="8.85546875" style="1"/>
  </cols>
  <sheetData>
    <row r="1" spans="1:34" ht="89.45" customHeight="1" thickBot="1">
      <c r="A1" s="95"/>
      <c r="B1" s="96"/>
      <c r="C1" s="96"/>
      <c r="D1" s="96"/>
      <c r="E1" s="97"/>
      <c r="F1" s="93" t="s">
        <v>0</v>
      </c>
      <c r="G1" s="93"/>
      <c r="H1" s="93"/>
      <c r="I1" s="93"/>
      <c r="J1" s="94"/>
      <c r="K1" s="43"/>
      <c r="L1" s="44">
        <v>11</v>
      </c>
      <c r="Q1" s="44">
        <v>16</v>
      </c>
      <c r="R1" s="44">
        <v>17</v>
      </c>
      <c r="S1" s="44">
        <v>18</v>
      </c>
      <c r="T1" s="44">
        <v>19</v>
      </c>
      <c r="U1" s="44">
        <v>20</v>
      </c>
      <c r="V1" s="44">
        <v>21</v>
      </c>
      <c r="W1" s="44">
        <v>22</v>
      </c>
      <c r="X1" s="44">
        <v>23</v>
      </c>
      <c r="Y1" s="44">
        <v>24</v>
      </c>
      <c r="Z1" s="44">
        <v>25</v>
      </c>
      <c r="AA1" s="44">
        <v>26</v>
      </c>
      <c r="AB1" s="44">
        <v>27</v>
      </c>
      <c r="AC1" s="44">
        <v>28</v>
      </c>
      <c r="AD1" s="44">
        <v>29</v>
      </c>
      <c r="AE1" s="44">
        <v>30</v>
      </c>
      <c r="AF1" s="44">
        <v>31</v>
      </c>
      <c r="AG1" s="44">
        <v>32</v>
      </c>
      <c r="AH1" s="44">
        <v>33</v>
      </c>
    </row>
    <row r="2" spans="1:34" s="48" customFormat="1" ht="57.6" customHeight="1">
      <c r="A2" s="45" t="s">
        <v>1</v>
      </c>
      <c r="B2" s="46" t="s">
        <v>2</v>
      </c>
      <c r="C2" s="46" t="s">
        <v>3</v>
      </c>
      <c r="D2" s="46" t="s">
        <v>4</v>
      </c>
      <c r="E2" s="46" t="s">
        <v>5</v>
      </c>
      <c r="F2" s="46" t="s">
        <v>6</v>
      </c>
      <c r="G2" s="46" t="s">
        <v>7</v>
      </c>
      <c r="H2" s="46" t="s">
        <v>8</v>
      </c>
      <c r="I2" s="46" t="s">
        <v>9</v>
      </c>
      <c r="J2" s="63" t="s">
        <v>10</v>
      </c>
      <c r="K2" s="47"/>
      <c r="L2" s="42" t="s">
        <v>11</v>
      </c>
      <c r="M2" s="42"/>
      <c r="N2" s="42"/>
      <c r="O2" s="42"/>
      <c r="P2" s="42"/>
      <c r="Q2" s="42" t="s">
        <v>12</v>
      </c>
      <c r="R2" s="42" t="s">
        <v>13</v>
      </c>
      <c r="S2" s="42" t="s">
        <v>14</v>
      </c>
      <c r="T2" s="42" t="s">
        <v>15</v>
      </c>
      <c r="U2" s="21">
        <v>38</v>
      </c>
      <c r="V2" s="21">
        <v>50</v>
      </c>
      <c r="W2" s="21">
        <v>100</v>
      </c>
      <c r="X2" s="21">
        <v>150</v>
      </c>
      <c r="Y2" s="21">
        <v>200</v>
      </c>
      <c r="Z2" s="21">
        <v>250</v>
      </c>
      <c r="AA2" s="21">
        <v>300</v>
      </c>
      <c r="AB2" s="21">
        <v>350</v>
      </c>
      <c r="AC2" s="21">
        <v>400</v>
      </c>
      <c r="AD2" s="21">
        <v>450</v>
      </c>
      <c r="AE2" s="21">
        <v>500</v>
      </c>
      <c r="AG2" s="49" t="s">
        <v>16</v>
      </c>
      <c r="AH2" s="48" t="s">
        <v>17</v>
      </c>
    </row>
    <row r="3" spans="1:34" ht="48.6" customHeight="1">
      <c r="A3" s="54">
        <v>1</v>
      </c>
      <c r="B3" s="50" t="s">
        <v>18</v>
      </c>
      <c r="C3" s="50" t="s">
        <v>19</v>
      </c>
      <c r="D3" s="50">
        <v>1.1000000000000001</v>
      </c>
      <c r="E3" s="50" t="s">
        <v>20</v>
      </c>
      <c r="F3" s="50" t="s">
        <v>21</v>
      </c>
      <c r="G3" s="19" t="s">
        <v>22</v>
      </c>
      <c r="H3" s="50" t="s">
        <v>23</v>
      </c>
      <c r="I3" s="50" t="s">
        <v>24</v>
      </c>
      <c r="J3" s="55">
        <v>24</v>
      </c>
      <c r="K3" s="47"/>
      <c r="L3" s="2" t="str">
        <f t="shared" ref="L3:L27" si="0">HYPERLINK("#'"&amp;B3&amp;"'!A1",B3)</f>
        <v>A1</v>
      </c>
      <c r="M3" s="19"/>
      <c r="N3" s="50"/>
      <c r="O3" s="50"/>
      <c r="P3" s="50"/>
      <c r="Q3" s="50" t="s">
        <v>25</v>
      </c>
      <c r="R3" s="51">
        <v>0.125</v>
      </c>
      <c r="S3" s="51" t="s">
        <v>26</v>
      </c>
      <c r="T3" s="50">
        <v>-29</v>
      </c>
      <c r="U3" s="44">
        <v>19.600000000000001</v>
      </c>
      <c r="V3" s="44">
        <v>19.2</v>
      </c>
      <c r="W3" s="44">
        <v>17.7</v>
      </c>
      <c r="X3" s="44">
        <v>15.8</v>
      </c>
      <c r="Y3" s="44">
        <v>13.8</v>
      </c>
      <c r="Z3" s="44">
        <v>12.1</v>
      </c>
      <c r="AD3" s="52"/>
      <c r="AF3" s="1" t="e">
        <f ca="1">INDIRECT("'"&amp;$L3&amp;"'!$F$3")</f>
        <v>#VALUE!</v>
      </c>
      <c r="AG3" s="53">
        <f>U3*1.5</f>
        <v>29.400000000000002</v>
      </c>
      <c r="AH3" s="1" t="s">
        <v>18</v>
      </c>
    </row>
    <row r="4" spans="1:34" ht="30.6" customHeight="1">
      <c r="A4" s="54">
        <v>2</v>
      </c>
      <c r="B4" s="50" t="s">
        <v>27</v>
      </c>
      <c r="C4" s="50" t="s">
        <v>28</v>
      </c>
      <c r="D4" s="50">
        <v>1.1000000000000001</v>
      </c>
      <c r="E4" s="50" t="s">
        <v>20</v>
      </c>
      <c r="F4" s="50" t="s">
        <v>21</v>
      </c>
      <c r="G4" s="19" t="s">
        <v>29</v>
      </c>
      <c r="H4" s="50" t="s">
        <v>30</v>
      </c>
      <c r="I4" s="50" t="s">
        <v>31</v>
      </c>
      <c r="J4" s="55">
        <v>25</v>
      </c>
      <c r="K4" s="47"/>
      <c r="L4" s="2" t="str">
        <f t="shared" si="0"/>
        <v>B1</v>
      </c>
      <c r="M4" s="19"/>
      <c r="N4" s="50"/>
      <c r="O4" s="50"/>
      <c r="P4" s="50"/>
      <c r="Q4" s="50" t="s">
        <v>25</v>
      </c>
      <c r="R4" s="51">
        <v>0.125</v>
      </c>
      <c r="S4" s="51" t="s">
        <v>26</v>
      </c>
      <c r="T4" s="50">
        <v>-29</v>
      </c>
      <c r="U4" s="44">
        <v>51.1</v>
      </c>
      <c r="V4" s="44">
        <v>50.1</v>
      </c>
      <c r="W4" s="44">
        <v>46.6</v>
      </c>
      <c r="X4" s="44">
        <v>45.1</v>
      </c>
      <c r="Y4" s="44">
        <v>43.8</v>
      </c>
      <c r="Z4" s="44">
        <v>41.9</v>
      </c>
      <c r="AD4" s="52"/>
      <c r="AF4" s="1" t="e">
        <f t="shared" ref="AF4:AH65" ca="1" si="1">INDIRECT("'"&amp;$L4&amp;"'!$F$3")</f>
        <v>#VALUE!</v>
      </c>
      <c r="AG4" s="53">
        <f t="shared" ref="AG4:AG69" si="2">U4*1.5</f>
        <v>76.650000000000006</v>
      </c>
      <c r="AH4" s="1" t="s">
        <v>27</v>
      </c>
    </row>
    <row r="5" spans="1:34" ht="30.6" customHeight="1">
      <c r="A5" s="54">
        <v>3</v>
      </c>
      <c r="B5" s="50" t="s">
        <v>32</v>
      </c>
      <c r="C5" s="50" t="s">
        <v>33</v>
      </c>
      <c r="D5" s="50">
        <v>1.1000000000000001</v>
      </c>
      <c r="E5" s="50" t="s">
        <v>20</v>
      </c>
      <c r="F5" s="50" t="s">
        <v>21</v>
      </c>
      <c r="G5" s="19" t="s">
        <v>29</v>
      </c>
      <c r="H5" s="50" t="s">
        <v>34</v>
      </c>
      <c r="I5" s="50" t="s">
        <v>35</v>
      </c>
      <c r="J5" s="55">
        <v>26</v>
      </c>
      <c r="K5" s="47"/>
      <c r="L5" s="2" t="str">
        <f t="shared" si="0"/>
        <v>D1</v>
      </c>
      <c r="M5" s="19"/>
      <c r="N5" s="50"/>
      <c r="O5" s="50"/>
      <c r="P5" s="50"/>
      <c r="Q5" s="50" t="s">
        <v>25</v>
      </c>
      <c r="R5" s="51">
        <v>0.125</v>
      </c>
      <c r="S5" s="51" t="s">
        <v>26</v>
      </c>
      <c r="T5" s="50">
        <v>-29</v>
      </c>
      <c r="U5" s="44">
        <v>102.1</v>
      </c>
      <c r="V5" s="44">
        <v>100.2</v>
      </c>
      <c r="W5" s="44">
        <v>93.2</v>
      </c>
      <c r="X5" s="44">
        <v>90.2</v>
      </c>
      <c r="Y5" s="44">
        <v>87.6</v>
      </c>
      <c r="Z5" s="44">
        <v>83.9</v>
      </c>
      <c r="AD5" s="52"/>
      <c r="AF5" s="1" t="e">
        <f t="shared" ca="1" si="1"/>
        <v>#VALUE!</v>
      </c>
      <c r="AG5" s="53">
        <f t="shared" si="2"/>
        <v>153.14999999999998</v>
      </c>
      <c r="AH5" s="1" t="s">
        <v>32</v>
      </c>
    </row>
    <row r="6" spans="1:34" ht="16.149999999999999" customHeight="1">
      <c r="A6" s="54">
        <v>4</v>
      </c>
      <c r="B6" s="50" t="s">
        <v>36</v>
      </c>
      <c r="C6" s="50" t="s">
        <v>37</v>
      </c>
      <c r="D6" s="50">
        <v>1.1000000000000001</v>
      </c>
      <c r="E6" s="50" t="s">
        <v>20</v>
      </c>
      <c r="F6" s="50" t="s">
        <v>21</v>
      </c>
      <c r="G6" s="19" t="s">
        <v>38</v>
      </c>
      <c r="H6" s="50" t="s">
        <v>39</v>
      </c>
      <c r="I6" s="50" t="s">
        <v>40</v>
      </c>
      <c r="J6" s="55">
        <v>27</v>
      </c>
      <c r="K6" s="47"/>
      <c r="L6" s="2" t="str">
        <f t="shared" si="0"/>
        <v>E1</v>
      </c>
      <c r="M6" s="19"/>
      <c r="N6" s="50"/>
      <c r="O6" s="50"/>
      <c r="P6" s="50"/>
      <c r="Q6" s="50" t="s">
        <v>25</v>
      </c>
      <c r="R6" s="51">
        <v>0.125</v>
      </c>
      <c r="S6" s="51" t="s">
        <v>26</v>
      </c>
      <c r="T6" s="50">
        <v>-29</v>
      </c>
      <c r="U6" s="44">
        <v>153.19999999999999</v>
      </c>
      <c r="V6" s="44">
        <v>150.4</v>
      </c>
      <c r="W6" s="44">
        <v>139.80000000000001</v>
      </c>
      <c r="X6" s="44">
        <v>135.19999999999999</v>
      </c>
      <c r="Y6" s="44">
        <v>131.4</v>
      </c>
      <c r="Z6" s="44">
        <v>125.8</v>
      </c>
      <c r="AD6" s="52"/>
      <c r="AF6" s="1" t="e">
        <f t="shared" ca="1" si="1"/>
        <v>#VALUE!</v>
      </c>
      <c r="AG6" s="53">
        <f t="shared" si="2"/>
        <v>229.79999999999998</v>
      </c>
      <c r="AH6" s="1" t="s">
        <v>36</v>
      </c>
    </row>
    <row r="7" spans="1:34" ht="16.149999999999999" customHeight="1">
      <c r="A7" s="54">
        <v>5</v>
      </c>
      <c r="B7" s="50" t="s">
        <v>41</v>
      </c>
      <c r="C7" s="50" t="s">
        <v>42</v>
      </c>
      <c r="D7" s="50">
        <v>1.1000000000000001</v>
      </c>
      <c r="E7" s="50" t="s">
        <v>20</v>
      </c>
      <c r="F7" s="50" t="s">
        <v>21</v>
      </c>
      <c r="G7" s="19" t="s">
        <v>38</v>
      </c>
      <c r="H7" s="50" t="s">
        <v>43</v>
      </c>
      <c r="I7" s="50" t="s">
        <v>44</v>
      </c>
      <c r="J7" s="55">
        <v>28</v>
      </c>
      <c r="K7" s="47"/>
      <c r="L7" s="2" t="str">
        <f t="shared" si="0"/>
        <v>F1</v>
      </c>
      <c r="M7" s="19"/>
      <c r="N7" s="50"/>
      <c r="O7" s="50"/>
      <c r="P7" s="50"/>
      <c r="Q7" s="50" t="s">
        <v>25</v>
      </c>
      <c r="R7" s="51">
        <v>0.125</v>
      </c>
      <c r="S7" s="51" t="s">
        <v>26</v>
      </c>
      <c r="T7" s="50">
        <v>-29</v>
      </c>
      <c r="U7" s="44">
        <v>255.3</v>
      </c>
      <c r="V7" s="44">
        <v>250.6</v>
      </c>
      <c r="W7" s="44">
        <v>233</v>
      </c>
      <c r="X7" s="44">
        <v>225.4</v>
      </c>
      <c r="Y7" s="44">
        <v>219</v>
      </c>
      <c r="Z7" s="44">
        <v>209.7</v>
      </c>
      <c r="AD7" s="52"/>
      <c r="AF7" s="1" t="e">
        <f t="shared" ca="1" si="1"/>
        <v>#VALUE!</v>
      </c>
      <c r="AG7" s="53">
        <f t="shared" si="2"/>
        <v>382.95000000000005</v>
      </c>
      <c r="AH7" s="1" t="s">
        <v>41</v>
      </c>
    </row>
    <row r="8" spans="1:34" ht="16.149999999999999" customHeight="1">
      <c r="A8" s="54">
        <v>6</v>
      </c>
      <c r="B8" s="50" t="s">
        <v>45</v>
      </c>
      <c r="C8" s="50" t="s">
        <v>46</v>
      </c>
      <c r="D8" s="50">
        <v>1.1000000000000001</v>
      </c>
      <c r="E8" s="50" t="s">
        <v>20</v>
      </c>
      <c r="F8" s="50" t="s">
        <v>21</v>
      </c>
      <c r="G8" s="19" t="s">
        <v>47</v>
      </c>
      <c r="H8" s="50" t="s">
        <v>48</v>
      </c>
      <c r="I8" s="50" t="s">
        <v>49</v>
      </c>
      <c r="J8" s="55">
        <v>29</v>
      </c>
      <c r="K8" s="47"/>
      <c r="L8" s="2" t="str">
        <f t="shared" si="0"/>
        <v>G1</v>
      </c>
      <c r="M8" s="19"/>
      <c r="N8" s="50"/>
      <c r="O8" s="50"/>
      <c r="P8" s="50"/>
      <c r="Q8" s="50" t="s">
        <v>25</v>
      </c>
      <c r="R8" s="51">
        <v>0.125</v>
      </c>
      <c r="S8" s="51" t="s">
        <v>26</v>
      </c>
      <c r="T8" s="50">
        <v>-29</v>
      </c>
      <c r="U8" s="44">
        <v>399.8</v>
      </c>
      <c r="V8" s="44">
        <v>392.40000000000003</v>
      </c>
      <c r="W8" s="44">
        <v>364.8</v>
      </c>
      <c r="X8" s="44">
        <v>352.90000000000003</v>
      </c>
      <c r="Y8" s="44">
        <v>342.90000000000003</v>
      </c>
      <c r="AD8" s="52"/>
      <c r="AF8" s="1" t="e">
        <f t="shared" ref="AF8:AH16" ca="1" si="3">INDIRECT("'"&amp;$L8&amp;"'!$F$3")</f>
        <v>#VALUE!</v>
      </c>
      <c r="AG8" s="53">
        <f t="shared" si="2"/>
        <v>599.70000000000005</v>
      </c>
      <c r="AH8" s="1" t="s">
        <v>45</v>
      </c>
    </row>
    <row r="9" spans="1:34" ht="16.149999999999999" customHeight="1">
      <c r="A9" s="54">
        <v>7</v>
      </c>
      <c r="B9" s="50" t="s">
        <v>50</v>
      </c>
      <c r="C9" s="50" t="s">
        <v>19</v>
      </c>
      <c r="D9" s="50">
        <v>1.1000000000000001</v>
      </c>
      <c r="E9" s="50" t="s">
        <v>51</v>
      </c>
      <c r="F9" s="50" t="s">
        <v>21</v>
      </c>
      <c r="G9" s="19" t="s">
        <v>52</v>
      </c>
      <c r="H9" s="50" t="s">
        <v>23</v>
      </c>
      <c r="I9" s="50" t="s">
        <v>53</v>
      </c>
      <c r="J9" s="55">
        <v>30</v>
      </c>
      <c r="K9" s="47"/>
      <c r="L9" s="2" t="str">
        <f t="shared" ref="L9:L15" si="4">HYPERLINK("#'"&amp;B9&amp;"'!A1",B9)</f>
        <v>A1N</v>
      </c>
      <c r="M9" s="19"/>
      <c r="N9" s="50"/>
      <c r="O9" s="50"/>
      <c r="P9" s="50"/>
      <c r="Q9" s="50" t="s">
        <v>25</v>
      </c>
      <c r="R9" s="51">
        <v>0.125</v>
      </c>
      <c r="S9" s="51" t="s">
        <v>54</v>
      </c>
      <c r="T9" s="50">
        <v>-29</v>
      </c>
      <c r="U9" s="44">
        <v>19.600000000000001</v>
      </c>
      <c r="V9" s="44">
        <v>19.2</v>
      </c>
      <c r="W9" s="44">
        <v>17.7</v>
      </c>
      <c r="X9" s="44">
        <v>15.8</v>
      </c>
      <c r="Y9" s="44">
        <v>13.8</v>
      </c>
      <c r="Z9" s="44">
        <v>12.1</v>
      </c>
      <c r="AD9" s="52"/>
      <c r="AF9" s="1" t="e">
        <f t="shared" ca="1" si="3"/>
        <v>#VALUE!</v>
      </c>
      <c r="AG9" s="53">
        <f t="shared" si="2"/>
        <v>29.400000000000002</v>
      </c>
      <c r="AH9" s="1" t="s">
        <v>50</v>
      </c>
    </row>
    <row r="10" spans="1:34" ht="16.149999999999999" customHeight="1">
      <c r="A10" s="54">
        <v>8</v>
      </c>
      <c r="B10" s="50" t="s">
        <v>55</v>
      </c>
      <c r="C10" s="50" t="s">
        <v>28</v>
      </c>
      <c r="D10" s="50">
        <v>1.1000000000000001</v>
      </c>
      <c r="E10" s="50" t="s">
        <v>51</v>
      </c>
      <c r="F10" s="50" t="s">
        <v>21</v>
      </c>
      <c r="G10" s="19" t="s">
        <v>52</v>
      </c>
      <c r="H10" s="50" t="s">
        <v>30</v>
      </c>
      <c r="I10" s="50" t="s">
        <v>56</v>
      </c>
      <c r="J10" s="55">
        <v>31</v>
      </c>
      <c r="K10" s="47"/>
      <c r="L10" s="2" t="str">
        <f t="shared" si="4"/>
        <v>B1N</v>
      </c>
      <c r="M10" s="19"/>
      <c r="N10" s="50"/>
      <c r="O10" s="50"/>
      <c r="P10" s="50"/>
      <c r="Q10" s="50" t="s">
        <v>25</v>
      </c>
      <c r="R10" s="51">
        <v>0.125</v>
      </c>
      <c r="S10" s="51" t="s">
        <v>54</v>
      </c>
      <c r="T10" s="50">
        <v>-29</v>
      </c>
      <c r="U10" s="44">
        <v>51.1</v>
      </c>
      <c r="V10" s="44">
        <v>50.1</v>
      </c>
      <c r="W10" s="44">
        <v>46.6</v>
      </c>
      <c r="X10" s="44">
        <v>45.1</v>
      </c>
      <c r="Y10" s="44">
        <v>43.8</v>
      </c>
      <c r="Z10" s="44">
        <v>41.9</v>
      </c>
      <c r="AD10" s="52"/>
      <c r="AF10" s="1" t="e">
        <f t="shared" ca="1" si="3"/>
        <v>#VALUE!</v>
      </c>
      <c r="AG10" s="53">
        <f t="shared" si="2"/>
        <v>76.650000000000006</v>
      </c>
      <c r="AH10" s="1" t="s">
        <v>55</v>
      </c>
    </row>
    <row r="11" spans="1:34" ht="16.149999999999999" customHeight="1">
      <c r="A11" s="54">
        <v>9</v>
      </c>
      <c r="B11" s="50" t="s">
        <v>57</v>
      </c>
      <c r="C11" s="50" t="s">
        <v>33</v>
      </c>
      <c r="D11" s="50">
        <v>1.1000000000000001</v>
      </c>
      <c r="E11" s="50" t="s">
        <v>51</v>
      </c>
      <c r="F11" s="50" t="s">
        <v>21</v>
      </c>
      <c r="G11" s="19" t="s">
        <v>52</v>
      </c>
      <c r="H11" s="50" t="s">
        <v>34</v>
      </c>
      <c r="I11" s="50" t="s">
        <v>58</v>
      </c>
      <c r="J11" s="55">
        <v>32</v>
      </c>
      <c r="K11" s="47"/>
      <c r="L11" s="2" t="str">
        <f t="shared" si="4"/>
        <v>D1N</v>
      </c>
      <c r="M11" s="19"/>
      <c r="N11" s="50"/>
      <c r="O11" s="50"/>
      <c r="P11" s="50"/>
      <c r="Q11" s="50" t="s">
        <v>25</v>
      </c>
      <c r="R11" s="51">
        <v>0.125</v>
      </c>
      <c r="S11" s="51" t="s">
        <v>54</v>
      </c>
      <c r="T11" s="50">
        <v>-29</v>
      </c>
      <c r="U11" s="44">
        <v>102.1</v>
      </c>
      <c r="V11" s="44">
        <v>100.2</v>
      </c>
      <c r="W11" s="44">
        <v>93.2</v>
      </c>
      <c r="X11" s="44">
        <v>90.2</v>
      </c>
      <c r="Y11" s="44">
        <v>87.6</v>
      </c>
      <c r="Z11" s="44">
        <v>83.9</v>
      </c>
      <c r="AD11" s="52"/>
      <c r="AF11" s="1" t="e">
        <f t="shared" ca="1" si="3"/>
        <v>#VALUE!</v>
      </c>
      <c r="AG11" s="53">
        <f t="shared" si="2"/>
        <v>153.14999999999998</v>
      </c>
      <c r="AH11" s="1" t="s">
        <v>57</v>
      </c>
    </row>
    <row r="12" spans="1:34" ht="16.149999999999999" customHeight="1">
      <c r="A12" s="54">
        <v>10</v>
      </c>
      <c r="B12" s="50" t="s">
        <v>59</v>
      </c>
      <c r="C12" s="50" t="s">
        <v>37</v>
      </c>
      <c r="D12" s="50">
        <v>1.1000000000000001</v>
      </c>
      <c r="E12" s="50" t="s">
        <v>51</v>
      </c>
      <c r="F12" s="50" t="s">
        <v>21</v>
      </c>
      <c r="G12" s="19" t="s">
        <v>52</v>
      </c>
      <c r="H12" s="50" t="s">
        <v>39</v>
      </c>
      <c r="I12" s="50" t="s">
        <v>60</v>
      </c>
      <c r="J12" s="55">
        <v>33</v>
      </c>
      <c r="K12" s="47"/>
      <c r="L12" s="2" t="str">
        <f t="shared" si="4"/>
        <v>E1N</v>
      </c>
      <c r="M12" s="19"/>
      <c r="N12" s="50"/>
      <c r="O12" s="50"/>
      <c r="P12" s="50"/>
      <c r="Q12" s="50" t="s">
        <v>25</v>
      </c>
      <c r="R12" s="51">
        <v>0.125</v>
      </c>
      <c r="S12" s="51" t="s">
        <v>54</v>
      </c>
      <c r="T12" s="50">
        <v>-29</v>
      </c>
      <c r="U12" s="44">
        <v>153.19999999999999</v>
      </c>
      <c r="V12" s="44">
        <v>150.4</v>
      </c>
      <c r="W12" s="44">
        <v>139.80000000000001</v>
      </c>
      <c r="X12" s="44">
        <v>135.19999999999999</v>
      </c>
      <c r="Y12" s="44">
        <v>131.4</v>
      </c>
      <c r="Z12" s="44">
        <v>125.8</v>
      </c>
      <c r="AD12" s="52"/>
      <c r="AF12" s="1" t="e">
        <f t="shared" ca="1" si="3"/>
        <v>#VALUE!</v>
      </c>
      <c r="AG12" s="53">
        <f t="shared" si="2"/>
        <v>229.79999999999998</v>
      </c>
      <c r="AH12" s="1" t="s">
        <v>59</v>
      </c>
    </row>
    <row r="13" spans="1:34" ht="16.149999999999999" customHeight="1">
      <c r="A13" s="54">
        <v>11</v>
      </c>
      <c r="B13" s="50" t="s">
        <v>61</v>
      </c>
      <c r="C13" s="50" t="s">
        <v>42</v>
      </c>
      <c r="D13" s="50">
        <v>1.1000000000000001</v>
      </c>
      <c r="E13" s="50" t="s">
        <v>51</v>
      </c>
      <c r="F13" s="50" t="s">
        <v>21</v>
      </c>
      <c r="G13" s="19" t="s">
        <v>52</v>
      </c>
      <c r="H13" s="50" t="s">
        <v>43</v>
      </c>
      <c r="I13" s="50" t="s">
        <v>44</v>
      </c>
      <c r="J13" s="55">
        <v>34</v>
      </c>
      <c r="K13" s="47"/>
      <c r="L13" s="2" t="str">
        <f t="shared" si="4"/>
        <v>F1N</v>
      </c>
      <c r="M13" s="19"/>
      <c r="N13" s="50"/>
      <c r="O13" s="50"/>
      <c r="P13" s="50"/>
      <c r="Q13" s="50" t="s">
        <v>25</v>
      </c>
      <c r="R13" s="51">
        <v>0.125</v>
      </c>
      <c r="S13" s="51" t="s">
        <v>54</v>
      </c>
      <c r="T13" s="50">
        <v>-29</v>
      </c>
      <c r="U13" s="44">
        <v>255.3</v>
      </c>
      <c r="V13" s="44">
        <v>250.6</v>
      </c>
      <c r="W13" s="44">
        <v>233</v>
      </c>
      <c r="X13" s="44">
        <v>225.4</v>
      </c>
      <c r="Y13" s="44">
        <v>219</v>
      </c>
      <c r="Z13" s="44">
        <v>209.7</v>
      </c>
      <c r="AD13" s="52"/>
      <c r="AF13" s="1" t="e">
        <f t="shared" ca="1" si="3"/>
        <v>#VALUE!</v>
      </c>
      <c r="AG13" s="53">
        <f t="shared" si="2"/>
        <v>382.95000000000005</v>
      </c>
      <c r="AH13" s="1" t="s">
        <v>61</v>
      </c>
    </row>
    <row r="14" spans="1:34" ht="16.149999999999999" customHeight="1">
      <c r="A14" s="54">
        <v>12</v>
      </c>
      <c r="B14" s="50" t="s">
        <v>62</v>
      </c>
      <c r="C14" s="50" t="s">
        <v>46</v>
      </c>
      <c r="D14" s="50">
        <v>1.1000000000000001</v>
      </c>
      <c r="E14" s="50" t="s">
        <v>51</v>
      </c>
      <c r="F14" s="50" t="s">
        <v>21</v>
      </c>
      <c r="G14" s="19" t="s">
        <v>52</v>
      </c>
      <c r="H14" s="50" t="s">
        <v>48</v>
      </c>
      <c r="I14" s="50" t="s">
        <v>49</v>
      </c>
      <c r="J14" s="55">
        <v>35</v>
      </c>
      <c r="K14" s="47"/>
      <c r="L14" s="2" t="str">
        <f t="shared" si="4"/>
        <v>G1N</v>
      </c>
      <c r="M14" s="19"/>
      <c r="N14" s="50"/>
      <c r="O14" s="50"/>
      <c r="P14" s="50"/>
      <c r="Q14" s="50" t="s">
        <v>25</v>
      </c>
      <c r="R14" s="51">
        <v>0.125</v>
      </c>
      <c r="S14" s="51" t="s">
        <v>54</v>
      </c>
      <c r="T14" s="50">
        <v>-29</v>
      </c>
      <c r="U14" s="44">
        <v>399.8</v>
      </c>
      <c r="V14" s="44">
        <v>392.40000000000003</v>
      </c>
      <c r="W14" s="44">
        <v>364.8</v>
      </c>
      <c r="X14" s="44">
        <v>352.90000000000003</v>
      </c>
      <c r="Y14" s="44">
        <v>342.90000000000003</v>
      </c>
      <c r="AD14" s="52"/>
      <c r="AF14" s="1" t="e">
        <f t="shared" ca="1" si="3"/>
        <v>#VALUE!</v>
      </c>
      <c r="AG14" s="53">
        <f t="shared" si="2"/>
        <v>599.70000000000005</v>
      </c>
      <c r="AH14" s="1" t="s">
        <v>62</v>
      </c>
    </row>
    <row r="15" spans="1:34" ht="16.149999999999999" customHeight="1">
      <c r="A15" s="54">
        <v>13</v>
      </c>
      <c r="B15" s="50" t="s">
        <v>63</v>
      </c>
      <c r="C15" s="50" t="s">
        <v>19</v>
      </c>
      <c r="D15" s="50">
        <v>1.1000000000000001</v>
      </c>
      <c r="E15" s="50" t="s">
        <v>20</v>
      </c>
      <c r="F15" s="50" t="s">
        <v>64</v>
      </c>
      <c r="G15" s="19" t="s">
        <v>65</v>
      </c>
      <c r="H15" s="50" t="s">
        <v>23</v>
      </c>
      <c r="I15" s="50" t="s">
        <v>24</v>
      </c>
      <c r="J15" s="55">
        <v>36</v>
      </c>
      <c r="K15" s="47"/>
      <c r="L15" s="2" t="str">
        <f t="shared" si="4"/>
        <v>A2</v>
      </c>
      <c r="M15" s="19"/>
      <c r="N15" s="50"/>
      <c r="O15" s="50"/>
      <c r="P15" s="50"/>
      <c r="Q15" s="50" t="s">
        <v>25</v>
      </c>
      <c r="R15" s="51">
        <v>0.125</v>
      </c>
      <c r="S15" s="51" t="s">
        <v>26</v>
      </c>
      <c r="T15" s="50">
        <v>-29</v>
      </c>
      <c r="U15" s="44">
        <v>19.600000000000001</v>
      </c>
      <c r="V15" s="44">
        <v>19.2</v>
      </c>
      <c r="W15" s="44">
        <v>17.7</v>
      </c>
      <c r="X15" s="44">
        <v>15.8</v>
      </c>
      <c r="Y15" s="44">
        <v>13.8</v>
      </c>
      <c r="Z15" s="44">
        <v>12.1</v>
      </c>
      <c r="AD15" s="52"/>
      <c r="AF15" s="1" t="e">
        <f ca="1">INDIRECT("'"&amp;$L15&amp;"'!$F$3")</f>
        <v>#VALUE!</v>
      </c>
      <c r="AG15" s="53">
        <f t="shared" ref="AG15" si="5">U15*1.5</f>
        <v>29.400000000000002</v>
      </c>
      <c r="AH15" s="1" t="s">
        <v>63</v>
      </c>
    </row>
    <row r="16" spans="1:34" ht="16.149999999999999" customHeight="1">
      <c r="A16" s="54">
        <v>14</v>
      </c>
      <c r="B16" s="50" t="s">
        <v>66</v>
      </c>
      <c r="C16" s="50" t="s">
        <v>19</v>
      </c>
      <c r="D16" s="50">
        <v>1.1000000000000001</v>
      </c>
      <c r="E16" s="50" t="s">
        <v>51</v>
      </c>
      <c r="F16" s="50" t="s">
        <v>64</v>
      </c>
      <c r="G16" s="19" t="s">
        <v>67</v>
      </c>
      <c r="H16" s="50" t="s">
        <v>23</v>
      </c>
      <c r="I16" s="50" t="s">
        <v>24</v>
      </c>
      <c r="J16" s="55">
        <v>37</v>
      </c>
      <c r="K16" s="47"/>
      <c r="L16" s="2" t="str">
        <f t="shared" si="0"/>
        <v>A2N</v>
      </c>
      <c r="M16" s="19"/>
      <c r="N16" s="50"/>
      <c r="O16" s="50"/>
      <c r="P16" s="50"/>
      <c r="Q16" s="50" t="s">
        <v>25</v>
      </c>
      <c r="R16" s="51">
        <v>0.125</v>
      </c>
      <c r="S16" s="51" t="s">
        <v>54</v>
      </c>
      <c r="T16" s="50">
        <v>-29</v>
      </c>
      <c r="U16" s="44">
        <v>19.600000000000001</v>
      </c>
      <c r="V16" s="44">
        <v>19.2</v>
      </c>
      <c r="W16" s="44">
        <v>17.7</v>
      </c>
      <c r="X16" s="44">
        <v>15.8</v>
      </c>
      <c r="Y16" s="44">
        <v>13.8</v>
      </c>
      <c r="Z16" s="44">
        <v>12.1</v>
      </c>
      <c r="AD16" s="52"/>
      <c r="AF16" s="1" t="e">
        <f t="shared" ca="1" si="3"/>
        <v>#VALUE!</v>
      </c>
      <c r="AG16" s="53">
        <f t="shared" si="2"/>
        <v>29.400000000000002</v>
      </c>
      <c r="AH16" s="1" t="e">
        <f t="shared" ca="1" si="3"/>
        <v>#VALUE!</v>
      </c>
    </row>
    <row r="17" spans="1:34" ht="16.149999999999999" customHeight="1">
      <c r="A17" s="54">
        <v>15</v>
      </c>
      <c r="B17" s="50" t="s">
        <v>68</v>
      </c>
      <c r="C17" s="50" t="s">
        <v>28</v>
      </c>
      <c r="D17" s="50">
        <v>1.1000000000000001</v>
      </c>
      <c r="E17" s="50" t="s">
        <v>51</v>
      </c>
      <c r="F17" s="50" t="s">
        <v>64</v>
      </c>
      <c r="G17" s="19" t="s">
        <v>67</v>
      </c>
      <c r="H17" s="50" t="s">
        <v>30</v>
      </c>
      <c r="I17" s="50" t="s">
        <v>31</v>
      </c>
      <c r="J17" s="55">
        <v>38</v>
      </c>
      <c r="K17" s="47"/>
      <c r="L17" s="2" t="str">
        <f t="shared" si="0"/>
        <v>B2N</v>
      </c>
      <c r="M17" s="19"/>
      <c r="N17" s="50"/>
      <c r="O17" s="50"/>
      <c r="P17" s="50"/>
      <c r="Q17" s="50" t="s">
        <v>25</v>
      </c>
      <c r="R17" s="51">
        <v>0.125</v>
      </c>
      <c r="S17" s="51" t="s">
        <v>54</v>
      </c>
      <c r="T17" s="50">
        <v>-29</v>
      </c>
      <c r="U17" s="44">
        <v>51.1</v>
      </c>
      <c r="V17" s="44">
        <v>50.1</v>
      </c>
      <c r="W17" s="44">
        <v>46.6</v>
      </c>
      <c r="X17" s="44">
        <v>45.1</v>
      </c>
      <c r="Y17" s="44">
        <v>43.8</v>
      </c>
      <c r="Z17" s="44">
        <v>41.9</v>
      </c>
      <c r="AD17" s="52"/>
      <c r="AF17" s="1" t="e">
        <f t="shared" ref="AF17:AH21" ca="1" si="6">INDIRECT("'"&amp;$L17&amp;"'!$F$3")</f>
        <v>#VALUE!</v>
      </c>
      <c r="AG17" s="53">
        <f t="shared" si="2"/>
        <v>76.650000000000006</v>
      </c>
      <c r="AH17" s="1" t="e">
        <f t="shared" ca="1" si="6"/>
        <v>#VALUE!</v>
      </c>
    </row>
    <row r="18" spans="1:34" ht="16.149999999999999" customHeight="1">
      <c r="A18" s="54">
        <v>16</v>
      </c>
      <c r="B18" s="50" t="s">
        <v>69</v>
      </c>
      <c r="C18" s="50" t="s">
        <v>33</v>
      </c>
      <c r="D18" s="50">
        <v>1.1000000000000001</v>
      </c>
      <c r="E18" s="50" t="s">
        <v>51</v>
      </c>
      <c r="F18" s="50" t="s">
        <v>64</v>
      </c>
      <c r="G18" s="19" t="s">
        <v>67</v>
      </c>
      <c r="H18" s="50" t="s">
        <v>34</v>
      </c>
      <c r="I18" s="50" t="s">
        <v>35</v>
      </c>
      <c r="J18" s="55">
        <v>39</v>
      </c>
      <c r="K18" s="47"/>
      <c r="L18" s="2" t="str">
        <f t="shared" si="0"/>
        <v>D2N</v>
      </c>
      <c r="M18" s="19"/>
      <c r="N18" s="50"/>
      <c r="O18" s="50"/>
      <c r="P18" s="50"/>
      <c r="Q18" s="50" t="s">
        <v>25</v>
      </c>
      <c r="R18" s="51">
        <v>0.125</v>
      </c>
      <c r="S18" s="51" t="s">
        <v>54</v>
      </c>
      <c r="T18" s="50">
        <v>-29</v>
      </c>
      <c r="U18" s="44">
        <v>102.1</v>
      </c>
      <c r="V18" s="44">
        <v>100.2</v>
      </c>
      <c r="W18" s="44">
        <v>93.2</v>
      </c>
      <c r="X18" s="44">
        <v>90.2</v>
      </c>
      <c r="Y18" s="44">
        <v>87.6</v>
      </c>
      <c r="Z18" s="44">
        <v>83.9</v>
      </c>
      <c r="AD18" s="52"/>
      <c r="AF18" s="1" t="e">
        <f t="shared" ca="1" si="6"/>
        <v>#VALUE!</v>
      </c>
      <c r="AG18" s="53">
        <f t="shared" si="2"/>
        <v>153.14999999999998</v>
      </c>
      <c r="AH18" s="1" t="e">
        <f t="shared" ca="1" si="6"/>
        <v>#VALUE!</v>
      </c>
    </row>
    <row r="19" spans="1:34" ht="16.149999999999999" customHeight="1">
      <c r="A19" s="54">
        <v>17</v>
      </c>
      <c r="B19" s="50" t="s">
        <v>70</v>
      </c>
      <c r="C19" s="50" t="s">
        <v>37</v>
      </c>
      <c r="D19" s="50">
        <v>1.1000000000000001</v>
      </c>
      <c r="E19" s="50" t="s">
        <v>51</v>
      </c>
      <c r="F19" s="50" t="s">
        <v>64</v>
      </c>
      <c r="G19" s="19" t="s">
        <v>67</v>
      </c>
      <c r="H19" s="50" t="s">
        <v>39</v>
      </c>
      <c r="I19" s="50" t="s">
        <v>40</v>
      </c>
      <c r="J19" s="55">
        <v>40</v>
      </c>
      <c r="K19" s="47"/>
      <c r="L19" s="2" t="str">
        <f t="shared" si="0"/>
        <v>E2N</v>
      </c>
      <c r="M19" s="19"/>
      <c r="N19" s="50"/>
      <c r="O19" s="50"/>
      <c r="P19" s="50"/>
      <c r="Q19" s="50" t="s">
        <v>25</v>
      </c>
      <c r="R19" s="51">
        <v>0.125</v>
      </c>
      <c r="S19" s="51" t="s">
        <v>54</v>
      </c>
      <c r="T19" s="50">
        <v>-29</v>
      </c>
      <c r="U19" s="44">
        <v>153.19999999999999</v>
      </c>
      <c r="V19" s="44">
        <v>150.4</v>
      </c>
      <c r="W19" s="44">
        <v>139.80000000000001</v>
      </c>
      <c r="X19" s="44">
        <v>135.19999999999999</v>
      </c>
      <c r="Y19" s="44">
        <v>131.4</v>
      </c>
      <c r="Z19" s="44">
        <v>125.8</v>
      </c>
      <c r="AD19" s="52"/>
      <c r="AF19" s="1" t="e">
        <f t="shared" ca="1" si="6"/>
        <v>#VALUE!</v>
      </c>
      <c r="AG19" s="53">
        <f t="shared" si="2"/>
        <v>229.79999999999998</v>
      </c>
      <c r="AH19" s="1" t="e">
        <f t="shared" ca="1" si="6"/>
        <v>#VALUE!</v>
      </c>
    </row>
    <row r="20" spans="1:34" ht="16.149999999999999" customHeight="1">
      <c r="A20" s="54">
        <v>18</v>
      </c>
      <c r="B20" s="50" t="s">
        <v>71</v>
      </c>
      <c r="C20" s="50" t="s">
        <v>42</v>
      </c>
      <c r="D20" s="50">
        <v>1.1000000000000001</v>
      </c>
      <c r="E20" s="50" t="s">
        <v>51</v>
      </c>
      <c r="F20" s="50" t="s">
        <v>64</v>
      </c>
      <c r="G20" s="19" t="s">
        <v>67</v>
      </c>
      <c r="H20" s="50" t="s">
        <v>43</v>
      </c>
      <c r="I20" s="50" t="s">
        <v>44</v>
      </c>
      <c r="J20" s="55">
        <v>41</v>
      </c>
      <c r="K20" s="47"/>
      <c r="L20" s="2" t="str">
        <f t="shared" si="0"/>
        <v>F2N</v>
      </c>
      <c r="M20" s="19"/>
      <c r="N20" s="50"/>
      <c r="O20" s="50"/>
      <c r="P20" s="50"/>
      <c r="Q20" s="50" t="s">
        <v>25</v>
      </c>
      <c r="R20" s="51">
        <v>0.125</v>
      </c>
      <c r="S20" s="51" t="s">
        <v>54</v>
      </c>
      <c r="T20" s="50">
        <v>-29</v>
      </c>
      <c r="U20" s="44">
        <v>255.3</v>
      </c>
      <c r="V20" s="44">
        <v>250.6</v>
      </c>
      <c r="W20" s="44">
        <v>233</v>
      </c>
      <c r="X20" s="44">
        <v>225.4</v>
      </c>
      <c r="Y20" s="44">
        <v>219</v>
      </c>
      <c r="Z20" s="44">
        <v>209.7</v>
      </c>
      <c r="AD20" s="52"/>
      <c r="AF20" s="1" t="e">
        <f t="shared" ca="1" si="6"/>
        <v>#VALUE!</v>
      </c>
      <c r="AG20" s="53">
        <f t="shared" si="2"/>
        <v>382.95000000000005</v>
      </c>
      <c r="AH20" s="1" t="e">
        <f t="shared" ca="1" si="6"/>
        <v>#VALUE!</v>
      </c>
    </row>
    <row r="21" spans="1:34" ht="16.149999999999999" customHeight="1">
      <c r="A21" s="54">
        <v>19</v>
      </c>
      <c r="B21" s="50" t="s">
        <v>72</v>
      </c>
      <c r="C21" s="50" t="s">
        <v>46</v>
      </c>
      <c r="D21" s="50">
        <v>1.1000000000000001</v>
      </c>
      <c r="E21" s="50" t="s">
        <v>51</v>
      </c>
      <c r="F21" s="50" t="s">
        <v>64</v>
      </c>
      <c r="G21" s="19" t="s">
        <v>67</v>
      </c>
      <c r="H21" s="50" t="s">
        <v>48</v>
      </c>
      <c r="I21" s="50" t="s">
        <v>49</v>
      </c>
      <c r="J21" s="55">
        <v>42</v>
      </c>
      <c r="K21" s="47"/>
      <c r="L21" s="2" t="str">
        <f t="shared" ref="L21" si="7">HYPERLINK("#'"&amp;B21&amp;"'!A1",B21)</f>
        <v>G2N</v>
      </c>
      <c r="M21" s="19"/>
      <c r="N21" s="50"/>
      <c r="O21" s="50"/>
      <c r="P21" s="50"/>
      <c r="Q21" s="50" t="s">
        <v>25</v>
      </c>
      <c r="R21" s="51">
        <v>0.125</v>
      </c>
      <c r="S21" s="51" t="s">
        <v>54</v>
      </c>
      <c r="T21" s="50">
        <v>-29</v>
      </c>
      <c r="U21" s="44">
        <v>399.8</v>
      </c>
      <c r="V21" s="44">
        <v>392.40000000000003</v>
      </c>
      <c r="W21" s="44">
        <v>364.8</v>
      </c>
      <c r="X21" s="44">
        <v>352.90000000000003</v>
      </c>
      <c r="Y21" s="44">
        <v>342.90000000000003</v>
      </c>
      <c r="AD21" s="52"/>
      <c r="AF21" s="1" t="e">
        <f t="shared" ca="1" si="6"/>
        <v>#VALUE!</v>
      </c>
      <c r="AG21" s="53">
        <f t="shared" si="2"/>
        <v>599.70000000000005</v>
      </c>
      <c r="AH21" s="1" t="e">
        <f t="shared" ca="1" si="6"/>
        <v>#VALUE!</v>
      </c>
    </row>
    <row r="22" spans="1:34" ht="16.149999999999999" customHeight="1">
      <c r="A22" s="54">
        <v>20</v>
      </c>
      <c r="B22" s="50" t="s">
        <v>73</v>
      </c>
      <c r="C22" s="50" t="s">
        <v>19</v>
      </c>
      <c r="D22" s="50">
        <v>1.1000000000000001</v>
      </c>
      <c r="E22" s="50" t="s">
        <v>74</v>
      </c>
      <c r="F22" s="50" t="s">
        <v>21</v>
      </c>
      <c r="G22" s="17" t="s">
        <v>75</v>
      </c>
      <c r="H22" s="50" t="s">
        <v>76</v>
      </c>
      <c r="I22" s="50" t="s">
        <v>24</v>
      </c>
      <c r="J22" s="55">
        <v>43</v>
      </c>
      <c r="K22" s="47"/>
      <c r="L22" s="2" t="str">
        <f t="shared" si="0"/>
        <v>A1LN</v>
      </c>
      <c r="M22" s="19"/>
      <c r="N22" s="50"/>
      <c r="O22" s="50"/>
      <c r="P22" s="50"/>
      <c r="Q22" s="50" t="s">
        <v>25</v>
      </c>
      <c r="R22" s="51">
        <v>0.125</v>
      </c>
      <c r="S22" s="51" t="s">
        <v>54</v>
      </c>
      <c r="T22" s="50">
        <v>-45</v>
      </c>
      <c r="U22" s="44">
        <v>19.600000000000001</v>
      </c>
      <c r="V22" s="44">
        <v>19.2</v>
      </c>
      <c r="W22" s="44">
        <v>17.7</v>
      </c>
      <c r="X22" s="44">
        <v>15.8</v>
      </c>
      <c r="Y22" s="44">
        <v>13.8</v>
      </c>
      <c r="Z22" s="44">
        <v>12.1</v>
      </c>
      <c r="AD22" s="52"/>
      <c r="AF22" s="1" t="e">
        <f t="shared" ca="1" si="1"/>
        <v>#VALUE!</v>
      </c>
      <c r="AG22" s="53">
        <f t="shared" si="2"/>
        <v>29.400000000000002</v>
      </c>
      <c r="AH22" s="1" t="e">
        <f t="shared" ca="1" si="1"/>
        <v>#VALUE!</v>
      </c>
    </row>
    <row r="23" spans="1:34" ht="16.149999999999999" customHeight="1">
      <c r="A23" s="54">
        <v>21</v>
      </c>
      <c r="B23" s="50" t="s">
        <v>77</v>
      </c>
      <c r="C23" s="50" t="s">
        <v>28</v>
      </c>
      <c r="D23" s="50">
        <v>1.1000000000000001</v>
      </c>
      <c r="E23" s="50" t="s">
        <v>74</v>
      </c>
      <c r="F23" s="50" t="s">
        <v>21</v>
      </c>
      <c r="G23" s="17" t="s">
        <v>75</v>
      </c>
      <c r="H23" s="50" t="s">
        <v>78</v>
      </c>
      <c r="I23" s="50" t="s">
        <v>31</v>
      </c>
      <c r="J23" s="55">
        <v>44</v>
      </c>
      <c r="K23" s="47"/>
      <c r="L23" s="2" t="str">
        <f t="shared" si="0"/>
        <v>B1LN</v>
      </c>
      <c r="M23" s="19"/>
      <c r="N23" s="50"/>
      <c r="O23" s="50"/>
      <c r="P23" s="50"/>
      <c r="Q23" s="50" t="s">
        <v>25</v>
      </c>
      <c r="R23" s="51">
        <v>0.125</v>
      </c>
      <c r="S23" s="51" t="s">
        <v>54</v>
      </c>
      <c r="T23" s="50">
        <v>-45</v>
      </c>
      <c r="U23" s="44">
        <v>51.1</v>
      </c>
      <c r="V23" s="44">
        <v>50.1</v>
      </c>
      <c r="W23" s="44">
        <v>46.6</v>
      </c>
      <c r="X23" s="44">
        <v>45.1</v>
      </c>
      <c r="Y23" s="44">
        <v>43.8</v>
      </c>
      <c r="Z23" s="44">
        <v>41.9</v>
      </c>
      <c r="AD23" s="52"/>
      <c r="AF23" s="1" t="e">
        <f t="shared" ca="1" si="1"/>
        <v>#VALUE!</v>
      </c>
      <c r="AG23" s="53">
        <f t="shared" si="2"/>
        <v>76.650000000000006</v>
      </c>
      <c r="AH23" s="1" t="e">
        <f t="shared" ca="1" si="1"/>
        <v>#VALUE!</v>
      </c>
    </row>
    <row r="24" spans="1:34" ht="16.149999999999999" customHeight="1">
      <c r="A24" s="54">
        <v>22</v>
      </c>
      <c r="B24" s="50" t="s">
        <v>79</v>
      </c>
      <c r="C24" s="50" t="s">
        <v>33</v>
      </c>
      <c r="D24" s="50">
        <v>1.1000000000000001</v>
      </c>
      <c r="E24" s="50" t="s">
        <v>74</v>
      </c>
      <c r="F24" s="50" t="s">
        <v>21</v>
      </c>
      <c r="G24" s="17" t="s">
        <v>80</v>
      </c>
      <c r="H24" s="50" t="s">
        <v>81</v>
      </c>
      <c r="I24" s="50" t="s">
        <v>35</v>
      </c>
      <c r="J24" s="55">
        <v>45</v>
      </c>
      <c r="K24" s="47"/>
      <c r="L24" s="2" t="str">
        <f t="shared" si="0"/>
        <v>D1LN</v>
      </c>
      <c r="M24" s="19"/>
      <c r="N24" s="50"/>
      <c r="O24" s="50"/>
      <c r="P24" s="50"/>
      <c r="Q24" s="50" t="s">
        <v>25</v>
      </c>
      <c r="R24" s="51">
        <v>0.125</v>
      </c>
      <c r="S24" s="51" t="s">
        <v>54</v>
      </c>
      <c r="T24" s="50">
        <v>-45</v>
      </c>
      <c r="U24" s="44">
        <v>102.1</v>
      </c>
      <c r="V24" s="44">
        <v>100.2</v>
      </c>
      <c r="W24" s="44">
        <v>93.2</v>
      </c>
      <c r="X24" s="44">
        <v>90.2</v>
      </c>
      <c r="Y24" s="44">
        <v>87.6</v>
      </c>
      <c r="Z24" s="44">
        <v>83.9</v>
      </c>
      <c r="AD24" s="52"/>
      <c r="AF24" s="1" t="e">
        <f t="shared" ca="1" si="1"/>
        <v>#VALUE!</v>
      </c>
      <c r="AG24" s="53">
        <f t="shared" si="2"/>
        <v>153.14999999999998</v>
      </c>
      <c r="AH24" s="1" t="e">
        <f t="shared" ca="1" si="1"/>
        <v>#VALUE!</v>
      </c>
    </row>
    <row r="25" spans="1:34" ht="16.149999999999999" customHeight="1">
      <c r="A25" s="54">
        <v>23</v>
      </c>
      <c r="B25" s="50" t="s">
        <v>82</v>
      </c>
      <c r="C25" s="50" t="s">
        <v>37</v>
      </c>
      <c r="D25" s="50">
        <v>1.1000000000000001</v>
      </c>
      <c r="E25" s="50" t="s">
        <v>74</v>
      </c>
      <c r="F25" s="50" t="s">
        <v>21</v>
      </c>
      <c r="G25" s="17" t="s">
        <v>80</v>
      </c>
      <c r="H25" s="50" t="s">
        <v>83</v>
      </c>
      <c r="I25" s="50" t="s">
        <v>40</v>
      </c>
      <c r="J25" s="55">
        <v>46</v>
      </c>
      <c r="K25" s="47"/>
      <c r="L25" s="2" t="str">
        <f t="shared" si="0"/>
        <v>E1LN</v>
      </c>
      <c r="M25" s="19"/>
      <c r="N25" s="50"/>
      <c r="O25" s="50"/>
      <c r="P25" s="50"/>
      <c r="Q25" s="50" t="s">
        <v>25</v>
      </c>
      <c r="R25" s="51">
        <v>0.125</v>
      </c>
      <c r="S25" s="51" t="s">
        <v>54</v>
      </c>
      <c r="T25" s="50">
        <v>-45</v>
      </c>
      <c r="U25" s="44">
        <v>153.19999999999999</v>
      </c>
      <c r="V25" s="44">
        <v>150.4</v>
      </c>
      <c r="W25" s="44">
        <v>139.80000000000001</v>
      </c>
      <c r="X25" s="44">
        <v>135.19999999999999</v>
      </c>
      <c r="Y25" s="44">
        <v>131.4</v>
      </c>
      <c r="Z25" s="44">
        <v>125.8</v>
      </c>
      <c r="AD25" s="52"/>
      <c r="AF25" s="1" t="e">
        <f t="shared" ca="1" si="1"/>
        <v>#VALUE!</v>
      </c>
      <c r="AG25" s="53">
        <f t="shared" si="2"/>
        <v>229.79999999999998</v>
      </c>
      <c r="AH25" s="1" t="e">
        <f t="shared" ca="1" si="1"/>
        <v>#VALUE!</v>
      </c>
    </row>
    <row r="26" spans="1:34" ht="15.6" customHeight="1">
      <c r="A26" s="54">
        <v>24</v>
      </c>
      <c r="B26" s="50" t="s">
        <v>84</v>
      </c>
      <c r="C26" s="50" t="s">
        <v>42</v>
      </c>
      <c r="D26" s="50">
        <v>1.1000000000000001</v>
      </c>
      <c r="E26" s="50" t="s">
        <v>74</v>
      </c>
      <c r="F26" s="50" t="s">
        <v>21</v>
      </c>
      <c r="G26" s="17" t="s">
        <v>80</v>
      </c>
      <c r="H26" s="50" t="s">
        <v>85</v>
      </c>
      <c r="I26" s="50" t="s">
        <v>44</v>
      </c>
      <c r="J26" s="55">
        <v>47</v>
      </c>
      <c r="K26" s="47"/>
      <c r="L26" s="2" t="str">
        <f t="shared" si="0"/>
        <v>F1LN</v>
      </c>
      <c r="M26" s="19"/>
      <c r="N26" s="50"/>
      <c r="O26" s="50"/>
      <c r="P26" s="50"/>
      <c r="Q26" s="50" t="s">
        <v>25</v>
      </c>
      <c r="R26" s="51">
        <v>0.125</v>
      </c>
      <c r="S26" s="51" t="s">
        <v>54</v>
      </c>
      <c r="T26" s="50">
        <v>-45</v>
      </c>
      <c r="U26" s="44">
        <v>255.3</v>
      </c>
      <c r="V26" s="44">
        <v>250.6</v>
      </c>
      <c r="W26" s="44">
        <v>233</v>
      </c>
      <c r="X26" s="44">
        <v>225.4</v>
      </c>
      <c r="Y26" s="44">
        <v>219</v>
      </c>
      <c r="Z26" s="44">
        <v>209.7</v>
      </c>
      <c r="AD26" s="52"/>
      <c r="AF26" s="1" t="e">
        <f t="shared" ca="1" si="1"/>
        <v>#VALUE!</v>
      </c>
      <c r="AG26" s="53">
        <f t="shared" si="2"/>
        <v>382.95000000000005</v>
      </c>
      <c r="AH26" s="1" t="e">
        <f t="shared" ca="1" si="1"/>
        <v>#VALUE!</v>
      </c>
    </row>
    <row r="27" spans="1:34" ht="16.149999999999999" customHeight="1">
      <c r="A27" s="54">
        <v>25</v>
      </c>
      <c r="B27" s="50" t="s">
        <v>86</v>
      </c>
      <c r="C27" s="50" t="s">
        <v>46</v>
      </c>
      <c r="D27" s="50">
        <v>1.1000000000000001</v>
      </c>
      <c r="E27" s="50" t="s">
        <v>74</v>
      </c>
      <c r="F27" s="50" t="s">
        <v>21</v>
      </c>
      <c r="G27" s="17" t="s">
        <v>87</v>
      </c>
      <c r="H27" s="50" t="s">
        <v>48</v>
      </c>
      <c r="I27" s="50" t="s">
        <v>49</v>
      </c>
      <c r="J27" s="55">
        <v>48</v>
      </c>
      <c r="K27" s="47"/>
      <c r="L27" s="2" t="str">
        <f t="shared" si="0"/>
        <v>G1LN</v>
      </c>
      <c r="M27" s="19"/>
      <c r="N27" s="50"/>
      <c r="O27" s="50"/>
      <c r="P27" s="50"/>
      <c r="Q27" s="50" t="s">
        <v>25</v>
      </c>
      <c r="R27" s="51">
        <v>0.125</v>
      </c>
      <c r="S27" s="51" t="s">
        <v>54</v>
      </c>
      <c r="T27" s="50">
        <v>-45</v>
      </c>
      <c r="U27" s="44">
        <v>399.8</v>
      </c>
      <c r="V27" s="44">
        <v>392.40000000000003</v>
      </c>
      <c r="W27" s="44">
        <v>364.8</v>
      </c>
      <c r="X27" s="44">
        <v>352.90000000000003</v>
      </c>
      <c r="Y27" s="44">
        <v>342.90000000000003</v>
      </c>
      <c r="AD27" s="52"/>
      <c r="AF27" s="1" t="e">
        <f t="shared" ca="1" si="1"/>
        <v>#VALUE!</v>
      </c>
      <c r="AG27" s="53">
        <f t="shared" si="2"/>
        <v>599.70000000000005</v>
      </c>
      <c r="AH27" s="1" t="e">
        <f t="shared" ca="1" si="1"/>
        <v>#VALUE!</v>
      </c>
    </row>
    <row r="28" spans="1:34" ht="16.149999999999999" customHeight="1">
      <c r="A28" s="54">
        <v>26</v>
      </c>
      <c r="B28" s="50" t="s">
        <v>88</v>
      </c>
      <c r="C28" s="50" t="s">
        <v>19</v>
      </c>
      <c r="D28" s="50">
        <v>1.1000000000000001</v>
      </c>
      <c r="E28" s="50" t="s">
        <v>74</v>
      </c>
      <c r="F28" s="50" t="s">
        <v>64</v>
      </c>
      <c r="G28" s="17" t="s">
        <v>80</v>
      </c>
      <c r="H28" s="50" t="s">
        <v>76</v>
      </c>
      <c r="I28" s="50" t="s">
        <v>24</v>
      </c>
      <c r="J28" s="55">
        <v>49</v>
      </c>
      <c r="K28" s="47"/>
      <c r="L28" s="2" t="str">
        <f t="shared" ref="L28:L45" si="8">HYPERLINK("#'"&amp;B28&amp;"'!A1",B28)</f>
        <v>A2LN</v>
      </c>
      <c r="M28" s="19"/>
      <c r="N28" s="50"/>
      <c r="O28" s="50"/>
      <c r="P28" s="50"/>
      <c r="Q28" s="50" t="s">
        <v>25</v>
      </c>
      <c r="R28" s="51">
        <v>0.125</v>
      </c>
      <c r="S28" s="51" t="s">
        <v>54</v>
      </c>
      <c r="T28" s="50">
        <v>-45</v>
      </c>
      <c r="U28" s="44">
        <v>19.600000000000001</v>
      </c>
      <c r="V28" s="44">
        <v>19.2</v>
      </c>
      <c r="W28" s="44">
        <v>17.7</v>
      </c>
      <c r="X28" s="44">
        <v>15.8</v>
      </c>
      <c r="Y28" s="44">
        <v>13.8</v>
      </c>
      <c r="Z28" s="44">
        <v>12.1</v>
      </c>
      <c r="AD28" s="52"/>
      <c r="AF28" s="1" t="e">
        <f t="shared" ca="1" si="1"/>
        <v>#VALUE!</v>
      </c>
      <c r="AG28" s="53">
        <f t="shared" si="2"/>
        <v>29.400000000000002</v>
      </c>
      <c r="AH28" s="1" t="e">
        <f t="shared" ca="1" si="1"/>
        <v>#VALUE!</v>
      </c>
    </row>
    <row r="29" spans="1:34" ht="16.149999999999999" customHeight="1">
      <c r="A29" s="54">
        <v>27</v>
      </c>
      <c r="B29" s="50" t="s">
        <v>89</v>
      </c>
      <c r="C29" s="50" t="s">
        <v>28</v>
      </c>
      <c r="D29" s="50">
        <v>1.1000000000000001</v>
      </c>
      <c r="E29" s="50" t="s">
        <v>74</v>
      </c>
      <c r="F29" s="50" t="s">
        <v>64</v>
      </c>
      <c r="G29" s="17" t="s">
        <v>80</v>
      </c>
      <c r="H29" s="50" t="s">
        <v>78</v>
      </c>
      <c r="I29" s="50" t="s">
        <v>31</v>
      </c>
      <c r="J29" s="55">
        <v>50</v>
      </c>
      <c r="K29" s="47"/>
      <c r="L29" s="2" t="str">
        <f t="shared" si="8"/>
        <v>B2LN</v>
      </c>
      <c r="M29" s="19"/>
      <c r="N29" s="50"/>
      <c r="O29" s="50"/>
      <c r="P29" s="50"/>
      <c r="Q29" s="50" t="s">
        <v>25</v>
      </c>
      <c r="R29" s="51">
        <v>0.125</v>
      </c>
      <c r="S29" s="51" t="s">
        <v>54</v>
      </c>
      <c r="T29" s="50">
        <v>-45</v>
      </c>
      <c r="U29" s="44">
        <v>51.1</v>
      </c>
      <c r="V29" s="44">
        <v>50.1</v>
      </c>
      <c r="W29" s="44">
        <v>46.6</v>
      </c>
      <c r="X29" s="44">
        <v>45.1</v>
      </c>
      <c r="Y29" s="44">
        <v>43.8</v>
      </c>
      <c r="Z29" s="44">
        <v>41.9</v>
      </c>
      <c r="AD29" s="52"/>
      <c r="AF29" s="1" t="e">
        <f t="shared" ca="1" si="1"/>
        <v>#VALUE!</v>
      </c>
      <c r="AG29" s="53">
        <f t="shared" si="2"/>
        <v>76.650000000000006</v>
      </c>
      <c r="AH29" s="1" t="e">
        <f t="shared" ca="1" si="1"/>
        <v>#VALUE!</v>
      </c>
    </row>
    <row r="30" spans="1:34" ht="16.149999999999999" customHeight="1">
      <c r="A30" s="54">
        <v>28</v>
      </c>
      <c r="B30" s="50" t="s">
        <v>90</v>
      </c>
      <c r="C30" s="50" t="s">
        <v>33</v>
      </c>
      <c r="D30" s="50">
        <v>1.1000000000000001</v>
      </c>
      <c r="E30" s="50" t="s">
        <v>74</v>
      </c>
      <c r="F30" s="50" t="s">
        <v>64</v>
      </c>
      <c r="G30" s="17" t="s">
        <v>80</v>
      </c>
      <c r="H30" s="50" t="s">
        <v>81</v>
      </c>
      <c r="I30" s="50" t="s">
        <v>35</v>
      </c>
      <c r="J30" s="55">
        <v>51</v>
      </c>
      <c r="K30" s="47"/>
      <c r="L30" s="2" t="str">
        <f t="shared" si="8"/>
        <v>D2LN</v>
      </c>
      <c r="M30" s="19"/>
      <c r="N30" s="50"/>
      <c r="O30" s="50"/>
      <c r="P30" s="50"/>
      <c r="Q30" s="50" t="s">
        <v>25</v>
      </c>
      <c r="R30" s="51">
        <v>0.125</v>
      </c>
      <c r="S30" s="51" t="s">
        <v>54</v>
      </c>
      <c r="T30" s="50">
        <v>-45</v>
      </c>
      <c r="U30" s="44">
        <v>102.1</v>
      </c>
      <c r="V30" s="44">
        <v>100.2</v>
      </c>
      <c r="W30" s="44">
        <v>93.2</v>
      </c>
      <c r="X30" s="44">
        <v>90.2</v>
      </c>
      <c r="Y30" s="44">
        <v>87.6</v>
      </c>
      <c r="Z30" s="44">
        <v>83.9</v>
      </c>
      <c r="AD30" s="52"/>
      <c r="AF30" s="1" t="e">
        <f t="shared" ca="1" si="1"/>
        <v>#VALUE!</v>
      </c>
      <c r="AG30" s="53">
        <f t="shared" si="2"/>
        <v>153.14999999999998</v>
      </c>
      <c r="AH30" s="1" t="e">
        <f t="shared" ca="1" si="1"/>
        <v>#VALUE!</v>
      </c>
    </row>
    <row r="31" spans="1:34" ht="16.149999999999999" customHeight="1">
      <c r="A31" s="54">
        <v>29</v>
      </c>
      <c r="B31" s="50" t="s">
        <v>91</v>
      </c>
      <c r="C31" s="50" t="s">
        <v>37</v>
      </c>
      <c r="D31" s="50">
        <v>1.1000000000000001</v>
      </c>
      <c r="E31" s="50" t="s">
        <v>74</v>
      </c>
      <c r="F31" s="50" t="s">
        <v>64</v>
      </c>
      <c r="G31" s="17" t="s">
        <v>80</v>
      </c>
      <c r="H31" s="50" t="s">
        <v>83</v>
      </c>
      <c r="I31" s="50" t="s">
        <v>40</v>
      </c>
      <c r="J31" s="55">
        <v>52</v>
      </c>
      <c r="K31" s="47"/>
      <c r="L31" s="2" t="str">
        <f t="shared" si="8"/>
        <v>E2LN</v>
      </c>
      <c r="M31" s="19"/>
      <c r="N31" s="50"/>
      <c r="O31" s="50"/>
      <c r="P31" s="50"/>
      <c r="Q31" s="50" t="s">
        <v>25</v>
      </c>
      <c r="R31" s="51">
        <v>0.125</v>
      </c>
      <c r="S31" s="51" t="s">
        <v>54</v>
      </c>
      <c r="T31" s="50">
        <v>-45</v>
      </c>
      <c r="U31" s="44">
        <v>153.19999999999999</v>
      </c>
      <c r="V31" s="44">
        <v>150.4</v>
      </c>
      <c r="W31" s="44">
        <v>139.80000000000001</v>
      </c>
      <c r="X31" s="44">
        <v>135.19999999999999</v>
      </c>
      <c r="Y31" s="44">
        <v>131.4</v>
      </c>
      <c r="Z31" s="44">
        <v>125.8</v>
      </c>
      <c r="AD31" s="52"/>
      <c r="AF31" s="1" t="e">
        <f t="shared" ca="1" si="1"/>
        <v>#VALUE!</v>
      </c>
      <c r="AG31" s="53">
        <f t="shared" si="2"/>
        <v>229.79999999999998</v>
      </c>
      <c r="AH31" s="1" t="e">
        <f t="shared" ca="1" si="1"/>
        <v>#VALUE!</v>
      </c>
    </row>
    <row r="32" spans="1:34" ht="15.6" customHeight="1">
      <c r="A32" s="54">
        <v>30</v>
      </c>
      <c r="B32" s="50" t="s">
        <v>92</v>
      </c>
      <c r="C32" s="50" t="s">
        <v>42</v>
      </c>
      <c r="D32" s="50">
        <v>1.1000000000000001</v>
      </c>
      <c r="E32" s="50" t="s">
        <v>74</v>
      </c>
      <c r="F32" s="50" t="s">
        <v>64</v>
      </c>
      <c r="G32" s="17" t="s">
        <v>80</v>
      </c>
      <c r="H32" s="50" t="s">
        <v>85</v>
      </c>
      <c r="I32" s="50" t="s">
        <v>44</v>
      </c>
      <c r="J32" s="55">
        <v>53</v>
      </c>
      <c r="K32" s="47"/>
      <c r="L32" s="2" t="str">
        <f t="shared" si="8"/>
        <v>F2LN</v>
      </c>
      <c r="M32" s="19"/>
      <c r="N32" s="50"/>
      <c r="O32" s="50"/>
      <c r="P32" s="50"/>
      <c r="Q32" s="50" t="s">
        <v>25</v>
      </c>
      <c r="R32" s="51">
        <v>0.125</v>
      </c>
      <c r="S32" s="51" t="s">
        <v>54</v>
      </c>
      <c r="T32" s="50">
        <v>-45</v>
      </c>
      <c r="U32" s="44">
        <v>255.3</v>
      </c>
      <c r="V32" s="44">
        <v>250.6</v>
      </c>
      <c r="W32" s="44">
        <v>233</v>
      </c>
      <c r="X32" s="44">
        <v>225.4</v>
      </c>
      <c r="Y32" s="44">
        <v>219</v>
      </c>
      <c r="Z32" s="44">
        <v>209.7</v>
      </c>
      <c r="AD32" s="52"/>
      <c r="AF32" s="1" t="e">
        <f t="shared" ca="1" si="1"/>
        <v>#VALUE!</v>
      </c>
      <c r="AG32" s="53">
        <f t="shared" si="2"/>
        <v>382.95000000000005</v>
      </c>
      <c r="AH32" s="1" t="e">
        <f t="shared" ca="1" si="1"/>
        <v>#VALUE!</v>
      </c>
    </row>
    <row r="33" spans="1:34" ht="16.149999999999999" customHeight="1">
      <c r="A33" s="54">
        <v>31</v>
      </c>
      <c r="B33" s="50" t="s">
        <v>93</v>
      </c>
      <c r="C33" s="50" t="s">
        <v>46</v>
      </c>
      <c r="D33" s="50">
        <v>1.1000000000000001</v>
      </c>
      <c r="E33" s="50" t="s">
        <v>74</v>
      </c>
      <c r="F33" s="50" t="s">
        <v>64</v>
      </c>
      <c r="G33" s="17" t="s">
        <v>80</v>
      </c>
      <c r="H33" s="50" t="s">
        <v>48</v>
      </c>
      <c r="I33" s="50" t="s">
        <v>49</v>
      </c>
      <c r="J33" s="55">
        <v>54</v>
      </c>
      <c r="K33" s="47"/>
      <c r="L33" s="2" t="str">
        <f t="shared" si="8"/>
        <v>G2LN</v>
      </c>
      <c r="M33" s="19"/>
      <c r="N33" s="50"/>
      <c r="O33" s="50"/>
      <c r="P33" s="50"/>
      <c r="Q33" s="50" t="s">
        <v>25</v>
      </c>
      <c r="R33" s="51">
        <v>0.125</v>
      </c>
      <c r="S33" s="51" t="s">
        <v>54</v>
      </c>
      <c r="T33" s="50">
        <v>-45</v>
      </c>
      <c r="U33" s="44">
        <v>399.8</v>
      </c>
      <c r="V33" s="44">
        <v>392.40000000000003</v>
      </c>
      <c r="W33" s="44">
        <v>364.8</v>
      </c>
      <c r="X33" s="44">
        <v>352.90000000000003</v>
      </c>
      <c r="Y33" s="44">
        <v>342.90000000000003</v>
      </c>
      <c r="AD33" s="52"/>
      <c r="AF33" s="1" t="e">
        <f t="shared" ca="1" si="1"/>
        <v>#VALUE!</v>
      </c>
      <c r="AG33" s="53">
        <f t="shared" si="2"/>
        <v>599.70000000000005</v>
      </c>
      <c r="AH33" s="1" t="e">
        <f t="shared" ca="1" si="1"/>
        <v>#VALUE!</v>
      </c>
    </row>
    <row r="34" spans="1:34" ht="16.149999999999999" customHeight="1">
      <c r="A34" s="54">
        <v>32</v>
      </c>
      <c r="B34" s="50" t="s">
        <v>94</v>
      </c>
      <c r="C34" s="50" t="s">
        <v>19</v>
      </c>
      <c r="D34" s="50">
        <v>1.1000000000000001</v>
      </c>
      <c r="E34" s="50" t="s">
        <v>95</v>
      </c>
      <c r="F34" s="50" t="s">
        <v>21</v>
      </c>
      <c r="G34" s="19" t="s">
        <v>96</v>
      </c>
      <c r="H34" s="50" t="s">
        <v>97</v>
      </c>
      <c r="I34" s="50" t="s">
        <v>98</v>
      </c>
      <c r="J34" s="55">
        <v>55</v>
      </c>
      <c r="K34" s="47"/>
      <c r="L34" s="2" t="str">
        <f t="shared" ref="L34:L39" si="9">HYPERLINK("#'"&amp;B34&amp;"'!A1",B34)</f>
        <v>A3</v>
      </c>
      <c r="M34" s="19"/>
      <c r="N34" s="50"/>
      <c r="O34" s="50"/>
      <c r="P34" s="50"/>
      <c r="Q34" s="50" t="s">
        <v>99</v>
      </c>
      <c r="R34" s="51">
        <v>0.125</v>
      </c>
      <c r="S34" s="51" t="s">
        <v>26</v>
      </c>
      <c r="T34" s="50">
        <v>-29</v>
      </c>
      <c r="U34" s="44">
        <v>15.9</v>
      </c>
      <c r="V34" s="44">
        <v>15.3</v>
      </c>
      <c r="W34" s="44">
        <v>13.3</v>
      </c>
      <c r="X34" s="44">
        <v>12</v>
      </c>
      <c r="Y34" s="44">
        <v>11.2</v>
      </c>
      <c r="Z34" s="44">
        <v>10.5</v>
      </c>
      <c r="AD34" s="52"/>
      <c r="AF34" s="1" t="e">
        <f t="shared" ref="AF34:AF39" ca="1" si="10">INDIRECT("'"&amp;$L34&amp;"'!$F$3")</f>
        <v>#VALUE!</v>
      </c>
      <c r="AG34" s="53">
        <f t="shared" si="2"/>
        <v>23.85</v>
      </c>
      <c r="AH34" s="1" t="s">
        <v>100</v>
      </c>
    </row>
    <row r="35" spans="1:34" ht="16.149999999999999" customHeight="1">
      <c r="A35" s="54">
        <v>33</v>
      </c>
      <c r="B35" s="50" t="s">
        <v>101</v>
      </c>
      <c r="C35" s="50" t="s">
        <v>19</v>
      </c>
      <c r="D35" s="50">
        <v>1.1000000000000001</v>
      </c>
      <c r="E35" s="50" t="s">
        <v>95</v>
      </c>
      <c r="F35" s="50" t="s">
        <v>102</v>
      </c>
      <c r="G35" s="17" t="s">
        <v>103</v>
      </c>
      <c r="H35" s="50" t="s">
        <v>97</v>
      </c>
      <c r="I35" s="50" t="s">
        <v>98</v>
      </c>
      <c r="J35" s="55">
        <v>56</v>
      </c>
      <c r="K35" s="47"/>
      <c r="L35" s="2" t="str">
        <f t="shared" si="9"/>
        <v>A4</v>
      </c>
      <c r="M35" s="19"/>
      <c r="N35" s="50"/>
      <c r="O35" s="50"/>
      <c r="P35" s="50"/>
      <c r="Q35" s="50" t="s">
        <v>99</v>
      </c>
      <c r="R35" s="51">
        <v>0.125</v>
      </c>
      <c r="S35" s="51" t="s">
        <v>26</v>
      </c>
      <c r="T35" s="50">
        <v>-29</v>
      </c>
      <c r="U35" s="44">
        <v>15.9</v>
      </c>
      <c r="V35" s="44">
        <v>15.3</v>
      </c>
      <c r="W35" s="44">
        <v>13.3</v>
      </c>
      <c r="X35" s="44">
        <v>12</v>
      </c>
      <c r="Y35" s="44">
        <v>11.2</v>
      </c>
      <c r="Z35" s="44">
        <v>10.5</v>
      </c>
      <c r="AD35" s="52"/>
      <c r="AF35" s="1" t="e">
        <f t="shared" ca="1" si="10"/>
        <v>#VALUE!</v>
      </c>
      <c r="AG35" s="53">
        <f t="shared" ref="AG35:AG38" si="11">U35*1.5</f>
        <v>23.85</v>
      </c>
      <c r="AH35" s="1" t="s">
        <v>100</v>
      </c>
    </row>
    <row r="36" spans="1:34" ht="16.149999999999999" customHeight="1">
      <c r="A36" s="54">
        <v>34</v>
      </c>
      <c r="B36" s="50" t="s">
        <v>104</v>
      </c>
      <c r="C36" s="50" t="s">
        <v>28</v>
      </c>
      <c r="D36" s="50">
        <v>1.1000000000000001</v>
      </c>
      <c r="E36" s="50" t="s">
        <v>95</v>
      </c>
      <c r="F36" s="50" t="s">
        <v>102</v>
      </c>
      <c r="G36" s="17" t="s">
        <v>103</v>
      </c>
      <c r="H36" s="50" t="s">
        <v>30</v>
      </c>
      <c r="I36" s="50" t="s">
        <v>56</v>
      </c>
      <c r="J36" s="55">
        <v>57</v>
      </c>
      <c r="K36" s="47"/>
      <c r="L36" s="2" t="str">
        <f t="shared" si="9"/>
        <v>B4</v>
      </c>
      <c r="M36" s="19"/>
      <c r="N36" s="50"/>
      <c r="O36" s="50"/>
      <c r="P36" s="50"/>
      <c r="Q36" s="50" t="s">
        <v>99</v>
      </c>
      <c r="R36" s="51">
        <v>0.125</v>
      </c>
      <c r="S36" s="51" t="s">
        <v>26</v>
      </c>
      <c r="T36" s="50">
        <v>-29</v>
      </c>
      <c r="U36" s="44">
        <v>51.1</v>
      </c>
      <c r="V36" s="44">
        <v>50.1</v>
      </c>
      <c r="W36" s="44">
        <v>46.6</v>
      </c>
      <c r="X36" s="44">
        <v>45.1</v>
      </c>
      <c r="Y36" s="44">
        <v>43.8</v>
      </c>
      <c r="Z36" s="44">
        <v>41.9</v>
      </c>
      <c r="AD36" s="52"/>
      <c r="AF36" s="1" t="e">
        <f t="shared" ca="1" si="10"/>
        <v>#VALUE!</v>
      </c>
      <c r="AG36" s="53">
        <f t="shared" si="11"/>
        <v>76.650000000000006</v>
      </c>
      <c r="AH36" s="1" t="s">
        <v>105</v>
      </c>
    </row>
    <row r="37" spans="1:34" ht="16.149999999999999" customHeight="1">
      <c r="A37" s="54">
        <v>35</v>
      </c>
      <c r="B37" s="50" t="s">
        <v>106</v>
      </c>
      <c r="C37" s="50" t="s">
        <v>33</v>
      </c>
      <c r="D37" s="50">
        <v>1.1000000000000001</v>
      </c>
      <c r="E37" s="50" t="s">
        <v>95</v>
      </c>
      <c r="F37" s="50" t="s">
        <v>102</v>
      </c>
      <c r="G37" s="17" t="s">
        <v>103</v>
      </c>
      <c r="H37" s="50" t="s">
        <v>34</v>
      </c>
      <c r="I37" s="50" t="s">
        <v>58</v>
      </c>
      <c r="J37" s="55">
        <v>58</v>
      </c>
      <c r="K37" s="47"/>
      <c r="L37" s="2" t="str">
        <f t="shared" si="9"/>
        <v>D4</v>
      </c>
      <c r="M37" s="19"/>
      <c r="N37" s="50"/>
      <c r="O37" s="50"/>
      <c r="P37" s="50"/>
      <c r="Q37" s="50" t="s">
        <v>99</v>
      </c>
      <c r="R37" s="51">
        <v>0.125</v>
      </c>
      <c r="S37" s="51" t="s">
        <v>26</v>
      </c>
      <c r="T37" s="50">
        <v>-29</v>
      </c>
      <c r="U37" s="44">
        <v>102.1</v>
      </c>
      <c r="V37" s="44">
        <v>100.2</v>
      </c>
      <c r="W37" s="44">
        <v>93.2</v>
      </c>
      <c r="X37" s="44">
        <v>90.2</v>
      </c>
      <c r="Y37" s="44">
        <v>87.6</v>
      </c>
      <c r="Z37" s="44">
        <v>83.9</v>
      </c>
      <c r="AD37" s="52"/>
      <c r="AF37" s="1" t="e">
        <f t="shared" ca="1" si="10"/>
        <v>#VALUE!</v>
      </c>
      <c r="AG37" s="53">
        <f t="shared" si="11"/>
        <v>153.14999999999998</v>
      </c>
      <c r="AH37" s="1" t="s">
        <v>107</v>
      </c>
    </row>
    <row r="38" spans="1:34" ht="44.45" customHeight="1">
      <c r="A38" s="54">
        <v>36</v>
      </c>
      <c r="B38" s="50" t="s">
        <v>108</v>
      </c>
      <c r="C38" s="50" t="s">
        <v>19</v>
      </c>
      <c r="D38" s="50">
        <v>1.1000000000000001</v>
      </c>
      <c r="E38" s="50" t="s">
        <v>109</v>
      </c>
      <c r="F38" s="50" t="s">
        <v>64</v>
      </c>
      <c r="G38" s="19" t="s">
        <v>110</v>
      </c>
      <c r="H38" s="50" t="s">
        <v>97</v>
      </c>
      <c r="I38" s="50" t="s">
        <v>98</v>
      </c>
      <c r="J38" s="55">
        <v>59</v>
      </c>
      <c r="K38" s="47"/>
      <c r="L38" s="2" t="str">
        <f t="shared" si="9"/>
        <v>A5</v>
      </c>
      <c r="M38" s="19"/>
      <c r="N38" s="50"/>
      <c r="O38" s="50"/>
      <c r="P38" s="50"/>
      <c r="Q38" s="50" t="s">
        <v>99</v>
      </c>
      <c r="R38" s="51">
        <v>0.125</v>
      </c>
      <c r="S38" s="51" t="s">
        <v>26</v>
      </c>
      <c r="T38" s="50">
        <v>-29</v>
      </c>
      <c r="U38" s="44">
        <v>15.9</v>
      </c>
      <c r="V38" s="44">
        <v>15.3</v>
      </c>
      <c r="W38" s="44">
        <v>13.3</v>
      </c>
      <c r="X38" s="44">
        <v>12</v>
      </c>
      <c r="Y38" s="44">
        <v>11.2</v>
      </c>
      <c r="Z38" s="44">
        <v>10.5</v>
      </c>
      <c r="AD38" s="52"/>
      <c r="AF38" s="41" t="e">
        <f t="shared" ca="1" si="10"/>
        <v>#VALUE!</v>
      </c>
      <c r="AG38" s="64">
        <f t="shared" si="11"/>
        <v>23.85</v>
      </c>
      <c r="AH38" s="41" t="s">
        <v>100</v>
      </c>
    </row>
    <row r="39" spans="1:34" ht="30" customHeight="1">
      <c r="A39" s="54">
        <v>37</v>
      </c>
      <c r="B39" s="50" t="s">
        <v>111</v>
      </c>
      <c r="C39" s="50" t="s">
        <v>19</v>
      </c>
      <c r="D39" s="50">
        <v>1.1000000000000001</v>
      </c>
      <c r="E39" s="50" t="s">
        <v>112</v>
      </c>
      <c r="F39" s="50" t="s">
        <v>64</v>
      </c>
      <c r="G39" s="19" t="s">
        <v>113</v>
      </c>
      <c r="H39" s="50" t="s">
        <v>97</v>
      </c>
      <c r="I39" s="50" t="s">
        <v>98</v>
      </c>
      <c r="J39" s="55">
        <v>60</v>
      </c>
      <c r="K39" s="47"/>
      <c r="L39" s="2" t="str">
        <f t="shared" si="9"/>
        <v>A6</v>
      </c>
      <c r="M39" s="19"/>
      <c r="N39" s="50"/>
      <c r="O39" s="50"/>
      <c r="P39" s="50"/>
      <c r="Q39" s="50" t="s">
        <v>99</v>
      </c>
      <c r="R39" s="51">
        <v>0.125</v>
      </c>
      <c r="S39" s="51" t="s">
        <v>26</v>
      </c>
      <c r="T39" s="50">
        <v>-29</v>
      </c>
      <c r="U39" s="44">
        <v>15.9</v>
      </c>
      <c r="V39" s="44">
        <v>15.3</v>
      </c>
      <c r="W39" s="44">
        <v>13.3</v>
      </c>
      <c r="X39" s="44">
        <v>12</v>
      </c>
      <c r="Y39" s="44">
        <v>11.2</v>
      </c>
      <c r="Z39" s="44">
        <v>10.5</v>
      </c>
      <c r="AD39" s="52"/>
      <c r="AF39" s="1" t="e">
        <f t="shared" ca="1" si="10"/>
        <v>#VALUE!</v>
      </c>
      <c r="AG39" s="53">
        <f t="shared" ref="AG39" si="12">U39*1.5</f>
        <v>23.85</v>
      </c>
      <c r="AH39" s="1" t="s">
        <v>100</v>
      </c>
    </row>
    <row r="40" spans="1:34" ht="30">
      <c r="A40" s="54">
        <v>38</v>
      </c>
      <c r="B40" s="50" t="s">
        <v>100</v>
      </c>
      <c r="C40" s="50" t="s">
        <v>19</v>
      </c>
      <c r="D40" s="50">
        <v>2.2999999999999998</v>
      </c>
      <c r="E40" s="50" t="s">
        <v>114</v>
      </c>
      <c r="F40" s="50" t="s">
        <v>115</v>
      </c>
      <c r="G40" s="19" t="s">
        <v>116</v>
      </c>
      <c r="H40" s="50" t="s">
        <v>117</v>
      </c>
      <c r="I40" s="50" t="s">
        <v>118</v>
      </c>
      <c r="J40" s="55">
        <v>61</v>
      </c>
      <c r="K40" s="47"/>
      <c r="L40" s="2" t="str">
        <f t="shared" si="8"/>
        <v>A10</v>
      </c>
      <c r="M40" s="19"/>
      <c r="N40" s="50"/>
      <c r="O40" s="50"/>
      <c r="P40" s="50"/>
      <c r="Q40" s="50" t="s">
        <v>25</v>
      </c>
      <c r="R40" s="51">
        <v>0.125</v>
      </c>
      <c r="S40" s="51" t="s">
        <v>26</v>
      </c>
      <c r="T40" s="50">
        <v>-100</v>
      </c>
      <c r="U40" s="44">
        <v>15.9</v>
      </c>
      <c r="V40" s="44">
        <v>15.3</v>
      </c>
      <c r="W40" s="44">
        <v>13.3</v>
      </c>
      <c r="X40" s="44">
        <v>12</v>
      </c>
      <c r="Y40" s="44">
        <v>11.2</v>
      </c>
      <c r="Z40" s="44">
        <v>10.5</v>
      </c>
      <c r="AD40" s="52"/>
      <c r="AF40" s="1" t="e">
        <f t="shared" ca="1" si="1"/>
        <v>#VALUE!</v>
      </c>
      <c r="AG40" s="53">
        <f t="shared" si="2"/>
        <v>23.85</v>
      </c>
      <c r="AH40" s="1" t="e">
        <f t="shared" ca="1" si="1"/>
        <v>#VALUE!</v>
      </c>
    </row>
    <row r="41" spans="1:34" ht="30.6" customHeight="1">
      <c r="A41" s="54">
        <v>39</v>
      </c>
      <c r="B41" s="50" t="s">
        <v>105</v>
      </c>
      <c r="C41" s="50" t="s">
        <v>28</v>
      </c>
      <c r="D41" s="50">
        <v>2.2999999999999998</v>
      </c>
      <c r="E41" s="50" t="s">
        <v>114</v>
      </c>
      <c r="F41" s="50" t="s">
        <v>115</v>
      </c>
      <c r="G41" s="19" t="s">
        <v>119</v>
      </c>
      <c r="H41" s="50" t="s">
        <v>120</v>
      </c>
      <c r="I41" s="50" t="s">
        <v>121</v>
      </c>
      <c r="J41" s="55">
        <v>62</v>
      </c>
      <c r="K41" s="47"/>
      <c r="L41" s="2" t="str">
        <f t="shared" si="8"/>
        <v>B10</v>
      </c>
      <c r="M41" s="19"/>
      <c r="N41" s="50"/>
      <c r="O41" s="50"/>
      <c r="P41" s="50"/>
      <c r="Q41" s="50" t="s">
        <v>25</v>
      </c>
      <c r="R41" s="51">
        <v>0.125</v>
      </c>
      <c r="S41" s="51" t="s">
        <v>26</v>
      </c>
      <c r="T41" s="50">
        <v>-100</v>
      </c>
      <c r="U41" s="44">
        <v>41.4</v>
      </c>
      <c r="V41" s="44">
        <v>40</v>
      </c>
      <c r="W41" s="44">
        <v>34.799999999999997</v>
      </c>
      <c r="X41" s="44">
        <v>31.4</v>
      </c>
      <c r="Y41" s="44">
        <v>29.2</v>
      </c>
      <c r="Z41" s="44">
        <v>27.5</v>
      </c>
      <c r="AD41" s="52"/>
      <c r="AF41" s="1" t="e">
        <f t="shared" ca="1" si="1"/>
        <v>#VALUE!</v>
      </c>
      <c r="AG41" s="53">
        <f t="shared" si="2"/>
        <v>62.099999999999994</v>
      </c>
      <c r="AH41" s="1" t="e">
        <f t="shared" ca="1" si="1"/>
        <v>#VALUE!</v>
      </c>
    </row>
    <row r="42" spans="1:34" ht="16.149999999999999" customHeight="1">
      <c r="A42" s="54">
        <v>40</v>
      </c>
      <c r="B42" s="50" t="s">
        <v>107</v>
      </c>
      <c r="C42" s="50" t="s">
        <v>33</v>
      </c>
      <c r="D42" s="50">
        <v>2.2999999999999998</v>
      </c>
      <c r="E42" s="50" t="s">
        <v>114</v>
      </c>
      <c r="F42" s="50" t="s">
        <v>115</v>
      </c>
      <c r="G42" s="17" t="s">
        <v>122</v>
      </c>
      <c r="H42" s="50" t="s">
        <v>123</v>
      </c>
      <c r="I42" s="50" t="s">
        <v>124</v>
      </c>
      <c r="J42" s="55">
        <v>63</v>
      </c>
      <c r="K42" s="47"/>
      <c r="L42" s="2" t="str">
        <f t="shared" si="8"/>
        <v>D10</v>
      </c>
      <c r="M42" s="19"/>
      <c r="N42" s="50"/>
      <c r="O42" s="50"/>
      <c r="P42" s="50"/>
      <c r="Q42" s="50" t="s">
        <v>25</v>
      </c>
      <c r="R42" s="51">
        <v>0.125</v>
      </c>
      <c r="S42" s="51" t="s">
        <v>26</v>
      </c>
      <c r="T42" s="50">
        <v>-100</v>
      </c>
      <c r="U42" s="44">
        <v>82.7</v>
      </c>
      <c r="V42" s="44">
        <v>80</v>
      </c>
      <c r="W42" s="44">
        <v>69.599999999999994</v>
      </c>
      <c r="X42" s="44">
        <v>62.8</v>
      </c>
      <c r="Y42" s="44">
        <v>58.3</v>
      </c>
      <c r="Z42" s="44">
        <v>54.9</v>
      </c>
      <c r="AD42" s="52"/>
      <c r="AF42" s="1" t="e">
        <f t="shared" ca="1" si="1"/>
        <v>#VALUE!</v>
      </c>
      <c r="AG42" s="53">
        <f t="shared" si="2"/>
        <v>124.05000000000001</v>
      </c>
      <c r="AH42" s="1" t="e">
        <f t="shared" ca="1" si="1"/>
        <v>#VALUE!</v>
      </c>
    </row>
    <row r="43" spans="1:34" ht="16.149999999999999" customHeight="1">
      <c r="A43" s="54">
        <v>41</v>
      </c>
      <c r="B43" s="50" t="s">
        <v>125</v>
      </c>
      <c r="C43" s="50" t="s">
        <v>37</v>
      </c>
      <c r="D43" s="50">
        <v>2.2999999999999998</v>
      </c>
      <c r="E43" s="50" t="s">
        <v>114</v>
      </c>
      <c r="F43" s="50" t="s">
        <v>115</v>
      </c>
      <c r="G43" s="17" t="s">
        <v>122</v>
      </c>
      <c r="H43" s="50" t="s">
        <v>126</v>
      </c>
      <c r="I43" s="50" t="s">
        <v>127</v>
      </c>
      <c r="J43" s="55">
        <v>64</v>
      </c>
      <c r="K43" s="47"/>
      <c r="L43" s="2" t="str">
        <f t="shared" si="8"/>
        <v>E10</v>
      </c>
      <c r="M43" s="19"/>
      <c r="N43" s="50"/>
      <c r="O43" s="50"/>
      <c r="P43" s="50"/>
      <c r="Q43" s="50" t="s">
        <v>25</v>
      </c>
      <c r="R43" s="51">
        <v>0.125</v>
      </c>
      <c r="S43" s="51" t="s">
        <v>26</v>
      </c>
      <c r="T43" s="50">
        <v>-100</v>
      </c>
      <c r="U43" s="44">
        <v>124.1</v>
      </c>
      <c r="V43" s="44">
        <v>120.1</v>
      </c>
      <c r="W43" s="44">
        <v>104.4</v>
      </c>
      <c r="X43" s="44">
        <v>94.2</v>
      </c>
      <c r="Y43" s="44">
        <v>87.5</v>
      </c>
      <c r="Z43" s="44">
        <v>82.4</v>
      </c>
      <c r="AD43" s="52"/>
      <c r="AF43" s="1" t="e">
        <f t="shared" ca="1" si="1"/>
        <v>#VALUE!</v>
      </c>
      <c r="AG43" s="53">
        <f t="shared" si="2"/>
        <v>186.14999999999998</v>
      </c>
      <c r="AH43" s="1" t="e">
        <f t="shared" ca="1" si="1"/>
        <v>#VALUE!</v>
      </c>
    </row>
    <row r="44" spans="1:34" ht="16.149999999999999" customHeight="1">
      <c r="A44" s="54">
        <v>42</v>
      </c>
      <c r="B44" s="50" t="s">
        <v>128</v>
      </c>
      <c r="C44" s="50" t="s">
        <v>42</v>
      </c>
      <c r="D44" s="50">
        <v>2.2999999999999998</v>
      </c>
      <c r="E44" s="50" t="s">
        <v>114</v>
      </c>
      <c r="F44" s="50" t="s">
        <v>115</v>
      </c>
      <c r="G44" s="17" t="s">
        <v>122</v>
      </c>
      <c r="H44" s="50" t="s">
        <v>129</v>
      </c>
      <c r="I44" s="50" t="s">
        <v>130</v>
      </c>
      <c r="J44" s="55">
        <v>65</v>
      </c>
      <c r="K44" s="47"/>
      <c r="L44" s="2" t="str">
        <f t="shared" si="8"/>
        <v>F10</v>
      </c>
      <c r="M44" s="19"/>
      <c r="N44" s="50"/>
      <c r="O44" s="50"/>
      <c r="P44" s="50"/>
      <c r="Q44" s="50" t="s">
        <v>25</v>
      </c>
      <c r="R44" s="51">
        <v>0.125</v>
      </c>
      <c r="S44" s="51" t="s">
        <v>26</v>
      </c>
      <c r="T44" s="50">
        <v>-100</v>
      </c>
      <c r="U44" s="44">
        <v>206.8</v>
      </c>
      <c r="V44" s="44">
        <v>200.1</v>
      </c>
      <c r="W44" s="44">
        <v>173.9</v>
      </c>
      <c r="X44" s="44">
        <v>157</v>
      </c>
      <c r="Y44" s="44">
        <v>145.80000000000001</v>
      </c>
      <c r="Z44" s="44">
        <v>137.30000000000001</v>
      </c>
      <c r="AD44" s="52"/>
      <c r="AF44" s="1" t="e">
        <f t="shared" ca="1" si="1"/>
        <v>#VALUE!</v>
      </c>
      <c r="AG44" s="53">
        <f t="shared" si="2"/>
        <v>310.20000000000005</v>
      </c>
      <c r="AH44" s="1" t="e">
        <f t="shared" ca="1" si="1"/>
        <v>#VALUE!</v>
      </c>
    </row>
    <row r="45" spans="1:34" ht="16.149999999999999" customHeight="1">
      <c r="A45" s="54">
        <v>43</v>
      </c>
      <c r="B45" s="50" t="s">
        <v>131</v>
      </c>
      <c r="C45" s="50" t="s">
        <v>46</v>
      </c>
      <c r="D45" s="50">
        <v>2.2999999999999998</v>
      </c>
      <c r="E45" s="50" t="s">
        <v>114</v>
      </c>
      <c r="F45" s="50" t="s">
        <v>115</v>
      </c>
      <c r="G45" s="17" t="s">
        <v>122</v>
      </c>
      <c r="H45" s="50" t="s">
        <v>132</v>
      </c>
      <c r="I45" s="50" t="s">
        <v>133</v>
      </c>
      <c r="J45" s="55">
        <v>66</v>
      </c>
      <c r="K45" s="47"/>
      <c r="L45" s="2" t="str">
        <f t="shared" si="8"/>
        <v>G10</v>
      </c>
      <c r="M45" s="19"/>
      <c r="N45" s="50"/>
      <c r="O45" s="50"/>
      <c r="P45" s="50"/>
      <c r="Q45" s="50" t="s">
        <v>25</v>
      </c>
      <c r="R45" s="51">
        <v>0.125</v>
      </c>
      <c r="S45" s="51" t="s">
        <v>26</v>
      </c>
      <c r="T45" s="50">
        <v>-100</v>
      </c>
      <c r="U45" s="44">
        <v>344.7</v>
      </c>
      <c r="V45" s="44">
        <v>333.5</v>
      </c>
      <c r="W45" s="44">
        <v>289.89999999999998</v>
      </c>
      <c r="X45" s="44">
        <v>261.60000000000002</v>
      </c>
      <c r="Y45" s="44">
        <v>243</v>
      </c>
      <c r="Z45" s="44">
        <v>228.9</v>
      </c>
      <c r="AD45" s="52"/>
      <c r="AF45" s="1" t="e">
        <f t="shared" ca="1" si="1"/>
        <v>#VALUE!</v>
      </c>
      <c r="AG45" s="53">
        <f t="shared" si="2"/>
        <v>517.04999999999995</v>
      </c>
      <c r="AH45" s="1" t="e">
        <f t="shared" ca="1" si="1"/>
        <v>#VALUE!</v>
      </c>
    </row>
    <row r="46" spans="1:34">
      <c r="A46" s="54">
        <v>44</v>
      </c>
      <c r="B46" s="50" t="s">
        <v>134</v>
      </c>
      <c r="C46" s="50" t="s">
        <v>19</v>
      </c>
      <c r="D46" s="50">
        <v>2.2999999999999998</v>
      </c>
      <c r="E46" s="50" t="s">
        <v>135</v>
      </c>
      <c r="F46" s="50" t="s">
        <v>115</v>
      </c>
      <c r="G46" s="17" t="s">
        <v>136</v>
      </c>
      <c r="H46" s="50" t="s">
        <v>117</v>
      </c>
      <c r="I46" s="50" t="s">
        <v>118</v>
      </c>
      <c r="J46" s="55">
        <v>67</v>
      </c>
      <c r="K46" s="47"/>
      <c r="L46" s="2" t="str">
        <f t="shared" ref="L46:L59" si="13">HYPERLINK("#'"&amp;B46&amp;"'!A1",B46)</f>
        <v>A10N</v>
      </c>
      <c r="M46" s="19"/>
      <c r="N46" s="50"/>
      <c r="O46" s="50"/>
      <c r="P46" s="50"/>
      <c r="Q46" s="50" t="s">
        <v>25</v>
      </c>
      <c r="R46" s="51">
        <v>0.125</v>
      </c>
      <c r="S46" s="51" t="s">
        <v>54</v>
      </c>
      <c r="T46" s="50">
        <v>-100</v>
      </c>
      <c r="U46" s="44">
        <v>15.9</v>
      </c>
      <c r="V46" s="44">
        <v>15.3</v>
      </c>
      <c r="W46" s="44">
        <v>13.3</v>
      </c>
      <c r="X46" s="44">
        <v>12</v>
      </c>
      <c r="Y46" s="44">
        <v>11.2</v>
      </c>
      <c r="Z46" s="44">
        <v>10.5</v>
      </c>
      <c r="AD46" s="52"/>
      <c r="AF46" s="1" t="e">
        <f t="shared" ca="1" si="1"/>
        <v>#VALUE!</v>
      </c>
      <c r="AG46" s="53">
        <f t="shared" si="2"/>
        <v>23.85</v>
      </c>
      <c r="AH46" s="1" t="s">
        <v>134</v>
      </c>
    </row>
    <row r="47" spans="1:34" ht="16.149999999999999" customHeight="1">
      <c r="A47" s="54">
        <v>45</v>
      </c>
      <c r="B47" s="50" t="s">
        <v>137</v>
      </c>
      <c r="C47" s="50" t="s">
        <v>28</v>
      </c>
      <c r="D47" s="50">
        <v>2.2999999999999998</v>
      </c>
      <c r="E47" s="50" t="s">
        <v>135</v>
      </c>
      <c r="F47" s="50" t="s">
        <v>115</v>
      </c>
      <c r="G47" s="17" t="s">
        <v>136</v>
      </c>
      <c r="H47" s="50" t="s">
        <v>120</v>
      </c>
      <c r="I47" s="50" t="s">
        <v>121</v>
      </c>
      <c r="J47" s="55">
        <v>68</v>
      </c>
      <c r="K47" s="47"/>
      <c r="L47" s="2" t="str">
        <f t="shared" si="13"/>
        <v>B10N</v>
      </c>
      <c r="M47" s="19"/>
      <c r="N47" s="50"/>
      <c r="O47" s="50"/>
      <c r="P47" s="50"/>
      <c r="Q47" s="50" t="s">
        <v>25</v>
      </c>
      <c r="R47" s="51">
        <v>0.125</v>
      </c>
      <c r="S47" s="51" t="s">
        <v>54</v>
      </c>
      <c r="T47" s="50">
        <v>-100</v>
      </c>
      <c r="U47" s="44">
        <v>41.4</v>
      </c>
      <c r="V47" s="44">
        <v>40</v>
      </c>
      <c r="W47" s="44">
        <v>34.799999999999997</v>
      </c>
      <c r="X47" s="44">
        <v>31.4</v>
      </c>
      <c r="Y47" s="44">
        <v>29.2</v>
      </c>
      <c r="Z47" s="44">
        <v>27.5</v>
      </c>
      <c r="AD47" s="52"/>
      <c r="AF47" s="1" t="e">
        <f t="shared" ca="1" si="1"/>
        <v>#VALUE!</v>
      </c>
      <c r="AG47" s="53">
        <f t="shared" si="2"/>
        <v>62.099999999999994</v>
      </c>
      <c r="AH47" s="1" t="s">
        <v>137</v>
      </c>
    </row>
    <row r="48" spans="1:34" ht="16.149999999999999" customHeight="1">
      <c r="A48" s="54">
        <v>46</v>
      </c>
      <c r="B48" s="50" t="s">
        <v>138</v>
      </c>
      <c r="C48" s="50" t="s">
        <v>33</v>
      </c>
      <c r="D48" s="50">
        <v>2.2999999999999998</v>
      </c>
      <c r="E48" s="50" t="s">
        <v>135</v>
      </c>
      <c r="F48" s="50" t="s">
        <v>115</v>
      </c>
      <c r="G48" s="17" t="s">
        <v>136</v>
      </c>
      <c r="H48" s="50" t="s">
        <v>123</v>
      </c>
      <c r="I48" s="50" t="s">
        <v>124</v>
      </c>
      <c r="J48" s="55">
        <v>69</v>
      </c>
      <c r="K48" s="47"/>
      <c r="L48" s="2" t="str">
        <f t="shared" si="13"/>
        <v>D10N</v>
      </c>
      <c r="M48" s="19"/>
      <c r="N48" s="50"/>
      <c r="O48" s="50"/>
      <c r="P48" s="50"/>
      <c r="Q48" s="50" t="s">
        <v>25</v>
      </c>
      <c r="R48" s="51">
        <v>0.125</v>
      </c>
      <c r="S48" s="51" t="s">
        <v>54</v>
      </c>
      <c r="T48" s="50">
        <v>-100</v>
      </c>
      <c r="U48" s="44">
        <v>82.7</v>
      </c>
      <c r="V48" s="44">
        <v>80</v>
      </c>
      <c r="W48" s="44">
        <v>69.599999999999994</v>
      </c>
      <c r="X48" s="44">
        <v>62.8</v>
      </c>
      <c r="Y48" s="44">
        <v>58.3</v>
      </c>
      <c r="Z48" s="44">
        <v>54.9</v>
      </c>
      <c r="AD48" s="52"/>
      <c r="AF48" s="1" t="e">
        <f t="shared" ca="1" si="1"/>
        <v>#VALUE!</v>
      </c>
      <c r="AG48" s="53">
        <f t="shared" si="2"/>
        <v>124.05000000000001</v>
      </c>
      <c r="AH48" s="1" t="s">
        <v>138</v>
      </c>
    </row>
    <row r="49" spans="1:34" ht="16.149999999999999" customHeight="1">
      <c r="A49" s="54">
        <v>47</v>
      </c>
      <c r="B49" s="50" t="s">
        <v>139</v>
      </c>
      <c r="C49" s="50" t="s">
        <v>37</v>
      </c>
      <c r="D49" s="50">
        <v>2.2999999999999998</v>
      </c>
      <c r="E49" s="50" t="s">
        <v>135</v>
      </c>
      <c r="F49" s="50" t="s">
        <v>115</v>
      </c>
      <c r="G49" s="17" t="s">
        <v>136</v>
      </c>
      <c r="H49" s="50" t="s">
        <v>126</v>
      </c>
      <c r="I49" s="50" t="s">
        <v>127</v>
      </c>
      <c r="J49" s="55">
        <v>70</v>
      </c>
      <c r="K49" s="47"/>
      <c r="L49" s="2" t="str">
        <f t="shared" si="13"/>
        <v>E10N</v>
      </c>
      <c r="M49" s="19"/>
      <c r="N49" s="50"/>
      <c r="O49" s="50"/>
      <c r="P49" s="50"/>
      <c r="Q49" s="50" t="s">
        <v>25</v>
      </c>
      <c r="R49" s="51">
        <v>0.125</v>
      </c>
      <c r="S49" s="51" t="s">
        <v>54</v>
      </c>
      <c r="T49" s="50">
        <v>-100</v>
      </c>
      <c r="U49" s="44">
        <v>124.1</v>
      </c>
      <c r="V49" s="44">
        <v>120.1</v>
      </c>
      <c r="W49" s="44">
        <v>104.4</v>
      </c>
      <c r="X49" s="44">
        <v>94.2</v>
      </c>
      <c r="Y49" s="44">
        <v>87.5</v>
      </c>
      <c r="Z49" s="44">
        <v>82.4</v>
      </c>
      <c r="AD49" s="52"/>
      <c r="AF49" s="1" t="e">
        <f t="shared" ca="1" si="1"/>
        <v>#VALUE!</v>
      </c>
      <c r="AG49" s="53">
        <f t="shared" si="2"/>
        <v>186.14999999999998</v>
      </c>
      <c r="AH49" s="1" t="s">
        <v>139</v>
      </c>
    </row>
    <row r="50" spans="1:34" ht="16.149999999999999" customHeight="1">
      <c r="A50" s="54">
        <v>48</v>
      </c>
      <c r="B50" s="50" t="s">
        <v>140</v>
      </c>
      <c r="C50" s="50" t="s">
        <v>42</v>
      </c>
      <c r="D50" s="50">
        <v>2.2999999999999998</v>
      </c>
      <c r="E50" s="50" t="s">
        <v>135</v>
      </c>
      <c r="F50" s="50" t="s">
        <v>115</v>
      </c>
      <c r="G50" s="17" t="s">
        <v>136</v>
      </c>
      <c r="H50" s="50" t="s">
        <v>129</v>
      </c>
      <c r="I50" s="50" t="s">
        <v>130</v>
      </c>
      <c r="J50" s="55">
        <v>71</v>
      </c>
      <c r="K50" s="47"/>
      <c r="L50" s="2" t="str">
        <f t="shared" si="13"/>
        <v>F10N</v>
      </c>
      <c r="M50" s="19"/>
      <c r="N50" s="50"/>
      <c r="O50" s="50"/>
      <c r="P50" s="50"/>
      <c r="Q50" s="50" t="s">
        <v>25</v>
      </c>
      <c r="R50" s="51">
        <v>0.125</v>
      </c>
      <c r="S50" s="51" t="s">
        <v>54</v>
      </c>
      <c r="T50" s="50">
        <v>-100</v>
      </c>
      <c r="U50" s="44">
        <v>206.8</v>
      </c>
      <c r="V50" s="44">
        <v>200.1</v>
      </c>
      <c r="W50" s="44">
        <v>173.9</v>
      </c>
      <c r="X50" s="44">
        <v>157</v>
      </c>
      <c r="Y50" s="44">
        <v>145.80000000000001</v>
      </c>
      <c r="Z50" s="44">
        <v>137.30000000000001</v>
      </c>
      <c r="AD50" s="52"/>
      <c r="AF50" s="1" t="e">
        <f t="shared" ca="1" si="1"/>
        <v>#VALUE!</v>
      </c>
      <c r="AG50" s="53">
        <f t="shared" si="2"/>
        <v>310.20000000000005</v>
      </c>
      <c r="AH50" s="1" t="s">
        <v>140</v>
      </c>
    </row>
    <row r="51" spans="1:34" ht="16.149999999999999" customHeight="1">
      <c r="A51" s="54">
        <v>49</v>
      </c>
      <c r="B51" s="50" t="s">
        <v>141</v>
      </c>
      <c r="C51" s="50" t="s">
        <v>46</v>
      </c>
      <c r="D51" s="50">
        <v>2.2999999999999998</v>
      </c>
      <c r="E51" s="50" t="s">
        <v>135</v>
      </c>
      <c r="F51" s="50" t="s">
        <v>115</v>
      </c>
      <c r="G51" s="17" t="s">
        <v>136</v>
      </c>
      <c r="H51" s="50" t="s">
        <v>132</v>
      </c>
      <c r="I51" s="50" t="s">
        <v>133</v>
      </c>
      <c r="J51" s="55">
        <v>72</v>
      </c>
      <c r="K51" s="47"/>
      <c r="L51" s="2" t="str">
        <f t="shared" si="13"/>
        <v>G10N</v>
      </c>
      <c r="M51" s="19"/>
      <c r="N51" s="50"/>
      <c r="O51" s="50"/>
      <c r="P51" s="50"/>
      <c r="Q51" s="50" t="s">
        <v>25</v>
      </c>
      <c r="R51" s="51">
        <v>0.125</v>
      </c>
      <c r="S51" s="51" t="s">
        <v>54</v>
      </c>
      <c r="T51" s="50">
        <v>-100</v>
      </c>
      <c r="U51" s="44">
        <v>344.7</v>
      </c>
      <c r="V51" s="44">
        <v>333.5</v>
      </c>
      <c r="W51" s="44">
        <v>289.89999999999998</v>
      </c>
      <c r="X51" s="44">
        <v>261.60000000000002</v>
      </c>
      <c r="Y51" s="44">
        <v>243</v>
      </c>
      <c r="Z51" s="44">
        <v>228.9</v>
      </c>
      <c r="AD51" s="52"/>
      <c r="AF51" s="1" t="e">
        <f t="shared" ca="1" si="1"/>
        <v>#VALUE!</v>
      </c>
      <c r="AG51" s="53">
        <f t="shared" si="2"/>
        <v>517.04999999999995</v>
      </c>
      <c r="AH51" s="1" t="s">
        <v>141</v>
      </c>
    </row>
    <row r="52" spans="1:34" ht="16.149999999999999" customHeight="1">
      <c r="A52" s="54">
        <v>50</v>
      </c>
      <c r="B52" s="50" t="s">
        <v>142</v>
      </c>
      <c r="C52" s="50" t="s">
        <v>19</v>
      </c>
      <c r="D52" s="50">
        <v>2.8</v>
      </c>
      <c r="E52" s="50" t="s">
        <v>143</v>
      </c>
      <c r="F52" s="50" t="s">
        <v>115</v>
      </c>
      <c r="G52" s="19" t="s">
        <v>67</v>
      </c>
      <c r="H52" s="50" t="s">
        <v>144</v>
      </c>
      <c r="I52" s="50" t="s">
        <v>24</v>
      </c>
      <c r="J52" s="55">
        <v>73</v>
      </c>
      <c r="K52" s="47"/>
      <c r="L52" s="2" t="str">
        <f t="shared" si="13"/>
        <v>A20N</v>
      </c>
      <c r="M52" s="19"/>
      <c r="N52" s="50"/>
      <c r="O52" s="50"/>
      <c r="P52" s="50"/>
      <c r="Q52" s="50" t="s">
        <v>25</v>
      </c>
      <c r="R52" s="51">
        <v>0.125</v>
      </c>
      <c r="S52" s="51" t="s">
        <v>54</v>
      </c>
      <c r="T52" s="50">
        <v>-46</v>
      </c>
      <c r="U52" s="44">
        <v>20</v>
      </c>
      <c r="V52" s="44">
        <v>19.5</v>
      </c>
      <c r="W52" s="44">
        <v>17.7</v>
      </c>
      <c r="X52" s="44">
        <v>15.8</v>
      </c>
      <c r="Y52" s="44">
        <v>13.8</v>
      </c>
      <c r="Z52" s="44">
        <v>12.1</v>
      </c>
      <c r="AD52" s="52"/>
      <c r="AF52" s="1" t="e">
        <f t="shared" ca="1" si="1"/>
        <v>#VALUE!</v>
      </c>
      <c r="AG52" s="53">
        <f t="shared" si="2"/>
        <v>30</v>
      </c>
      <c r="AH52" s="1" t="s">
        <v>142</v>
      </c>
    </row>
    <row r="53" spans="1:34" ht="16.149999999999999" customHeight="1">
      <c r="A53" s="54">
        <v>51</v>
      </c>
      <c r="B53" s="50" t="s">
        <v>145</v>
      </c>
      <c r="C53" s="50" t="s">
        <v>28</v>
      </c>
      <c r="D53" s="50">
        <v>2.8</v>
      </c>
      <c r="E53" s="50" t="s">
        <v>143</v>
      </c>
      <c r="F53" s="50" t="s">
        <v>115</v>
      </c>
      <c r="G53" s="19" t="s">
        <v>67</v>
      </c>
      <c r="H53" s="50" t="s">
        <v>146</v>
      </c>
      <c r="I53" s="50" t="s">
        <v>147</v>
      </c>
      <c r="J53" s="55">
        <v>74</v>
      </c>
      <c r="K53" s="47"/>
      <c r="L53" s="2" t="str">
        <f t="shared" si="13"/>
        <v>B20N</v>
      </c>
      <c r="M53" s="19"/>
      <c r="N53" s="50"/>
      <c r="O53" s="50"/>
      <c r="P53" s="50"/>
      <c r="Q53" s="50" t="s">
        <v>25</v>
      </c>
      <c r="R53" s="51">
        <v>0.125</v>
      </c>
      <c r="S53" s="51" t="s">
        <v>54</v>
      </c>
      <c r="T53" s="50">
        <v>-46</v>
      </c>
      <c r="U53" s="44">
        <v>51.7</v>
      </c>
      <c r="V53" s="44">
        <v>51.7</v>
      </c>
      <c r="W53" s="44">
        <v>50.7</v>
      </c>
      <c r="X53" s="44">
        <v>45.9</v>
      </c>
      <c r="Y53" s="44">
        <v>42.7</v>
      </c>
      <c r="Z53" s="44">
        <v>40.5</v>
      </c>
      <c r="AD53" s="52"/>
      <c r="AF53" s="1" t="e">
        <f t="shared" ca="1" si="1"/>
        <v>#VALUE!</v>
      </c>
      <c r="AG53" s="53">
        <f t="shared" si="2"/>
        <v>77.550000000000011</v>
      </c>
      <c r="AH53" s="1" t="s">
        <v>145</v>
      </c>
    </row>
    <row r="54" spans="1:34" ht="16.149999999999999" customHeight="1">
      <c r="A54" s="54">
        <v>52</v>
      </c>
      <c r="B54" s="50" t="s">
        <v>148</v>
      </c>
      <c r="C54" s="50" t="s">
        <v>33</v>
      </c>
      <c r="D54" s="50">
        <v>2.8</v>
      </c>
      <c r="E54" s="50" t="s">
        <v>143</v>
      </c>
      <c r="F54" s="50" t="s">
        <v>115</v>
      </c>
      <c r="G54" s="19" t="s">
        <v>67</v>
      </c>
      <c r="H54" s="50" t="s">
        <v>149</v>
      </c>
      <c r="I54" s="50" t="s">
        <v>150</v>
      </c>
      <c r="J54" s="55">
        <v>75</v>
      </c>
      <c r="K54" s="47"/>
      <c r="L54" s="2" t="str">
        <f t="shared" si="13"/>
        <v>D20N</v>
      </c>
      <c r="M54" s="19"/>
      <c r="N54" s="50"/>
      <c r="O54" s="50"/>
      <c r="P54" s="50"/>
      <c r="Q54" s="50" t="s">
        <v>25</v>
      </c>
      <c r="R54" s="51">
        <v>0.125</v>
      </c>
      <c r="S54" s="51" t="s">
        <v>54</v>
      </c>
      <c r="T54" s="50">
        <v>-46</v>
      </c>
      <c r="U54" s="44">
        <v>103.4</v>
      </c>
      <c r="V54" s="44">
        <v>103.4</v>
      </c>
      <c r="W54" s="44">
        <v>101.3</v>
      </c>
      <c r="X54" s="44">
        <v>91.9</v>
      </c>
      <c r="Y54" s="44">
        <v>85.3</v>
      </c>
      <c r="Z54" s="44">
        <v>80.900000000000006</v>
      </c>
      <c r="AD54" s="52"/>
      <c r="AF54" s="1" t="e">
        <f t="shared" ca="1" si="1"/>
        <v>#VALUE!</v>
      </c>
      <c r="AG54" s="53">
        <f t="shared" si="2"/>
        <v>155.10000000000002</v>
      </c>
      <c r="AH54" s="1" t="s">
        <v>148</v>
      </c>
    </row>
    <row r="55" spans="1:34" ht="16.149999999999999" customHeight="1">
      <c r="A55" s="54">
        <v>53</v>
      </c>
      <c r="B55" s="50" t="s">
        <v>151</v>
      </c>
      <c r="C55" s="50" t="s">
        <v>37</v>
      </c>
      <c r="D55" s="50">
        <v>2.8</v>
      </c>
      <c r="E55" s="50" t="s">
        <v>143</v>
      </c>
      <c r="F55" s="50" t="s">
        <v>115</v>
      </c>
      <c r="G55" s="19" t="s">
        <v>67</v>
      </c>
      <c r="H55" s="50" t="s">
        <v>152</v>
      </c>
      <c r="I55" s="50" t="s">
        <v>153</v>
      </c>
      <c r="J55" s="55">
        <v>76</v>
      </c>
      <c r="K55" s="47"/>
      <c r="L55" s="2" t="str">
        <f t="shared" si="13"/>
        <v>E20N</v>
      </c>
      <c r="M55" s="19"/>
      <c r="N55" s="50"/>
      <c r="O55" s="50"/>
      <c r="P55" s="50"/>
      <c r="Q55" s="50" t="s">
        <v>25</v>
      </c>
      <c r="R55" s="51">
        <v>0.125</v>
      </c>
      <c r="S55" s="51" t="s">
        <v>54</v>
      </c>
      <c r="T55" s="50">
        <v>-46</v>
      </c>
      <c r="U55" s="44">
        <v>155.1</v>
      </c>
      <c r="V55" s="44">
        <v>155.1</v>
      </c>
      <c r="W55" s="44">
        <v>152</v>
      </c>
      <c r="X55" s="44">
        <v>137.80000000000001</v>
      </c>
      <c r="Y55" s="44">
        <v>128</v>
      </c>
      <c r="Z55" s="44">
        <v>121.4</v>
      </c>
      <c r="AD55" s="52"/>
      <c r="AF55" s="1" t="e">
        <f t="shared" ca="1" si="1"/>
        <v>#VALUE!</v>
      </c>
      <c r="AG55" s="53">
        <f t="shared" si="2"/>
        <v>232.64999999999998</v>
      </c>
      <c r="AH55" s="1" t="s">
        <v>151</v>
      </c>
    </row>
    <row r="56" spans="1:34" ht="16.149999999999999" customHeight="1">
      <c r="A56" s="54">
        <v>54</v>
      </c>
      <c r="B56" s="50" t="s">
        <v>154</v>
      </c>
      <c r="C56" s="50" t="s">
        <v>42</v>
      </c>
      <c r="D56" s="50">
        <v>2.8</v>
      </c>
      <c r="E56" s="50" t="s">
        <v>143</v>
      </c>
      <c r="F56" s="50" t="s">
        <v>115</v>
      </c>
      <c r="G56" s="19" t="s">
        <v>67</v>
      </c>
      <c r="H56" s="50" t="s">
        <v>155</v>
      </c>
      <c r="I56" s="50" t="s">
        <v>156</v>
      </c>
      <c r="J56" s="55">
        <v>77</v>
      </c>
      <c r="K56" s="47"/>
      <c r="L56" s="2" t="str">
        <f t="shared" si="13"/>
        <v>F20N</v>
      </c>
      <c r="M56" s="19"/>
      <c r="N56" s="50"/>
      <c r="O56" s="50"/>
      <c r="P56" s="50"/>
      <c r="Q56" s="50" t="s">
        <v>25</v>
      </c>
      <c r="R56" s="51">
        <v>0.125</v>
      </c>
      <c r="S56" s="51" t="s">
        <v>54</v>
      </c>
      <c r="T56" s="50">
        <v>-46</v>
      </c>
      <c r="U56" s="44">
        <v>258.60000000000002</v>
      </c>
      <c r="V56" s="44">
        <v>258.60000000000002</v>
      </c>
      <c r="W56" s="44">
        <v>253.3</v>
      </c>
      <c r="X56" s="44">
        <v>229.6</v>
      </c>
      <c r="Y56" s="44">
        <v>213.3</v>
      </c>
      <c r="Z56" s="44">
        <v>202.3</v>
      </c>
      <c r="AD56" s="52"/>
      <c r="AF56" s="1" t="e">
        <f t="shared" ca="1" si="1"/>
        <v>#VALUE!</v>
      </c>
      <c r="AG56" s="53">
        <f t="shared" si="2"/>
        <v>387.90000000000003</v>
      </c>
      <c r="AH56" s="1" t="s">
        <v>154</v>
      </c>
    </row>
    <row r="57" spans="1:34" ht="16.149999999999999" customHeight="1">
      <c r="A57" s="54">
        <v>55</v>
      </c>
      <c r="B57" s="50" t="s">
        <v>157</v>
      </c>
      <c r="C57" s="50" t="s">
        <v>46</v>
      </c>
      <c r="D57" s="50">
        <v>2.8</v>
      </c>
      <c r="E57" s="50" t="s">
        <v>143</v>
      </c>
      <c r="F57" s="50" t="s">
        <v>115</v>
      </c>
      <c r="G57" s="19" t="s">
        <v>67</v>
      </c>
      <c r="H57" s="50" t="s">
        <v>158</v>
      </c>
      <c r="I57" s="50" t="s">
        <v>159</v>
      </c>
      <c r="J57" s="55">
        <v>78</v>
      </c>
      <c r="K57" s="47"/>
      <c r="L57" s="2" t="str">
        <f t="shared" si="13"/>
        <v>G20N</v>
      </c>
      <c r="M57" s="19"/>
      <c r="N57" s="50"/>
      <c r="O57" s="50"/>
      <c r="P57" s="50"/>
      <c r="Q57" s="50" t="s">
        <v>25</v>
      </c>
      <c r="R57" s="51">
        <v>0.125</v>
      </c>
      <c r="S57" s="51" t="s">
        <v>54</v>
      </c>
      <c r="T57" s="50">
        <v>-46</v>
      </c>
      <c r="U57" s="44">
        <v>430.9</v>
      </c>
      <c r="V57" s="44">
        <v>430.9</v>
      </c>
      <c r="W57" s="44">
        <v>422.2</v>
      </c>
      <c r="X57" s="44">
        <v>382.7</v>
      </c>
      <c r="Y57" s="44">
        <v>355.4</v>
      </c>
      <c r="Z57" s="44">
        <v>337.2</v>
      </c>
      <c r="AD57" s="52"/>
      <c r="AF57" s="1" t="e">
        <f t="shared" ca="1" si="1"/>
        <v>#VALUE!</v>
      </c>
      <c r="AG57" s="53">
        <f t="shared" si="2"/>
        <v>646.34999999999991</v>
      </c>
      <c r="AH57" s="1" t="s">
        <v>157</v>
      </c>
    </row>
    <row r="58" spans="1:34" ht="16.149999999999999" customHeight="1">
      <c r="A58" s="54">
        <v>56</v>
      </c>
      <c r="B58" s="50" t="s">
        <v>160</v>
      </c>
      <c r="C58" s="50" t="s">
        <v>19</v>
      </c>
      <c r="D58" s="50">
        <v>2.8</v>
      </c>
      <c r="E58" s="50" t="s">
        <v>161</v>
      </c>
      <c r="F58" s="50" t="s">
        <v>115</v>
      </c>
      <c r="G58" s="19" t="s">
        <v>162</v>
      </c>
      <c r="H58" s="50" t="s">
        <v>144</v>
      </c>
      <c r="I58" s="50" t="s">
        <v>24</v>
      </c>
      <c r="J58" s="55">
        <v>79</v>
      </c>
      <c r="K58" s="47"/>
      <c r="L58" s="2" t="str">
        <f t="shared" si="13"/>
        <v>A25</v>
      </c>
      <c r="M58" s="19"/>
      <c r="N58" s="50"/>
      <c r="O58" s="50"/>
      <c r="P58" s="50"/>
      <c r="Q58" s="50" t="s">
        <v>25</v>
      </c>
      <c r="R58" s="51">
        <v>0.125</v>
      </c>
      <c r="S58" s="51" t="s">
        <v>26</v>
      </c>
      <c r="T58" s="50">
        <v>-46</v>
      </c>
      <c r="U58" s="44">
        <v>20</v>
      </c>
      <c r="V58" s="44">
        <v>19.5</v>
      </c>
      <c r="W58" s="44">
        <v>17.7</v>
      </c>
      <c r="X58" s="44">
        <v>15.8</v>
      </c>
      <c r="Y58" s="44">
        <v>13.8</v>
      </c>
      <c r="Z58" s="44">
        <v>12.1</v>
      </c>
      <c r="AD58" s="52"/>
      <c r="AF58" s="1" t="e">
        <f t="shared" ca="1" si="1"/>
        <v>#VALUE!</v>
      </c>
      <c r="AG58" s="53">
        <f t="shared" ref="AG58:AG59" si="14">U58*1.5</f>
        <v>30</v>
      </c>
      <c r="AH58" s="1" t="s">
        <v>160</v>
      </c>
    </row>
    <row r="59" spans="1:34" ht="16.149999999999999" customHeight="1">
      <c r="A59" s="54">
        <v>62</v>
      </c>
      <c r="B59" s="50" t="s">
        <v>163</v>
      </c>
      <c r="C59" s="50" t="s">
        <v>46</v>
      </c>
      <c r="D59" s="50">
        <v>2.8</v>
      </c>
      <c r="E59" s="50" t="s">
        <v>161</v>
      </c>
      <c r="F59" s="50" t="s">
        <v>115</v>
      </c>
      <c r="G59" s="19" t="s">
        <v>164</v>
      </c>
      <c r="H59" s="50" t="s">
        <v>158</v>
      </c>
      <c r="I59" s="50" t="s">
        <v>159</v>
      </c>
      <c r="J59" s="55">
        <v>80</v>
      </c>
      <c r="K59" s="47"/>
      <c r="L59" s="2" t="str">
        <f t="shared" si="13"/>
        <v>G25</v>
      </c>
      <c r="M59" s="19"/>
      <c r="N59" s="50"/>
      <c r="O59" s="50"/>
      <c r="P59" s="50"/>
      <c r="Q59" s="50" t="s">
        <v>25</v>
      </c>
      <c r="R59" s="51">
        <v>0.125</v>
      </c>
      <c r="S59" s="51" t="s">
        <v>26</v>
      </c>
      <c r="T59" s="50">
        <v>-46</v>
      </c>
      <c r="U59" s="44">
        <v>430.9</v>
      </c>
      <c r="V59" s="44">
        <v>430.9</v>
      </c>
      <c r="W59" s="44">
        <v>422.2</v>
      </c>
      <c r="X59" s="44">
        <v>382.7</v>
      </c>
      <c r="Y59" s="44">
        <v>355.4</v>
      </c>
      <c r="Z59" s="44">
        <v>337.2</v>
      </c>
      <c r="AD59" s="52"/>
      <c r="AF59" s="1" t="e">
        <f ca="1">INDIRECT("'"&amp;$L59&amp;"'!$F$3")</f>
        <v>#VALUE!</v>
      </c>
      <c r="AG59" s="53">
        <f t="shared" si="14"/>
        <v>646.34999999999991</v>
      </c>
      <c r="AH59" s="1" t="s">
        <v>163</v>
      </c>
    </row>
    <row r="60" spans="1:34" ht="16.149999999999999" customHeight="1">
      <c r="A60" s="54">
        <v>57</v>
      </c>
      <c r="B60" s="50" t="s">
        <v>165</v>
      </c>
      <c r="C60" s="50" t="s">
        <v>19</v>
      </c>
      <c r="D60" s="50">
        <v>2.8</v>
      </c>
      <c r="E60" s="50" t="s">
        <v>166</v>
      </c>
      <c r="F60" s="50" t="s">
        <v>115</v>
      </c>
      <c r="G60" s="19" t="s">
        <v>67</v>
      </c>
      <c r="H60" s="50" t="s">
        <v>144</v>
      </c>
      <c r="I60" s="50" t="s">
        <v>24</v>
      </c>
      <c r="J60" s="55">
        <v>81</v>
      </c>
      <c r="K60" s="47"/>
      <c r="L60" s="2" t="str">
        <f t="shared" ref="L60:L65" si="15">HYPERLINK("#'"&amp;B60&amp;"'!A1",B60)</f>
        <v>A25N</v>
      </c>
      <c r="M60" s="19"/>
      <c r="N60" s="50"/>
      <c r="O60" s="50"/>
      <c r="P60" s="50"/>
      <c r="Q60" s="50" t="s">
        <v>25</v>
      </c>
      <c r="R60" s="51">
        <v>0.125</v>
      </c>
      <c r="S60" s="51" t="s">
        <v>54</v>
      </c>
      <c r="T60" s="50">
        <v>-46</v>
      </c>
      <c r="U60" s="44">
        <v>20</v>
      </c>
      <c r="V60" s="44">
        <v>19.5</v>
      </c>
      <c r="W60" s="44">
        <v>17.7</v>
      </c>
      <c r="X60" s="44">
        <v>15.8</v>
      </c>
      <c r="Y60" s="44">
        <v>13.8</v>
      </c>
      <c r="Z60" s="44">
        <v>12.1</v>
      </c>
      <c r="AD60" s="52"/>
      <c r="AF60" s="1" t="e">
        <f t="shared" ca="1" si="1"/>
        <v>#VALUE!</v>
      </c>
      <c r="AG60" s="53">
        <f t="shared" si="2"/>
        <v>30</v>
      </c>
      <c r="AH60" s="1" t="s">
        <v>165</v>
      </c>
    </row>
    <row r="61" spans="1:34" ht="16.149999999999999" customHeight="1">
      <c r="A61" s="54">
        <v>58</v>
      </c>
      <c r="B61" s="50" t="s">
        <v>167</v>
      </c>
      <c r="C61" s="50" t="s">
        <v>28</v>
      </c>
      <c r="D61" s="50">
        <v>2.8</v>
      </c>
      <c r="E61" s="50" t="s">
        <v>166</v>
      </c>
      <c r="F61" s="50" t="s">
        <v>115</v>
      </c>
      <c r="G61" s="19" t="s">
        <v>67</v>
      </c>
      <c r="H61" s="50" t="s">
        <v>146</v>
      </c>
      <c r="I61" s="50" t="s">
        <v>147</v>
      </c>
      <c r="J61" s="55">
        <v>82</v>
      </c>
      <c r="K61" s="47"/>
      <c r="L61" s="2" t="str">
        <f t="shared" si="15"/>
        <v>B25N</v>
      </c>
      <c r="M61" s="19"/>
      <c r="N61" s="50"/>
      <c r="O61" s="50"/>
      <c r="P61" s="50"/>
      <c r="Q61" s="50" t="s">
        <v>25</v>
      </c>
      <c r="R61" s="51">
        <v>0.125</v>
      </c>
      <c r="S61" s="51" t="s">
        <v>54</v>
      </c>
      <c r="T61" s="50">
        <v>-46</v>
      </c>
      <c r="U61" s="44">
        <v>51.7</v>
      </c>
      <c r="V61" s="44">
        <v>51.7</v>
      </c>
      <c r="W61" s="44">
        <v>50.7</v>
      </c>
      <c r="X61" s="44">
        <v>45.9</v>
      </c>
      <c r="Y61" s="44">
        <v>42.7</v>
      </c>
      <c r="Z61" s="44">
        <v>40.5</v>
      </c>
      <c r="AD61" s="52"/>
      <c r="AF61" s="1" t="e">
        <f t="shared" ca="1" si="1"/>
        <v>#VALUE!</v>
      </c>
      <c r="AG61" s="53">
        <f t="shared" si="2"/>
        <v>77.550000000000011</v>
      </c>
      <c r="AH61" s="1" t="s">
        <v>167</v>
      </c>
    </row>
    <row r="62" spans="1:34" ht="16.149999999999999" customHeight="1">
      <c r="A62" s="54">
        <v>59</v>
      </c>
      <c r="B62" s="50" t="s">
        <v>168</v>
      </c>
      <c r="C62" s="50" t="s">
        <v>33</v>
      </c>
      <c r="D62" s="50">
        <v>2.8</v>
      </c>
      <c r="E62" s="50" t="s">
        <v>166</v>
      </c>
      <c r="F62" s="50" t="s">
        <v>115</v>
      </c>
      <c r="G62" s="19" t="s">
        <v>67</v>
      </c>
      <c r="H62" s="50" t="s">
        <v>149</v>
      </c>
      <c r="I62" s="50" t="s">
        <v>150</v>
      </c>
      <c r="J62" s="55">
        <v>83</v>
      </c>
      <c r="K62" s="47"/>
      <c r="L62" s="2" t="str">
        <f t="shared" si="15"/>
        <v>D25N</v>
      </c>
      <c r="M62" s="19"/>
      <c r="N62" s="50"/>
      <c r="O62" s="50"/>
      <c r="P62" s="50"/>
      <c r="Q62" s="50" t="s">
        <v>25</v>
      </c>
      <c r="R62" s="51">
        <v>0.125</v>
      </c>
      <c r="S62" s="51" t="s">
        <v>54</v>
      </c>
      <c r="T62" s="50">
        <v>-46</v>
      </c>
      <c r="U62" s="44">
        <v>103.4</v>
      </c>
      <c r="V62" s="44">
        <v>103.4</v>
      </c>
      <c r="W62" s="44">
        <v>101.3</v>
      </c>
      <c r="X62" s="44">
        <v>91.9</v>
      </c>
      <c r="Y62" s="44">
        <v>85.3</v>
      </c>
      <c r="Z62" s="44">
        <v>80.900000000000006</v>
      </c>
      <c r="AD62" s="52"/>
      <c r="AF62" s="1" t="e">
        <f t="shared" ca="1" si="1"/>
        <v>#VALUE!</v>
      </c>
      <c r="AG62" s="53">
        <f t="shared" si="2"/>
        <v>155.10000000000002</v>
      </c>
      <c r="AH62" s="1" t="s">
        <v>168</v>
      </c>
    </row>
    <row r="63" spans="1:34" ht="16.149999999999999" customHeight="1">
      <c r="A63" s="54">
        <v>60</v>
      </c>
      <c r="B63" s="50" t="s">
        <v>169</v>
      </c>
      <c r="C63" s="50" t="s">
        <v>37</v>
      </c>
      <c r="D63" s="50">
        <v>2.8</v>
      </c>
      <c r="E63" s="65" t="s">
        <v>166</v>
      </c>
      <c r="F63" s="50" t="s">
        <v>115</v>
      </c>
      <c r="G63" s="19" t="s">
        <v>67</v>
      </c>
      <c r="H63" s="50" t="s">
        <v>152</v>
      </c>
      <c r="I63" s="50" t="s">
        <v>153</v>
      </c>
      <c r="J63" s="55">
        <v>84</v>
      </c>
      <c r="K63" s="47"/>
      <c r="L63" s="2" t="str">
        <f t="shared" si="15"/>
        <v>E25N</v>
      </c>
      <c r="M63" s="19"/>
      <c r="N63" s="50"/>
      <c r="O63" s="50"/>
      <c r="P63" s="50"/>
      <c r="Q63" s="50" t="s">
        <v>25</v>
      </c>
      <c r="R63" s="51">
        <v>0.125</v>
      </c>
      <c r="S63" s="51" t="s">
        <v>54</v>
      </c>
      <c r="T63" s="50">
        <v>-46</v>
      </c>
      <c r="U63" s="44">
        <v>155.1</v>
      </c>
      <c r="V63" s="44">
        <v>155.1</v>
      </c>
      <c r="W63" s="44">
        <v>152</v>
      </c>
      <c r="X63" s="44">
        <v>137.80000000000001</v>
      </c>
      <c r="Y63" s="44">
        <v>128</v>
      </c>
      <c r="Z63" s="44">
        <v>121.4</v>
      </c>
      <c r="AD63" s="52"/>
      <c r="AF63" s="1" t="e">
        <f t="shared" ca="1" si="1"/>
        <v>#VALUE!</v>
      </c>
      <c r="AG63" s="53">
        <f t="shared" si="2"/>
        <v>232.64999999999998</v>
      </c>
      <c r="AH63" s="1" t="s">
        <v>169</v>
      </c>
    </row>
    <row r="64" spans="1:34" ht="16.149999999999999" customHeight="1">
      <c r="A64" s="54">
        <v>61</v>
      </c>
      <c r="B64" s="50" t="s">
        <v>170</v>
      </c>
      <c r="C64" s="50" t="s">
        <v>42</v>
      </c>
      <c r="D64" s="50">
        <v>2.8</v>
      </c>
      <c r="E64" s="50" t="s">
        <v>166</v>
      </c>
      <c r="F64" s="50" t="s">
        <v>115</v>
      </c>
      <c r="G64" s="19" t="s">
        <v>67</v>
      </c>
      <c r="H64" s="50" t="s">
        <v>155</v>
      </c>
      <c r="I64" s="50" t="s">
        <v>156</v>
      </c>
      <c r="J64" s="55">
        <v>85</v>
      </c>
      <c r="K64" s="47"/>
      <c r="L64" s="2" t="str">
        <f t="shared" si="15"/>
        <v>F25N</v>
      </c>
      <c r="M64" s="19"/>
      <c r="N64" s="50"/>
      <c r="O64" s="50"/>
      <c r="P64" s="50"/>
      <c r="Q64" s="50" t="s">
        <v>25</v>
      </c>
      <c r="R64" s="51">
        <v>0.125</v>
      </c>
      <c r="S64" s="51" t="s">
        <v>54</v>
      </c>
      <c r="T64" s="50">
        <v>-46</v>
      </c>
      <c r="U64" s="44">
        <v>258.60000000000002</v>
      </c>
      <c r="V64" s="44">
        <v>258.60000000000002</v>
      </c>
      <c r="W64" s="44">
        <v>253.3</v>
      </c>
      <c r="X64" s="44">
        <v>229.6</v>
      </c>
      <c r="Y64" s="44">
        <v>213.3</v>
      </c>
      <c r="Z64" s="44">
        <v>202.3</v>
      </c>
      <c r="AD64" s="52"/>
      <c r="AF64" s="1" t="e">
        <f t="shared" ca="1" si="1"/>
        <v>#VALUE!</v>
      </c>
      <c r="AG64" s="53">
        <f t="shared" si="2"/>
        <v>387.90000000000003</v>
      </c>
      <c r="AH64" s="1" t="s">
        <v>170</v>
      </c>
    </row>
    <row r="65" spans="1:34" ht="16.149999999999999" customHeight="1">
      <c r="A65" s="54">
        <v>62</v>
      </c>
      <c r="B65" s="50" t="s">
        <v>171</v>
      </c>
      <c r="C65" s="50" t="s">
        <v>46</v>
      </c>
      <c r="D65" s="50">
        <v>2.8</v>
      </c>
      <c r="E65" s="50" t="s">
        <v>166</v>
      </c>
      <c r="F65" s="50" t="s">
        <v>115</v>
      </c>
      <c r="G65" s="19" t="s">
        <v>67</v>
      </c>
      <c r="H65" s="50" t="s">
        <v>158</v>
      </c>
      <c r="I65" s="50" t="s">
        <v>159</v>
      </c>
      <c r="J65" s="55">
        <v>86</v>
      </c>
      <c r="K65" s="47"/>
      <c r="L65" s="2" t="str">
        <f t="shared" si="15"/>
        <v>G25N</v>
      </c>
      <c r="M65" s="19"/>
      <c r="N65" s="50"/>
      <c r="O65" s="50"/>
      <c r="P65" s="50"/>
      <c r="Q65" s="50" t="s">
        <v>25</v>
      </c>
      <c r="R65" s="51">
        <v>0.125</v>
      </c>
      <c r="S65" s="51" t="s">
        <v>54</v>
      </c>
      <c r="T65" s="50">
        <v>-46</v>
      </c>
      <c r="U65" s="44">
        <v>430.9</v>
      </c>
      <c r="V65" s="44">
        <v>430.9</v>
      </c>
      <c r="W65" s="44">
        <v>422.2</v>
      </c>
      <c r="X65" s="44">
        <v>382.7</v>
      </c>
      <c r="Y65" s="44">
        <v>355.4</v>
      </c>
      <c r="Z65" s="44">
        <v>337.2</v>
      </c>
      <c r="AD65" s="52"/>
      <c r="AF65" s="1" t="e">
        <f t="shared" ca="1" si="1"/>
        <v>#VALUE!</v>
      </c>
      <c r="AG65" s="53">
        <f t="shared" si="2"/>
        <v>646.34999999999991</v>
      </c>
      <c r="AH65" s="1" t="s">
        <v>171</v>
      </c>
    </row>
    <row r="66" spans="1:34" ht="16.149999999999999" customHeight="1">
      <c r="A66" s="54">
        <v>63</v>
      </c>
      <c r="B66" s="50" t="s">
        <v>172</v>
      </c>
      <c r="C66" s="50" t="s">
        <v>173</v>
      </c>
      <c r="D66" s="50" t="s">
        <v>174</v>
      </c>
      <c r="E66" s="50" t="s">
        <v>175</v>
      </c>
      <c r="F66" s="50" t="s">
        <v>115</v>
      </c>
      <c r="G66" s="19" t="s">
        <v>176</v>
      </c>
      <c r="H66" s="50" t="s">
        <v>177</v>
      </c>
      <c r="I66" s="50" t="s">
        <v>178</v>
      </c>
      <c r="J66" s="55">
        <v>87</v>
      </c>
      <c r="K66" s="47"/>
      <c r="L66" s="2" t="str">
        <f t="shared" ref="L66:L76" si="16">HYPERLINK("#'"&amp;B66&amp;"'!A1",B66)</f>
        <v>A30</v>
      </c>
      <c r="M66" s="19"/>
      <c r="N66" s="50"/>
      <c r="O66" s="50"/>
      <c r="P66" s="50"/>
      <c r="Q66" s="50" t="s">
        <v>179</v>
      </c>
      <c r="R66" s="51">
        <v>0.125</v>
      </c>
      <c r="S66" s="51" t="s">
        <v>180</v>
      </c>
      <c r="T66" s="50">
        <v>0</v>
      </c>
      <c r="U66" s="44">
        <v>20</v>
      </c>
      <c r="V66" s="44">
        <v>19.7</v>
      </c>
      <c r="W66" s="44">
        <v>18.600000000000001</v>
      </c>
      <c r="X66" s="44">
        <v>17.3</v>
      </c>
      <c r="AD66" s="52"/>
      <c r="AF66" s="1" t="e">
        <f t="shared" ref="AF66:AF76" ca="1" si="17">INDIRECT("'"&amp;$L66&amp;"'!$F$3")</f>
        <v>#VALUE!</v>
      </c>
      <c r="AG66" s="53">
        <f t="shared" si="2"/>
        <v>30</v>
      </c>
      <c r="AH66" s="1" t="s">
        <v>172</v>
      </c>
    </row>
    <row r="67" spans="1:34" ht="16.149999999999999" customHeight="1">
      <c r="A67" s="54">
        <v>64</v>
      </c>
      <c r="B67" s="50" t="s">
        <v>181</v>
      </c>
      <c r="C67" s="50" t="s">
        <v>19</v>
      </c>
      <c r="D67" s="50" t="s">
        <v>174</v>
      </c>
      <c r="E67" s="50" t="s">
        <v>182</v>
      </c>
      <c r="F67" s="50" t="s">
        <v>115</v>
      </c>
      <c r="G67" s="19" t="s">
        <v>183</v>
      </c>
      <c r="H67" s="50" t="s">
        <v>177</v>
      </c>
      <c r="I67" s="50" t="s">
        <v>178</v>
      </c>
      <c r="J67" s="55">
        <v>88</v>
      </c>
      <c r="K67" s="47"/>
      <c r="L67" s="2" t="str">
        <f t="shared" si="16"/>
        <v>A31</v>
      </c>
      <c r="M67" s="19"/>
      <c r="N67" s="50"/>
      <c r="O67" s="50"/>
      <c r="P67" s="50"/>
      <c r="Q67" s="50" t="s">
        <v>179</v>
      </c>
      <c r="R67" s="51">
        <v>0.125</v>
      </c>
      <c r="S67" s="51" t="s">
        <v>26</v>
      </c>
      <c r="T67" s="50">
        <v>0</v>
      </c>
      <c r="U67" s="44">
        <v>15.5</v>
      </c>
      <c r="V67" s="44">
        <v>15.5</v>
      </c>
      <c r="W67" s="44">
        <v>14.5</v>
      </c>
      <c r="AD67" s="52"/>
      <c r="AF67" s="1" t="e">
        <f t="shared" ca="1" si="17"/>
        <v>#VALUE!</v>
      </c>
      <c r="AG67" s="53">
        <f t="shared" ref="AG67:AG68" si="18">U67*1.5</f>
        <v>23.25</v>
      </c>
      <c r="AH67" s="1" t="s">
        <v>181</v>
      </c>
    </row>
    <row r="68" spans="1:34" ht="16.149999999999999" customHeight="1">
      <c r="A68" s="54">
        <v>65</v>
      </c>
      <c r="B68" s="50" t="s">
        <v>184</v>
      </c>
      <c r="C68" s="50" t="s">
        <v>19</v>
      </c>
      <c r="D68" s="50" t="s">
        <v>174</v>
      </c>
      <c r="E68" s="50" t="s">
        <v>185</v>
      </c>
      <c r="F68" s="50" t="s">
        <v>115</v>
      </c>
      <c r="G68" s="19" t="s">
        <v>186</v>
      </c>
      <c r="H68" s="50" t="s">
        <v>177</v>
      </c>
      <c r="I68" s="50" t="s">
        <v>187</v>
      </c>
      <c r="J68" s="55">
        <v>89</v>
      </c>
      <c r="K68" s="47"/>
      <c r="L68" s="2" t="str">
        <f t="shared" si="16"/>
        <v>A40</v>
      </c>
      <c r="M68" s="19"/>
      <c r="N68" s="50"/>
      <c r="O68" s="50"/>
      <c r="P68" s="50"/>
      <c r="Q68" s="50" t="s">
        <v>188</v>
      </c>
      <c r="R68" s="51">
        <v>0.125</v>
      </c>
      <c r="S68" s="51" t="s">
        <v>189</v>
      </c>
      <c r="T68" s="50">
        <v>0</v>
      </c>
      <c r="U68" s="44">
        <v>20</v>
      </c>
      <c r="V68" s="44">
        <v>20</v>
      </c>
      <c r="W68" s="44">
        <v>20</v>
      </c>
      <c r="AD68" s="52"/>
      <c r="AF68" s="1" t="e">
        <f t="shared" ca="1" si="17"/>
        <v>#VALUE!</v>
      </c>
      <c r="AG68" s="53">
        <f t="shared" si="18"/>
        <v>30</v>
      </c>
      <c r="AH68" s="1" t="s">
        <v>172</v>
      </c>
    </row>
    <row r="69" spans="1:34" ht="16.149999999999999" customHeight="1">
      <c r="A69" s="54">
        <v>65</v>
      </c>
      <c r="B69" s="50" t="s">
        <v>190</v>
      </c>
      <c r="C69" s="50" t="s">
        <v>19</v>
      </c>
      <c r="D69" s="50" t="s">
        <v>174</v>
      </c>
      <c r="E69" s="50" t="s">
        <v>185</v>
      </c>
      <c r="F69" s="50" t="s">
        <v>115</v>
      </c>
      <c r="G69" s="19" t="s">
        <v>191</v>
      </c>
      <c r="H69" s="50" t="s">
        <v>192</v>
      </c>
      <c r="I69" s="50" t="s">
        <v>193</v>
      </c>
      <c r="J69" s="55">
        <v>90</v>
      </c>
      <c r="K69" s="47"/>
      <c r="L69" s="2" t="str">
        <f t="shared" si="16"/>
        <v>A41</v>
      </c>
      <c r="M69" s="19"/>
      <c r="N69" s="50"/>
      <c r="O69" s="50"/>
      <c r="P69" s="50"/>
      <c r="Q69" s="50" t="s">
        <v>188</v>
      </c>
      <c r="R69" s="51">
        <v>0.125</v>
      </c>
      <c r="S69" s="51" t="s">
        <v>189</v>
      </c>
      <c r="T69" s="50">
        <v>0</v>
      </c>
      <c r="U69" s="44">
        <v>16.32</v>
      </c>
      <c r="V69" s="44">
        <v>16.32</v>
      </c>
      <c r="W69" s="44">
        <v>16.32</v>
      </c>
      <c r="AD69" s="52"/>
      <c r="AF69" s="1" t="e">
        <f t="shared" ca="1" si="17"/>
        <v>#VALUE!</v>
      </c>
      <c r="AG69" s="53">
        <f t="shared" si="2"/>
        <v>24.48</v>
      </c>
      <c r="AH69" s="1" t="s">
        <v>172</v>
      </c>
    </row>
    <row r="70" spans="1:34" ht="16.149999999999999" customHeight="1">
      <c r="A70" s="54">
        <v>66</v>
      </c>
      <c r="B70" s="50" t="s">
        <v>194</v>
      </c>
      <c r="C70" s="50" t="s">
        <v>19</v>
      </c>
      <c r="D70" s="50" t="s">
        <v>174</v>
      </c>
      <c r="E70" s="50" t="s">
        <v>195</v>
      </c>
      <c r="F70" s="50" t="s">
        <v>115</v>
      </c>
      <c r="G70" s="19" t="s">
        <v>196</v>
      </c>
      <c r="H70" s="50" t="s">
        <v>177</v>
      </c>
      <c r="I70" s="50" t="s">
        <v>187</v>
      </c>
      <c r="J70" s="55">
        <v>91</v>
      </c>
      <c r="K70" s="47"/>
      <c r="L70" s="2" t="str">
        <f t="shared" si="16"/>
        <v>A42</v>
      </c>
      <c r="M70" s="19"/>
      <c r="N70" s="50"/>
      <c r="O70" s="50"/>
      <c r="P70" s="50"/>
      <c r="Q70" s="50" t="s">
        <v>188</v>
      </c>
      <c r="R70" s="51">
        <v>0.125</v>
      </c>
      <c r="S70" s="51" t="s">
        <v>197</v>
      </c>
      <c r="T70" s="50">
        <v>0</v>
      </c>
      <c r="U70" s="44">
        <v>20</v>
      </c>
      <c r="V70" s="44">
        <v>20</v>
      </c>
      <c r="W70" s="44">
        <v>20</v>
      </c>
      <c r="AD70" s="52"/>
      <c r="AF70" s="1" t="e">
        <f t="shared" ca="1" si="17"/>
        <v>#VALUE!</v>
      </c>
      <c r="AG70" s="53">
        <f t="shared" ref="AG70" si="19">U70*1.5</f>
        <v>30</v>
      </c>
      <c r="AH70" s="1" t="s">
        <v>172</v>
      </c>
    </row>
    <row r="71" spans="1:34">
      <c r="A71" s="54">
        <v>67</v>
      </c>
      <c r="B71" s="50" t="s">
        <v>198</v>
      </c>
      <c r="C71" s="50" t="s">
        <v>174</v>
      </c>
      <c r="D71" s="50" t="s">
        <v>174</v>
      </c>
      <c r="E71" s="50" t="s">
        <v>199</v>
      </c>
      <c r="F71" s="50" t="s">
        <v>115</v>
      </c>
      <c r="G71" s="19" t="s">
        <v>200</v>
      </c>
      <c r="H71" s="50" t="s">
        <v>201</v>
      </c>
      <c r="I71" s="50" t="s">
        <v>202</v>
      </c>
      <c r="J71" s="55">
        <v>92</v>
      </c>
      <c r="L71" s="2" t="str">
        <f t="shared" si="16"/>
        <v>T50A</v>
      </c>
      <c r="AF71" s="1" t="e">
        <f t="shared" ca="1" si="17"/>
        <v>#VALUE!</v>
      </c>
      <c r="AH71" s="1" t="s">
        <v>198</v>
      </c>
    </row>
    <row r="72" spans="1:34">
      <c r="A72" s="54">
        <v>68</v>
      </c>
      <c r="B72" s="50" t="s">
        <v>203</v>
      </c>
      <c r="C72" s="50" t="s">
        <v>174</v>
      </c>
      <c r="D72" s="50" t="s">
        <v>174</v>
      </c>
      <c r="E72" s="50" t="s">
        <v>199</v>
      </c>
      <c r="F72" s="50" t="s">
        <v>115</v>
      </c>
      <c r="G72" s="19" t="s">
        <v>200</v>
      </c>
      <c r="H72" s="50" t="s">
        <v>204</v>
      </c>
      <c r="I72" s="50" t="s">
        <v>205</v>
      </c>
      <c r="J72" s="55">
        <v>93</v>
      </c>
      <c r="L72" s="2" t="str">
        <f t="shared" si="16"/>
        <v>T50B</v>
      </c>
      <c r="AF72" s="1" t="e">
        <f t="shared" ca="1" si="17"/>
        <v>#VALUE!</v>
      </c>
      <c r="AH72" s="1" t="s">
        <v>203</v>
      </c>
    </row>
    <row r="73" spans="1:34">
      <c r="A73" s="54">
        <v>69</v>
      </c>
      <c r="B73" s="50" t="s">
        <v>206</v>
      </c>
      <c r="C73" s="50" t="s">
        <v>174</v>
      </c>
      <c r="D73" s="50" t="s">
        <v>174</v>
      </c>
      <c r="E73" s="50" t="s">
        <v>199</v>
      </c>
      <c r="F73" s="50" t="s">
        <v>115</v>
      </c>
      <c r="G73" s="19" t="s">
        <v>200</v>
      </c>
      <c r="H73" s="50" t="s">
        <v>207</v>
      </c>
      <c r="I73" s="50" t="s">
        <v>208</v>
      </c>
      <c r="J73" s="55">
        <v>94</v>
      </c>
      <c r="L73" s="2" t="str">
        <f t="shared" si="16"/>
        <v>T50C</v>
      </c>
      <c r="AF73" s="1" t="e">
        <f t="shared" ca="1" si="17"/>
        <v>#VALUE!</v>
      </c>
      <c r="AH73" s="1" t="s">
        <v>206</v>
      </c>
    </row>
    <row r="74" spans="1:34">
      <c r="A74" s="54">
        <v>70</v>
      </c>
      <c r="B74" s="50" t="s">
        <v>209</v>
      </c>
      <c r="C74" s="50" t="s">
        <v>174</v>
      </c>
      <c r="D74" s="50" t="s">
        <v>174</v>
      </c>
      <c r="E74" s="50" t="s">
        <v>210</v>
      </c>
      <c r="F74" s="50" t="s">
        <v>115</v>
      </c>
      <c r="G74" s="19" t="s">
        <v>200</v>
      </c>
      <c r="H74" s="50" t="s">
        <v>201</v>
      </c>
      <c r="I74" s="50" t="s">
        <v>202</v>
      </c>
      <c r="J74" s="55">
        <v>95</v>
      </c>
      <c r="L74" s="2" t="str">
        <f t="shared" si="16"/>
        <v>T60A</v>
      </c>
      <c r="AF74" s="1" t="e">
        <f t="shared" ca="1" si="17"/>
        <v>#VALUE!</v>
      </c>
      <c r="AH74" s="1" t="s">
        <v>198</v>
      </c>
    </row>
    <row r="75" spans="1:34">
      <c r="A75" s="54">
        <v>71</v>
      </c>
      <c r="B75" s="50" t="s">
        <v>211</v>
      </c>
      <c r="C75" s="50" t="s">
        <v>174</v>
      </c>
      <c r="D75" s="50" t="s">
        <v>174</v>
      </c>
      <c r="E75" s="50" t="s">
        <v>210</v>
      </c>
      <c r="F75" s="50" t="s">
        <v>115</v>
      </c>
      <c r="G75" s="19" t="s">
        <v>200</v>
      </c>
      <c r="H75" s="50" t="s">
        <v>204</v>
      </c>
      <c r="I75" s="50" t="s">
        <v>205</v>
      </c>
      <c r="J75" s="55">
        <v>96</v>
      </c>
      <c r="L75" s="2" t="str">
        <f t="shared" si="16"/>
        <v>T60B</v>
      </c>
      <c r="AF75" s="1" t="e">
        <f t="shared" ca="1" si="17"/>
        <v>#VALUE!</v>
      </c>
      <c r="AH75" s="1" t="s">
        <v>203</v>
      </c>
    </row>
    <row r="76" spans="1:34" ht="15.75" thickBot="1">
      <c r="A76" s="56">
        <v>72</v>
      </c>
      <c r="B76" s="57" t="s">
        <v>212</v>
      </c>
      <c r="C76" s="57" t="s">
        <v>174</v>
      </c>
      <c r="D76" s="57" t="s">
        <v>174</v>
      </c>
      <c r="E76" s="57" t="s">
        <v>210</v>
      </c>
      <c r="F76" s="57" t="s">
        <v>115</v>
      </c>
      <c r="G76" s="58" t="s">
        <v>200</v>
      </c>
      <c r="H76" s="57" t="s">
        <v>207</v>
      </c>
      <c r="I76" s="57" t="s">
        <v>208</v>
      </c>
      <c r="J76" s="55">
        <v>97</v>
      </c>
      <c r="L76" s="2" t="str">
        <f t="shared" si="16"/>
        <v>T60C</v>
      </c>
      <c r="AF76" s="1" t="e">
        <f t="shared" ca="1" si="17"/>
        <v>#VALUE!</v>
      </c>
      <c r="AH76" s="1" t="s">
        <v>206</v>
      </c>
    </row>
    <row r="77" spans="1:34">
      <c r="A77" s="44">
        <v>73</v>
      </c>
    </row>
  </sheetData>
  <mergeCells count="2">
    <mergeCell ref="F1:J1"/>
    <mergeCell ref="A1:E1"/>
  </mergeCells>
  <phoneticPr fontId="18" type="noConversion"/>
  <printOptions horizontalCentered="1"/>
  <pageMargins left="0.70866141732283472" right="0.70866141732283472" top="0.74803149606299213" bottom="0.74803149606299213" header="0.31496062992125984" footer="0.31496062992125984"/>
  <pageSetup paperSize="9" scale="80" firstPageNumber="20" fitToHeight="0" orientation="landscape" r:id="rId1"/>
  <ignoredErrors>
    <ignoredError sqref="AG16 AG17:AG33 AG40:AG45"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0" tint="-0.14999847407452621"/>
    <pageSetUpPr fitToPage="1"/>
  </sheetPr>
  <dimension ref="A1:AU56"/>
  <sheetViews>
    <sheetView workbookViewId="0"/>
  </sheetViews>
  <sheetFormatPr defaultColWidth="9.140625" defaultRowHeight="15"/>
  <cols>
    <col min="1" max="1" width="10.7109375" style="5" customWidth="1"/>
    <col min="2" max="5" width="4.7109375" style="5" customWidth="1"/>
    <col min="6" max="18" width="4.28515625" style="5" customWidth="1"/>
    <col min="19" max="22" width="4.28515625" style="1" customWidth="1"/>
    <col min="23" max="23" width="5.7109375" style="5" customWidth="1"/>
    <col min="24" max="16384" width="9.140625" style="5"/>
  </cols>
  <sheetData>
    <row r="1" spans="1:29" ht="15" customHeight="1">
      <c r="A1" s="132" t="e" vm="1">
        <v>#VALUE!</v>
      </c>
      <c r="B1" s="133"/>
      <c r="C1" s="133"/>
      <c r="D1" s="133"/>
      <c r="E1" s="134"/>
      <c r="F1" s="103" t="s">
        <v>213</v>
      </c>
      <c r="G1" s="103"/>
      <c r="H1" s="103"/>
      <c r="I1" s="103"/>
      <c r="J1" s="103"/>
      <c r="K1" s="103"/>
      <c r="L1" s="103"/>
      <c r="M1" s="103"/>
      <c r="N1" s="103"/>
      <c r="O1" s="103"/>
      <c r="P1" s="103"/>
      <c r="Q1" s="103"/>
      <c r="R1" s="103"/>
      <c r="S1" s="103"/>
      <c r="T1" s="104"/>
      <c r="U1" s="98" t="s">
        <v>214</v>
      </c>
      <c r="V1" s="99"/>
      <c r="W1" s="100"/>
    </row>
    <row r="2" spans="1:29" ht="15" customHeight="1">
      <c r="A2" s="135"/>
      <c r="B2" s="136"/>
      <c r="C2" s="136"/>
      <c r="D2" s="136"/>
      <c r="E2" s="137"/>
      <c r="F2" s="127" t="s">
        <v>215</v>
      </c>
      <c r="G2" s="101"/>
      <c r="H2" s="101"/>
      <c r="I2" s="101"/>
      <c r="J2" s="101" t="s">
        <v>216</v>
      </c>
      <c r="K2" s="101"/>
      <c r="L2" s="101"/>
      <c r="M2" s="101"/>
      <c r="N2" s="101" t="s">
        <v>217</v>
      </c>
      <c r="O2" s="101"/>
      <c r="P2" s="101"/>
      <c r="Q2" s="101"/>
      <c r="R2" s="101" t="s">
        <v>13</v>
      </c>
      <c r="S2" s="101"/>
      <c r="T2" s="101"/>
      <c r="U2" s="101" t="s">
        <v>10</v>
      </c>
      <c r="V2" s="101"/>
      <c r="W2" s="102"/>
    </row>
    <row r="3" spans="1:29" ht="15" customHeight="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c r="N3" s="101" t="e">
        <f ca="1">VLOOKUP(F3,INDEX!B:J,5,0)</f>
        <v>#VALUE!</v>
      </c>
      <c r="O3" s="101"/>
      <c r="P3" s="101"/>
      <c r="Q3" s="101"/>
      <c r="R3" s="105" t="e">
        <f ca="1">VLOOKUP(F3,INDEX!B:AF,17,0)</f>
        <v>#VALUE!</v>
      </c>
      <c r="S3" s="105"/>
      <c r="T3" s="105"/>
      <c r="U3" s="101" t="e">
        <f ca="1">VLOOKUP(F3,INDEX!B:J,9,0)</f>
        <v>#VALUE!</v>
      </c>
      <c r="V3" s="101"/>
      <c r="W3" s="102"/>
    </row>
    <row r="4" spans="1:29" ht="15" customHeight="1">
      <c r="A4" s="135"/>
      <c r="B4" s="136"/>
      <c r="C4" s="136"/>
      <c r="D4" s="136"/>
      <c r="E4" s="137"/>
      <c r="F4" s="130" t="s">
        <v>218</v>
      </c>
      <c r="G4" s="131"/>
      <c r="H4" s="131"/>
      <c r="I4" s="101" t="e">
        <f ca="1">VLOOKUP(F3,INDEX!B:AF,18,0)</f>
        <v>#VALUE!</v>
      </c>
      <c r="J4" s="101"/>
      <c r="K4" s="101"/>
      <c r="L4" s="101"/>
      <c r="M4" s="101"/>
      <c r="N4" s="101"/>
      <c r="O4" s="101"/>
      <c r="P4" s="101"/>
      <c r="Q4" s="101"/>
      <c r="R4" s="101"/>
      <c r="S4" s="101"/>
      <c r="T4" s="101"/>
      <c r="U4" s="101"/>
      <c r="V4" s="101"/>
      <c r="W4" s="102"/>
    </row>
    <row r="5" spans="1:29" ht="15" customHeight="1">
      <c r="A5" s="135"/>
      <c r="B5" s="136"/>
      <c r="C5" s="136"/>
      <c r="D5" s="136"/>
      <c r="E5" s="137"/>
      <c r="F5" s="128" t="s">
        <v>219</v>
      </c>
      <c r="G5" s="129"/>
      <c r="H5" s="101" t="e">
        <f ca="1">VLOOKUP(F3,INDEX!B:J,6,0)</f>
        <v>#VALUE!</v>
      </c>
      <c r="I5" s="101"/>
      <c r="J5" s="101"/>
      <c r="K5" s="101"/>
      <c r="L5" s="101"/>
      <c r="M5" s="101"/>
      <c r="N5" s="101"/>
      <c r="O5" s="101"/>
      <c r="P5" s="101"/>
      <c r="Q5" s="101"/>
      <c r="R5" s="101"/>
      <c r="S5" s="101"/>
      <c r="T5" s="101"/>
      <c r="U5" s="101"/>
      <c r="V5" s="101"/>
      <c r="W5" s="102"/>
    </row>
    <row r="6" spans="1:29" ht="15" customHeight="1" thickBot="1">
      <c r="A6" s="138"/>
      <c r="B6" s="139"/>
      <c r="C6" s="139"/>
      <c r="D6" s="139"/>
      <c r="E6" s="140"/>
      <c r="F6" s="130" t="s">
        <v>220</v>
      </c>
      <c r="G6" s="131"/>
      <c r="H6" s="131"/>
      <c r="I6" s="109" t="e">
        <f ca="1">VLOOKUP(F3,INDEX!B:AF,16,0)</f>
        <v>#VALUE!</v>
      </c>
      <c r="J6" s="109"/>
      <c r="K6" s="109"/>
      <c r="L6" s="109"/>
      <c r="M6" s="109"/>
      <c r="N6" s="109"/>
      <c r="O6" s="109"/>
      <c r="P6" s="109"/>
      <c r="Q6" s="109"/>
      <c r="R6" s="109"/>
      <c r="S6" s="109"/>
      <c r="T6" s="109"/>
      <c r="U6" s="109"/>
      <c r="V6" s="109"/>
      <c r="W6" s="110"/>
    </row>
    <row r="7" spans="1:29" ht="14.45" customHeight="1">
      <c r="A7" s="120" t="s">
        <v>221</v>
      </c>
      <c r="B7" s="121"/>
      <c r="C7" s="121"/>
      <c r="D7" s="121"/>
      <c r="E7" s="121"/>
      <c r="F7" s="122"/>
      <c r="G7" s="122"/>
      <c r="H7" s="122"/>
      <c r="I7" s="122"/>
      <c r="J7" s="122"/>
      <c r="K7" s="122"/>
      <c r="L7" s="122"/>
      <c r="M7" s="122"/>
      <c r="N7" s="122"/>
      <c r="O7" s="122"/>
      <c r="P7" s="122"/>
      <c r="Q7" s="122"/>
      <c r="R7" s="122"/>
      <c r="S7" s="122"/>
      <c r="T7" s="122"/>
      <c r="U7" s="122"/>
      <c r="V7" s="122"/>
      <c r="W7" s="123"/>
    </row>
    <row r="8" spans="1:29" s="3" customFormat="1">
      <c r="A8" s="67" t="s">
        <v>222</v>
      </c>
      <c r="B8" s="101" t="e">
        <f ca="1">VLOOKUP(F3,INDEX!B:AF,20,0)</f>
        <v>#VALUE!</v>
      </c>
      <c r="C8" s="101"/>
      <c r="D8" s="101" t="e">
        <f ca="1">VLOOKUP(F3,INDEX!B:AF,21,0)</f>
        <v>#VALUE!</v>
      </c>
      <c r="E8" s="101"/>
      <c r="F8" s="101" t="e">
        <f ca="1">VLOOKUP(F3,INDEX!B:AF,22,0)</f>
        <v>#VALUE!</v>
      </c>
      <c r="G8" s="101"/>
      <c r="H8" s="101" t="e">
        <f ca="1">VLOOKUP(F3,INDEX!B:AF,23,0)</f>
        <v>#VALUE!</v>
      </c>
      <c r="I8" s="101"/>
      <c r="J8" s="101" t="e">
        <f ca="1">VLOOKUP(F3,INDEX!B:AF,24,0)</f>
        <v>#VALUE!</v>
      </c>
      <c r="K8" s="101"/>
      <c r="L8" s="101"/>
      <c r="M8" s="101"/>
      <c r="N8" s="101"/>
      <c r="O8" s="101"/>
      <c r="P8" s="101" t="s">
        <v>223</v>
      </c>
      <c r="Q8" s="101"/>
      <c r="R8" s="101"/>
      <c r="S8" s="101"/>
      <c r="T8" s="101"/>
      <c r="U8" s="101"/>
      <c r="V8" s="101"/>
      <c r="W8" s="102"/>
    </row>
    <row r="9" spans="1:29" s="3" customFormat="1">
      <c r="A9" s="67" t="s">
        <v>224</v>
      </c>
      <c r="B9" s="101" t="e">
        <f ca="1">VLOOKUP(F3,INDEX!B:Z,19,0)&amp;" to 38"</f>
        <v>#VALUE!</v>
      </c>
      <c r="C9" s="101"/>
      <c r="D9" s="101">
        <v>50</v>
      </c>
      <c r="E9" s="101"/>
      <c r="F9" s="101">
        <v>100</v>
      </c>
      <c r="G9" s="101"/>
      <c r="H9" s="101">
        <v>150</v>
      </c>
      <c r="I9" s="101"/>
      <c r="J9" s="101">
        <v>200</v>
      </c>
      <c r="K9" s="101"/>
      <c r="L9" s="101"/>
      <c r="M9" s="101"/>
      <c r="N9" s="101"/>
      <c r="O9" s="101"/>
      <c r="P9" s="101" t="e">
        <f ca="1">B8*1.5</f>
        <v>#VALUE!</v>
      </c>
      <c r="Q9" s="101"/>
      <c r="R9" s="101"/>
      <c r="S9" s="101"/>
      <c r="T9" s="101"/>
      <c r="U9" s="101"/>
      <c r="V9" s="101"/>
      <c r="W9" s="102"/>
    </row>
    <row r="10" spans="1:29" s="3" customFormat="1">
      <c r="A10" s="124" t="s">
        <v>225</v>
      </c>
      <c r="B10" s="125"/>
      <c r="C10" s="125"/>
      <c r="D10" s="125"/>
      <c r="E10" s="125"/>
      <c r="F10" s="125"/>
      <c r="G10" s="125"/>
      <c r="H10" s="125"/>
      <c r="I10" s="125"/>
      <c r="J10" s="125"/>
      <c r="K10" s="125"/>
      <c r="L10" s="125"/>
      <c r="M10" s="125"/>
      <c r="N10" s="125"/>
      <c r="O10" s="125"/>
      <c r="P10" s="125"/>
      <c r="Q10" s="125"/>
      <c r="R10" s="125"/>
      <c r="S10" s="125"/>
      <c r="T10" s="125"/>
      <c r="U10" s="125"/>
      <c r="V10" s="125"/>
      <c r="W10" s="126"/>
    </row>
    <row r="11" spans="1:29" ht="13.9" customHeight="1">
      <c r="A11" s="69" t="s">
        <v>226</v>
      </c>
      <c r="B11" s="109" t="s">
        <v>227</v>
      </c>
      <c r="C11" s="109"/>
      <c r="D11" s="109"/>
      <c r="E11" s="109"/>
      <c r="F11" s="109"/>
      <c r="G11" s="109"/>
      <c r="H11" s="109"/>
      <c r="I11" s="109"/>
      <c r="J11" s="109"/>
      <c r="K11" s="109"/>
      <c r="L11" s="109"/>
      <c r="M11" s="109"/>
      <c r="N11" s="109"/>
      <c r="O11" s="109"/>
      <c r="P11" s="109"/>
      <c r="Q11" s="109"/>
      <c r="R11" s="109"/>
      <c r="S11" s="109"/>
      <c r="T11" s="109"/>
      <c r="U11" s="109"/>
      <c r="V11" s="109"/>
      <c r="W11" s="110"/>
    </row>
    <row r="12" spans="1:29"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17">
        <v>30</v>
      </c>
      <c r="V12" s="17">
        <v>32</v>
      </c>
      <c r="W12" s="74">
        <v>36</v>
      </c>
    </row>
    <row r="13" spans="1:29"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17">
        <v>762</v>
      </c>
      <c r="V13" s="17">
        <v>812.8</v>
      </c>
      <c r="W13" s="75">
        <v>914.4</v>
      </c>
    </row>
    <row r="14" spans="1:29" s="3" customFormat="1">
      <c r="A14" s="70" t="s">
        <v>230</v>
      </c>
      <c r="B14" s="17">
        <v>160</v>
      </c>
      <c r="C14" s="17">
        <v>160</v>
      </c>
      <c r="D14" s="17">
        <v>160</v>
      </c>
      <c r="E14" s="17">
        <v>160</v>
      </c>
      <c r="F14" s="17">
        <v>80</v>
      </c>
      <c r="G14" s="17">
        <v>80</v>
      </c>
      <c r="H14" s="17">
        <v>80</v>
      </c>
      <c r="I14" s="17">
        <v>80</v>
      </c>
      <c r="J14" s="17" t="s">
        <v>231</v>
      </c>
      <c r="K14" s="17" t="s">
        <v>231</v>
      </c>
      <c r="L14" s="17" t="s">
        <v>231</v>
      </c>
      <c r="M14" s="17" t="s">
        <v>231</v>
      </c>
      <c r="N14" s="17" t="s">
        <v>231</v>
      </c>
      <c r="O14" s="17" t="s">
        <v>231</v>
      </c>
      <c r="P14" s="17" t="s">
        <v>231</v>
      </c>
      <c r="Q14" s="17" t="s">
        <v>231</v>
      </c>
      <c r="R14" s="17" t="s">
        <v>231</v>
      </c>
      <c r="S14" s="17" t="s">
        <v>231</v>
      </c>
      <c r="T14" s="17" t="s">
        <v>231</v>
      </c>
      <c r="U14" s="17" t="s">
        <v>232</v>
      </c>
      <c r="V14" s="17" t="s">
        <v>232</v>
      </c>
      <c r="W14" s="75" t="s">
        <v>232</v>
      </c>
    </row>
    <row r="15" spans="1:29" s="3" customFormat="1">
      <c r="A15" s="70" t="s">
        <v>233</v>
      </c>
      <c r="B15" s="17">
        <v>7.47</v>
      </c>
      <c r="C15" s="17">
        <v>5.56</v>
      </c>
      <c r="D15" s="17">
        <v>6.35</v>
      </c>
      <c r="E15" s="17">
        <v>7.14</v>
      </c>
      <c r="F15" s="17">
        <v>5.54</v>
      </c>
      <c r="G15" s="17">
        <v>7.62</v>
      </c>
      <c r="H15" s="17">
        <v>8.56</v>
      </c>
      <c r="I15" s="17">
        <v>10.97</v>
      </c>
      <c r="J15" s="17">
        <v>8.18</v>
      </c>
      <c r="K15" s="17">
        <v>9.27</v>
      </c>
      <c r="L15" s="17">
        <v>9.5299999999999994</v>
      </c>
      <c r="M15" s="17">
        <v>9.5299999999999994</v>
      </c>
      <c r="N15" s="17">
        <v>9.5299999999999994</v>
      </c>
      <c r="O15" s="17">
        <v>9.5299999999999994</v>
      </c>
      <c r="P15" s="17">
        <v>9.5299999999999994</v>
      </c>
      <c r="Q15" s="17">
        <v>9.5299999999999994</v>
      </c>
      <c r="R15" s="17">
        <v>9.5299999999999994</v>
      </c>
      <c r="S15" s="17">
        <v>9.5299999999999994</v>
      </c>
      <c r="T15" s="17">
        <v>9.5299999999999994</v>
      </c>
      <c r="U15" s="17">
        <v>12.7</v>
      </c>
      <c r="V15" s="17">
        <v>12.7</v>
      </c>
      <c r="W15" s="75">
        <v>12.7</v>
      </c>
    </row>
    <row r="16" spans="1:29">
      <c r="A16" s="69" t="s">
        <v>234</v>
      </c>
      <c r="B16" s="109" t="s">
        <v>235</v>
      </c>
      <c r="C16" s="109"/>
      <c r="D16" s="109"/>
      <c r="E16" s="109"/>
      <c r="F16" s="109"/>
      <c r="G16" s="109"/>
      <c r="H16" s="109"/>
      <c r="I16" s="109"/>
      <c r="J16" s="109"/>
      <c r="K16" s="109"/>
      <c r="L16" s="109"/>
      <c r="M16" s="109"/>
      <c r="N16" s="109"/>
      <c r="O16" s="109"/>
      <c r="P16" s="101" t="s">
        <v>236</v>
      </c>
      <c r="Q16" s="101"/>
      <c r="R16" s="101"/>
      <c r="S16" s="101"/>
      <c r="T16" s="101"/>
      <c r="U16" s="101"/>
      <c r="V16" s="101"/>
      <c r="W16" s="102"/>
      <c r="AC16"/>
    </row>
    <row r="17" spans="1:23" ht="13.9" customHeight="1">
      <c r="A17" s="69" t="s">
        <v>237</v>
      </c>
      <c r="B17" s="109" t="s">
        <v>238</v>
      </c>
      <c r="C17" s="109"/>
      <c r="D17" s="109"/>
      <c r="E17" s="109"/>
      <c r="F17" s="109"/>
      <c r="G17" s="109"/>
      <c r="H17" s="109"/>
      <c r="I17" s="109"/>
      <c r="J17" s="109"/>
      <c r="K17" s="109"/>
      <c r="L17" s="109"/>
      <c r="M17" s="109"/>
      <c r="N17" s="109"/>
      <c r="O17" s="109"/>
      <c r="P17" s="109" t="s">
        <v>239</v>
      </c>
      <c r="Q17" s="109"/>
      <c r="R17" s="109"/>
      <c r="S17" s="109"/>
      <c r="T17" s="109"/>
      <c r="U17" s="109"/>
      <c r="V17" s="109"/>
      <c r="W17" s="110"/>
    </row>
    <row r="18" spans="1:23">
      <c r="A18" s="69" t="s">
        <v>240</v>
      </c>
      <c r="B18" s="109" t="s">
        <v>241</v>
      </c>
      <c r="C18" s="109"/>
      <c r="D18" s="109"/>
      <c r="E18" s="109"/>
      <c r="F18" s="109"/>
      <c r="G18" s="109"/>
      <c r="H18" s="109"/>
      <c r="I18" s="109"/>
      <c r="J18" s="109"/>
      <c r="K18" s="109"/>
      <c r="L18" s="109"/>
      <c r="M18" s="109"/>
      <c r="N18" s="109"/>
      <c r="O18" s="109"/>
      <c r="P18" s="109"/>
      <c r="Q18" s="109"/>
      <c r="R18" s="109"/>
      <c r="S18" s="109"/>
      <c r="T18" s="109"/>
      <c r="U18" s="109"/>
      <c r="V18" s="109"/>
      <c r="W18" s="110"/>
    </row>
    <row r="19" spans="1:23" ht="13.9" customHeight="1">
      <c r="A19" s="117" t="s">
        <v>242</v>
      </c>
      <c r="B19" s="118"/>
      <c r="C19" s="118"/>
      <c r="D19" s="118"/>
      <c r="E19" s="118"/>
      <c r="F19" s="118"/>
      <c r="G19" s="118"/>
      <c r="H19" s="118"/>
      <c r="I19" s="118"/>
      <c r="J19" s="118"/>
      <c r="K19" s="118"/>
      <c r="L19" s="118"/>
      <c r="M19" s="118"/>
      <c r="N19" s="118"/>
      <c r="O19" s="118"/>
      <c r="P19" s="118"/>
      <c r="Q19" s="118"/>
      <c r="R19" s="118"/>
      <c r="S19" s="118"/>
      <c r="T19" s="118"/>
      <c r="U19" s="118"/>
      <c r="V19" s="118"/>
      <c r="W19" s="119"/>
    </row>
    <row r="20" spans="1:23" ht="27.6" customHeight="1">
      <c r="A20" s="69" t="s">
        <v>234</v>
      </c>
      <c r="B20" s="109" t="s">
        <v>243</v>
      </c>
      <c r="C20" s="109"/>
      <c r="D20" s="109"/>
      <c r="E20" s="109"/>
      <c r="F20" s="109"/>
      <c r="G20" s="109"/>
      <c r="H20" s="109"/>
      <c r="I20" s="109"/>
      <c r="J20" s="109"/>
      <c r="K20" s="109"/>
      <c r="L20" s="109"/>
      <c r="M20" s="109"/>
      <c r="N20" s="109"/>
      <c r="O20" s="109"/>
      <c r="P20" s="109" t="s">
        <v>244</v>
      </c>
      <c r="Q20" s="109"/>
      <c r="R20" s="109"/>
      <c r="S20" s="109"/>
      <c r="T20" s="109"/>
      <c r="U20" s="109"/>
      <c r="V20" s="109"/>
      <c r="W20" s="110"/>
    </row>
    <row r="21" spans="1:23" ht="13.9" customHeight="1">
      <c r="A21" s="69" t="s">
        <v>237</v>
      </c>
      <c r="B21" s="109" t="s">
        <v>245</v>
      </c>
      <c r="C21" s="109"/>
      <c r="D21" s="109"/>
      <c r="E21" s="109"/>
      <c r="F21" s="109"/>
      <c r="G21" s="109"/>
      <c r="H21" s="109"/>
      <c r="I21" s="109"/>
      <c r="J21" s="109"/>
      <c r="K21" s="109"/>
      <c r="L21" s="109"/>
      <c r="M21" s="109"/>
      <c r="N21" s="109"/>
      <c r="O21" s="109"/>
      <c r="P21" s="109"/>
      <c r="Q21" s="109"/>
      <c r="R21" s="109"/>
      <c r="S21" s="109"/>
      <c r="T21" s="109"/>
      <c r="U21" s="109"/>
      <c r="V21" s="109"/>
      <c r="W21" s="110"/>
    </row>
    <row r="22" spans="1:23" ht="13.9" customHeight="1">
      <c r="A22" s="69" t="s">
        <v>246</v>
      </c>
      <c r="B22" s="109" t="s">
        <v>247</v>
      </c>
      <c r="C22" s="109"/>
      <c r="D22" s="109"/>
      <c r="E22" s="109"/>
      <c r="F22" s="109"/>
      <c r="G22" s="109"/>
      <c r="H22" s="109"/>
      <c r="I22" s="109"/>
      <c r="J22" s="109"/>
      <c r="K22" s="109"/>
      <c r="L22" s="109"/>
      <c r="M22" s="109"/>
      <c r="N22" s="109"/>
      <c r="O22" s="109"/>
      <c r="P22" s="109"/>
      <c r="Q22" s="109"/>
      <c r="R22" s="109"/>
      <c r="S22" s="109"/>
      <c r="T22" s="109"/>
      <c r="U22" s="109"/>
      <c r="V22" s="109"/>
      <c r="W22" s="110"/>
    </row>
    <row r="23" spans="1:23" ht="13.9" customHeight="1">
      <c r="A23" s="69" t="s">
        <v>248</v>
      </c>
      <c r="B23" s="109" t="s">
        <v>247</v>
      </c>
      <c r="C23" s="109"/>
      <c r="D23" s="109"/>
      <c r="E23" s="109"/>
      <c r="F23" s="109"/>
      <c r="G23" s="109"/>
      <c r="H23" s="109"/>
      <c r="I23" s="109"/>
      <c r="J23" s="109"/>
      <c r="K23" s="109"/>
      <c r="L23" s="109"/>
      <c r="M23" s="109"/>
      <c r="N23" s="109"/>
      <c r="O23" s="109"/>
      <c r="P23" s="109"/>
      <c r="Q23" s="109"/>
      <c r="R23" s="109"/>
      <c r="S23" s="109"/>
      <c r="T23" s="109"/>
      <c r="U23" s="109"/>
      <c r="V23" s="109"/>
      <c r="W23" s="110"/>
    </row>
    <row r="24" spans="1:23" ht="13.9" customHeight="1">
      <c r="A24" s="69" t="s">
        <v>249</v>
      </c>
      <c r="B24" s="109" t="s">
        <v>247</v>
      </c>
      <c r="C24" s="109"/>
      <c r="D24" s="109"/>
      <c r="E24" s="109"/>
      <c r="F24" s="109"/>
      <c r="G24" s="109"/>
      <c r="H24" s="109"/>
      <c r="I24" s="109"/>
      <c r="J24" s="109"/>
      <c r="K24" s="109"/>
      <c r="L24" s="109"/>
      <c r="M24" s="109"/>
      <c r="N24" s="109"/>
      <c r="O24" s="109"/>
      <c r="P24" s="109"/>
      <c r="Q24" s="109"/>
      <c r="R24" s="109"/>
      <c r="S24" s="109"/>
      <c r="T24" s="109"/>
      <c r="U24" s="109"/>
      <c r="V24" s="109"/>
      <c r="W24" s="110"/>
    </row>
    <row r="25" spans="1:23" ht="13.9" customHeight="1">
      <c r="A25" s="69" t="s">
        <v>250</v>
      </c>
      <c r="B25" s="109" t="s">
        <v>247</v>
      </c>
      <c r="C25" s="109"/>
      <c r="D25" s="109"/>
      <c r="E25" s="109"/>
      <c r="F25" s="109"/>
      <c r="G25" s="109"/>
      <c r="H25" s="109"/>
      <c r="I25" s="109"/>
      <c r="J25" s="109"/>
      <c r="K25" s="109"/>
      <c r="L25" s="109"/>
      <c r="M25" s="109"/>
      <c r="N25" s="109"/>
      <c r="O25" s="109"/>
      <c r="P25" s="109"/>
      <c r="Q25" s="109"/>
      <c r="R25" s="109"/>
      <c r="S25" s="109"/>
      <c r="T25" s="109"/>
      <c r="U25" s="109"/>
      <c r="V25" s="109"/>
      <c r="W25" s="110"/>
    </row>
    <row r="26" spans="1:23">
      <c r="A26" s="69" t="s">
        <v>251</v>
      </c>
      <c r="B26" s="101" t="s">
        <v>252</v>
      </c>
      <c r="C26" s="101"/>
      <c r="D26" s="101"/>
      <c r="E26" s="101"/>
      <c r="F26" s="109"/>
      <c r="G26" s="109"/>
      <c r="H26" s="109"/>
      <c r="I26" s="109"/>
      <c r="J26" s="109"/>
      <c r="K26" s="109"/>
      <c r="L26" s="109"/>
      <c r="M26" s="109"/>
      <c r="N26" s="109"/>
      <c r="O26" s="109"/>
      <c r="P26" s="109"/>
      <c r="Q26" s="109"/>
      <c r="R26" s="109"/>
      <c r="S26" s="109"/>
      <c r="T26" s="109"/>
      <c r="U26" s="109"/>
      <c r="V26" s="109"/>
      <c r="W26" s="110"/>
    </row>
    <row r="27" spans="1:23" ht="13.9" customHeight="1">
      <c r="A27" s="69" t="s">
        <v>253</v>
      </c>
      <c r="B27" s="109" t="s">
        <v>254</v>
      </c>
      <c r="C27" s="109"/>
      <c r="D27" s="109"/>
      <c r="E27" s="109"/>
      <c r="F27" s="109"/>
      <c r="G27" s="109"/>
      <c r="H27" s="109"/>
      <c r="I27" s="109"/>
      <c r="J27" s="109"/>
      <c r="K27" s="109"/>
      <c r="L27" s="109"/>
      <c r="M27" s="109"/>
      <c r="N27" s="109"/>
      <c r="O27" s="109"/>
      <c r="P27" s="109"/>
      <c r="Q27" s="109"/>
      <c r="R27" s="109"/>
      <c r="S27" s="109"/>
      <c r="T27" s="109"/>
      <c r="U27" s="109"/>
      <c r="V27" s="109"/>
      <c r="W27" s="110"/>
    </row>
    <row r="28" spans="1:23">
      <c r="A28" s="117" t="s">
        <v>255</v>
      </c>
      <c r="B28" s="118"/>
      <c r="C28" s="118"/>
      <c r="D28" s="118"/>
      <c r="E28" s="118"/>
      <c r="F28" s="118"/>
      <c r="G28" s="118"/>
      <c r="H28" s="118"/>
      <c r="I28" s="118"/>
      <c r="J28" s="118"/>
      <c r="K28" s="118"/>
      <c r="L28" s="118"/>
      <c r="M28" s="118"/>
      <c r="N28" s="118"/>
      <c r="O28" s="118"/>
      <c r="P28" s="118"/>
      <c r="Q28" s="118"/>
      <c r="R28" s="118"/>
      <c r="S28" s="118"/>
      <c r="T28" s="118"/>
      <c r="U28" s="118"/>
      <c r="V28" s="118"/>
      <c r="W28" s="119"/>
    </row>
    <row r="29" spans="1:23" ht="13.9" customHeight="1">
      <c r="A29" s="69" t="s">
        <v>237</v>
      </c>
      <c r="B29" s="109" t="s">
        <v>256</v>
      </c>
      <c r="C29" s="109"/>
      <c r="D29" s="109"/>
      <c r="E29" s="109"/>
      <c r="F29" s="109"/>
      <c r="G29" s="109"/>
      <c r="H29" s="109"/>
      <c r="I29" s="109"/>
      <c r="J29" s="109"/>
      <c r="K29" s="109"/>
      <c r="L29" s="109"/>
      <c r="M29" s="109"/>
      <c r="N29" s="109"/>
      <c r="O29" s="109"/>
      <c r="P29" s="109"/>
      <c r="Q29" s="109"/>
      <c r="R29" s="109"/>
      <c r="S29" s="109"/>
      <c r="T29" s="109"/>
      <c r="U29" s="109"/>
      <c r="V29" s="109"/>
      <c r="W29" s="110"/>
    </row>
    <row r="30" spans="1:23" ht="13.9" customHeight="1">
      <c r="A30" s="69" t="s">
        <v>257</v>
      </c>
      <c r="B30" s="109" t="s">
        <v>258</v>
      </c>
      <c r="C30" s="109"/>
      <c r="D30" s="109"/>
      <c r="E30" s="109"/>
      <c r="F30" s="109"/>
      <c r="G30" s="109"/>
      <c r="H30" s="109"/>
      <c r="I30" s="109"/>
      <c r="J30" s="109"/>
      <c r="K30" s="109"/>
      <c r="L30" s="109"/>
      <c r="M30" s="109"/>
      <c r="N30" s="109"/>
      <c r="O30" s="109"/>
      <c r="P30" s="109"/>
      <c r="Q30" s="109"/>
      <c r="R30" s="109"/>
      <c r="S30" s="109"/>
      <c r="T30" s="109"/>
      <c r="U30" s="109"/>
      <c r="V30" s="109"/>
      <c r="W30" s="110"/>
    </row>
    <row r="31" spans="1:23" ht="14.45" customHeight="1">
      <c r="A31" s="69" t="s">
        <v>234</v>
      </c>
      <c r="B31" s="109" t="s">
        <v>259</v>
      </c>
      <c r="C31" s="109"/>
      <c r="D31" s="109"/>
      <c r="E31" s="109"/>
      <c r="F31" s="109"/>
      <c r="G31" s="109"/>
      <c r="H31" s="109"/>
      <c r="I31" s="109"/>
      <c r="J31" s="109"/>
      <c r="K31" s="109"/>
      <c r="L31" s="109"/>
      <c r="M31" s="109"/>
      <c r="N31" s="109"/>
      <c r="O31" s="109"/>
      <c r="P31" s="109"/>
      <c r="Q31" s="109"/>
      <c r="R31" s="109"/>
      <c r="S31" s="109"/>
      <c r="T31" s="109"/>
      <c r="U31" s="109"/>
      <c r="V31" s="109"/>
      <c r="W31" s="110"/>
    </row>
    <row r="32" spans="1:23" ht="13.9" customHeight="1">
      <c r="A32" s="117" t="s">
        <v>260</v>
      </c>
      <c r="B32" s="118"/>
      <c r="C32" s="118"/>
      <c r="D32" s="118"/>
      <c r="E32" s="118"/>
      <c r="F32" s="118"/>
      <c r="G32" s="118"/>
      <c r="H32" s="118"/>
      <c r="I32" s="118"/>
      <c r="J32" s="118"/>
      <c r="K32" s="118"/>
      <c r="L32" s="118"/>
      <c r="M32" s="118"/>
      <c r="N32" s="118"/>
      <c r="O32" s="118"/>
      <c r="P32" s="118"/>
      <c r="Q32" s="118"/>
      <c r="R32" s="118"/>
      <c r="S32" s="118"/>
      <c r="T32" s="118"/>
      <c r="U32" s="118"/>
      <c r="V32" s="118"/>
      <c r="W32" s="119"/>
    </row>
    <row r="33" spans="1:47" ht="13.9" customHeight="1">
      <c r="A33" s="69" t="s">
        <v>237</v>
      </c>
      <c r="B33" s="109" t="s">
        <v>256</v>
      </c>
      <c r="C33" s="109"/>
      <c r="D33" s="109"/>
      <c r="E33" s="109"/>
      <c r="F33" s="109"/>
      <c r="G33" s="109"/>
      <c r="H33" s="109"/>
      <c r="I33" s="109"/>
      <c r="J33" s="109"/>
      <c r="K33" s="109"/>
      <c r="L33" s="109"/>
      <c r="M33" s="109"/>
      <c r="N33" s="109"/>
      <c r="O33" s="109"/>
      <c r="P33" s="109"/>
      <c r="Q33" s="109"/>
      <c r="R33" s="109"/>
      <c r="S33" s="109"/>
      <c r="T33" s="109"/>
      <c r="U33" s="109"/>
      <c r="V33" s="109"/>
      <c r="W33" s="110"/>
    </row>
    <row r="34" spans="1:47" ht="13.9" customHeight="1">
      <c r="A34" s="69" t="s">
        <v>261</v>
      </c>
      <c r="B34" s="109" t="s">
        <v>262</v>
      </c>
      <c r="C34" s="109"/>
      <c r="D34" s="109"/>
      <c r="E34" s="109"/>
      <c r="F34" s="109"/>
      <c r="G34" s="109"/>
      <c r="H34" s="109"/>
      <c r="I34" s="109"/>
      <c r="J34" s="109"/>
      <c r="K34" s="109"/>
      <c r="L34" s="109"/>
      <c r="M34" s="109"/>
      <c r="N34" s="101" t="s">
        <v>263</v>
      </c>
      <c r="O34" s="101"/>
      <c r="P34" s="101"/>
      <c r="Q34" s="101"/>
      <c r="R34" s="101"/>
      <c r="S34" s="101"/>
      <c r="T34" s="101"/>
      <c r="U34" s="101"/>
      <c r="V34" s="101"/>
      <c r="W34" s="102"/>
    </row>
    <row r="35" spans="1:47" ht="13.9" customHeight="1">
      <c r="A35" s="117" t="s">
        <v>264</v>
      </c>
      <c r="B35" s="118"/>
      <c r="C35" s="118"/>
      <c r="D35" s="118"/>
      <c r="E35" s="118"/>
      <c r="F35" s="118"/>
      <c r="G35" s="118"/>
      <c r="H35" s="118"/>
      <c r="I35" s="118"/>
      <c r="J35" s="118"/>
      <c r="K35" s="118"/>
      <c r="L35" s="118"/>
      <c r="M35" s="118"/>
      <c r="N35" s="118"/>
      <c r="O35" s="118"/>
      <c r="P35" s="118"/>
      <c r="Q35" s="118"/>
      <c r="R35" s="118"/>
      <c r="S35" s="118"/>
      <c r="T35" s="118"/>
      <c r="U35" s="118"/>
      <c r="V35" s="118"/>
      <c r="W35" s="119"/>
    </row>
    <row r="36" spans="1:47" ht="13.9" customHeight="1">
      <c r="A36" s="69" t="s">
        <v>265</v>
      </c>
      <c r="B36" s="109" t="s">
        <v>266</v>
      </c>
      <c r="C36" s="109"/>
      <c r="D36" s="109"/>
      <c r="E36" s="109"/>
      <c r="F36" s="109"/>
      <c r="G36" s="109"/>
      <c r="H36" s="109"/>
      <c r="I36" s="109"/>
      <c r="J36" s="109"/>
      <c r="K36" s="109"/>
      <c r="L36" s="109"/>
      <c r="M36" s="109"/>
      <c r="N36" s="109"/>
      <c r="O36" s="109"/>
      <c r="P36" s="109"/>
      <c r="Q36" s="109"/>
      <c r="R36" s="109"/>
      <c r="S36" s="109"/>
      <c r="T36" s="109"/>
      <c r="U36" s="109"/>
      <c r="V36" s="109"/>
      <c r="W36" s="110"/>
    </row>
    <row r="37" spans="1:47" ht="13.9" customHeight="1">
      <c r="A37" s="69" t="s">
        <v>267</v>
      </c>
      <c r="B37" s="109" t="s">
        <v>268</v>
      </c>
      <c r="C37" s="109"/>
      <c r="D37" s="109"/>
      <c r="E37" s="109"/>
      <c r="F37" s="109"/>
      <c r="G37" s="109"/>
      <c r="H37" s="109"/>
      <c r="I37" s="109"/>
      <c r="J37" s="109"/>
      <c r="K37" s="109"/>
      <c r="L37" s="109"/>
      <c r="M37" s="109"/>
      <c r="N37" s="109"/>
      <c r="O37" s="109"/>
      <c r="P37" s="109"/>
      <c r="Q37" s="109"/>
      <c r="R37" s="109"/>
      <c r="S37" s="109"/>
      <c r="T37" s="109"/>
      <c r="U37" s="109"/>
      <c r="V37" s="109"/>
      <c r="W37" s="110"/>
    </row>
    <row r="38" spans="1:47" ht="13.9" customHeight="1">
      <c r="A38" s="69" t="s">
        <v>269</v>
      </c>
      <c r="B38" s="109" t="s">
        <v>270</v>
      </c>
      <c r="C38" s="109"/>
      <c r="D38" s="109"/>
      <c r="E38" s="109"/>
      <c r="F38" s="109"/>
      <c r="G38" s="109"/>
      <c r="H38" s="109"/>
      <c r="I38" s="109"/>
      <c r="J38" s="109"/>
      <c r="K38" s="109"/>
      <c r="L38" s="109"/>
      <c r="M38" s="109"/>
      <c r="N38" s="109"/>
      <c r="O38" s="109"/>
      <c r="P38" s="109"/>
      <c r="Q38" s="109"/>
      <c r="R38" s="109"/>
      <c r="S38" s="109"/>
      <c r="T38" s="109"/>
      <c r="U38" s="109"/>
      <c r="V38" s="109"/>
      <c r="W38" s="110"/>
    </row>
    <row r="39" spans="1:47" ht="13.9" customHeight="1">
      <c r="A39" s="117" t="s">
        <v>271</v>
      </c>
      <c r="B39" s="118"/>
      <c r="C39" s="118"/>
      <c r="D39" s="118"/>
      <c r="E39" s="118"/>
      <c r="F39" s="118"/>
      <c r="G39" s="118"/>
      <c r="H39" s="118"/>
      <c r="I39" s="118"/>
      <c r="J39" s="118"/>
      <c r="K39" s="118"/>
      <c r="L39" s="118"/>
      <c r="M39" s="118"/>
      <c r="N39" s="118"/>
      <c r="O39" s="118"/>
      <c r="P39" s="118"/>
      <c r="Q39" s="118"/>
      <c r="R39" s="118"/>
      <c r="S39" s="118"/>
      <c r="T39" s="118"/>
      <c r="U39" s="118"/>
      <c r="V39" s="118"/>
      <c r="W39" s="119"/>
    </row>
    <row r="40" spans="1:47"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09"/>
      <c r="V40" s="109"/>
      <c r="W40" s="110"/>
    </row>
    <row r="41" spans="1:47"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09"/>
      <c r="V41" s="109"/>
      <c r="W41" s="110"/>
    </row>
    <row r="42" spans="1:47"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09"/>
      <c r="V42" s="109"/>
      <c r="W42" s="110"/>
    </row>
    <row r="43" spans="1:47"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09"/>
      <c r="V43" s="109"/>
      <c r="W43" s="110"/>
    </row>
    <row r="44" spans="1:47" ht="13.9" customHeight="1">
      <c r="A44" s="69" t="s">
        <v>276</v>
      </c>
      <c r="B44" s="109" t="e">
        <f ca="1">"CHP"&amp;VLOOKUP(F3,INDEX!B:AH,33,0)&amp;"R"</f>
        <v>#VALUE!</v>
      </c>
      <c r="C44" s="109"/>
      <c r="D44" s="109"/>
      <c r="E44" s="109"/>
      <c r="F44" s="109" t="e">
        <f ca="1">"CSW"&amp;VLOOKUP(F3,INDEX!B:AH,33,0)&amp;"R"&amp;", CDP"&amp;VLOOKUP(F3,INDEX!B:AH,33,0)&amp;"R"</f>
        <v>#VALUE!</v>
      </c>
      <c r="G44" s="109"/>
      <c r="H44" s="109"/>
      <c r="I44" s="109"/>
      <c r="J44" s="109"/>
      <c r="K44" s="109"/>
      <c r="L44" s="109"/>
      <c r="M44" s="109"/>
      <c r="N44" s="109"/>
      <c r="O44" s="109"/>
      <c r="P44" s="109"/>
      <c r="Q44" s="109"/>
      <c r="R44" s="109"/>
      <c r="S44" s="109"/>
      <c r="T44" s="109"/>
      <c r="U44" s="109"/>
      <c r="V44" s="109"/>
      <c r="W44" s="110"/>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row>
    <row r="45" spans="1:47" ht="13.9" customHeight="1">
      <c r="A45" s="69" t="s">
        <v>277</v>
      </c>
      <c r="B45" s="109"/>
      <c r="C45" s="109"/>
      <c r="D45" s="109"/>
      <c r="E45" s="109"/>
      <c r="F45" s="109"/>
      <c r="G45" s="109" t="e">
        <f ca="1">"BFD"&amp;VLOOKUP(F3,INDEX!B:AH,33,0)&amp;"WR"</f>
        <v>#VALUE!</v>
      </c>
      <c r="H45" s="109"/>
      <c r="I45" s="109"/>
      <c r="J45" s="109"/>
      <c r="K45" s="109"/>
      <c r="L45" s="109"/>
      <c r="M45" s="109"/>
      <c r="N45" s="109"/>
      <c r="O45" s="109"/>
      <c r="P45" s="109"/>
      <c r="Q45" s="109"/>
      <c r="R45" s="109"/>
      <c r="S45" s="109"/>
      <c r="T45" s="109"/>
      <c r="U45" s="109"/>
      <c r="V45" s="109"/>
      <c r="W45" s="110"/>
    </row>
    <row r="46" spans="1:47" ht="13.9" customHeight="1">
      <c r="A46" s="69"/>
      <c r="B46" s="109"/>
      <c r="C46" s="109"/>
      <c r="D46" s="109"/>
      <c r="E46" s="109"/>
      <c r="F46" s="109"/>
      <c r="G46" s="109"/>
      <c r="H46" s="109"/>
      <c r="I46" s="109"/>
      <c r="J46" s="109"/>
      <c r="K46" s="109"/>
      <c r="L46" s="109"/>
      <c r="M46" s="109"/>
      <c r="N46" s="109"/>
      <c r="O46" s="109"/>
      <c r="P46" s="109"/>
      <c r="Q46" s="109"/>
      <c r="R46" s="109"/>
      <c r="S46" s="109"/>
      <c r="T46" s="109"/>
      <c r="U46" s="109"/>
      <c r="V46" s="109"/>
      <c r="W46" s="110"/>
    </row>
    <row r="47" spans="1:47">
      <c r="A47" s="117" t="s">
        <v>278</v>
      </c>
      <c r="B47" s="118"/>
      <c r="C47" s="118"/>
      <c r="D47" s="118"/>
      <c r="E47" s="118"/>
      <c r="F47" s="118"/>
      <c r="G47" s="118"/>
      <c r="H47" s="118"/>
      <c r="I47" s="118"/>
      <c r="J47" s="118"/>
      <c r="K47" s="118"/>
      <c r="L47" s="118"/>
      <c r="M47" s="118"/>
      <c r="N47" s="118"/>
      <c r="O47" s="118"/>
      <c r="P47" s="118"/>
      <c r="Q47" s="118"/>
      <c r="R47" s="118"/>
      <c r="S47" s="118"/>
      <c r="T47" s="118"/>
      <c r="U47" s="118"/>
      <c r="V47" s="118"/>
      <c r="W47" s="119"/>
    </row>
    <row r="48" spans="1:47" ht="28.15" customHeight="1">
      <c r="A48" s="111" t="s">
        <v>279</v>
      </c>
      <c r="B48" s="112"/>
      <c r="C48" s="112"/>
      <c r="D48" s="112"/>
      <c r="E48" s="112"/>
      <c r="F48" s="112"/>
      <c r="G48" s="112"/>
      <c r="H48" s="112"/>
      <c r="I48" s="112"/>
      <c r="J48" s="112"/>
      <c r="K48" s="112"/>
      <c r="L48" s="112"/>
      <c r="M48" s="112"/>
      <c r="N48" s="112"/>
      <c r="O48" s="112"/>
      <c r="P48" s="112"/>
      <c r="Q48" s="112"/>
      <c r="R48" s="112"/>
      <c r="S48" s="112"/>
      <c r="T48" s="112"/>
      <c r="U48" s="112"/>
      <c r="V48" s="112"/>
      <c r="W48" s="113"/>
    </row>
    <row r="49" spans="1:23" ht="14.45" customHeight="1">
      <c r="A49" s="114" t="s">
        <v>280</v>
      </c>
      <c r="B49" s="115"/>
      <c r="C49" s="115"/>
      <c r="D49" s="115"/>
      <c r="E49" s="115"/>
      <c r="F49" s="115"/>
      <c r="G49" s="115"/>
      <c r="H49" s="115"/>
      <c r="I49" s="115"/>
      <c r="J49" s="115"/>
      <c r="K49" s="115"/>
      <c r="L49" s="115"/>
      <c r="M49" s="115"/>
      <c r="N49" s="115"/>
      <c r="O49" s="115"/>
      <c r="P49" s="115"/>
      <c r="Q49" s="115"/>
      <c r="R49" s="115"/>
      <c r="S49" s="115"/>
      <c r="T49" s="115"/>
      <c r="U49" s="115"/>
      <c r="V49" s="115"/>
      <c r="W49" s="116"/>
    </row>
    <row r="50" spans="1:23" ht="14.45" customHeight="1">
      <c r="A50" s="114" t="s">
        <v>281</v>
      </c>
      <c r="B50" s="115"/>
      <c r="C50" s="115"/>
      <c r="D50" s="115"/>
      <c r="E50" s="115"/>
      <c r="F50" s="115"/>
      <c r="G50" s="115"/>
      <c r="H50" s="115"/>
      <c r="I50" s="115"/>
      <c r="J50" s="115"/>
      <c r="K50" s="115"/>
      <c r="L50" s="115"/>
      <c r="M50" s="115"/>
      <c r="N50" s="115"/>
      <c r="O50" s="115"/>
      <c r="P50" s="115"/>
      <c r="Q50" s="115"/>
      <c r="R50" s="115"/>
      <c r="S50" s="115"/>
      <c r="T50" s="115"/>
      <c r="U50" s="115"/>
      <c r="V50" s="115"/>
      <c r="W50" s="116"/>
    </row>
    <row r="51" spans="1:23" ht="28.9" customHeight="1">
      <c r="A51" s="114" t="s">
        <v>282</v>
      </c>
      <c r="B51" s="115"/>
      <c r="C51" s="115"/>
      <c r="D51" s="115"/>
      <c r="E51" s="115"/>
      <c r="F51" s="115"/>
      <c r="G51" s="115"/>
      <c r="H51" s="115"/>
      <c r="I51" s="115"/>
      <c r="J51" s="115"/>
      <c r="K51" s="115"/>
      <c r="L51" s="115"/>
      <c r="M51" s="115"/>
      <c r="N51" s="115"/>
      <c r="O51" s="115"/>
      <c r="P51" s="115"/>
      <c r="Q51" s="115"/>
      <c r="R51" s="115"/>
      <c r="S51" s="115"/>
      <c r="T51" s="115"/>
      <c r="U51" s="115"/>
      <c r="V51" s="115"/>
      <c r="W51" s="116"/>
    </row>
    <row r="52" spans="1:23" ht="26.45" customHeight="1">
      <c r="A52" s="114" t="s">
        <v>283</v>
      </c>
      <c r="B52" s="115"/>
      <c r="C52" s="115"/>
      <c r="D52" s="115"/>
      <c r="E52" s="115"/>
      <c r="F52" s="115"/>
      <c r="G52" s="115"/>
      <c r="H52" s="115"/>
      <c r="I52" s="115"/>
      <c r="J52" s="115"/>
      <c r="K52" s="115"/>
      <c r="L52" s="115"/>
      <c r="M52" s="115"/>
      <c r="N52" s="115"/>
      <c r="O52" s="115"/>
      <c r="P52" s="115"/>
      <c r="Q52" s="115"/>
      <c r="R52" s="115"/>
      <c r="S52" s="115"/>
      <c r="T52" s="115"/>
      <c r="U52" s="115"/>
      <c r="V52" s="115"/>
      <c r="W52" s="116"/>
    </row>
    <row r="53" spans="1:23"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5"/>
      <c r="V53" s="115"/>
      <c r="W53" s="116"/>
    </row>
    <row r="54" spans="1:23"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5"/>
      <c r="V54" s="115"/>
      <c r="W54" s="116"/>
    </row>
    <row r="55" spans="1:23" ht="14.45" customHeight="1">
      <c r="A55" s="114" t="s">
        <v>286</v>
      </c>
      <c r="B55" s="115"/>
      <c r="C55" s="115"/>
      <c r="D55" s="115"/>
      <c r="E55" s="115"/>
      <c r="F55" s="115"/>
      <c r="G55" s="115"/>
      <c r="H55" s="115"/>
      <c r="I55" s="115"/>
      <c r="J55" s="115"/>
      <c r="K55" s="115"/>
      <c r="L55" s="115"/>
      <c r="M55" s="115"/>
      <c r="N55" s="115"/>
      <c r="O55" s="115"/>
      <c r="P55" s="115"/>
      <c r="Q55" s="115"/>
      <c r="R55" s="115"/>
      <c r="S55" s="115"/>
      <c r="T55" s="115"/>
      <c r="U55" s="115"/>
      <c r="V55" s="115"/>
      <c r="W55" s="116"/>
    </row>
    <row r="56" spans="1:23" ht="15.75" thickBot="1">
      <c r="A56" s="106"/>
      <c r="B56" s="107"/>
      <c r="C56" s="107"/>
      <c r="D56" s="107"/>
      <c r="E56" s="107"/>
      <c r="F56" s="107"/>
      <c r="G56" s="107"/>
      <c r="H56" s="107"/>
      <c r="I56" s="107"/>
      <c r="J56" s="107"/>
      <c r="K56" s="107"/>
      <c r="L56" s="107"/>
      <c r="M56" s="107"/>
      <c r="N56" s="107"/>
      <c r="O56" s="107"/>
      <c r="P56" s="107"/>
      <c r="Q56" s="107"/>
      <c r="R56" s="107"/>
      <c r="S56" s="107"/>
      <c r="T56" s="107"/>
      <c r="U56" s="107"/>
      <c r="V56" s="107"/>
      <c r="W56" s="108"/>
    </row>
  </sheetData>
  <mergeCells count="85">
    <mergeCell ref="A51:W51"/>
    <mergeCell ref="A52:W52"/>
    <mergeCell ref="A53:W53"/>
    <mergeCell ref="A54:W54"/>
    <mergeCell ref="A55:W55"/>
    <mergeCell ref="P16:W16"/>
    <mergeCell ref="P17:W17"/>
    <mergeCell ref="B18:W18"/>
    <mergeCell ref="A19:W19"/>
    <mergeCell ref="B21:W21"/>
    <mergeCell ref="A10:W10"/>
    <mergeCell ref="F2:I2"/>
    <mergeCell ref="F3:G3"/>
    <mergeCell ref="F5:G5"/>
    <mergeCell ref="F4:H4"/>
    <mergeCell ref="B8:C8"/>
    <mergeCell ref="D8:E8"/>
    <mergeCell ref="B9:C9"/>
    <mergeCell ref="J8:K8"/>
    <mergeCell ref="A1:E6"/>
    <mergeCell ref="H3:I3"/>
    <mergeCell ref="F6:H6"/>
    <mergeCell ref="J9:K9"/>
    <mergeCell ref="I4:W4"/>
    <mergeCell ref="H5:W5"/>
    <mergeCell ref="I6:W6"/>
    <mergeCell ref="A7:W7"/>
    <mergeCell ref="P8:W8"/>
    <mergeCell ref="L8:O9"/>
    <mergeCell ref="F8:G8"/>
    <mergeCell ref="H8:I8"/>
    <mergeCell ref="D9:E9"/>
    <mergeCell ref="F9:G9"/>
    <mergeCell ref="H9:I9"/>
    <mergeCell ref="P9:W9"/>
    <mergeCell ref="B11:W11"/>
    <mergeCell ref="B27:W27"/>
    <mergeCell ref="B29:W29"/>
    <mergeCell ref="B30:W30"/>
    <mergeCell ref="B31:W31"/>
    <mergeCell ref="A28:W28"/>
    <mergeCell ref="B22:W22"/>
    <mergeCell ref="B23:W23"/>
    <mergeCell ref="B24:W24"/>
    <mergeCell ref="B25:W25"/>
    <mergeCell ref="F26:W26"/>
    <mergeCell ref="B26:E26"/>
    <mergeCell ref="B16:O16"/>
    <mergeCell ref="B20:O20"/>
    <mergeCell ref="P20:W20"/>
    <mergeCell ref="B17:O17"/>
    <mergeCell ref="A32:W32"/>
    <mergeCell ref="A35:W35"/>
    <mergeCell ref="A39:W39"/>
    <mergeCell ref="A47:W47"/>
    <mergeCell ref="Y44:AU44"/>
    <mergeCell ref="B45:F45"/>
    <mergeCell ref="B44:E44"/>
    <mergeCell ref="B34:M34"/>
    <mergeCell ref="A56:W56"/>
    <mergeCell ref="B33:W33"/>
    <mergeCell ref="N34:W34"/>
    <mergeCell ref="B36:W36"/>
    <mergeCell ref="B37:W37"/>
    <mergeCell ref="B38:W38"/>
    <mergeCell ref="B40:W40"/>
    <mergeCell ref="B41:W41"/>
    <mergeCell ref="B42:W42"/>
    <mergeCell ref="B43:W43"/>
    <mergeCell ref="F44:W44"/>
    <mergeCell ref="G45:W45"/>
    <mergeCell ref="B46:W46"/>
    <mergeCell ref="A48:W48"/>
    <mergeCell ref="A49:W49"/>
    <mergeCell ref="A50:W50"/>
    <mergeCell ref="U1:W1"/>
    <mergeCell ref="U2:W2"/>
    <mergeCell ref="U3:W3"/>
    <mergeCell ref="F1:T1"/>
    <mergeCell ref="R2:T2"/>
    <mergeCell ref="R3:T3"/>
    <mergeCell ref="N2:Q2"/>
    <mergeCell ref="N3:Q3"/>
    <mergeCell ref="J2:M2"/>
    <mergeCell ref="J3:M3"/>
  </mergeCells>
  <phoneticPr fontId="9" type="noConversion"/>
  <printOptions horizontalCentered="1"/>
  <pageMargins left="0.7" right="0.7" top="0.75" bottom="0.75" header="0.3" footer="0.3"/>
  <pageSetup paperSize="9" scale="81" firstPageNumber="18" orientation="portrait"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0" tint="-0.14999847407452621"/>
    <pageSetUpPr fitToPage="1"/>
  </sheetPr>
  <dimension ref="A1:R55"/>
  <sheetViews>
    <sheetView workbookViewId="0">
      <selection activeCell="X10" sqref="X10"/>
    </sheetView>
  </sheetViews>
  <sheetFormatPr defaultColWidth="9.140625" defaultRowHeight="15"/>
  <cols>
    <col min="1" max="1" width="10.7109375" style="5" customWidth="1"/>
    <col min="2" max="5" width="4.7109375" style="5" customWidth="1"/>
    <col min="6" max="22" width="5.28515625" style="5" customWidth="1"/>
    <col min="23" max="16384" width="9.140625" style="5"/>
  </cols>
  <sheetData>
    <row r="1" spans="1:18" ht="15" customHeight="1">
      <c r="A1" s="132" t="e" vm="1">
        <v>#VALUE!</v>
      </c>
      <c r="B1" s="133"/>
      <c r="C1" s="133"/>
      <c r="D1" s="133"/>
      <c r="E1" s="134"/>
      <c r="F1" s="165" t="s">
        <v>213</v>
      </c>
      <c r="G1" s="166"/>
      <c r="H1" s="166"/>
      <c r="I1" s="166"/>
      <c r="J1" s="166"/>
      <c r="K1" s="166"/>
      <c r="L1" s="166"/>
      <c r="M1" s="166"/>
      <c r="N1" s="166"/>
      <c r="O1" s="166"/>
      <c r="P1" s="166"/>
      <c r="Q1" s="153" t="s">
        <v>214</v>
      </c>
      <c r="R1" s="154"/>
    </row>
    <row r="2" spans="1:18" ht="1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ht="15" customHeigh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5"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v>160</v>
      </c>
      <c r="C14" s="17">
        <v>160</v>
      </c>
      <c r="D14" s="17">
        <v>160</v>
      </c>
      <c r="E14" s="17">
        <v>160</v>
      </c>
      <c r="F14" s="17">
        <v>80</v>
      </c>
      <c r="G14" s="17">
        <v>80</v>
      </c>
      <c r="H14" s="17">
        <v>80</v>
      </c>
      <c r="I14" s="17">
        <v>80</v>
      </c>
      <c r="J14" s="17">
        <v>40</v>
      </c>
      <c r="K14" s="17">
        <v>40</v>
      </c>
      <c r="L14" s="17">
        <v>40</v>
      </c>
      <c r="M14" s="17">
        <v>40</v>
      </c>
      <c r="N14" s="17">
        <v>40</v>
      </c>
      <c r="O14" s="17">
        <v>40</v>
      </c>
      <c r="P14" s="17">
        <v>40</v>
      </c>
      <c r="Q14" s="17" t="s">
        <v>174</v>
      </c>
      <c r="R14" s="66">
        <v>40</v>
      </c>
    </row>
    <row r="15" spans="1:18" s="3" customFormat="1">
      <c r="A15" s="70" t="s">
        <v>233</v>
      </c>
      <c r="B15" s="17">
        <v>7.47</v>
      </c>
      <c r="C15" s="17">
        <v>5.56</v>
      </c>
      <c r="D15" s="17">
        <v>6.35</v>
      </c>
      <c r="E15" s="17">
        <v>7.14</v>
      </c>
      <c r="F15" s="17">
        <v>5.54</v>
      </c>
      <c r="G15" s="17">
        <v>7.62</v>
      </c>
      <c r="H15" s="17">
        <v>8.56</v>
      </c>
      <c r="I15" s="17">
        <v>10.97</v>
      </c>
      <c r="J15" s="17">
        <v>8.18</v>
      </c>
      <c r="K15" s="17">
        <v>9.27</v>
      </c>
      <c r="L15" s="17">
        <v>10.31</v>
      </c>
      <c r="M15" s="17">
        <v>11.1</v>
      </c>
      <c r="N15" s="17">
        <v>12.7</v>
      </c>
      <c r="O15" s="17">
        <v>14.27</v>
      </c>
      <c r="P15" s="17">
        <v>15.1</v>
      </c>
      <c r="Q15" s="17">
        <v>15.88</v>
      </c>
      <c r="R15" s="66">
        <v>17.47</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c r="A17" s="69" t="s">
        <v>237</v>
      </c>
      <c r="B17" s="109" t="s">
        <v>238</v>
      </c>
      <c r="C17" s="109"/>
      <c r="D17" s="109"/>
      <c r="E17" s="109"/>
      <c r="F17" s="109"/>
      <c r="G17" s="109"/>
      <c r="H17" s="109"/>
      <c r="I17" s="109"/>
      <c r="J17" s="109"/>
      <c r="K17" s="109"/>
      <c r="L17" s="109"/>
      <c r="M17" s="109"/>
      <c r="N17" s="109"/>
      <c r="O17" s="151" t="s">
        <v>288</v>
      </c>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245</v>
      </c>
      <c r="C21" s="145"/>
      <c r="D21" s="145"/>
      <c r="E21" s="145"/>
      <c r="F21" s="145"/>
      <c r="G21" s="145"/>
      <c r="H21" s="145"/>
      <c r="I21" s="145"/>
      <c r="J21" s="145"/>
      <c r="K21" s="145"/>
      <c r="L21" s="145"/>
      <c r="M21" s="145"/>
      <c r="N21" s="146"/>
      <c r="O21" s="109" t="s">
        <v>289</v>
      </c>
      <c r="P21" s="109"/>
      <c r="Q21" s="109"/>
      <c r="R21" s="110"/>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52"/>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256</v>
      </c>
      <c r="C29" s="145"/>
      <c r="D29" s="145"/>
      <c r="E29" s="145"/>
      <c r="F29" s="145"/>
      <c r="G29" s="145"/>
      <c r="H29" s="145"/>
      <c r="I29" s="145"/>
      <c r="J29" s="145"/>
      <c r="K29" s="145"/>
      <c r="L29" s="145"/>
      <c r="M29" s="145"/>
      <c r="N29" s="145"/>
      <c r="O29" s="145"/>
      <c r="P29" s="145"/>
      <c r="Q29" s="145"/>
      <c r="R29" s="147"/>
    </row>
    <row r="30" spans="1:18" ht="13.9" customHeight="1">
      <c r="A30" s="69" t="s">
        <v>257</v>
      </c>
      <c r="B30" s="144" t="s">
        <v>291</v>
      </c>
      <c r="C30" s="145"/>
      <c r="D30" s="145"/>
      <c r="E30" s="145"/>
      <c r="F30" s="145"/>
      <c r="G30" s="145"/>
      <c r="H30" s="145"/>
      <c r="I30" s="145"/>
      <c r="J30" s="145"/>
      <c r="K30" s="145"/>
      <c r="L30" s="145"/>
      <c r="M30" s="145"/>
      <c r="N30" s="145"/>
      <c r="O30" s="145"/>
      <c r="P30" s="145"/>
      <c r="Q30" s="145"/>
      <c r="R30" s="147"/>
    </row>
    <row r="31" spans="1:18" ht="13.9" customHeight="1">
      <c r="A31" s="69" t="s">
        <v>234</v>
      </c>
      <c r="B31" s="144" t="s">
        <v>292</v>
      </c>
      <c r="C31" s="145"/>
      <c r="D31" s="145"/>
      <c r="E31" s="145"/>
      <c r="F31" s="145"/>
      <c r="G31" s="145"/>
      <c r="H31" s="145"/>
      <c r="I31" s="145"/>
      <c r="J31" s="145"/>
      <c r="K31" s="145"/>
      <c r="L31" s="145"/>
      <c r="M31" s="145"/>
      <c r="N31" s="145"/>
      <c r="O31" s="145"/>
      <c r="P31" s="145"/>
      <c r="Q31" s="145"/>
      <c r="R31" s="147"/>
    </row>
    <row r="32" spans="1:18">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256</v>
      </c>
      <c r="C33" s="109"/>
      <c r="D33" s="109"/>
      <c r="E33" s="109"/>
      <c r="F33" s="109"/>
      <c r="G33" s="109"/>
      <c r="H33" s="109"/>
      <c r="I33" s="109"/>
      <c r="J33" s="109"/>
      <c r="K33" s="109"/>
      <c r="L33" s="109"/>
      <c r="M33" s="109"/>
      <c r="N33" s="109"/>
      <c r="O33" s="109"/>
      <c r="P33" s="109"/>
      <c r="Q33" s="109"/>
      <c r="R33" s="110"/>
    </row>
    <row r="34" spans="1:18"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ht="13.9" customHeight="1">
      <c r="A35" s="141" t="s">
        <v>264</v>
      </c>
      <c r="B35" s="142"/>
      <c r="C35" s="142"/>
      <c r="D35" s="142"/>
      <c r="E35" s="142"/>
      <c r="F35" s="142"/>
      <c r="G35" s="142"/>
      <c r="H35" s="142"/>
      <c r="I35" s="142"/>
      <c r="J35" s="142"/>
      <c r="K35" s="142"/>
      <c r="L35" s="142"/>
      <c r="M35" s="142"/>
      <c r="N35" s="142"/>
      <c r="O35" s="142"/>
      <c r="P35" s="142"/>
      <c r="Q35" s="142"/>
      <c r="R35" s="143"/>
    </row>
    <row r="36" spans="1:18" ht="13.9" customHeight="1">
      <c r="A36" s="69" t="s">
        <v>265</v>
      </c>
      <c r="B36" s="109" t="s">
        <v>266</v>
      </c>
      <c r="C36" s="109"/>
      <c r="D36" s="109"/>
      <c r="E36" s="109"/>
      <c r="F36" s="109"/>
      <c r="G36" s="109"/>
      <c r="H36" s="109"/>
      <c r="I36" s="109"/>
      <c r="J36" s="109"/>
      <c r="K36" s="109"/>
      <c r="L36" s="109"/>
      <c r="M36" s="109"/>
      <c r="N36" s="109"/>
      <c r="O36" s="109"/>
      <c r="P36" s="109"/>
      <c r="Q36" s="109"/>
      <c r="R36" s="110"/>
    </row>
    <row r="37" spans="1:18" ht="13.9" customHeight="1">
      <c r="A37" s="69" t="s">
        <v>267</v>
      </c>
      <c r="B37" s="109" t="s">
        <v>268</v>
      </c>
      <c r="C37" s="109"/>
      <c r="D37" s="109"/>
      <c r="E37" s="109"/>
      <c r="F37" s="109"/>
      <c r="G37" s="109"/>
      <c r="H37" s="109"/>
      <c r="I37" s="109"/>
      <c r="J37" s="109"/>
      <c r="K37" s="109"/>
      <c r="L37" s="109"/>
      <c r="M37" s="109"/>
      <c r="N37" s="109"/>
      <c r="O37" s="109"/>
      <c r="P37" s="109"/>
      <c r="Q37" s="109"/>
      <c r="R37" s="110"/>
    </row>
    <row r="38" spans="1:18" ht="13.9" customHeight="1">
      <c r="A38" s="69" t="s">
        <v>269</v>
      </c>
      <c r="B38" s="109" t="s">
        <v>270</v>
      </c>
      <c r="C38" s="109"/>
      <c r="D38" s="109"/>
      <c r="E38" s="109"/>
      <c r="F38" s="109"/>
      <c r="G38" s="109"/>
      <c r="H38" s="109"/>
      <c r="I38" s="109"/>
      <c r="J38" s="109"/>
      <c r="K38" s="109"/>
      <c r="L38" s="109"/>
      <c r="M38" s="109"/>
      <c r="N38" s="109"/>
      <c r="O38" s="109"/>
      <c r="P38" s="109"/>
      <c r="Q38" s="109"/>
      <c r="R38" s="110"/>
    </row>
    <row r="39" spans="1:18" ht="13.9" customHeight="1">
      <c r="A39" s="141" t="s">
        <v>271</v>
      </c>
      <c r="B39" s="142"/>
      <c r="C39" s="142"/>
      <c r="D39" s="142"/>
      <c r="E39" s="142"/>
      <c r="F39" s="142"/>
      <c r="G39" s="142"/>
      <c r="H39" s="142"/>
      <c r="I39" s="142"/>
      <c r="J39" s="142"/>
      <c r="K39" s="142"/>
      <c r="L39" s="142"/>
      <c r="M39" s="142"/>
      <c r="N39" s="142"/>
      <c r="O39" s="142"/>
      <c r="P39" s="142"/>
      <c r="Q39" s="142"/>
      <c r="R39" s="143"/>
    </row>
    <row r="40" spans="1:18"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ht="13.9" customHeight="1">
      <c r="A45" s="69"/>
      <c r="B45" s="109"/>
      <c r="C45" s="109"/>
      <c r="D45" s="109"/>
      <c r="E45" s="109"/>
      <c r="F45" s="109"/>
      <c r="G45" s="109"/>
      <c r="H45" s="109"/>
      <c r="I45" s="109"/>
      <c r="J45" s="109"/>
      <c r="K45" s="109"/>
      <c r="L45" s="109"/>
      <c r="M45" s="109"/>
      <c r="N45" s="109"/>
      <c r="O45" s="109"/>
      <c r="P45" s="109"/>
      <c r="Q45" s="109"/>
      <c r="R45" s="110"/>
    </row>
    <row r="46" spans="1:18" ht="13.9" customHeight="1">
      <c r="A46" s="69"/>
      <c r="B46" s="109"/>
      <c r="C46" s="109"/>
      <c r="D46" s="109"/>
      <c r="E46" s="109"/>
      <c r="F46" s="109"/>
      <c r="G46" s="109"/>
      <c r="H46" s="109"/>
      <c r="I46" s="109"/>
      <c r="J46" s="109"/>
      <c r="K46" s="109"/>
      <c r="L46" s="109"/>
      <c r="M46" s="109"/>
      <c r="N46" s="109"/>
      <c r="O46" s="109"/>
      <c r="P46" s="109"/>
      <c r="Q46" s="109"/>
      <c r="R46" s="110"/>
    </row>
    <row r="47" spans="1:18">
      <c r="A47" s="148" t="s">
        <v>278</v>
      </c>
      <c r="B47" s="149"/>
      <c r="C47" s="149"/>
      <c r="D47" s="149"/>
      <c r="E47" s="149"/>
      <c r="F47" s="149"/>
      <c r="G47" s="149"/>
      <c r="H47" s="149"/>
      <c r="I47" s="149"/>
      <c r="J47" s="149"/>
      <c r="K47" s="149"/>
      <c r="L47" s="149"/>
      <c r="M47" s="149"/>
      <c r="N47" s="149"/>
      <c r="O47" s="149"/>
      <c r="P47" s="149"/>
      <c r="Q47" s="149"/>
      <c r="R47" s="150"/>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282</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3">
    <mergeCell ref="A55:R55"/>
    <mergeCell ref="A50:R50"/>
    <mergeCell ref="A51:R51"/>
    <mergeCell ref="A52:R52"/>
    <mergeCell ref="A53:R53"/>
    <mergeCell ref="A54:R54"/>
    <mergeCell ref="F1:P1"/>
    <mergeCell ref="A7:R7"/>
    <mergeCell ref="B8:C8"/>
    <mergeCell ref="D8:E8"/>
    <mergeCell ref="F8:G8"/>
    <mergeCell ref="H8:I8"/>
    <mergeCell ref="J8:K8"/>
    <mergeCell ref="P8:R8"/>
    <mergeCell ref="M2:N2"/>
    <mergeCell ref="O2:P2"/>
    <mergeCell ref="M3:N3"/>
    <mergeCell ref="O3:P3"/>
    <mergeCell ref="Q3:R3"/>
    <mergeCell ref="L8:O9"/>
    <mergeCell ref="I4:R4"/>
    <mergeCell ref="F4:H4"/>
    <mergeCell ref="B17:N17"/>
    <mergeCell ref="O17:R17"/>
    <mergeCell ref="F3:G3"/>
    <mergeCell ref="H3:I3"/>
    <mergeCell ref="J3:L3"/>
    <mergeCell ref="F5:G5"/>
    <mergeCell ref="H5:R5"/>
    <mergeCell ref="D9:E9"/>
    <mergeCell ref="F9:G9"/>
    <mergeCell ref="H9:I9"/>
    <mergeCell ref="J9:K9"/>
    <mergeCell ref="P9:R9"/>
    <mergeCell ref="A10:R10"/>
    <mergeCell ref="B9:C9"/>
    <mergeCell ref="A19:R19"/>
    <mergeCell ref="B18:R18"/>
    <mergeCell ref="O21:R21"/>
    <mergeCell ref="A1:E6"/>
    <mergeCell ref="Q1:R1"/>
    <mergeCell ref="F2:I2"/>
    <mergeCell ref="J2:L2"/>
    <mergeCell ref="Q2:R2"/>
    <mergeCell ref="B11:R11"/>
    <mergeCell ref="B16:N16"/>
    <mergeCell ref="O16:R16"/>
    <mergeCell ref="B20:N20"/>
    <mergeCell ref="O20:R20"/>
    <mergeCell ref="B21:N21"/>
    <mergeCell ref="F6:H6"/>
    <mergeCell ref="I6:R6"/>
    <mergeCell ref="B22:R22"/>
    <mergeCell ref="B23:R23"/>
    <mergeCell ref="B24:R24"/>
    <mergeCell ref="B25:R25"/>
    <mergeCell ref="B26:E26"/>
    <mergeCell ref="F26:R26"/>
    <mergeCell ref="B31:R31"/>
    <mergeCell ref="B34:L34"/>
    <mergeCell ref="A32:R32"/>
    <mergeCell ref="A28:R28"/>
    <mergeCell ref="B27:R27"/>
    <mergeCell ref="B33:R33"/>
    <mergeCell ref="B29:R29"/>
    <mergeCell ref="M34:R34"/>
    <mergeCell ref="B30:R30"/>
    <mergeCell ref="A49:R49"/>
    <mergeCell ref="B40:R40"/>
    <mergeCell ref="B41:R41"/>
    <mergeCell ref="B42:R42"/>
    <mergeCell ref="B43:R43"/>
    <mergeCell ref="B44:E44"/>
    <mergeCell ref="F44:R44"/>
    <mergeCell ref="B45:R45"/>
    <mergeCell ref="A47:R47"/>
    <mergeCell ref="A48:R48"/>
    <mergeCell ref="B46:R46"/>
    <mergeCell ref="A35:R35"/>
    <mergeCell ref="B36:R36"/>
    <mergeCell ref="B37:R37"/>
    <mergeCell ref="B38:R38"/>
    <mergeCell ref="A39:R39"/>
  </mergeCells>
  <phoneticPr fontId="8" type="noConversion"/>
  <printOptions horizontalCentered="1"/>
  <pageMargins left="0.7" right="0.7" top="0.75" bottom="0.75" header="0.3" footer="0.3"/>
  <pageSetup paperSize="9" scale="90" firstPageNumber="18" orientation="portrait"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0" tint="-0.14999847407452621"/>
    <pageSetUpPr fitToPage="1"/>
  </sheetPr>
  <dimension ref="A1:R55"/>
  <sheetViews>
    <sheetView workbookViewId="0">
      <selection activeCell="X10" sqref="X10"/>
    </sheetView>
  </sheetViews>
  <sheetFormatPr defaultColWidth="9.140625" defaultRowHeight="15"/>
  <cols>
    <col min="1" max="1" width="10.7109375" style="1" customWidth="1"/>
    <col min="2" max="22" width="5.28515625" style="1" customWidth="1"/>
    <col min="23" max="16384" width="9.140625" style="1"/>
  </cols>
  <sheetData>
    <row r="1" spans="1:18">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294</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v>160</v>
      </c>
      <c r="G14" s="17">
        <v>80</v>
      </c>
      <c r="H14" s="17">
        <v>80</v>
      </c>
      <c r="I14" s="17">
        <v>80</v>
      </c>
      <c r="J14" s="17">
        <v>80</v>
      </c>
      <c r="K14" s="17">
        <v>80</v>
      </c>
      <c r="L14" s="17">
        <v>80</v>
      </c>
      <c r="M14" s="17">
        <v>80</v>
      </c>
      <c r="N14" s="17">
        <v>80</v>
      </c>
      <c r="O14" s="17">
        <v>80</v>
      </c>
      <c r="P14" s="17">
        <v>80</v>
      </c>
      <c r="Q14" s="17">
        <v>80</v>
      </c>
      <c r="R14" s="66">
        <v>80</v>
      </c>
    </row>
    <row r="15" spans="1:18" s="12" customFormat="1">
      <c r="A15" s="70" t="s">
        <v>233</v>
      </c>
      <c r="B15" s="17">
        <v>7.47</v>
      </c>
      <c r="C15" s="17">
        <v>5.56</v>
      </c>
      <c r="D15" s="17">
        <v>6.35</v>
      </c>
      <c r="E15" s="17">
        <v>7.14</v>
      </c>
      <c r="F15" s="17">
        <v>8.74</v>
      </c>
      <c r="G15" s="17">
        <v>7.62</v>
      </c>
      <c r="H15" s="17">
        <v>8.56</v>
      </c>
      <c r="I15" s="17">
        <v>10.97</v>
      </c>
      <c r="J15" s="17">
        <v>12.7</v>
      </c>
      <c r="K15" s="17">
        <v>15.08</v>
      </c>
      <c r="L15" s="17">
        <v>17.47</v>
      </c>
      <c r="M15" s="17">
        <v>19.05</v>
      </c>
      <c r="N15" s="17">
        <v>21.44</v>
      </c>
      <c r="O15" s="17">
        <v>23.82</v>
      </c>
      <c r="P15" s="17">
        <v>26.19</v>
      </c>
      <c r="Q15" s="17">
        <v>28.57</v>
      </c>
      <c r="R15" s="66">
        <v>30.96</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ht="13.9" customHeight="1">
      <c r="A17" s="69" t="s">
        <v>237</v>
      </c>
      <c r="B17" s="144" t="s">
        <v>238</v>
      </c>
      <c r="C17" s="145"/>
      <c r="D17" s="145"/>
      <c r="E17" s="145"/>
      <c r="F17" s="145"/>
      <c r="G17" s="145"/>
      <c r="H17" s="145"/>
      <c r="I17" s="145"/>
      <c r="J17" s="145"/>
      <c r="K17" s="146"/>
      <c r="L17" s="144" t="s">
        <v>295</v>
      </c>
      <c r="M17" s="145"/>
      <c r="N17" s="146"/>
      <c r="O17" s="151" t="s">
        <v>288</v>
      </c>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296</v>
      </c>
      <c r="C21" s="145"/>
      <c r="D21" s="145"/>
      <c r="E21" s="145"/>
      <c r="F21" s="145"/>
      <c r="G21" s="145"/>
      <c r="H21" s="145"/>
      <c r="I21" s="145"/>
      <c r="J21" s="145"/>
      <c r="K21" s="146"/>
      <c r="L21" s="144" t="s">
        <v>297</v>
      </c>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52"/>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s="5" customFormat="1" ht="13.9" customHeight="1">
      <c r="A29" s="69" t="s">
        <v>237</v>
      </c>
      <c r="B29" s="144" t="s">
        <v>256</v>
      </c>
      <c r="C29" s="145"/>
      <c r="D29" s="145"/>
      <c r="E29" s="145"/>
      <c r="F29" s="145"/>
      <c r="G29" s="145"/>
      <c r="H29" s="145"/>
      <c r="I29" s="145"/>
      <c r="J29" s="145"/>
      <c r="K29" s="145"/>
      <c r="L29" s="145"/>
      <c r="M29" s="145"/>
      <c r="N29" s="145"/>
      <c r="O29" s="145"/>
      <c r="P29" s="145"/>
      <c r="Q29" s="145"/>
      <c r="R29" s="147"/>
    </row>
    <row r="30" spans="1:18" s="5" customFormat="1" ht="13.9" customHeight="1">
      <c r="A30" s="69" t="s">
        <v>257</v>
      </c>
      <c r="B30" s="144" t="s">
        <v>298</v>
      </c>
      <c r="C30" s="145"/>
      <c r="D30" s="145"/>
      <c r="E30" s="145"/>
      <c r="F30" s="145"/>
      <c r="G30" s="145"/>
      <c r="H30" s="145"/>
      <c r="I30" s="145"/>
      <c r="J30" s="145"/>
      <c r="K30" s="145"/>
      <c r="L30" s="145"/>
      <c r="M30" s="145"/>
      <c r="N30" s="145"/>
      <c r="O30" s="145"/>
      <c r="P30" s="145"/>
      <c r="Q30" s="145"/>
      <c r="R30" s="147"/>
    </row>
    <row r="31" spans="1:18" s="5" customFormat="1" ht="13.9" customHeight="1">
      <c r="A31" s="69" t="s">
        <v>234</v>
      </c>
      <c r="B31" s="144" t="s">
        <v>292</v>
      </c>
      <c r="C31" s="145"/>
      <c r="D31" s="145"/>
      <c r="E31" s="145"/>
      <c r="F31" s="145"/>
      <c r="G31" s="145"/>
      <c r="H31" s="145"/>
      <c r="I31" s="145"/>
      <c r="J31" s="145"/>
      <c r="K31" s="145"/>
      <c r="L31" s="145"/>
      <c r="M31" s="145"/>
      <c r="N31" s="145"/>
      <c r="O31" s="145"/>
      <c r="P31" s="145"/>
      <c r="Q31" s="145"/>
      <c r="R31" s="147"/>
    </row>
    <row r="32" spans="1:18">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256</v>
      </c>
      <c r="C33" s="109"/>
      <c r="D33" s="109"/>
      <c r="E33" s="109"/>
      <c r="F33" s="109"/>
      <c r="G33" s="109"/>
      <c r="H33" s="109"/>
      <c r="I33" s="109"/>
      <c r="J33" s="109"/>
      <c r="K33" s="109"/>
      <c r="L33" s="109"/>
      <c r="M33" s="109"/>
      <c r="N33" s="109"/>
      <c r="O33" s="109"/>
      <c r="P33" s="109"/>
      <c r="Q33" s="109"/>
      <c r="R33" s="110"/>
    </row>
    <row r="34" spans="1:18"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s="5" customFormat="1" ht="13.9" customHeight="1">
      <c r="A35" s="141" t="s">
        <v>264</v>
      </c>
      <c r="B35" s="142"/>
      <c r="C35" s="142"/>
      <c r="D35" s="142"/>
      <c r="E35" s="142"/>
      <c r="F35" s="142"/>
      <c r="G35" s="142"/>
      <c r="H35" s="142"/>
      <c r="I35" s="142"/>
      <c r="J35" s="142"/>
      <c r="K35" s="142"/>
      <c r="L35" s="142"/>
      <c r="M35" s="142"/>
      <c r="N35" s="142"/>
      <c r="O35" s="142"/>
      <c r="P35" s="142"/>
      <c r="Q35" s="142"/>
      <c r="R35" s="143"/>
    </row>
    <row r="36" spans="1:18" s="5" customFormat="1" ht="13.9" customHeight="1">
      <c r="A36" s="69" t="s">
        <v>265</v>
      </c>
      <c r="B36" s="109" t="s">
        <v>266</v>
      </c>
      <c r="C36" s="109"/>
      <c r="D36" s="109"/>
      <c r="E36" s="109"/>
      <c r="F36" s="109"/>
      <c r="G36" s="109"/>
      <c r="H36" s="109"/>
      <c r="I36" s="109"/>
      <c r="J36" s="109"/>
      <c r="K36" s="109"/>
      <c r="L36" s="109"/>
      <c r="M36" s="109"/>
      <c r="N36" s="109"/>
      <c r="O36" s="109"/>
      <c r="P36" s="109"/>
      <c r="Q36" s="109"/>
      <c r="R36" s="110"/>
    </row>
    <row r="37" spans="1:18" s="5" customFormat="1" ht="13.9" customHeight="1">
      <c r="A37" s="69" t="s">
        <v>267</v>
      </c>
      <c r="B37" s="109" t="s">
        <v>268</v>
      </c>
      <c r="C37" s="109"/>
      <c r="D37" s="109"/>
      <c r="E37" s="109"/>
      <c r="F37" s="109"/>
      <c r="G37" s="109"/>
      <c r="H37" s="109"/>
      <c r="I37" s="109"/>
      <c r="J37" s="109"/>
      <c r="K37" s="109"/>
      <c r="L37" s="109"/>
      <c r="M37" s="109"/>
      <c r="N37" s="109"/>
      <c r="O37" s="109"/>
      <c r="P37" s="109"/>
      <c r="Q37" s="109"/>
      <c r="R37" s="110"/>
    </row>
    <row r="38" spans="1:18" s="5" customFormat="1" ht="13.9" customHeight="1">
      <c r="A38" s="69" t="s">
        <v>269</v>
      </c>
      <c r="B38" s="109" t="s">
        <v>270</v>
      </c>
      <c r="C38" s="109"/>
      <c r="D38" s="109"/>
      <c r="E38" s="109"/>
      <c r="F38" s="109"/>
      <c r="G38" s="109"/>
      <c r="H38" s="109"/>
      <c r="I38" s="109"/>
      <c r="J38" s="109"/>
      <c r="K38" s="109"/>
      <c r="L38" s="109"/>
      <c r="M38" s="109"/>
      <c r="N38" s="109"/>
      <c r="O38" s="109"/>
      <c r="P38" s="109"/>
      <c r="Q38" s="109"/>
      <c r="R38" s="110"/>
    </row>
    <row r="39" spans="1:18" s="5"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18"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s="5" customFormat="1" ht="13.9" customHeight="1">
      <c r="A45" s="69"/>
      <c r="B45" s="109"/>
      <c r="C45" s="109"/>
      <c r="D45" s="109"/>
      <c r="E45" s="109"/>
      <c r="F45" s="109"/>
      <c r="G45" s="109"/>
      <c r="H45" s="109"/>
      <c r="I45" s="109"/>
      <c r="J45" s="109"/>
      <c r="K45" s="109"/>
      <c r="L45" s="109"/>
      <c r="M45" s="109"/>
      <c r="N45" s="109"/>
      <c r="O45" s="109"/>
      <c r="P45" s="109"/>
      <c r="Q45" s="109"/>
      <c r="R45" s="110"/>
    </row>
    <row r="46" spans="1:18" s="5" customFormat="1" ht="13.9" customHeight="1">
      <c r="A46" s="69"/>
      <c r="B46" s="109"/>
      <c r="C46" s="109"/>
      <c r="D46" s="109"/>
      <c r="E46" s="109"/>
      <c r="F46" s="109"/>
      <c r="G46" s="109"/>
      <c r="H46" s="109"/>
      <c r="I46" s="109"/>
      <c r="J46" s="109"/>
      <c r="K46" s="109"/>
      <c r="L46" s="109"/>
      <c r="M46" s="109"/>
      <c r="N46" s="109"/>
      <c r="O46" s="109"/>
      <c r="P46" s="109"/>
      <c r="Q46" s="109"/>
      <c r="R46" s="110"/>
    </row>
    <row r="47" spans="1:18" s="5" customFormat="1">
      <c r="A47" s="148" t="s">
        <v>278</v>
      </c>
      <c r="B47" s="149"/>
      <c r="C47" s="149"/>
      <c r="D47" s="149"/>
      <c r="E47" s="149"/>
      <c r="F47" s="149"/>
      <c r="G47" s="149"/>
      <c r="H47" s="149"/>
      <c r="I47" s="149"/>
      <c r="J47" s="149"/>
      <c r="K47" s="149"/>
      <c r="L47" s="149"/>
      <c r="M47" s="149"/>
      <c r="N47" s="149"/>
      <c r="O47" s="149"/>
      <c r="P47" s="149"/>
      <c r="Q47" s="149"/>
      <c r="R47" s="150"/>
    </row>
    <row r="48" spans="1:18" s="5" customFormat="1" ht="28.1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s="5" customFormat="1">
      <c r="A50" s="114" t="s">
        <v>281</v>
      </c>
      <c r="B50" s="115"/>
      <c r="C50" s="115"/>
      <c r="D50" s="115"/>
      <c r="E50" s="115"/>
      <c r="F50" s="115"/>
      <c r="G50" s="115"/>
      <c r="H50" s="115"/>
      <c r="I50" s="115"/>
      <c r="J50" s="115"/>
      <c r="K50" s="115"/>
      <c r="L50" s="115"/>
      <c r="M50" s="115"/>
      <c r="N50" s="115"/>
      <c r="O50" s="115"/>
      <c r="P50" s="115"/>
      <c r="Q50" s="115"/>
      <c r="R50" s="116"/>
    </row>
    <row r="51" spans="1:18" s="5" customFormat="1" ht="28.9" customHeight="1">
      <c r="A51" s="114" t="s">
        <v>282</v>
      </c>
      <c r="B51" s="115"/>
      <c r="C51" s="115"/>
      <c r="D51" s="115"/>
      <c r="E51" s="115"/>
      <c r="F51" s="115"/>
      <c r="G51" s="115"/>
      <c r="H51" s="115"/>
      <c r="I51" s="115"/>
      <c r="J51" s="115"/>
      <c r="K51" s="115"/>
      <c r="L51" s="115"/>
      <c r="M51" s="115"/>
      <c r="N51" s="115"/>
      <c r="O51" s="115"/>
      <c r="P51" s="115"/>
      <c r="Q51" s="115"/>
      <c r="R51" s="116"/>
    </row>
    <row r="52" spans="1:18" s="5" customFormat="1" ht="26.4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c r="A53" s="114" t="s">
        <v>284</v>
      </c>
      <c r="B53" s="115"/>
      <c r="C53" s="115"/>
      <c r="D53" s="115"/>
      <c r="E53" s="115"/>
      <c r="F53" s="115"/>
      <c r="G53" s="115"/>
      <c r="H53" s="115"/>
      <c r="I53" s="115"/>
      <c r="J53" s="115"/>
      <c r="K53" s="115"/>
      <c r="L53" s="115"/>
      <c r="M53" s="115"/>
      <c r="N53" s="115"/>
      <c r="O53" s="115"/>
      <c r="P53" s="115"/>
      <c r="Q53" s="115"/>
      <c r="R53" s="116"/>
    </row>
    <row r="54" spans="1:18" s="5" customFormat="1">
      <c r="A54" s="114" t="s">
        <v>285</v>
      </c>
      <c r="B54" s="115"/>
      <c r="C54" s="115"/>
      <c r="D54" s="115"/>
      <c r="E54" s="115"/>
      <c r="F54" s="115"/>
      <c r="G54" s="115"/>
      <c r="H54" s="115"/>
      <c r="I54" s="115"/>
      <c r="J54" s="115"/>
      <c r="K54" s="115"/>
      <c r="L54" s="115"/>
      <c r="M54" s="115"/>
      <c r="N54" s="115"/>
      <c r="O54" s="115"/>
      <c r="P54" s="115"/>
      <c r="Q54" s="115"/>
      <c r="R54" s="116"/>
    </row>
    <row r="55" spans="1:18" s="5" customFormat="1" ht="15.75" thickBot="1">
      <c r="A55" s="177"/>
      <c r="B55" s="178"/>
      <c r="C55" s="178"/>
      <c r="D55" s="178"/>
      <c r="E55" s="178"/>
      <c r="F55" s="178"/>
      <c r="G55" s="178"/>
      <c r="H55" s="178"/>
      <c r="I55" s="178"/>
      <c r="J55" s="178"/>
      <c r="K55" s="178"/>
      <c r="L55" s="178"/>
      <c r="M55" s="178"/>
      <c r="N55" s="178"/>
      <c r="O55" s="178"/>
      <c r="P55" s="178"/>
      <c r="Q55" s="178"/>
      <c r="R55" s="179"/>
    </row>
  </sheetData>
  <mergeCells count="84">
    <mergeCell ref="A55:R55"/>
    <mergeCell ref="B45:R45"/>
    <mergeCell ref="A50:R50"/>
    <mergeCell ref="A51:R51"/>
    <mergeCell ref="A52:R52"/>
    <mergeCell ref="A53:R53"/>
    <mergeCell ref="A54:R54"/>
    <mergeCell ref="A49:R49"/>
    <mergeCell ref="A47:R47"/>
    <mergeCell ref="A48:R48"/>
    <mergeCell ref="B46:R46"/>
    <mergeCell ref="A32:R32"/>
    <mergeCell ref="A39:R39"/>
    <mergeCell ref="B37:R37"/>
    <mergeCell ref="B36:R36"/>
    <mergeCell ref="B38:R38"/>
    <mergeCell ref="M34:R34"/>
    <mergeCell ref="B18:R18"/>
    <mergeCell ref="B17:K17"/>
    <mergeCell ref="L17:N17"/>
    <mergeCell ref="B27:R27"/>
    <mergeCell ref="A28:R28"/>
    <mergeCell ref="B44:E44"/>
    <mergeCell ref="F44:R44"/>
    <mergeCell ref="B40:R40"/>
    <mergeCell ref="B41:R41"/>
    <mergeCell ref="F2:I2"/>
    <mergeCell ref="J2:L2"/>
    <mergeCell ref="B20:N20"/>
    <mergeCell ref="O20:R20"/>
    <mergeCell ref="B21:K21"/>
    <mergeCell ref="L21:R21"/>
    <mergeCell ref="A35:R35"/>
    <mergeCell ref="B29:R29"/>
    <mergeCell ref="B30:R30"/>
    <mergeCell ref="B31:R31"/>
    <mergeCell ref="B33:R33"/>
    <mergeCell ref="B34:L34"/>
    <mergeCell ref="H5:R5"/>
    <mergeCell ref="F6:H6"/>
    <mergeCell ref="I6:R6"/>
    <mergeCell ref="B42:R42"/>
    <mergeCell ref="B43:R43"/>
    <mergeCell ref="B26:E26"/>
    <mergeCell ref="B22:R22"/>
    <mergeCell ref="B23:R23"/>
    <mergeCell ref="B24:R24"/>
    <mergeCell ref="B25:R25"/>
    <mergeCell ref="F26:R26"/>
    <mergeCell ref="B11:R11"/>
    <mergeCell ref="B16:N16"/>
    <mergeCell ref="O16:R16"/>
    <mergeCell ref="O17:R17"/>
    <mergeCell ref="A19:R19"/>
    <mergeCell ref="A10:R10"/>
    <mergeCell ref="A7:R7"/>
    <mergeCell ref="B8:C8"/>
    <mergeCell ref="D8:E8"/>
    <mergeCell ref="F8:G8"/>
    <mergeCell ref="H8:I8"/>
    <mergeCell ref="J8:K8"/>
    <mergeCell ref="L8:O9"/>
    <mergeCell ref="P8:R8"/>
    <mergeCell ref="D9:E9"/>
    <mergeCell ref="F9:G9"/>
    <mergeCell ref="H9:I9"/>
    <mergeCell ref="J9:K9"/>
    <mergeCell ref="P9:R9"/>
    <mergeCell ref="F1:P1"/>
    <mergeCell ref="Q1:R1"/>
    <mergeCell ref="A1:E6"/>
    <mergeCell ref="B9:C9"/>
    <mergeCell ref="F4:H4"/>
    <mergeCell ref="I4:R4"/>
    <mergeCell ref="M2:N2"/>
    <mergeCell ref="O2:P2"/>
    <mergeCell ref="Q2:R2"/>
    <mergeCell ref="F3:G3"/>
    <mergeCell ref="H3:I3"/>
    <mergeCell ref="J3:L3"/>
    <mergeCell ref="M3:N3"/>
    <mergeCell ref="O3:P3"/>
    <mergeCell ref="Q3:R3"/>
    <mergeCell ref="F5:G5"/>
  </mergeCells>
  <printOptions horizontalCentered="1"/>
  <pageMargins left="0.7" right="0.7" top="0.75" bottom="0.75" header="0.3" footer="0.3"/>
  <pageSetup paperSize="9" scale="88" firstPageNumber="18" orientation="portrait"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0" tint="-0.14999847407452621"/>
    <pageSetUpPr fitToPage="1"/>
  </sheetPr>
  <dimension ref="A1:V57"/>
  <sheetViews>
    <sheetView workbookViewId="0">
      <selection activeCell="X10" sqref="X10"/>
    </sheetView>
  </sheetViews>
  <sheetFormatPr defaultColWidth="9.140625" defaultRowHeight="15"/>
  <cols>
    <col min="1" max="1" width="10.7109375" style="1" customWidth="1"/>
    <col min="2" max="22" width="5.28515625" style="1" customWidth="1"/>
    <col min="23" max="16384" width="9.140625" style="1"/>
  </cols>
  <sheetData>
    <row r="1" spans="1:22">
      <c r="A1" s="132" t="e" vm="1">
        <v>#VALUE!</v>
      </c>
      <c r="B1" s="133"/>
      <c r="C1" s="133"/>
      <c r="D1" s="133"/>
      <c r="E1" s="134"/>
      <c r="F1" s="165" t="s">
        <v>213</v>
      </c>
      <c r="G1" s="166"/>
      <c r="H1" s="166"/>
      <c r="I1" s="166"/>
      <c r="J1" s="166"/>
      <c r="K1" s="166"/>
      <c r="L1" s="166"/>
      <c r="M1" s="166"/>
      <c r="N1" s="166"/>
      <c r="O1" s="166"/>
      <c r="P1" s="166"/>
      <c r="Q1" s="153" t="s">
        <v>214</v>
      </c>
      <c r="R1" s="154"/>
    </row>
    <row r="2" spans="1:22"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c r="S2" s="1"/>
      <c r="T2" s="1"/>
      <c r="U2" s="1"/>
      <c r="V2" s="1"/>
    </row>
    <row r="3" spans="1:22"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22"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22"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22"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22" s="5" customFormat="1" ht="14.45" customHeight="1">
      <c r="A7" s="167" t="s">
        <v>221</v>
      </c>
      <c r="B7" s="168"/>
      <c r="C7" s="168"/>
      <c r="D7" s="168"/>
      <c r="E7" s="168"/>
      <c r="F7" s="169"/>
      <c r="G7" s="169"/>
      <c r="H7" s="169"/>
      <c r="I7" s="169"/>
      <c r="J7" s="169"/>
      <c r="K7" s="169"/>
      <c r="L7" s="169"/>
      <c r="M7" s="169"/>
      <c r="N7" s="169"/>
      <c r="O7" s="169"/>
      <c r="P7" s="169"/>
      <c r="Q7" s="169"/>
      <c r="R7" s="170"/>
    </row>
    <row r="8" spans="1:22"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22"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22" s="3" customFormat="1">
      <c r="A10" s="162" t="s">
        <v>225</v>
      </c>
      <c r="B10" s="163"/>
      <c r="C10" s="163"/>
      <c r="D10" s="163"/>
      <c r="E10" s="163"/>
      <c r="F10" s="163"/>
      <c r="G10" s="163"/>
      <c r="H10" s="163"/>
      <c r="I10" s="163"/>
      <c r="J10" s="163"/>
      <c r="K10" s="163"/>
      <c r="L10" s="163"/>
      <c r="M10" s="163"/>
      <c r="N10" s="163"/>
      <c r="O10" s="163"/>
      <c r="P10" s="163"/>
      <c r="Q10" s="163"/>
      <c r="R10" s="164"/>
    </row>
    <row r="11" spans="1:22">
      <c r="A11" s="69" t="s">
        <v>226</v>
      </c>
      <c r="B11" s="109" t="s">
        <v>227</v>
      </c>
      <c r="C11" s="109"/>
      <c r="D11" s="109"/>
      <c r="E11" s="109"/>
      <c r="F11" s="109"/>
      <c r="G11" s="109"/>
      <c r="H11" s="109"/>
      <c r="I11" s="109"/>
      <c r="J11" s="109"/>
      <c r="K11" s="109"/>
      <c r="L11" s="109"/>
      <c r="M11" s="109"/>
      <c r="N11" s="109"/>
      <c r="O11" s="109"/>
      <c r="P11" s="109"/>
      <c r="Q11" s="109"/>
      <c r="R11" s="110"/>
    </row>
    <row r="12" spans="1:22"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22" s="12" customFormat="1">
      <c r="A13" s="70" t="s">
        <v>229</v>
      </c>
      <c r="B13" s="17">
        <v>21.3</v>
      </c>
      <c r="C13" s="17">
        <v>26.7</v>
      </c>
      <c r="D13" s="17">
        <v>33.4</v>
      </c>
      <c r="E13" s="17">
        <v>48.3</v>
      </c>
      <c r="F13" s="17">
        <v>60.3</v>
      </c>
      <c r="G13" s="17">
        <v>88.9</v>
      </c>
      <c r="H13" s="17">
        <v>114</v>
      </c>
      <c r="I13" s="17">
        <v>168.3</v>
      </c>
      <c r="J13" s="17">
        <v>219</v>
      </c>
      <c r="K13" s="17">
        <v>273.10000000000002</v>
      </c>
      <c r="L13" s="17">
        <v>323.89999999999998</v>
      </c>
      <c r="M13" s="17">
        <v>355.6</v>
      </c>
      <c r="N13" s="17">
        <v>406.4</v>
      </c>
      <c r="O13" s="17">
        <v>457</v>
      </c>
      <c r="P13" s="17">
        <v>508</v>
      </c>
      <c r="Q13" s="17">
        <v>559</v>
      </c>
      <c r="R13" s="66">
        <v>610</v>
      </c>
    </row>
    <row r="14" spans="1:22" s="12" customFormat="1">
      <c r="A14" s="70" t="s">
        <v>230</v>
      </c>
      <c r="B14" s="17">
        <v>160</v>
      </c>
      <c r="C14" s="17">
        <v>160</v>
      </c>
      <c r="D14" s="17">
        <v>160</v>
      </c>
      <c r="E14" s="17">
        <v>160</v>
      </c>
      <c r="F14" s="17">
        <v>160</v>
      </c>
      <c r="G14" s="17">
        <v>160</v>
      </c>
      <c r="H14" s="17">
        <v>120</v>
      </c>
      <c r="I14" s="17">
        <v>120</v>
      </c>
      <c r="J14" s="17">
        <v>120</v>
      </c>
      <c r="K14" s="17">
        <v>120</v>
      </c>
      <c r="L14" s="17">
        <v>120</v>
      </c>
      <c r="M14" s="17">
        <v>120</v>
      </c>
      <c r="N14" s="17">
        <v>120</v>
      </c>
      <c r="O14" s="17">
        <v>120</v>
      </c>
      <c r="P14" s="17">
        <v>120</v>
      </c>
      <c r="Q14" s="17">
        <v>120</v>
      </c>
      <c r="R14" s="66">
        <v>120</v>
      </c>
    </row>
    <row r="15" spans="1:22" s="12" customFormat="1">
      <c r="A15" s="70" t="s">
        <v>233</v>
      </c>
      <c r="B15" s="17">
        <v>7.47</v>
      </c>
      <c r="C15" s="17">
        <v>5.56</v>
      </c>
      <c r="D15" s="17">
        <v>6.35</v>
      </c>
      <c r="E15" s="17">
        <v>7.14</v>
      </c>
      <c r="F15" s="17">
        <v>8.6999999999999993</v>
      </c>
      <c r="G15" s="17">
        <v>11.12</v>
      </c>
      <c r="H15" s="17">
        <v>11.1</v>
      </c>
      <c r="I15" s="17">
        <v>14.27</v>
      </c>
      <c r="J15" s="17">
        <v>18.3</v>
      </c>
      <c r="K15" s="17">
        <v>21.44</v>
      </c>
      <c r="L15" s="17">
        <v>25.4</v>
      </c>
      <c r="M15" s="17">
        <v>27.79</v>
      </c>
      <c r="N15" s="17">
        <v>30.96</v>
      </c>
      <c r="O15" s="17">
        <v>34.92</v>
      </c>
      <c r="P15" s="17">
        <v>38.1</v>
      </c>
      <c r="Q15" s="17">
        <v>41.27</v>
      </c>
      <c r="R15" s="66">
        <v>46.02</v>
      </c>
    </row>
    <row r="16" spans="1:22">
      <c r="A16" s="69" t="s">
        <v>234</v>
      </c>
      <c r="B16" s="109" t="s">
        <v>235</v>
      </c>
      <c r="C16" s="109"/>
      <c r="D16" s="109"/>
      <c r="E16" s="109"/>
      <c r="F16" s="109"/>
      <c r="G16" s="109"/>
      <c r="H16" s="109"/>
      <c r="I16" s="109"/>
      <c r="J16" s="109"/>
      <c r="K16" s="109"/>
      <c r="L16" s="109"/>
      <c r="M16" s="109"/>
      <c r="N16" s="109"/>
      <c r="O16" s="109" t="s">
        <v>287</v>
      </c>
      <c r="P16" s="109"/>
      <c r="Q16" s="109"/>
      <c r="R16" s="110"/>
    </row>
    <row r="17" spans="1:21" ht="13.9" customHeight="1">
      <c r="A17" s="69" t="s">
        <v>237</v>
      </c>
      <c r="B17" s="144" t="s">
        <v>238</v>
      </c>
      <c r="C17" s="145"/>
      <c r="D17" s="145"/>
      <c r="E17" s="145"/>
      <c r="F17" s="145"/>
      <c r="G17" s="145"/>
      <c r="H17" s="145"/>
      <c r="I17" s="146"/>
      <c r="J17" s="145" t="s">
        <v>295</v>
      </c>
      <c r="K17" s="145"/>
      <c r="L17" s="145"/>
      <c r="M17" s="145"/>
      <c r="N17" s="146"/>
      <c r="O17" s="151" t="s">
        <v>288</v>
      </c>
      <c r="P17" s="152"/>
      <c r="Q17" s="152"/>
      <c r="R17" s="161"/>
    </row>
    <row r="18" spans="1:21">
      <c r="A18" s="69" t="s">
        <v>240</v>
      </c>
      <c r="B18" s="144" t="s">
        <v>241</v>
      </c>
      <c r="C18" s="145"/>
      <c r="D18" s="145"/>
      <c r="E18" s="145"/>
      <c r="F18" s="145"/>
      <c r="G18" s="145"/>
      <c r="H18" s="145"/>
      <c r="I18" s="145"/>
      <c r="J18" s="145"/>
      <c r="K18" s="145"/>
      <c r="L18" s="145"/>
      <c r="M18" s="145"/>
      <c r="N18" s="145"/>
      <c r="O18" s="145"/>
      <c r="P18" s="145"/>
      <c r="Q18" s="145"/>
      <c r="R18" s="147"/>
    </row>
    <row r="19" spans="1:21">
      <c r="A19" s="117" t="s">
        <v>242</v>
      </c>
      <c r="B19" s="109"/>
      <c r="C19" s="109"/>
      <c r="D19" s="109"/>
      <c r="E19" s="109"/>
      <c r="F19" s="109"/>
      <c r="G19" s="109"/>
      <c r="H19" s="109"/>
      <c r="I19" s="109"/>
      <c r="J19" s="109"/>
      <c r="K19" s="109"/>
      <c r="L19" s="109"/>
      <c r="M19" s="109"/>
      <c r="N19" s="109"/>
      <c r="O19" s="109"/>
      <c r="P19" s="109"/>
      <c r="Q19" s="109"/>
      <c r="R19" s="110"/>
    </row>
    <row r="20" spans="1:21" ht="29.45" customHeight="1">
      <c r="A20" s="69" t="s">
        <v>234</v>
      </c>
      <c r="B20" s="144" t="s">
        <v>243</v>
      </c>
      <c r="C20" s="145"/>
      <c r="D20" s="145"/>
      <c r="E20" s="145"/>
      <c r="F20" s="145"/>
      <c r="G20" s="145"/>
      <c r="H20" s="145"/>
      <c r="I20" s="145"/>
      <c r="J20" s="145"/>
      <c r="K20" s="145"/>
      <c r="L20" s="145"/>
      <c r="M20" s="145"/>
      <c r="N20" s="145"/>
      <c r="O20" s="144" t="s">
        <v>244</v>
      </c>
      <c r="P20" s="145"/>
      <c r="Q20" s="145"/>
      <c r="R20" s="147"/>
      <c r="U20" s="9"/>
    </row>
    <row r="21" spans="1:21">
      <c r="A21" s="69" t="s">
        <v>237</v>
      </c>
      <c r="B21" s="144" t="s">
        <v>245</v>
      </c>
      <c r="C21" s="145"/>
      <c r="D21" s="145"/>
      <c r="E21" s="145"/>
      <c r="F21" s="145"/>
      <c r="G21" s="145"/>
      <c r="H21" s="145"/>
      <c r="I21" s="146"/>
      <c r="J21" s="144" t="s">
        <v>297</v>
      </c>
      <c r="K21" s="145"/>
      <c r="L21" s="145"/>
      <c r="M21" s="145"/>
      <c r="N21" s="145"/>
      <c r="O21" s="145"/>
      <c r="P21" s="145"/>
      <c r="Q21" s="145"/>
      <c r="R21" s="147"/>
    </row>
    <row r="22" spans="1:21" ht="15" customHeight="1">
      <c r="A22" s="69" t="s">
        <v>246</v>
      </c>
      <c r="B22" s="144" t="s">
        <v>247</v>
      </c>
      <c r="C22" s="145"/>
      <c r="D22" s="145"/>
      <c r="E22" s="145"/>
      <c r="F22" s="145"/>
      <c r="G22" s="145"/>
      <c r="H22" s="145"/>
      <c r="I22" s="145"/>
      <c r="J22" s="145"/>
      <c r="K22" s="145"/>
      <c r="L22" s="145"/>
      <c r="M22" s="145"/>
      <c r="N22" s="145"/>
      <c r="O22" s="145"/>
      <c r="P22" s="145"/>
      <c r="Q22" s="145"/>
      <c r="R22" s="147"/>
    </row>
    <row r="23" spans="1:21" ht="15" customHeight="1">
      <c r="A23" s="69" t="s">
        <v>248</v>
      </c>
      <c r="B23" s="144" t="s">
        <v>247</v>
      </c>
      <c r="C23" s="145"/>
      <c r="D23" s="145"/>
      <c r="E23" s="145"/>
      <c r="F23" s="145"/>
      <c r="G23" s="145"/>
      <c r="H23" s="145"/>
      <c r="I23" s="145"/>
      <c r="J23" s="145"/>
      <c r="K23" s="145"/>
      <c r="L23" s="145"/>
      <c r="M23" s="145"/>
      <c r="N23" s="145"/>
      <c r="O23" s="145"/>
      <c r="P23" s="145"/>
      <c r="Q23" s="145"/>
      <c r="R23" s="147"/>
    </row>
    <row r="24" spans="1:21" ht="15" customHeight="1">
      <c r="A24" s="69" t="s">
        <v>249</v>
      </c>
      <c r="B24" s="144" t="s">
        <v>247</v>
      </c>
      <c r="C24" s="145"/>
      <c r="D24" s="145"/>
      <c r="E24" s="145"/>
      <c r="F24" s="145"/>
      <c r="G24" s="145"/>
      <c r="H24" s="145"/>
      <c r="I24" s="145"/>
      <c r="J24" s="145"/>
      <c r="K24" s="145"/>
      <c r="L24" s="145"/>
      <c r="M24" s="145"/>
      <c r="N24" s="145"/>
      <c r="O24" s="145"/>
      <c r="P24" s="145"/>
      <c r="Q24" s="145"/>
      <c r="R24" s="147"/>
    </row>
    <row r="25" spans="1:21" ht="15" customHeight="1">
      <c r="A25" s="69" t="s">
        <v>250</v>
      </c>
      <c r="B25" s="144" t="s">
        <v>247</v>
      </c>
      <c r="C25" s="145"/>
      <c r="D25" s="145"/>
      <c r="E25" s="145"/>
      <c r="F25" s="145"/>
      <c r="G25" s="145"/>
      <c r="H25" s="145"/>
      <c r="I25" s="145"/>
      <c r="J25" s="145"/>
      <c r="K25" s="145"/>
      <c r="L25" s="145"/>
      <c r="M25" s="145"/>
      <c r="N25" s="145"/>
      <c r="O25" s="145"/>
      <c r="P25" s="145"/>
      <c r="Q25" s="145"/>
      <c r="R25" s="147"/>
    </row>
    <row r="26" spans="1:21" ht="15" customHeight="1">
      <c r="A26" s="69" t="s">
        <v>251</v>
      </c>
      <c r="B26" s="151" t="s">
        <v>290</v>
      </c>
      <c r="C26" s="152"/>
      <c r="D26" s="152"/>
      <c r="E26" s="152"/>
      <c r="F26" s="144"/>
      <c r="G26" s="145"/>
      <c r="H26" s="145"/>
      <c r="I26" s="145"/>
      <c r="J26" s="145"/>
      <c r="K26" s="145"/>
      <c r="L26" s="145"/>
      <c r="M26" s="145"/>
      <c r="N26" s="145"/>
      <c r="O26" s="145"/>
      <c r="P26" s="145"/>
      <c r="Q26" s="145"/>
      <c r="R26" s="147"/>
    </row>
    <row r="27" spans="1:21" ht="15" customHeight="1">
      <c r="A27" s="69" t="s">
        <v>253</v>
      </c>
      <c r="B27" s="144" t="s">
        <v>254</v>
      </c>
      <c r="C27" s="145"/>
      <c r="D27" s="145"/>
      <c r="E27" s="145"/>
      <c r="F27" s="145"/>
      <c r="G27" s="145"/>
      <c r="H27" s="145"/>
      <c r="I27" s="145"/>
      <c r="J27" s="145"/>
      <c r="K27" s="145"/>
      <c r="L27" s="145"/>
      <c r="M27" s="145"/>
      <c r="N27" s="145"/>
      <c r="O27" s="145"/>
      <c r="P27" s="145"/>
      <c r="Q27" s="145"/>
      <c r="R27" s="147"/>
    </row>
    <row r="28" spans="1:21">
      <c r="A28" s="117" t="s">
        <v>255</v>
      </c>
      <c r="B28" s="109"/>
      <c r="C28" s="109"/>
      <c r="D28" s="109"/>
      <c r="E28" s="109"/>
      <c r="F28" s="109"/>
      <c r="G28" s="109"/>
      <c r="H28" s="109"/>
      <c r="I28" s="109"/>
      <c r="J28" s="109"/>
      <c r="K28" s="109"/>
      <c r="L28" s="109"/>
      <c r="M28" s="109"/>
      <c r="N28" s="109"/>
      <c r="O28" s="109"/>
      <c r="P28" s="109"/>
      <c r="Q28" s="109"/>
      <c r="R28" s="110"/>
    </row>
    <row r="29" spans="1:21" s="5" customFormat="1" ht="13.9" customHeight="1">
      <c r="A29" s="69" t="s">
        <v>237</v>
      </c>
      <c r="B29" s="144" t="s">
        <v>256</v>
      </c>
      <c r="C29" s="145"/>
      <c r="D29" s="145"/>
      <c r="E29" s="145"/>
      <c r="F29" s="145"/>
      <c r="G29" s="145"/>
      <c r="H29" s="145"/>
      <c r="I29" s="145"/>
      <c r="J29" s="145"/>
      <c r="K29" s="145"/>
      <c r="L29" s="145"/>
      <c r="M29" s="145"/>
      <c r="N29" s="145"/>
      <c r="O29" s="145"/>
      <c r="P29" s="145"/>
      <c r="Q29" s="145"/>
      <c r="R29" s="147"/>
    </row>
    <row r="30" spans="1:21" s="5" customFormat="1" ht="13.9" customHeight="1">
      <c r="A30" s="69" t="s">
        <v>257</v>
      </c>
      <c r="B30" s="144" t="s">
        <v>299</v>
      </c>
      <c r="C30" s="145"/>
      <c r="D30" s="145"/>
      <c r="E30" s="146"/>
      <c r="F30" s="144" t="s">
        <v>300</v>
      </c>
      <c r="G30" s="145"/>
      <c r="H30" s="145"/>
      <c r="I30" s="145"/>
      <c r="J30" s="145"/>
      <c r="K30" s="145"/>
      <c r="L30" s="145"/>
      <c r="M30" s="145"/>
      <c r="N30" s="145"/>
      <c r="O30" s="145"/>
      <c r="P30" s="145"/>
      <c r="Q30" s="145"/>
      <c r="R30" s="147"/>
    </row>
    <row r="31" spans="1:21" s="5" customFormat="1" ht="13.9" customHeight="1">
      <c r="A31" s="69" t="s">
        <v>234</v>
      </c>
      <c r="B31" s="144" t="s">
        <v>301</v>
      </c>
      <c r="C31" s="145"/>
      <c r="D31" s="145"/>
      <c r="E31" s="145"/>
      <c r="F31" s="145"/>
      <c r="G31" s="145"/>
      <c r="H31" s="145"/>
      <c r="I31" s="145"/>
      <c r="J31" s="145"/>
      <c r="K31" s="145"/>
      <c r="L31" s="145"/>
      <c r="M31" s="145"/>
      <c r="N31" s="145"/>
      <c r="O31" s="145"/>
      <c r="P31" s="145"/>
      <c r="Q31" s="145"/>
      <c r="R31" s="147"/>
    </row>
    <row r="32" spans="1:21">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256</v>
      </c>
      <c r="C33" s="109"/>
      <c r="D33" s="109"/>
      <c r="E33" s="109"/>
      <c r="F33" s="109"/>
      <c r="G33" s="109"/>
      <c r="H33" s="109"/>
      <c r="I33" s="109"/>
      <c r="J33" s="109"/>
      <c r="K33" s="109"/>
      <c r="L33" s="109"/>
      <c r="M33" s="109"/>
      <c r="N33" s="109"/>
      <c r="O33" s="109"/>
      <c r="P33" s="109"/>
      <c r="Q33" s="109"/>
      <c r="R33" s="110"/>
    </row>
    <row r="34" spans="1:18"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s="5" customFormat="1" ht="13.9" customHeight="1">
      <c r="A35" s="141" t="s">
        <v>264</v>
      </c>
      <c r="B35" s="142"/>
      <c r="C35" s="142"/>
      <c r="D35" s="142"/>
      <c r="E35" s="142"/>
      <c r="F35" s="142"/>
      <c r="G35" s="142"/>
      <c r="H35" s="142"/>
      <c r="I35" s="142"/>
      <c r="J35" s="142"/>
      <c r="K35" s="142"/>
      <c r="L35" s="142"/>
      <c r="M35" s="142"/>
      <c r="N35" s="142"/>
      <c r="O35" s="142"/>
      <c r="P35" s="142"/>
      <c r="Q35" s="142"/>
      <c r="R35" s="143"/>
    </row>
    <row r="36" spans="1:18" s="5" customFormat="1" ht="13.9" customHeight="1">
      <c r="A36" s="69" t="s">
        <v>265</v>
      </c>
      <c r="B36" s="109" t="s">
        <v>266</v>
      </c>
      <c r="C36" s="109"/>
      <c r="D36" s="109"/>
      <c r="E36" s="109"/>
      <c r="F36" s="109"/>
      <c r="G36" s="109"/>
      <c r="H36" s="109"/>
      <c r="I36" s="109"/>
      <c r="J36" s="109"/>
      <c r="K36" s="109"/>
      <c r="L36" s="109"/>
      <c r="M36" s="109"/>
      <c r="N36" s="109"/>
      <c r="O36" s="109"/>
      <c r="P36" s="109"/>
      <c r="Q36" s="109"/>
      <c r="R36" s="110"/>
    </row>
    <row r="37" spans="1:18" s="5" customFormat="1" ht="13.9" customHeight="1">
      <c r="A37" s="69" t="s">
        <v>267</v>
      </c>
      <c r="B37" s="109" t="s">
        <v>268</v>
      </c>
      <c r="C37" s="109"/>
      <c r="D37" s="109"/>
      <c r="E37" s="109"/>
      <c r="F37" s="109"/>
      <c r="G37" s="109"/>
      <c r="H37" s="109"/>
      <c r="I37" s="109"/>
      <c r="J37" s="109"/>
      <c r="K37" s="109"/>
      <c r="L37" s="109"/>
      <c r="M37" s="109"/>
      <c r="N37" s="109"/>
      <c r="O37" s="109"/>
      <c r="P37" s="109"/>
      <c r="Q37" s="109"/>
      <c r="R37" s="110"/>
    </row>
    <row r="38" spans="1:18" s="5" customFormat="1" ht="13.9" customHeight="1">
      <c r="A38" s="69" t="s">
        <v>269</v>
      </c>
      <c r="B38" s="144" t="s">
        <v>302</v>
      </c>
      <c r="C38" s="145"/>
      <c r="D38" s="145"/>
      <c r="E38" s="145"/>
      <c r="F38" s="145"/>
      <c r="G38" s="145"/>
      <c r="H38" s="145"/>
      <c r="I38" s="145"/>
      <c r="J38" s="145"/>
      <c r="K38" s="145"/>
      <c r="L38" s="145"/>
      <c r="M38" s="145"/>
      <c r="N38" s="145"/>
      <c r="O38" s="145"/>
      <c r="P38" s="145"/>
      <c r="Q38" s="145"/>
      <c r="R38" s="147"/>
    </row>
    <row r="39" spans="1:18" s="5"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18" s="5" customFormat="1" ht="13.9" customHeight="1">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18" s="5" customFormat="1" ht="13.9"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18" s="5" customFormat="1"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18" s="5" customFormat="1"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18" s="5" customFormat="1">
      <c r="A47" s="148" t="s">
        <v>278</v>
      </c>
      <c r="B47" s="149"/>
      <c r="C47" s="149"/>
      <c r="D47" s="149"/>
      <c r="E47" s="149"/>
      <c r="F47" s="149"/>
      <c r="G47" s="149"/>
      <c r="H47" s="149"/>
      <c r="I47" s="149"/>
      <c r="J47" s="149"/>
      <c r="K47" s="149"/>
      <c r="L47" s="149"/>
      <c r="M47" s="149"/>
      <c r="N47" s="149"/>
      <c r="O47" s="149"/>
      <c r="P47" s="149"/>
      <c r="Q47" s="149"/>
      <c r="R47" s="150"/>
    </row>
    <row r="48" spans="1:18" s="5" customFormat="1" ht="28.1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s="5" customFormat="1">
      <c r="A50" s="114" t="s">
        <v>281</v>
      </c>
      <c r="B50" s="115"/>
      <c r="C50" s="115"/>
      <c r="D50" s="115"/>
      <c r="E50" s="115"/>
      <c r="F50" s="115"/>
      <c r="G50" s="115"/>
      <c r="H50" s="115"/>
      <c r="I50" s="115"/>
      <c r="J50" s="115"/>
      <c r="K50" s="115"/>
      <c r="L50" s="115"/>
      <c r="M50" s="115"/>
      <c r="N50" s="115"/>
      <c r="O50" s="115"/>
      <c r="P50" s="115"/>
      <c r="Q50" s="115"/>
      <c r="R50" s="116"/>
    </row>
    <row r="51" spans="1:18" s="5" customFormat="1" ht="28.9" customHeight="1">
      <c r="A51" s="114" t="s">
        <v>282</v>
      </c>
      <c r="B51" s="115"/>
      <c r="C51" s="115"/>
      <c r="D51" s="115"/>
      <c r="E51" s="115"/>
      <c r="F51" s="115"/>
      <c r="G51" s="115"/>
      <c r="H51" s="115"/>
      <c r="I51" s="115"/>
      <c r="J51" s="115"/>
      <c r="K51" s="115"/>
      <c r="L51" s="115"/>
      <c r="M51" s="115"/>
      <c r="N51" s="115"/>
      <c r="O51" s="115"/>
      <c r="P51" s="115"/>
      <c r="Q51" s="115"/>
      <c r="R51" s="116"/>
    </row>
    <row r="52" spans="1:18" s="5" customFormat="1" ht="26.4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c r="A53" s="114" t="s">
        <v>284</v>
      </c>
      <c r="B53" s="115"/>
      <c r="C53" s="115"/>
      <c r="D53" s="115"/>
      <c r="E53" s="115"/>
      <c r="F53" s="115"/>
      <c r="G53" s="115"/>
      <c r="H53" s="115"/>
      <c r="I53" s="115"/>
      <c r="J53" s="115"/>
      <c r="K53" s="115"/>
      <c r="L53" s="115"/>
      <c r="M53" s="115"/>
      <c r="N53" s="115"/>
      <c r="O53" s="115"/>
      <c r="P53" s="115"/>
      <c r="Q53" s="115"/>
      <c r="R53" s="116"/>
    </row>
    <row r="54" spans="1:18" s="5" customFormat="1">
      <c r="A54" s="114" t="s">
        <v>285</v>
      </c>
      <c r="B54" s="115"/>
      <c r="C54" s="115"/>
      <c r="D54" s="115"/>
      <c r="E54" s="115"/>
      <c r="F54" s="115"/>
      <c r="G54" s="115"/>
      <c r="H54" s="115"/>
      <c r="I54" s="115"/>
      <c r="J54" s="115"/>
      <c r="K54" s="115"/>
      <c r="L54" s="115"/>
      <c r="M54" s="115"/>
      <c r="N54" s="115"/>
      <c r="O54" s="115"/>
      <c r="P54" s="115"/>
      <c r="Q54" s="115"/>
      <c r="R54" s="116"/>
    </row>
    <row r="55" spans="1:18" s="5" customFormat="1">
      <c r="A55" s="114" t="s">
        <v>306</v>
      </c>
      <c r="B55" s="115"/>
      <c r="C55" s="115"/>
      <c r="D55" s="115"/>
      <c r="E55" s="115"/>
      <c r="F55" s="115"/>
      <c r="G55" s="115"/>
      <c r="H55" s="115"/>
      <c r="I55" s="115"/>
      <c r="J55" s="115"/>
      <c r="K55" s="115"/>
      <c r="L55" s="115"/>
      <c r="M55" s="115"/>
      <c r="N55" s="115"/>
      <c r="O55" s="115"/>
      <c r="P55" s="115"/>
      <c r="Q55" s="115"/>
      <c r="R55" s="116"/>
    </row>
    <row r="56" spans="1:18" s="5" customFormat="1">
      <c r="A56" s="114" t="s">
        <v>307</v>
      </c>
      <c r="B56" s="115"/>
      <c r="C56" s="115"/>
      <c r="D56" s="115"/>
      <c r="E56" s="115"/>
      <c r="F56" s="115"/>
      <c r="G56" s="115"/>
      <c r="H56" s="115"/>
      <c r="I56" s="115"/>
      <c r="J56" s="115"/>
      <c r="K56" s="115"/>
      <c r="L56" s="115"/>
      <c r="M56" s="115"/>
      <c r="N56" s="115"/>
      <c r="O56" s="115"/>
      <c r="P56" s="115"/>
      <c r="Q56" s="115"/>
      <c r="R56" s="116"/>
    </row>
    <row r="57" spans="1:18" s="5" customFormat="1" ht="15.75" thickBot="1">
      <c r="A57" s="177"/>
      <c r="B57" s="178"/>
      <c r="C57" s="178"/>
      <c r="D57" s="178"/>
      <c r="E57" s="178"/>
      <c r="F57" s="178"/>
      <c r="G57" s="178"/>
      <c r="H57" s="178"/>
      <c r="I57" s="178"/>
      <c r="J57" s="178"/>
      <c r="K57" s="178"/>
      <c r="L57" s="178"/>
      <c r="M57" s="178"/>
      <c r="N57" s="178"/>
      <c r="O57" s="178"/>
      <c r="P57" s="178"/>
      <c r="Q57" s="178"/>
      <c r="R57" s="179"/>
    </row>
  </sheetData>
  <mergeCells count="89">
    <mergeCell ref="A53:R53"/>
    <mergeCell ref="A54:R54"/>
    <mergeCell ref="A57:R57"/>
    <mergeCell ref="A48:R48"/>
    <mergeCell ref="A49:R49"/>
    <mergeCell ref="A50:R50"/>
    <mergeCell ref="A51:R51"/>
    <mergeCell ref="A52:R52"/>
    <mergeCell ref="A55:R55"/>
    <mergeCell ref="A56:R56"/>
    <mergeCell ref="B43:R43"/>
    <mergeCell ref="B44:E44"/>
    <mergeCell ref="F44:R44"/>
    <mergeCell ref="A47:R47"/>
    <mergeCell ref="B46:R46"/>
    <mergeCell ref="B45:F45"/>
    <mergeCell ref="G45:R45"/>
    <mergeCell ref="B38:R38"/>
    <mergeCell ref="A39:R39"/>
    <mergeCell ref="B40:R40"/>
    <mergeCell ref="B42:R42"/>
    <mergeCell ref="F41:R41"/>
    <mergeCell ref="B41:E41"/>
    <mergeCell ref="B29:R29"/>
    <mergeCell ref="B30:E30"/>
    <mergeCell ref="F30:R30"/>
    <mergeCell ref="A32:R32"/>
    <mergeCell ref="A28:R28"/>
    <mergeCell ref="B31:R31"/>
    <mergeCell ref="B27:R27"/>
    <mergeCell ref="B20:N20"/>
    <mergeCell ref="O20:R20"/>
    <mergeCell ref="B23:R23"/>
    <mergeCell ref="B24:R24"/>
    <mergeCell ref="B25:R25"/>
    <mergeCell ref="B26:E26"/>
    <mergeCell ref="B21:I21"/>
    <mergeCell ref="J21:R21"/>
    <mergeCell ref="O16:R16"/>
    <mergeCell ref="B11:R11"/>
    <mergeCell ref="B16:N16"/>
    <mergeCell ref="F26:R26"/>
    <mergeCell ref="J17:N17"/>
    <mergeCell ref="B17:I17"/>
    <mergeCell ref="B18:R18"/>
    <mergeCell ref="A19:R19"/>
    <mergeCell ref="O17:R17"/>
    <mergeCell ref="B22:R22"/>
    <mergeCell ref="B37:R37"/>
    <mergeCell ref="M3:N3"/>
    <mergeCell ref="O3:P3"/>
    <mergeCell ref="Q3:R3"/>
    <mergeCell ref="F4:H4"/>
    <mergeCell ref="I4:R4"/>
    <mergeCell ref="F5:G5"/>
    <mergeCell ref="H5:R5"/>
    <mergeCell ref="F6:H6"/>
    <mergeCell ref="I6:R6"/>
    <mergeCell ref="A7:R7"/>
    <mergeCell ref="B33:R33"/>
    <mergeCell ref="M34:R34"/>
    <mergeCell ref="B34:L34"/>
    <mergeCell ref="A35:R35"/>
    <mergeCell ref="B36:R36"/>
    <mergeCell ref="A10:R10"/>
    <mergeCell ref="L8:O9"/>
    <mergeCell ref="P8:R8"/>
    <mergeCell ref="D9:E9"/>
    <mergeCell ref="F9:G9"/>
    <mergeCell ref="H9:I9"/>
    <mergeCell ref="J9:K9"/>
    <mergeCell ref="P9:R9"/>
    <mergeCell ref="B8:C8"/>
    <mergeCell ref="D8:E8"/>
    <mergeCell ref="F8:G8"/>
    <mergeCell ref="H8:I8"/>
    <mergeCell ref="J8:K8"/>
    <mergeCell ref="B9:C9"/>
    <mergeCell ref="F1:P1"/>
    <mergeCell ref="Q1:R1"/>
    <mergeCell ref="A1:E6"/>
    <mergeCell ref="F2:I2"/>
    <mergeCell ref="J2:L2"/>
    <mergeCell ref="M2:N2"/>
    <mergeCell ref="O2:P2"/>
    <mergeCell ref="Q2:R2"/>
    <mergeCell ref="F3:G3"/>
    <mergeCell ref="H3:I3"/>
    <mergeCell ref="J3:L3"/>
  </mergeCells>
  <printOptions horizontalCentered="1"/>
  <pageMargins left="0.7" right="0.7" top="0.75" bottom="0.75" header="0.3" footer="0.3"/>
  <pageSetup paperSize="9" scale="88" firstPageNumber="18" orientation="portrait"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0">
    <tabColor theme="0" tint="-0.14999847407452621"/>
    <pageSetUpPr fitToPage="1"/>
  </sheetPr>
  <dimension ref="A1:V59"/>
  <sheetViews>
    <sheetView workbookViewId="0">
      <selection activeCell="X10" sqref="X10"/>
    </sheetView>
  </sheetViews>
  <sheetFormatPr defaultColWidth="9.140625" defaultRowHeight="15"/>
  <cols>
    <col min="1" max="1" width="10.7109375" style="1" customWidth="1"/>
    <col min="2" max="22" width="5.28515625" style="1" customWidth="1"/>
    <col min="23" max="16384" width="9.140625" style="1"/>
  </cols>
  <sheetData>
    <row r="1" spans="1:22">
      <c r="A1" s="132" t="e" vm="1">
        <v>#VALUE!</v>
      </c>
      <c r="B1" s="133"/>
      <c r="C1" s="133"/>
      <c r="D1" s="133"/>
      <c r="E1" s="134"/>
      <c r="F1" s="180" t="s">
        <v>213</v>
      </c>
      <c r="G1" s="118"/>
      <c r="H1" s="118"/>
      <c r="I1" s="118"/>
      <c r="J1" s="118"/>
      <c r="K1" s="118"/>
      <c r="L1" s="118"/>
      <c r="M1" s="118"/>
      <c r="N1" s="118"/>
      <c r="O1" s="118"/>
      <c r="P1" s="118"/>
      <c r="Q1" s="109" t="s">
        <v>214</v>
      </c>
      <c r="R1" s="109"/>
    </row>
    <row r="2" spans="1:22"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c r="S2" s="1"/>
      <c r="T2" s="1"/>
      <c r="U2" s="1"/>
      <c r="V2" s="1"/>
    </row>
    <row r="3" spans="1:22"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1"/>
    </row>
    <row r="4" spans="1:22"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81"/>
    </row>
    <row r="5" spans="1:22"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81"/>
    </row>
    <row r="6" spans="1:22"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82"/>
    </row>
    <row r="7" spans="1:22" s="5" customFormat="1" ht="14.45" customHeight="1">
      <c r="A7" s="183" t="s">
        <v>221</v>
      </c>
      <c r="B7" s="168"/>
      <c r="C7" s="168"/>
      <c r="D7" s="168"/>
      <c r="E7" s="168"/>
      <c r="F7" s="169"/>
      <c r="G7" s="169"/>
      <c r="H7" s="169"/>
      <c r="I7" s="169"/>
      <c r="J7" s="169"/>
      <c r="K7" s="169"/>
      <c r="L7" s="169"/>
      <c r="M7" s="169"/>
      <c r="N7" s="169"/>
      <c r="O7" s="169"/>
      <c r="P7" s="169"/>
      <c r="Q7" s="169"/>
      <c r="R7" s="184"/>
    </row>
    <row r="8" spans="1:22" s="3" customFormat="1">
      <c r="A8" s="24"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27"/>
    </row>
    <row r="9" spans="1:22" s="3" customFormat="1">
      <c r="A9" s="24"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27"/>
    </row>
    <row r="10" spans="1:22" s="3" customFormat="1">
      <c r="A10" s="185" t="s">
        <v>225</v>
      </c>
      <c r="B10" s="163"/>
      <c r="C10" s="163"/>
      <c r="D10" s="163"/>
      <c r="E10" s="163"/>
      <c r="F10" s="163"/>
      <c r="G10" s="163"/>
      <c r="H10" s="163"/>
      <c r="I10" s="163"/>
      <c r="J10" s="163"/>
      <c r="K10" s="163"/>
      <c r="L10" s="163"/>
      <c r="M10" s="163"/>
      <c r="N10" s="163"/>
      <c r="O10" s="163"/>
      <c r="P10" s="163"/>
      <c r="Q10" s="163"/>
      <c r="R10" s="186"/>
    </row>
    <row r="11" spans="1:22">
      <c r="A11" s="19" t="s">
        <v>226</v>
      </c>
      <c r="B11" s="109" t="s">
        <v>227</v>
      </c>
      <c r="C11" s="109"/>
      <c r="D11" s="109"/>
      <c r="E11" s="109"/>
      <c r="F11" s="109"/>
      <c r="G11" s="109"/>
      <c r="H11" s="109"/>
      <c r="I11" s="109"/>
      <c r="J11" s="109"/>
      <c r="K11" s="109"/>
      <c r="L11" s="109"/>
      <c r="M11" s="109"/>
      <c r="N11" s="109"/>
      <c r="O11" s="109"/>
      <c r="P11" s="109"/>
      <c r="Q11" s="109"/>
      <c r="R11" s="109"/>
    </row>
    <row r="12" spans="1:22" s="12" customFormat="1">
      <c r="A12" s="17"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row>
    <row r="13" spans="1:22" s="12" customFormat="1">
      <c r="A13" s="17"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row>
    <row r="14" spans="1:22" s="12" customFormat="1">
      <c r="A14" s="17" t="s">
        <v>230</v>
      </c>
      <c r="B14" s="15" t="s">
        <v>308</v>
      </c>
      <c r="C14" s="15" t="s">
        <v>308</v>
      </c>
      <c r="D14" s="15" t="s">
        <v>308</v>
      </c>
      <c r="E14" s="15" t="s">
        <v>308</v>
      </c>
      <c r="F14" s="15">
        <v>160</v>
      </c>
      <c r="G14" s="15">
        <v>160</v>
      </c>
      <c r="H14" s="15">
        <v>160</v>
      </c>
      <c r="I14" s="15">
        <v>160</v>
      </c>
      <c r="J14" s="15" t="s">
        <v>308</v>
      </c>
      <c r="K14" s="15">
        <v>140</v>
      </c>
      <c r="L14" s="15">
        <v>160</v>
      </c>
      <c r="M14" s="15">
        <v>160</v>
      </c>
      <c r="N14" s="15">
        <v>140</v>
      </c>
      <c r="O14" s="15">
        <v>160</v>
      </c>
      <c r="P14" s="15">
        <v>140</v>
      </c>
      <c r="Q14" s="15">
        <v>160</v>
      </c>
      <c r="R14" s="15">
        <v>140</v>
      </c>
    </row>
    <row r="15" spans="1:22" s="12" customFormat="1">
      <c r="A15" s="17" t="s">
        <v>233</v>
      </c>
      <c r="B15" s="17">
        <v>7.47</v>
      </c>
      <c r="C15" s="17">
        <v>7.82</v>
      </c>
      <c r="D15" s="17">
        <v>9.09</v>
      </c>
      <c r="E15" s="17">
        <v>10.15</v>
      </c>
      <c r="F15" s="17">
        <v>8.74</v>
      </c>
      <c r="G15" s="17">
        <v>11.13</v>
      </c>
      <c r="H15" s="17">
        <v>13.49</v>
      </c>
      <c r="I15" s="17">
        <v>18.260000000000002</v>
      </c>
      <c r="J15" s="13">
        <v>22.23</v>
      </c>
      <c r="K15" s="13">
        <v>25.4</v>
      </c>
      <c r="L15" s="13">
        <v>33.32</v>
      </c>
      <c r="M15" s="13">
        <v>35.71</v>
      </c>
      <c r="N15" s="13">
        <v>36.53</v>
      </c>
      <c r="O15" s="13">
        <v>45.24</v>
      </c>
      <c r="P15" s="13">
        <v>44.45</v>
      </c>
      <c r="Q15" s="13">
        <v>53.98</v>
      </c>
      <c r="R15" s="13">
        <v>52.37</v>
      </c>
    </row>
    <row r="16" spans="1:22">
      <c r="A16" s="19" t="s">
        <v>234</v>
      </c>
      <c r="B16" s="109" t="s">
        <v>235</v>
      </c>
      <c r="C16" s="109"/>
      <c r="D16" s="109"/>
      <c r="E16" s="109"/>
      <c r="F16" s="109"/>
      <c r="G16" s="109"/>
      <c r="H16" s="109"/>
      <c r="I16" s="109"/>
      <c r="J16" s="109"/>
      <c r="K16" s="109"/>
      <c r="L16" s="109"/>
      <c r="M16" s="109"/>
      <c r="N16" s="109"/>
      <c r="O16" s="109" t="s">
        <v>236</v>
      </c>
      <c r="P16" s="109"/>
      <c r="Q16" s="109"/>
      <c r="R16" s="109"/>
    </row>
    <row r="17" spans="1:18" s="41" customFormat="1">
      <c r="A17" s="19" t="s">
        <v>237</v>
      </c>
      <c r="B17" s="109" t="s">
        <v>309</v>
      </c>
      <c r="C17" s="109"/>
      <c r="D17" s="109"/>
      <c r="E17" s="109"/>
      <c r="F17" s="109"/>
      <c r="G17" s="109"/>
      <c r="H17" s="109"/>
      <c r="I17" s="109"/>
      <c r="J17" s="109"/>
      <c r="K17" s="109"/>
      <c r="L17" s="109"/>
      <c r="M17" s="109"/>
      <c r="N17" s="109"/>
      <c r="O17" s="109" t="s">
        <v>309</v>
      </c>
      <c r="P17" s="109"/>
      <c r="Q17" s="109"/>
      <c r="R17" s="109"/>
    </row>
    <row r="18" spans="1:18">
      <c r="A18" s="19" t="s">
        <v>240</v>
      </c>
      <c r="B18" s="144" t="s">
        <v>241</v>
      </c>
      <c r="C18" s="145"/>
      <c r="D18" s="145"/>
      <c r="E18" s="145"/>
      <c r="F18" s="145"/>
      <c r="G18" s="145"/>
      <c r="H18" s="145"/>
      <c r="I18" s="145"/>
      <c r="J18" s="145"/>
      <c r="K18" s="145"/>
      <c r="L18" s="145"/>
      <c r="M18" s="145"/>
      <c r="N18" s="145"/>
      <c r="O18" s="145"/>
      <c r="P18" s="145"/>
      <c r="Q18" s="145"/>
      <c r="R18" s="146"/>
    </row>
    <row r="19" spans="1:18">
      <c r="A19" s="118" t="s">
        <v>242</v>
      </c>
      <c r="B19" s="109"/>
      <c r="C19" s="109"/>
      <c r="D19" s="109"/>
      <c r="E19" s="109"/>
      <c r="F19" s="109"/>
      <c r="G19" s="109"/>
      <c r="H19" s="109"/>
      <c r="I19" s="109"/>
      <c r="J19" s="109"/>
      <c r="K19" s="109"/>
      <c r="L19" s="109"/>
      <c r="M19" s="109"/>
      <c r="N19" s="109"/>
      <c r="O19" s="109"/>
      <c r="P19" s="109"/>
      <c r="Q19" s="109"/>
      <c r="R19" s="109"/>
    </row>
    <row r="20" spans="1:18" ht="29.45" customHeight="1">
      <c r="A20" s="19" t="s">
        <v>234</v>
      </c>
      <c r="B20" s="144" t="s">
        <v>243</v>
      </c>
      <c r="C20" s="145"/>
      <c r="D20" s="145"/>
      <c r="E20" s="145"/>
      <c r="F20" s="145"/>
      <c r="G20" s="145"/>
      <c r="H20" s="145"/>
      <c r="I20" s="145"/>
      <c r="J20" s="145"/>
      <c r="K20" s="145"/>
      <c r="L20" s="145"/>
      <c r="M20" s="145"/>
      <c r="N20" s="145"/>
      <c r="O20" s="144" t="s">
        <v>244</v>
      </c>
      <c r="P20" s="145"/>
      <c r="Q20" s="145"/>
      <c r="R20" s="146"/>
    </row>
    <row r="21" spans="1:18" ht="15" customHeight="1">
      <c r="A21" s="19" t="s">
        <v>237</v>
      </c>
      <c r="B21" s="144" t="s">
        <v>310</v>
      </c>
      <c r="C21" s="145"/>
      <c r="D21" s="145"/>
      <c r="E21" s="145"/>
      <c r="F21" s="145"/>
      <c r="G21" s="145"/>
      <c r="H21" s="145"/>
      <c r="I21" s="145"/>
      <c r="J21" s="145"/>
      <c r="K21" s="145"/>
      <c r="L21" s="145"/>
      <c r="M21" s="145"/>
      <c r="N21" s="145"/>
      <c r="O21" s="145"/>
      <c r="P21" s="145"/>
      <c r="Q21" s="145"/>
      <c r="R21" s="146"/>
    </row>
    <row r="22" spans="1:18" ht="15" customHeight="1">
      <c r="A22" s="19" t="s">
        <v>246</v>
      </c>
      <c r="B22" s="144" t="s">
        <v>247</v>
      </c>
      <c r="C22" s="145"/>
      <c r="D22" s="145"/>
      <c r="E22" s="145"/>
      <c r="F22" s="145"/>
      <c r="G22" s="145"/>
      <c r="H22" s="145"/>
      <c r="I22" s="145"/>
      <c r="J22" s="145"/>
      <c r="K22" s="145"/>
      <c r="L22" s="145"/>
      <c r="M22" s="145"/>
      <c r="N22" s="145"/>
      <c r="O22" s="145"/>
      <c r="P22" s="145"/>
      <c r="Q22" s="145"/>
      <c r="R22" s="146"/>
    </row>
    <row r="23" spans="1:18" ht="15" customHeight="1">
      <c r="A23" s="19" t="s">
        <v>248</v>
      </c>
      <c r="B23" s="144" t="s">
        <v>247</v>
      </c>
      <c r="C23" s="145"/>
      <c r="D23" s="145"/>
      <c r="E23" s="145"/>
      <c r="F23" s="145"/>
      <c r="G23" s="145"/>
      <c r="H23" s="145"/>
      <c r="I23" s="145"/>
      <c r="J23" s="145"/>
      <c r="K23" s="145"/>
      <c r="L23" s="145"/>
      <c r="M23" s="145"/>
      <c r="N23" s="145"/>
      <c r="O23" s="145"/>
      <c r="P23" s="145"/>
      <c r="Q23" s="145"/>
      <c r="R23" s="146"/>
    </row>
    <row r="24" spans="1:18" ht="15" customHeight="1">
      <c r="A24" s="19" t="s">
        <v>249</v>
      </c>
      <c r="B24" s="144" t="s">
        <v>247</v>
      </c>
      <c r="C24" s="145"/>
      <c r="D24" s="145"/>
      <c r="E24" s="145"/>
      <c r="F24" s="145"/>
      <c r="G24" s="145"/>
      <c r="H24" s="145"/>
      <c r="I24" s="145"/>
      <c r="J24" s="145"/>
      <c r="K24" s="145"/>
      <c r="L24" s="145"/>
      <c r="M24" s="145"/>
      <c r="N24" s="145"/>
      <c r="O24" s="145"/>
      <c r="P24" s="145"/>
      <c r="Q24" s="145"/>
      <c r="R24" s="146"/>
    </row>
    <row r="25" spans="1:18" ht="15" customHeight="1">
      <c r="A25" s="19" t="s">
        <v>250</v>
      </c>
      <c r="B25" s="144" t="s">
        <v>247</v>
      </c>
      <c r="C25" s="145"/>
      <c r="D25" s="145"/>
      <c r="E25" s="145"/>
      <c r="F25" s="145"/>
      <c r="G25" s="145"/>
      <c r="H25" s="145"/>
      <c r="I25" s="145"/>
      <c r="J25" s="145"/>
      <c r="K25" s="145"/>
      <c r="L25" s="145"/>
      <c r="M25" s="145"/>
      <c r="N25" s="145"/>
      <c r="O25" s="145"/>
      <c r="P25" s="145"/>
      <c r="Q25" s="145"/>
      <c r="R25" s="146"/>
    </row>
    <row r="26" spans="1:18" ht="15" customHeight="1">
      <c r="A26" s="19" t="s">
        <v>251</v>
      </c>
      <c r="B26" s="151" t="s">
        <v>290</v>
      </c>
      <c r="C26" s="145"/>
      <c r="D26" s="145"/>
      <c r="E26" s="145"/>
      <c r="F26" s="144"/>
      <c r="G26" s="145"/>
      <c r="H26" s="145"/>
      <c r="I26" s="145"/>
      <c r="J26" s="145"/>
      <c r="K26" s="145"/>
      <c r="L26" s="145"/>
      <c r="M26" s="145"/>
      <c r="N26" s="145"/>
      <c r="O26" s="145"/>
      <c r="P26" s="145"/>
      <c r="Q26" s="145"/>
      <c r="R26" s="146"/>
    </row>
    <row r="27" spans="1:18" ht="15" customHeight="1">
      <c r="A27" s="19" t="s">
        <v>253</v>
      </c>
      <c r="B27" s="144" t="s">
        <v>311</v>
      </c>
      <c r="C27" s="145"/>
      <c r="D27" s="145"/>
      <c r="E27" s="145"/>
      <c r="F27" s="145"/>
      <c r="G27" s="145"/>
      <c r="H27" s="145"/>
      <c r="I27" s="145"/>
      <c r="J27" s="145"/>
      <c r="K27" s="145"/>
      <c r="L27" s="145"/>
      <c r="M27" s="145"/>
      <c r="N27" s="145"/>
      <c r="O27" s="145"/>
      <c r="P27" s="145"/>
      <c r="Q27" s="145"/>
      <c r="R27" s="146"/>
    </row>
    <row r="28" spans="1:18">
      <c r="A28" s="118" t="s">
        <v>255</v>
      </c>
      <c r="B28" s="109"/>
      <c r="C28" s="109"/>
      <c r="D28" s="109"/>
      <c r="E28" s="109"/>
      <c r="F28" s="109"/>
      <c r="G28" s="109"/>
      <c r="H28" s="109"/>
      <c r="I28" s="109"/>
      <c r="J28" s="109"/>
      <c r="K28" s="109"/>
      <c r="L28" s="109"/>
      <c r="M28" s="109"/>
      <c r="N28" s="109"/>
      <c r="O28" s="109"/>
      <c r="P28" s="109"/>
      <c r="Q28" s="109"/>
      <c r="R28" s="109"/>
    </row>
    <row r="29" spans="1:18" s="5" customFormat="1" ht="13.9" customHeight="1">
      <c r="A29" s="19" t="s">
        <v>237</v>
      </c>
      <c r="B29" s="144" t="s">
        <v>312</v>
      </c>
      <c r="C29" s="145"/>
      <c r="D29" s="145"/>
      <c r="E29" s="145"/>
      <c r="F29" s="145"/>
      <c r="G29" s="145"/>
      <c r="H29" s="145"/>
      <c r="I29" s="145"/>
      <c r="J29" s="145"/>
      <c r="K29" s="145"/>
      <c r="L29" s="145"/>
      <c r="M29" s="145"/>
      <c r="N29" s="145"/>
      <c r="O29" s="145"/>
      <c r="P29" s="145"/>
      <c r="Q29" s="145"/>
      <c r="R29" s="146"/>
    </row>
    <row r="30" spans="1:18" s="5" customFormat="1" ht="13.9" customHeight="1">
      <c r="A30" s="19" t="s">
        <v>257</v>
      </c>
      <c r="B30" s="144" t="s">
        <v>299</v>
      </c>
      <c r="C30" s="145"/>
      <c r="D30" s="145"/>
      <c r="E30" s="145"/>
      <c r="F30" s="145"/>
      <c r="G30" s="145"/>
      <c r="H30" s="145"/>
      <c r="I30" s="145"/>
      <c r="J30" s="145"/>
      <c r="K30" s="145"/>
      <c r="L30" s="145"/>
      <c r="M30" s="145"/>
      <c r="N30" s="145"/>
      <c r="O30" s="145"/>
      <c r="P30" s="145"/>
      <c r="Q30" s="145"/>
      <c r="R30" s="146"/>
    </row>
    <row r="31" spans="1:18" s="5" customFormat="1" ht="13.9" customHeight="1">
      <c r="A31" s="19" t="s">
        <v>313</v>
      </c>
      <c r="B31" s="144" t="s">
        <v>314</v>
      </c>
      <c r="C31" s="145"/>
      <c r="D31" s="145"/>
      <c r="E31" s="145"/>
      <c r="F31" s="145"/>
      <c r="G31" s="145"/>
      <c r="H31" s="145"/>
      <c r="I31" s="145"/>
      <c r="J31" s="145"/>
      <c r="K31" s="145"/>
      <c r="L31" s="145"/>
      <c r="M31" s="145"/>
      <c r="N31" s="145"/>
      <c r="O31" s="145"/>
      <c r="P31" s="145"/>
      <c r="Q31" s="145"/>
      <c r="R31" s="146"/>
    </row>
    <row r="32" spans="1:18" ht="30">
      <c r="A32" s="19" t="s">
        <v>315</v>
      </c>
      <c r="B32" s="144"/>
      <c r="C32" s="145"/>
      <c r="D32" s="145"/>
      <c r="E32" s="145"/>
      <c r="F32" s="146"/>
      <c r="G32" s="144" t="s">
        <v>316</v>
      </c>
      <c r="H32" s="145"/>
      <c r="I32" s="145"/>
      <c r="J32" s="145"/>
      <c r="K32" s="145"/>
      <c r="L32" s="145"/>
      <c r="M32" s="145"/>
      <c r="N32" s="145"/>
      <c r="O32" s="145"/>
      <c r="P32" s="145"/>
      <c r="Q32" s="145"/>
      <c r="R32" s="146"/>
    </row>
    <row r="33" spans="1:18" ht="42.6" customHeight="1">
      <c r="A33" s="19" t="s">
        <v>317</v>
      </c>
      <c r="B33" s="144"/>
      <c r="C33" s="145"/>
      <c r="D33" s="145"/>
      <c r="E33" s="145"/>
      <c r="F33" s="146"/>
      <c r="G33" s="144" t="s">
        <v>318</v>
      </c>
      <c r="H33" s="145"/>
      <c r="I33" s="145"/>
      <c r="J33" s="145"/>
      <c r="K33" s="145"/>
      <c r="L33" s="145"/>
      <c r="M33" s="145"/>
      <c r="N33" s="145"/>
      <c r="O33" s="145"/>
      <c r="P33" s="145"/>
      <c r="Q33" s="145"/>
      <c r="R33" s="146"/>
    </row>
    <row r="34" spans="1:18" ht="14.45" customHeight="1">
      <c r="A34" s="118" t="s">
        <v>260</v>
      </c>
      <c r="B34" s="109"/>
      <c r="C34" s="109"/>
      <c r="D34" s="109"/>
      <c r="E34" s="109"/>
      <c r="F34" s="109"/>
      <c r="G34" s="109"/>
      <c r="H34" s="109"/>
      <c r="I34" s="109"/>
      <c r="J34" s="109"/>
      <c r="K34" s="109"/>
      <c r="L34" s="109"/>
      <c r="M34" s="109"/>
      <c r="N34" s="109"/>
      <c r="O34" s="109"/>
      <c r="P34" s="109"/>
      <c r="Q34" s="109"/>
      <c r="R34" s="109"/>
    </row>
    <row r="35" spans="1:18" s="5" customFormat="1" ht="13.9" customHeight="1">
      <c r="A35" s="19" t="s">
        <v>237</v>
      </c>
      <c r="B35" s="109" t="s">
        <v>312</v>
      </c>
      <c r="C35" s="109"/>
      <c r="D35" s="109"/>
      <c r="E35" s="109"/>
      <c r="F35" s="109"/>
      <c r="G35" s="109"/>
      <c r="H35" s="109"/>
      <c r="I35" s="109"/>
      <c r="J35" s="109"/>
      <c r="K35" s="109"/>
      <c r="L35" s="109"/>
      <c r="M35" s="109"/>
      <c r="N35" s="109"/>
      <c r="O35" s="109"/>
      <c r="P35" s="109"/>
      <c r="Q35" s="109"/>
      <c r="R35" s="109"/>
    </row>
    <row r="36" spans="1:18" s="5" customFormat="1" ht="13.9" customHeight="1">
      <c r="A36" s="19" t="s">
        <v>261</v>
      </c>
      <c r="B36" s="144" t="s">
        <v>262</v>
      </c>
      <c r="C36" s="145"/>
      <c r="D36" s="145"/>
      <c r="E36" s="145"/>
      <c r="F36" s="145"/>
      <c r="G36" s="145"/>
      <c r="H36" s="145"/>
      <c r="I36" s="145"/>
      <c r="J36" s="145"/>
      <c r="K36" s="145"/>
      <c r="L36" s="146"/>
      <c r="M36" s="101" t="s">
        <v>293</v>
      </c>
      <c r="N36" s="101"/>
      <c r="O36" s="101"/>
      <c r="P36" s="101"/>
      <c r="Q36" s="101"/>
      <c r="R36" s="101"/>
    </row>
    <row r="37" spans="1:18" s="5" customFormat="1" ht="13.9" customHeight="1">
      <c r="A37" s="187" t="s">
        <v>264</v>
      </c>
      <c r="B37" s="142"/>
      <c r="C37" s="142"/>
      <c r="D37" s="142"/>
      <c r="E37" s="142"/>
      <c r="F37" s="142"/>
      <c r="G37" s="142"/>
      <c r="H37" s="142"/>
      <c r="I37" s="142"/>
      <c r="J37" s="142"/>
      <c r="K37" s="142"/>
      <c r="L37" s="142"/>
      <c r="M37" s="142"/>
      <c r="N37" s="142"/>
      <c r="O37" s="142"/>
      <c r="P37" s="142"/>
      <c r="Q37" s="142"/>
      <c r="R37" s="188"/>
    </row>
    <row r="38" spans="1:18" s="5" customFormat="1" ht="13.9" customHeight="1">
      <c r="A38" s="19" t="s">
        <v>265</v>
      </c>
      <c r="B38" s="109" t="s">
        <v>266</v>
      </c>
      <c r="C38" s="109"/>
      <c r="D38" s="109"/>
      <c r="E38" s="109"/>
      <c r="F38" s="109"/>
      <c r="G38" s="109"/>
      <c r="H38" s="109"/>
      <c r="I38" s="109"/>
      <c r="J38" s="109"/>
      <c r="K38" s="109"/>
      <c r="L38" s="109"/>
      <c r="M38" s="109"/>
      <c r="N38" s="109"/>
      <c r="O38" s="109"/>
      <c r="P38" s="109"/>
      <c r="Q38" s="109"/>
      <c r="R38" s="109"/>
    </row>
    <row r="39" spans="1:18" s="5" customFormat="1" ht="13.9" customHeight="1">
      <c r="A39" s="19" t="s">
        <v>267</v>
      </c>
      <c r="B39" s="109" t="s">
        <v>268</v>
      </c>
      <c r="C39" s="109"/>
      <c r="D39" s="109"/>
      <c r="E39" s="109"/>
      <c r="F39" s="109"/>
      <c r="G39" s="109"/>
      <c r="H39" s="109"/>
      <c r="I39" s="109"/>
      <c r="J39" s="109"/>
      <c r="K39" s="109"/>
      <c r="L39" s="109"/>
      <c r="M39" s="109"/>
      <c r="N39" s="109"/>
      <c r="O39" s="109"/>
      <c r="P39" s="109"/>
      <c r="Q39" s="109"/>
      <c r="R39" s="109"/>
    </row>
    <row r="40" spans="1:18" s="5" customFormat="1" ht="13.9" customHeight="1">
      <c r="A40" s="19" t="s">
        <v>269</v>
      </c>
      <c r="B40" s="144" t="s">
        <v>302</v>
      </c>
      <c r="C40" s="145"/>
      <c r="D40" s="145"/>
      <c r="E40" s="145"/>
      <c r="F40" s="145"/>
      <c r="G40" s="145"/>
      <c r="H40" s="145"/>
      <c r="I40" s="145"/>
      <c r="J40" s="145"/>
      <c r="K40" s="145"/>
      <c r="L40" s="145"/>
      <c r="M40" s="145"/>
      <c r="N40" s="145"/>
      <c r="O40" s="145"/>
      <c r="P40" s="145"/>
      <c r="Q40" s="145"/>
      <c r="R40" s="146"/>
    </row>
    <row r="41" spans="1:18" s="5" customFormat="1" ht="13.9" customHeight="1">
      <c r="A41" s="187" t="s">
        <v>271</v>
      </c>
      <c r="B41" s="142"/>
      <c r="C41" s="142"/>
      <c r="D41" s="142"/>
      <c r="E41" s="142"/>
      <c r="F41" s="142"/>
      <c r="G41" s="142"/>
      <c r="H41" s="142"/>
      <c r="I41" s="142"/>
      <c r="J41" s="142"/>
      <c r="K41" s="142"/>
      <c r="L41" s="142"/>
      <c r="M41" s="142"/>
      <c r="N41" s="142"/>
      <c r="O41" s="142"/>
      <c r="P41" s="142"/>
      <c r="Q41" s="142"/>
      <c r="R41" s="188"/>
    </row>
    <row r="42" spans="1:18" s="5" customFormat="1" ht="13.9" customHeight="1">
      <c r="A42" s="19" t="s">
        <v>272</v>
      </c>
      <c r="B42" s="109" t="e">
        <f ca="1">VLOOKUP(F3,INDEX!B:J,2,0)&amp;", RTJ"</f>
        <v>#VALUE!</v>
      </c>
      <c r="C42" s="109"/>
      <c r="D42" s="109"/>
      <c r="E42" s="109"/>
      <c r="F42" s="109"/>
      <c r="G42" s="109"/>
      <c r="H42" s="109"/>
      <c r="I42" s="109"/>
      <c r="J42" s="109"/>
      <c r="K42" s="109"/>
      <c r="L42" s="109"/>
      <c r="M42" s="109"/>
      <c r="N42" s="109"/>
      <c r="O42" s="109"/>
      <c r="P42" s="109"/>
      <c r="Q42" s="109"/>
      <c r="R42" s="109"/>
    </row>
    <row r="43" spans="1:18" s="5" customFormat="1" ht="13.9" customHeight="1">
      <c r="A43" s="1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6"/>
    </row>
    <row r="44" spans="1:18" s="5" customFormat="1" ht="13.9" customHeight="1">
      <c r="A44" s="19" t="s">
        <v>274</v>
      </c>
      <c r="B44" s="109" t="e">
        <f ca="1">"GAW"&amp;VLOOKUP(F3,INDEX!B:AH,33,0)&amp;"J"</f>
        <v>#VALUE!</v>
      </c>
      <c r="C44" s="109"/>
      <c r="D44" s="109"/>
      <c r="E44" s="109"/>
      <c r="F44" s="109"/>
      <c r="G44" s="109"/>
      <c r="H44" s="109"/>
      <c r="I44" s="109"/>
      <c r="J44" s="109"/>
      <c r="K44" s="109"/>
      <c r="L44" s="109"/>
      <c r="M44" s="109"/>
      <c r="N44" s="109"/>
      <c r="O44" s="109"/>
      <c r="P44" s="109"/>
      <c r="Q44" s="109"/>
      <c r="R44" s="109"/>
    </row>
    <row r="45" spans="1:18" s="5" customFormat="1" ht="13.9" customHeight="1">
      <c r="A45" s="19" t="s">
        <v>275</v>
      </c>
      <c r="B45" s="109" t="e">
        <f ca="1">"GLS"&amp;VLOOKUP(F3,INDEX!B:AH,33,0)&amp;"J"</f>
        <v>#VALUE!</v>
      </c>
      <c r="C45" s="109"/>
      <c r="D45" s="109"/>
      <c r="E45" s="109"/>
      <c r="F45" s="109"/>
      <c r="G45" s="109"/>
      <c r="H45" s="109"/>
      <c r="I45" s="109"/>
      <c r="J45" s="109"/>
      <c r="K45" s="109"/>
      <c r="L45" s="109"/>
      <c r="M45" s="109"/>
      <c r="N45" s="109"/>
      <c r="O45" s="109"/>
      <c r="P45" s="109"/>
      <c r="Q45" s="109"/>
      <c r="R45" s="109"/>
    </row>
    <row r="46" spans="1:18" s="5" customFormat="1" ht="13.9" customHeight="1">
      <c r="A46" s="1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6"/>
    </row>
    <row r="47" spans="1:18" s="5" customFormat="1">
      <c r="A47" s="19" t="s">
        <v>304</v>
      </c>
      <c r="B47" s="144" t="e">
        <f ca="1">"DSR"&amp;VLOOKUP(F3,INDEX!B:AH,33,0)&amp;"JT"</f>
        <v>#VALUE!</v>
      </c>
      <c r="C47" s="145"/>
      <c r="D47" s="145"/>
      <c r="E47" s="145"/>
      <c r="F47" s="145"/>
      <c r="G47" s="144"/>
      <c r="H47" s="145"/>
      <c r="I47" s="145"/>
      <c r="J47" s="145"/>
      <c r="K47" s="145"/>
      <c r="L47" s="145"/>
      <c r="M47" s="145"/>
      <c r="N47" s="145"/>
      <c r="O47" s="145"/>
      <c r="P47" s="145"/>
      <c r="Q47" s="145"/>
      <c r="R47" s="146"/>
    </row>
    <row r="48" spans="1:18" s="5" customFormat="1" ht="28.15" customHeight="1">
      <c r="A48" s="1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6"/>
    </row>
    <row r="49" spans="1:18" s="5" customFormat="1" ht="14.45" customHeight="1">
      <c r="A49" s="194" t="s">
        <v>278</v>
      </c>
      <c r="B49" s="149"/>
      <c r="C49" s="149"/>
      <c r="D49" s="149"/>
      <c r="E49" s="149"/>
      <c r="F49" s="149"/>
      <c r="G49" s="149"/>
      <c r="H49" s="149"/>
      <c r="I49" s="149"/>
      <c r="J49" s="149"/>
      <c r="K49" s="149"/>
      <c r="L49" s="149"/>
      <c r="M49" s="149"/>
      <c r="N49" s="149"/>
      <c r="O49" s="149"/>
      <c r="P49" s="149"/>
      <c r="Q49" s="149"/>
      <c r="R49" s="180"/>
    </row>
    <row r="50" spans="1:18" s="5" customFormat="1" ht="26.45" customHeight="1">
      <c r="A50" s="192" t="s">
        <v>279</v>
      </c>
      <c r="B50" s="115"/>
      <c r="C50" s="115"/>
      <c r="D50" s="115"/>
      <c r="E50" s="115"/>
      <c r="F50" s="115"/>
      <c r="G50" s="115"/>
      <c r="H50" s="115"/>
      <c r="I50" s="115"/>
      <c r="J50" s="115"/>
      <c r="K50" s="115"/>
      <c r="L50" s="115"/>
      <c r="M50" s="115"/>
      <c r="N50" s="115"/>
      <c r="O50" s="115"/>
      <c r="P50" s="115"/>
      <c r="Q50" s="115"/>
      <c r="R50" s="193"/>
    </row>
    <row r="51" spans="1:18" s="5" customFormat="1">
      <c r="A51" s="192" t="s">
        <v>280</v>
      </c>
      <c r="B51" s="115"/>
      <c r="C51" s="115"/>
      <c r="D51" s="115"/>
      <c r="E51" s="115"/>
      <c r="F51" s="115"/>
      <c r="G51" s="115"/>
      <c r="H51" s="115"/>
      <c r="I51" s="115"/>
      <c r="J51" s="115"/>
      <c r="K51" s="115"/>
      <c r="L51" s="115"/>
      <c r="M51" s="115"/>
      <c r="N51" s="115"/>
      <c r="O51" s="115"/>
      <c r="P51" s="115"/>
      <c r="Q51" s="115"/>
      <c r="R51" s="193"/>
    </row>
    <row r="52" spans="1:18" s="5" customFormat="1">
      <c r="A52" s="192" t="s">
        <v>281</v>
      </c>
      <c r="B52" s="115"/>
      <c r="C52" s="115"/>
      <c r="D52" s="115"/>
      <c r="E52" s="115"/>
      <c r="F52" s="115"/>
      <c r="G52" s="115"/>
      <c r="H52" s="115"/>
      <c r="I52" s="115"/>
      <c r="J52" s="115"/>
      <c r="K52" s="115"/>
      <c r="L52" s="115"/>
      <c r="M52" s="115"/>
      <c r="N52" s="115"/>
      <c r="O52" s="115"/>
      <c r="P52" s="115"/>
      <c r="Q52" s="115"/>
      <c r="R52" s="193"/>
    </row>
    <row r="53" spans="1:18" s="5" customFormat="1" ht="14.45" customHeight="1">
      <c r="A53" s="192" t="s">
        <v>282</v>
      </c>
      <c r="B53" s="115"/>
      <c r="C53" s="115"/>
      <c r="D53" s="115"/>
      <c r="E53" s="115"/>
      <c r="F53" s="115"/>
      <c r="G53" s="115"/>
      <c r="H53" s="115"/>
      <c r="I53" s="115"/>
      <c r="J53" s="115"/>
      <c r="K53" s="115"/>
      <c r="L53" s="115"/>
      <c r="M53" s="115"/>
      <c r="N53" s="115"/>
      <c r="O53" s="115"/>
      <c r="P53" s="115"/>
      <c r="Q53" s="115"/>
      <c r="R53" s="193"/>
    </row>
    <row r="54" spans="1:18" s="5" customFormat="1" ht="14.45" customHeight="1">
      <c r="A54" s="192" t="s">
        <v>283</v>
      </c>
      <c r="B54" s="115"/>
      <c r="C54" s="115"/>
      <c r="D54" s="115"/>
      <c r="E54" s="115"/>
      <c r="F54" s="115"/>
      <c r="G54" s="115"/>
      <c r="H54" s="115"/>
      <c r="I54" s="115"/>
      <c r="J54" s="115"/>
      <c r="K54" s="115"/>
      <c r="L54" s="115"/>
      <c r="M54" s="115"/>
      <c r="N54" s="115"/>
      <c r="O54" s="115"/>
      <c r="P54" s="115"/>
      <c r="Q54" s="115"/>
      <c r="R54" s="193"/>
    </row>
    <row r="55" spans="1:18" s="5" customFormat="1" ht="14.45" customHeight="1">
      <c r="A55" s="192" t="s">
        <v>284</v>
      </c>
      <c r="B55" s="115"/>
      <c r="C55" s="115"/>
      <c r="D55" s="115"/>
      <c r="E55" s="115"/>
      <c r="F55" s="115"/>
      <c r="G55" s="115"/>
      <c r="H55" s="115"/>
      <c r="I55" s="115"/>
      <c r="J55" s="115"/>
      <c r="K55" s="115"/>
      <c r="L55" s="115"/>
      <c r="M55" s="115"/>
      <c r="N55" s="115"/>
      <c r="O55" s="115"/>
      <c r="P55" s="115"/>
      <c r="Q55" s="115"/>
      <c r="R55" s="193"/>
    </row>
    <row r="56" spans="1:18" s="5" customFormat="1" ht="14.45" customHeight="1">
      <c r="A56" s="192" t="s">
        <v>285</v>
      </c>
      <c r="B56" s="115"/>
      <c r="C56" s="115"/>
      <c r="D56" s="115"/>
      <c r="E56" s="115"/>
      <c r="F56" s="115"/>
      <c r="G56" s="115"/>
      <c r="H56" s="115"/>
      <c r="I56" s="115"/>
      <c r="J56" s="115"/>
      <c r="K56" s="115"/>
      <c r="L56" s="115"/>
      <c r="M56" s="115"/>
      <c r="N56" s="115"/>
      <c r="O56" s="115"/>
      <c r="P56" s="115"/>
      <c r="Q56" s="115"/>
      <c r="R56" s="193"/>
    </row>
    <row r="57" spans="1:18" s="5" customFormat="1">
      <c r="A57" s="192" t="s">
        <v>306</v>
      </c>
      <c r="B57" s="115"/>
      <c r="C57" s="115"/>
      <c r="D57" s="115"/>
      <c r="E57" s="115"/>
      <c r="F57" s="115"/>
      <c r="G57" s="115"/>
      <c r="H57" s="115"/>
      <c r="I57" s="115"/>
      <c r="J57" s="115"/>
      <c r="K57" s="115"/>
      <c r="L57" s="115"/>
      <c r="M57" s="115"/>
      <c r="N57" s="115"/>
      <c r="O57" s="115"/>
      <c r="P57" s="115"/>
      <c r="Q57" s="115"/>
      <c r="R57" s="193"/>
    </row>
    <row r="58" spans="1:18">
      <c r="A58" s="192" t="s">
        <v>307</v>
      </c>
      <c r="B58" s="115"/>
      <c r="C58" s="115"/>
      <c r="D58" s="115"/>
      <c r="E58" s="115"/>
      <c r="F58" s="115"/>
      <c r="G58" s="115"/>
      <c r="H58" s="115"/>
      <c r="I58" s="115"/>
      <c r="J58" s="115"/>
      <c r="K58" s="115"/>
      <c r="L58" s="115"/>
      <c r="M58" s="115"/>
      <c r="N58" s="115"/>
      <c r="O58" s="115"/>
      <c r="P58" s="115"/>
      <c r="Q58" s="115"/>
      <c r="R58" s="193"/>
    </row>
    <row r="59" spans="1:18">
      <c r="A59" s="189"/>
      <c r="B59" s="190"/>
      <c r="C59" s="190"/>
      <c r="D59" s="190"/>
      <c r="E59" s="190"/>
      <c r="F59" s="190"/>
      <c r="G59" s="190"/>
      <c r="H59" s="190"/>
      <c r="I59" s="190"/>
      <c r="J59" s="190"/>
      <c r="K59" s="190"/>
      <c r="L59" s="190"/>
      <c r="M59" s="190"/>
      <c r="N59" s="190"/>
      <c r="O59" s="190"/>
      <c r="P59" s="190"/>
      <c r="Q59" s="190"/>
      <c r="R59" s="191"/>
    </row>
  </sheetData>
  <mergeCells count="90">
    <mergeCell ref="B48:R48"/>
    <mergeCell ref="B47:F47"/>
    <mergeCell ref="G47:R47"/>
    <mergeCell ref="A59:R59"/>
    <mergeCell ref="B30:R30"/>
    <mergeCell ref="B36:L36"/>
    <mergeCell ref="A54:R54"/>
    <mergeCell ref="A55:R55"/>
    <mergeCell ref="A56:R56"/>
    <mergeCell ref="A57:R57"/>
    <mergeCell ref="A58:R58"/>
    <mergeCell ref="A49:R49"/>
    <mergeCell ref="A50:R50"/>
    <mergeCell ref="A51:R51"/>
    <mergeCell ref="A52:R52"/>
    <mergeCell ref="A53:R53"/>
    <mergeCell ref="B45:R45"/>
    <mergeCell ref="B46:E46"/>
    <mergeCell ref="F46:R46"/>
    <mergeCell ref="B26:E26"/>
    <mergeCell ref="F26:R26"/>
    <mergeCell ref="B27:R27"/>
    <mergeCell ref="B42:R42"/>
    <mergeCell ref="B38:R38"/>
    <mergeCell ref="B39:R39"/>
    <mergeCell ref="B40:R40"/>
    <mergeCell ref="A41:R41"/>
    <mergeCell ref="B43:E43"/>
    <mergeCell ref="M36:R36"/>
    <mergeCell ref="A28:R28"/>
    <mergeCell ref="B29:R29"/>
    <mergeCell ref="B32:F32"/>
    <mergeCell ref="B25:R25"/>
    <mergeCell ref="B20:N20"/>
    <mergeCell ref="O20:R20"/>
    <mergeCell ref="B21:R21"/>
    <mergeCell ref="B44:R44"/>
    <mergeCell ref="B22:R22"/>
    <mergeCell ref="F43:R43"/>
    <mergeCell ref="B31:R31"/>
    <mergeCell ref="A34:R34"/>
    <mergeCell ref="B35:R35"/>
    <mergeCell ref="A37:R37"/>
    <mergeCell ref="B23:R23"/>
    <mergeCell ref="B24:R24"/>
    <mergeCell ref="G32:R32"/>
    <mergeCell ref="B33:F33"/>
    <mergeCell ref="G33:R33"/>
    <mergeCell ref="F2:I2"/>
    <mergeCell ref="J2:L2"/>
    <mergeCell ref="M2:N2"/>
    <mergeCell ref="O2:P2"/>
    <mergeCell ref="Q2:R2"/>
    <mergeCell ref="B11:R11"/>
    <mergeCell ref="B16:N16"/>
    <mergeCell ref="O16:R16"/>
    <mergeCell ref="B17:N17"/>
    <mergeCell ref="O17:R17"/>
    <mergeCell ref="B18:R18"/>
    <mergeCell ref="I6:R6"/>
    <mergeCell ref="A7:R7"/>
    <mergeCell ref="A10:R10"/>
    <mergeCell ref="L8:O9"/>
    <mergeCell ref="P8:R8"/>
    <mergeCell ref="D9:E9"/>
    <mergeCell ref="F9:G9"/>
    <mergeCell ref="H9:I9"/>
    <mergeCell ref="J9:K9"/>
    <mergeCell ref="P9:R9"/>
    <mergeCell ref="B8:C8"/>
    <mergeCell ref="D8:E8"/>
    <mergeCell ref="F8:G8"/>
    <mergeCell ref="H8:I8"/>
    <mergeCell ref="J8:K8"/>
    <mergeCell ref="A1:E6"/>
    <mergeCell ref="F1:P1"/>
    <mergeCell ref="Q1:R1"/>
    <mergeCell ref="B9:C9"/>
    <mergeCell ref="A19:R19"/>
    <mergeCell ref="F3:G3"/>
    <mergeCell ref="H3:I3"/>
    <mergeCell ref="J3:L3"/>
    <mergeCell ref="M3:N3"/>
    <mergeCell ref="O3:P3"/>
    <mergeCell ref="Q3:R3"/>
    <mergeCell ref="F4:H4"/>
    <mergeCell ref="I4:R4"/>
    <mergeCell ref="F5:G5"/>
    <mergeCell ref="H5:R5"/>
    <mergeCell ref="F6:H6"/>
  </mergeCells>
  <printOptions horizontalCentered="1"/>
  <pageMargins left="0.7" right="0.7" top="0.75" bottom="0.75" header="0.3" footer="0.3"/>
  <pageSetup paperSize="9" scale="85" firstPageNumber="18" orientation="portrait"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AB3A2-7EEE-457E-820D-DAA3797903E4}">
  <sheetPr codeName="Sheet3">
    <tabColor theme="0" tint="-0.14999847407452621"/>
    <pageSetUpPr fitToPage="1"/>
  </sheetPr>
  <dimension ref="A1:AE59"/>
  <sheetViews>
    <sheetView workbookViewId="0">
      <selection activeCell="X10" sqref="X10"/>
    </sheetView>
  </sheetViews>
  <sheetFormatPr defaultColWidth="9.140625" defaultRowHeight="15"/>
  <cols>
    <col min="1" max="1" width="10.7109375" style="5" customWidth="1"/>
    <col min="2" max="22" width="5.28515625" style="5" customWidth="1"/>
    <col min="23" max="16384" width="9.140625" style="5"/>
  </cols>
  <sheetData>
    <row r="1" spans="1:31" ht="15.75" customHeight="1">
      <c r="A1" s="132" t="e" vm="1">
        <v>#VALUE!</v>
      </c>
      <c r="B1" s="133"/>
      <c r="C1" s="133"/>
      <c r="D1" s="133"/>
      <c r="E1" s="134"/>
      <c r="F1" s="180" t="s">
        <v>213</v>
      </c>
      <c r="G1" s="118"/>
      <c r="H1" s="118"/>
      <c r="I1" s="118"/>
      <c r="J1" s="118"/>
      <c r="K1" s="118"/>
      <c r="L1" s="118"/>
      <c r="M1" s="118"/>
      <c r="N1" s="118"/>
      <c r="O1" s="118"/>
      <c r="P1" s="118"/>
      <c r="Q1" s="109" t="s">
        <v>214</v>
      </c>
      <c r="R1" s="109"/>
    </row>
    <row r="2" spans="1:31" ht="15.75" customHeight="1">
      <c r="A2" s="135"/>
      <c r="B2" s="136"/>
      <c r="C2" s="136"/>
      <c r="D2" s="136"/>
      <c r="E2" s="137"/>
      <c r="F2" s="127" t="s">
        <v>215</v>
      </c>
      <c r="G2" s="101"/>
      <c r="H2" s="101"/>
      <c r="I2" s="101"/>
      <c r="J2" s="151" t="s">
        <v>216</v>
      </c>
      <c r="K2" s="152"/>
      <c r="L2" s="127"/>
      <c r="M2" s="101" t="s">
        <v>217</v>
      </c>
      <c r="N2" s="101"/>
      <c r="O2" s="101" t="s">
        <v>13</v>
      </c>
      <c r="P2" s="101"/>
      <c r="Q2" s="101" t="s">
        <v>10</v>
      </c>
      <c r="R2" s="101"/>
    </row>
    <row r="3" spans="1:3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1"/>
    </row>
    <row r="4" spans="1:31" ht="15" customHeight="1">
      <c r="A4" s="135"/>
      <c r="B4" s="136"/>
      <c r="C4" s="136"/>
      <c r="D4" s="136"/>
      <c r="E4" s="137"/>
      <c r="F4" s="155" t="s">
        <v>218</v>
      </c>
      <c r="G4" s="155"/>
      <c r="H4" s="155"/>
      <c r="I4" s="159" t="e">
        <f ca="1">VLOOKUP(F3,INDEX!B:AF,18,0)</f>
        <v>#VALUE!</v>
      </c>
      <c r="J4" s="159"/>
      <c r="K4" s="159"/>
      <c r="L4" s="159"/>
      <c r="M4" s="159"/>
      <c r="N4" s="159"/>
      <c r="O4" s="159"/>
      <c r="P4" s="159"/>
      <c r="Q4" s="159"/>
      <c r="R4" s="181"/>
    </row>
    <row r="5" spans="1:31" ht="13.9" customHeight="1">
      <c r="A5" s="135"/>
      <c r="B5" s="136"/>
      <c r="C5" s="136"/>
      <c r="D5" s="136"/>
      <c r="E5" s="137"/>
      <c r="F5" s="158" t="s">
        <v>219</v>
      </c>
      <c r="G5" s="158"/>
      <c r="H5" s="159" t="e">
        <f ca="1">VLOOKUP(F3,INDEX!B:J,6,0)</f>
        <v>#VALUE!</v>
      </c>
      <c r="I5" s="159"/>
      <c r="J5" s="159"/>
      <c r="K5" s="159"/>
      <c r="L5" s="159"/>
      <c r="M5" s="159"/>
      <c r="N5" s="159"/>
      <c r="O5" s="159"/>
      <c r="P5" s="159"/>
      <c r="Q5" s="159"/>
      <c r="R5" s="181"/>
      <c r="V5" s="3"/>
      <c r="W5" s="3"/>
      <c r="X5" s="3"/>
      <c r="Z5" s="3"/>
      <c r="AA5" s="3"/>
      <c r="AB5" s="3"/>
      <c r="AC5" s="3"/>
      <c r="AE5" s="1"/>
    </row>
    <row r="6" spans="1:31" ht="14.45" customHeight="1" thickBot="1">
      <c r="A6" s="138"/>
      <c r="B6" s="139"/>
      <c r="C6" s="139"/>
      <c r="D6" s="139"/>
      <c r="E6" s="140"/>
      <c r="F6" s="155" t="s">
        <v>220</v>
      </c>
      <c r="G6" s="155"/>
      <c r="H6" s="155"/>
      <c r="I6" s="156" t="e">
        <f ca="1">VLOOKUP(F3,INDEX!B:AF,16,0)</f>
        <v>#VALUE!</v>
      </c>
      <c r="J6" s="156"/>
      <c r="K6" s="156"/>
      <c r="L6" s="156"/>
      <c r="M6" s="156"/>
      <c r="N6" s="156"/>
      <c r="O6" s="156"/>
      <c r="P6" s="156"/>
      <c r="Q6" s="156"/>
      <c r="R6" s="182"/>
    </row>
    <row r="7" spans="1:31" ht="14.45" customHeight="1">
      <c r="A7" s="183" t="s">
        <v>221</v>
      </c>
      <c r="B7" s="168"/>
      <c r="C7" s="168"/>
      <c r="D7" s="168"/>
      <c r="E7" s="168"/>
      <c r="F7" s="169"/>
      <c r="G7" s="169"/>
      <c r="H7" s="169"/>
      <c r="I7" s="169"/>
      <c r="J7" s="169"/>
      <c r="K7" s="169"/>
      <c r="L7" s="169"/>
      <c r="M7" s="169"/>
      <c r="N7" s="169"/>
      <c r="O7" s="169"/>
      <c r="P7" s="169"/>
      <c r="Q7" s="169"/>
      <c r="R7" s="184"/>
    </row>
    <row r="8" spans="1:31" s="3" customFormat="1">
      <c r="A8" s="24" t="s">
        <v>222</v>
      </c>
      <c r="B8" s="151" t="e">
        <f ca="1">VLOOKUP(F3,INDEX!B:AF,20,0)</f>
        <v>#VALUE!</v>
      </c>
      <c r="C8" s="127"/>
      <c r="D8" s="151" t="e">
        <f ca="1">VLOOKUP(F3,INDEX!B:AF,21,0)</f>
        <v>#VALUE!</v>
      </c>
      <c r="E8" s="127"/>
      <c r="F8" s="151" t="e">
        <f ca="1">VLOOKUP(F3,INDEX!B:AF,22,0)</f>
        <v>#VALUE!</v>
      </c>
      <c r="G8" s="127"/>
      <c r="H8" s="151">
        <v>360</v>
      </c>
      <c r="I8" s="127"/>
      <c r="J8" s="151" t="e">
        <f ca="1">VLOOKUP(F3,INDEX!B:AF,23,0)</f>
        <v>#VALUE!</v>
      </c>
      <c r="K8" s="127"/>
      <c r="L8" s="151" t="e">
        <f ca="1">VLOOKUP(F3,INDEX!B:AF,24,0)</f>
        <v>#VALUE!</v>
      </c>
      <c r="M8" s="127"/>
      <c r="N8" s="27"/>
      <c r="O8" s="28"/>
      <c r="P8" s="151" t="s">
        <v>223</v>
      </c>
      <c r="Q8" s="152"/>
      <c r="R8" s="127"/>
    </row>
    <row r="9" spans="1:31" s="3" customFormat="1">
      <c r="A9" s="24" t="s">
        <v>224</v>
      </c>
      <c r="B9" s="151" t="e">
        <f ca="1">VLOOKUP(F3,INDEX!B:Z,19,0)&amp;" to 38"</f>
        <v>#VALUE!</v>
      </c>
      <c r="C9" s="127"/>
      <c r="D9" s="151">
        <v>50</v>
      </c>
      <c r="E9" s="127"/>
      <c r="F9" s="151">
        <v>100</v>
      </c>
      <c r="G9" s="127"/>
      <c r="H9" s="151">
        <v>120</v>
      </c>
      <c r="I9" s="127"/>
      <c r="J9" s="151">
        <v>150</v>
      </c>
      <c r="K9" s="127"/>
      <c r="L9" s="151">
        <v>200</v>
      </c>
      <c r="M9" s="127"/>
      <c r="N9" s="29"/>
      <c r="O9" s="30"/>
      <c r="P9" s="151" t="e">
        <f ca="1">B8*1.5</f>
        <v>#VALUE!</v>
      </c>
      <c r="Q9" s="152"/>
      <c r="R9" s="127"/>
    </row>
    <row r="10" spans="1:31" s="3" customFormat="1">
      <c r="A10" s="185" t="s">
        <v>225</v>
      </c>
      <c r="B10" s="163"/>
      <c r="C10" s="163"/>
      <c r="D10" s="163"/>
      <c r="E10" s="163"/>
      <c r="F10" s="163"/>
      <c r="G10" s="163"/>
      <c r="H10" s="163"/>
      <c r="I10" s="163"/>
      <c r="J10" s="163"/>
      <c r="K10" s="163"/>
      <c r="L10" s="163"/>
      <c r="M10" s="163"/>
      <c r="N10" s="163"/>
      <c r="O10" s="163"/>
      <c r="P10" s="163"/>
      <c r="Q10" s="163"/>
      <c r="R10" s="186"/>
    </row>
    <row r="11" spans="1:31">
      <c r="A11" s="19" t="s">
        <v>226</v>
      </c>
      <c r="B11" s="109" t="s">
        <v>227</v>
      </c>
      <c r="C11" s="109"/>
      <c r="D11" s="109"/>
      <c r="E11" s="109"/>
      <c r="F11" s="109"/>
      <c r="G11" s="109"/>
      <c r="H11" s="109"/>
      <c r="I11" s="109"/>
      <c r="J11" s="109"/>
      <c r="K11" s="109"/>
      <c r="L11" s="109"/>
      <c r="M11" s="109"/>
      <c r="N11" s="109"/>
      <c r="O11" s="109"/>
      <c r="P11" s="109"/>
      <c r="Q11" s="109"/>
      <c r="R11" s="109"/>
    </row>
    <row r="12" spans="1:31" s="3" customFormat="1">
      <c r="A12" s="17"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row>
    <row r="13" spans="1:31" s="3" customFormat="1">
      <c r="A13" s="17"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row>
    <row r="14" spans="1:31" s="3" customFormat="1">
      <c r="A14" s="17" t="s">
        <v>230</v>
      </c>
      <c r="B14" s="17" t="s">
        <v>308</v>
      </c>
      <c r="C14" s="17" t="s">
        <v>308</v>
      </c>
      <c r="D14" s="17" t="s">
        <v>308</v>
      </c>
      <c r="E14" s="17" t="s">
        <v>308</v>
      </c>
      <c r="F14" s="17" t="s">
        <v>174</v>
      </c>
      <c r="G14" s="17" t="s">
        <v>308</v>
      </c>
      <c r="H14" s="17" t="s">
        <v>174</v>
      </c>
      <c r="I14" s="17" t="s">
        <v>174</v>
      </c>
      <c r="J14" s="17" t="s">
        <v>174</v>
      </c>
      <c r="K14" s="17" t="s">
        <v>174</v>
      </c>
      <c r="L14" s="17" t="s">
        <v>174</v>
      </c>
      <c r="M14" s="17" t="s">
        <v>174</v>
      </c>
      <c r="N14" s="17" t="s">
        <v>174</v>
      </c>
      <c r="O14" s="17" t="s">
        <v>174</v>
      </c>
      <c r="P14" s="17" t="s">
        <v>174</v>
      </c>
      <c r="Q14" s="17" t="s">
        <v>174</v>
      </c>
      <c r="R14" s="17" t="s">
        <v>174</v>
      </c>
    </row>
    <row r="15" spans="1:31" s="3" customFormat="1">
      <c r="A15" s="17" t="s">
        <v>233</v>
      </c>
      <c r="B15" s="13">
        <v>7.47</v>
      </c>
      <c r="C15" s="13">
        <v>7.82</v>
      </c>
      <c r="D15" s="13">
        <v>9.09</v>
      </c>
      <c r="E15" s="13">
        <v>10.15</v>
      </c>
      <c r="F15" s="13">
        <v>11.2</v>
      </c>
      <c r="G15" s="13">
        <v>15.24</v>
      </c>
      <c r="H15" s="13">
        <v>18.130000000000003</v>
      </c>
      <c r="I15" s="13">
        <v>25.060000000000002</v>
      </c>
      <c r="J15" s="13">
        <v>31.580000000000002</v>
      </c>
      <c r="K15" s="13">
        <v>38.5</v>
      </c>
      <c r="L15" s="13">
        <v>45.02</v>
      </c>
      <c r="M15" s="13">
        <v>49.11</v>
      </c>
      <c r="N15" s="13">
        <v>55.63</v>
      </c>
      <c r="O15" s="13">
        <v>62.120000000000005</v>
      </c>
      <c r="P15" s="13">
        <v>68.67</v>
      </c>
      <c r="Q15" s="13">
        <v>75.19</v>
      </c>
      <c r="R15" s="13">
        <v>81.77</v>
      </c>
    </row>
    <row r="16" spans="1:31">
      <c r="A16" s="19" t="s">
        <v>234</v>
      </c>
      <c r="B16" s="144" t="s">
        <v>235</v>
      </c>
      <c r="C16" s="145"/>
      <c r="D16" s="145"/>
      <c r="E16" s="145"/>
      <c r="F16" s="145"/>
      <c r="G16" s="145"/>
      <c r="H16" s="145"/>
      <c r="I16" s="145"/>
      <c r="J16" s="145"/>
      <c r="K16" s="145"/>
      <c r="L16" s="145"/>
      <c r="M16" s="145"/>
      <c r="N16" s="146"/>
      <c r="O16" s="144" t="s">
        <v>236</v>
      </c>
      <c r="P16" s="145"/>
      <c r="Q16" s="145"/>
      <c r="R16" s="146"/>
    </row>
    <row r="17" spans="1:18" s="1" customFormat="1">
      <c r="A17" s="19" t="s">
        <v>237</v>
      </c>
      <c r="B17" s="144" t="s">
        <v>309</v>
      </c>
      <c r="C17" s="145"/>
      <c r="D17" s="145"/>
      <c r="E17" s="145"/>
      <c r="F17" s="145"/>
      <c r="G17" s="145"/>
      <c r="H17" s="145"/>
      <c r="I17" s="145"/>
      <c r="J17" s="145"/>
      <c r="K17" s="145"/>
      <c r="L17" s="145"/>
      <c r="M17" s="145"/>
      <c r="N17" s="146"/>
      <c r="O17" s="151" t="s">
        <v>309</v>
      </c>
      <c r="P17" s="152"/>
      <c r="Q17" s="152"/>
      <c r="R17" s="127"/>
    </row>
    <row r="18" spans="1:18">
      <c r="A18" s="19" t="s">
        <v>240</v>
      </c>
      <c r="B18" s="144" t="s">
        <v>241</v>
      </c>
      <c r="C18" s="145"/>
      <c r="D18" s="145"/>
      <c r="E18" s="145"/>
      <c r="F18" s="145"/>
      <c r="G18" s="145"/>
      <c r="H18" s="145"/>
      <c r="I18" s="145"/>
      <c r="J18" s="145"/>
      <c r="K18" s="145"/>
      <c r="L18" s="145"/>
      <c r="M18" s="145"/>
      <c r="N18" s="145"/>
      <c r="O18" s="145"/>
      <c r="P18" s="145"/>
      <c r="Q18" s="145"/>
      <c r="R18" s="146"/>
    </row>
    <row r="19" spans="1:18">
      <c r="A19" s="118" t="s">
        <v>242</v>
      </c>
      <c r="B19" s="109"/>
      <c r="C19" s="109"/>
      <c r="D19" s="109"/>
      <c r="E19" s="109"/>
      <c r="F19" s="109"/>
      <c r="G19" s="109"/>
      <c r="H19" s="109"/>
      <c r="I19" s="109"/>
      <c r="J19" s="109"/>
      <c r="K19" s="109"/>
      <c r="L19" s="109"/>
      <c r="M19" s="109"/>
      <c r="N19" s="109"/>
      <c r="O19" s="109"/>
      <c r="P19" s="109"/>
      <c r="Q19" s="109"/>
      <c r="R19" s="109"/>
    </row>
    <row r="20" spans="1:18" ht="30" customHeight="1">
      <c r="A20" s="19" t="s">
        <v>234</v>
      </c>
      <c r="B20" s="144" t="s">
        <v>243</v>
      </c>
      <c r="C20" s="145"/>
      <c r="D20" s="145"/>
      <c r="E20" s="145"/>
      <c r="F20" s="145"/>
      <c r="G20" s="145"/>
      <c r="H20" s="145"/>
      <c r="I20" s="145"/>
      <c r="J20" s="145"/>
      <c r="K20" s="145"/>
      <c r="L20" s="145"/>
      <c r="M20" s="145"/>
      <c r="N20" s="146"/>
      <c r="O20" s="144" t="s">
        <v>244</v>
      </c>
      <c r="P20" s="145"/>
      <c r="Q20" s="145"/>
      <c r="R20" s="146"/>
    </row>
    <row r="21" spans="1:18" ht="15" customHeight="1">
      <c r="A21" s="19" t="s">
        <v>237</v>
      </c>
      <c r="B21" s="144" t="s">
        <v>310</v>
      </c>
      <c r="C21" s="145"/>
      <c r="D21" s="145"/>
      <c r="E21" s="145"/>
      <c r="F21" s="145"/>
      <c r="G21" s="145"/>
      <c r="H21" s="145"/>
      <c r="I21" s="145"/>
      <c r="J21" s="145"/>
      <c r="K21" s="145"/>
      <c r="L21" s="145"/>
      <c r="M21" s="145"/>
      <c r="N21" s="145"/>
      <c r="O21" s="145"/>
      <c r="P21" s="145"/>
      <c r="Q21" s="145"/>
      <c r="R21" s="146"/>
    </row>
    <row r="22" spans="1:18" ht="15" customHeight="1">
      <c r="A22" s="19" t="s">
        <v>246</v>
      </c>
      <c r="B22" s="144" t="s">
        <v>247</v>
      </c>
      <c r="C22" s="145"/>
      <c r="D22" s="145"/>
      <c r="E22" s="145"/>
      <c r="F22" s="145"/>
      <c r="G22" s="145"/>
      <c r="H22" s="145"/>
      <c r="I22" s="145"/>
      <c r="J22" s="145"/>
      <c r="K22" s="145"/>
      <c r="L22" s="145"/>
      <c r="M22" s="145"/>
      <c r="N22" s="145"/>
      <c r="O22" s="145"/>
      <c r="P22" s="145"/>
      <c r="Q22" s="145"/>
      <c r="R22" s="146"/>
    </row>
    <row r="23" spans="1:18" ht="13.9" customHeight="1">
      <c r="A23" s="19" t="s">
        <v>248</v>
      </c>
      <c r="B23" s="144" t="s">
        <v>247</v>
      </c>
      <c r="C23" s="145"/>
      <c r="D23" s="145"/>
      <c r="E23" s="145"/>
      <c r="F23" s="145"/>
      <c r="G23" s="145"/>
      <c r="H23" s="145"/>
      <c r="I23" s="145"/>
      <c r="J23" s="145"/>
      <c r="K23" s="145"/>
      <c r="L23" s="145"/>
      <c r="M23" s="145"/>
      <c r="N23" s="145"/>
      <c r="O23" s="145"/>
      <c r="P23" s="145"/>
      <c r="Q23" s="145"/>
      <c r="R23" s="146"/>
    </row>
    <row r="24" spans="1:18" ht="13.9" customHeight="1">
      <c r="A24" s="19" t="s">
        <v>249</v>
      </c>
      <c r="B24" s="144" t="s">
        <v>247</v>
      </c>
      <c r="C24" s="145"/>
      <c r="D24" s="145"/>
      <c r="E24" s="145"/>
      <c r="F24" s="145"/>
      <c r="G24" s="145"/>
      <c r="H24" s="145"/>
      <c r="I24" s="145"/>
      <c r="J24" s="145"/>
      <c r="K24" s="145"/>
      <c r="L24" s="145"/>
      <c r="M24" s="145"/>
      <c r="N24" s="145"/>
      <c r="O24" s="145"/>
      <c r="P24" s="145"/>
      <c r="Q24" s="145"/>
      <c r="R24" s="146"/>
    </row>
    <row r="25" spans="1:18" ht="13.9" customHeight="1">
      <c r="A25" s="19" t="s">
        <v>250</v>
      </c>
      <c r="B25" s="144" t="s">
        <v>247</v>
      </c>
      <c r="C25" s="145"/>
      <c r="D25" s="145"/>
      <c r="E25" s="145"/>
      <c r="F25" s="145"/>
      <c r="G25" s="145"/>
      <c r="H25" s="145"/>
      <c r="I25" s="145"/>
      <c r="J25" s="145"/>
      <c r="K25" s="145"/>
      <c r="L25" s="145"/>
      <c r="M25" s="145"/>
      <c r="N25" s="145"/>
      <c r="O25" s="145"/>
      <c r="P25" s="145"/>
      <c r="Q25" s="145"/>
      <c r="R25" s="146"/>
    </row>
    <row r="26" spans="1:18" ht="13.9" customHeight="1">
      <c r="A26" s="19" t="s">
        <v>251</v>
      </c>
      <c r="B26" s="151" t="s">
        <v>290</v>
      </c>
      <c r="C26" s="145"/>
      <c r="D26" s="145"/>
      <c r="E26" s="146"/>
      <c r="F26" s="144"/>
      <c r="G26" s="145"/>
      <c r="H26" s="145"/>
      <c r="I26" s="145"/>
      <c r="J26" s="145"/>
      <c r="K26" s="145"/>
      <c r="L26" s="145"/>
      <c r="M26" s="145"/>
      <c r="N26" s="145"/>
      <c r="O26" s="145"/>
      <c r="P26" s="145"/>
      <c r="Q26" s="145"/>
      <c r="R26" s="146"/>
    </row>
    <row r="27" spans="1:18" ht="15" customHeight="1">
      <c r="A27" s="19" t="s">
        <v>253</v>
      </c>
      <c r="B27" s="144" t="s">
        <v>311</v>
      </c>
      <c r="C27" s="145"/>
      <c r="D27" s="145"/>
      <c r="E27" s="145"/>
      <c r="F27" s="145"/>
      <c r="G27" s="145"/>
      <c r="H27" s="145"/>
      <c r="I27" s="145"/>
      <c r="J27" s="145"/>
      <c r="K27" s="145"/>
      <c r="L27" s="145"/>
      <c r="M27" s="145"/>
      <c r="N27" s="145"/>
      <c r="O27" s="145"/>
      <c r="P27" s="145"/>
      <c r="Q27" s="145"/>
      <c r="R27" s="146"/>
    </row>
    <row r="28" spans="1:18" s="1" customFormat="1">
      <c r="A28" s="118" t="s">
        <v>255</v>
      </c>
      <c r="B28" s="109"/>
      <c r="C28" s="109"/>
      <c r="D28" s="109"/>
      <c r="E28" s="109"/>
      <c r="F28" s="109"/>
      <c r="G28" s="109"/>
      <c r="H28" s="109"/>
      <c r="I28" s="109"/>
      <c r="J28" s="109"/>
      <c r="K28" s="109"/>
      <c r="L28" s="109"/>
      <c r="M28" s="109"/>
      <c r="N28" s="109"/>
      <c r="O28" s="109"/>
      <c r="P28" s="109"/>
      <c r="Q28" s="109"/>
      <c r="R28" s="109"/>
    </row>
    <row r="29" spans="1:18" ht="13.9" customHeight="1">
      <c r="A29" s="19" t="s">
        <v>237</v>
      </c>
      <c r="B29" s="144" t="s">
        <v>312</v>
      </c>
      <c r="C29" s="145"/>
      <c r="D29" s="145"/>
      <c r="E29" s="145"/>
      <c r="F29" s="145"/>
      <c r="G29" s="145"/>
      <c r="H29" s="145"/>
      <c r="I29" s="145"/>
      <c r="J29" s="145"/>
      <c r="K29" s="145"/>
      <c r="L29" s="145"/>
      <c r="M29" s="145"/>
      <c r="N29" s="145"/>
      <c r="O29" s="145"/>
      <c r="P29" s="145"/>
      <c r="Q29" s="145"/>
      <c r="R29" s="146"/>
    </row>
    <row r="30" spans="1:18" ht="13.9" customHeight="1">
      <c r="A30" s="19" t="s">
        <v>257</v>
      </c>
      <c r="B30" s="144" t="s">
        <v>299</v>
      </c>
      <c r="C30" s="145"/>
      <c r="D30" s="145"/>
      <c r="E30" s="145"/>
      <c r="F30" s="145"/>
      <c r="G30" s="145"/>
      <c r="H30" s="145"/>
      <c r="I30" s="145"/>
      <c r="J30" s="145"/>
      <c r="K30" s="145"/>
      <c r="L30" s="145"/>
      <c r="M30" s="145"/>
      <c r="N30" s="145"/>
      <c r="O30" s="145"/>
      <c r="P30" s="145"/>
      <c r="Q30" s="145"/>
      <c r="R30" s="146"/>
    </row>
    <row r="31" spans="1:18" ht="13.9" customHeight="1">
      <c r="A31" s="19" t="s">
        <v>313</v>
      </c>
      <c r="B31" s="144" t="s">
        <v>314</v>
      </c>
      <c r="C31" s="145"/>
      <c r="D31" s="145"/>
      <c r="E31" s="145"/>
      <c r="F31" s="145"/>
      <c r="G31" s="145"/>
      <c r="H31" s="145"/>
      <c r="I31" s="145"/>
      <c r="J31" s="145"/>
      <c r="K31" s="145"/>
      <c r="L31" s="145"/>
      <c r="M31" s="145"/>
      <c r="N31" s="145"/>
      <c r="O31" s="145"/>
      <c r="P31" s="145"/>
      <c r="Q31" s="145"/>
      <c r="R31" s="146"/>
    </row>
    <row r="32" spans="1:18" s="1" customFormat="1" ht="28.9" customHeight="1">
      <c r="A32" s="19" t="s">
        <v>315</v>
      </c>
      <c r="B32" s="144"/>
      <c r="C32" s="145"/>
      <c r="D32" s="145"/>
      <c r="E32" s="145"/>
      <c r="F32" s="146"/>
      <c r="G32" s="144" t="s">
        <v>316</v>
      </c>
      <c r="H32" s="145"/>
      <c r="I32" s="145"/>
      <c r="J32" s="145"/>
      <c r="K32" s="145"/>
      <c r="L32" s="145"/>
      <c r="M32" s="145"/>
      <c r="N32" s="145"/>
      <c r="O32" s="145"/>
      <c r="P32" s="145"/>
      <c r="Q32" s="145"/>
      <c r="R32" s="146"/>
    </row>
    <row r="33" spans="1:18" s="1" customFormat="1" ht="42" customHeight="1">
      <c r="A33" s="19" t="s">
        <v>317</v>
      </c>
      <c r="B33" s="144"/>
      <c r="C33" s="145"/>
      <c r="D33" s="145"/>
      <c r="E33" s="145"/>
      <c r="F33" s="146"/>
      <c r="G33" s="144" t="s">
        <v>318</v>
      </c>
      <c r="H33" s="145"/>
      <c r="I33" s="145"/>
      <c r="J33" s="145"/>
      <c r="K33" s="145"/>
      <c r="L33" s="145"/>
      <c r="M33" s="145"/>
      <c r="N33" s="145"/>
      <c r="O33" s="145"/>
      <c r="P33" s="145"/>
      <c r="Q33" s="145"/>
      <c r="R33" s="146"/>
    </row>
    <row r="34" spans="1:18" s="1" customFormat="1">
      <c r="A34" s="118" t="s">
        <v>260</v>
      </c>
      <c r="B34" s="109"/>
      <c r="C34" s="109"/>
      <c r="D34" s="109"/>
      <c r="E34" s="109"/>
      <c r="F34" s="109"/>
      <c r="G34" s="109"/>
      <c r="H34" s="109"/>
      <c r="I34" s="109"/>
      <c r="J34" s="109"/>
      <c r="K34" s="109"/>
      <c r="L34" s="109"/>
      <c r="M34" s="109"/>
      <c r="N34" s="109"/>
      <c r="O34" s="109"/>
      <c r="P34" s="109"/>
      <c r="Q34" s="109"/>
      <c r="R34" s="109"/>
    </row>
    <row r="35" spans="1:18" s="1" customFormat="1" ht="15" customHeight="1">
      <c r="A35" s="19" t="s">
        <v>237</v>
      </c>
      <c r="B35" s="109" t="s">
        <v>312</v>
      </c>
      <c r="C35" s="109"/>
      <c r="D35" s="109"/>
      <c r="E35" s="109"/>
      <c r="F35" s="109"/>
      <c r="G35" s="109"/>
      <c r="H35" s="109"/>
      <c r="I35" s="109"/>
      <c r="J35" s="109"/>
      <c r="K35" s="109"/>
      <c r="L35" s="109"/>
      <c r="M35" s="109"/>
      <c r="N35" s="109"/>
      <c r="O35" s="109"/>
      <c r="P35" s="109"/>
      <c r="Q35" s="109"/>
      <c r="R35" s="109"/>
    </row>
    <row r="36" spans="1:18" s="1" customFormat="1" ht="14.45" customHeight="1">
      <c r="A36" s="19" t="s">
        <v>261</v>
      </c>
      <c r="B36" s="144" t="s">
        <v>262</v>
      </c>
      <c r="C36" s="145"/>
      <c r="D36" s="145"/>
      <c r="E36" s="145"/>
      <c r="F36" s="145"/>
      <c r="G36" s="145"/>
      <c r="H36" s="145"/>
      <c r="I36" s="145"/>
      <c r="J36" s="145"/>
      <c r="K36" s="145"/>
      <c r="L36" s="146"/>
      <c r="M36" s="101" t="s">
        <v>319</v>
      </c>
      <c r="N36" s="101"/>
      <c r="O36" s="101"/>
      <c r="P36" s="101"/>
      <c r="Q36" s="101"/>
      <c r="R36" s="101"/>
    </row>
    <row r="37" spans="1:18" ht="13.9" customHeight="1">
      <c r="A37" s="187" t="s">
        <v>264</v>
      </c>
      <c r="B37" s="142"/>
      <c r="C37" s="142"/>
      <c r="D37" s="142"/>
      <c r="E37" s="142"/>
      <c r="F37" s="142"/>
      <c r="G37" s="142"/>
      <c r="H37" s="142"/>
      <c r="I37" s="142"/>
      <c r="J37" s="142"/>
      <c r="K37" s="142"/>
      <c r="L37" s="142"/>
      <c r="M37" s="142"/>
      <c r="N37" s="142"/>
      <c r="O37" s="142"/>
      <c r="P37" s="142"/>
      <c r="Q37" s="142"/>
      <c r="R37" s="188"/>
    </row>
    <row r="38" spans="1:18" ht="13.9" customHeight="1">
      <c r="A38" s="19" t="s">
        <v>265</v>
      </c>
      <c r="B38" s="109" t="s">
        <v>266</v>
      </c>
      <c r="C38" s="109"/>
      <c r="D38" s="109"/>
      <c r="E38" s="109"/>
      <c r="F38" s="109"/>
      <c r="G38" s="109"/>
      <c r="H38" s="109"/>
      <c r="I38" s="109"/>
      <c r="J38" s="109"/>
      <c r="K38" s="109"/>
      <c r="L38" s="109"/>
      <c r="M38" s="109"/>
      <c r="N38" s="109"/>
      <c r="O38" s="109"/>
      <c r="P38" s="109"/>
      <c r="Q38" s="109"/>
      <c r="R38" s="109"/>
    </row>
    <row r="39" spans="1:18" ht="13.9" customHeight="1">
      <c r="A39" s="19" t="s">
        <v>267</v>
      </c>
      <c r="B39" s="109" t="s">
        <v>268</v>
      </c>
      <c r="C39" s="109"/>
      <c r="D39" s="109"/>
      <c r="E39" s="109"/>
      <c r="F39" s="109"/>
      <c r="G39" s="109"/>
      <c r="H39" s="109"/>
      <c r="I39" s="109"/>
      <c r="J39" s="109"/>
      <c r="K39" s="109"/>
      <c r="L39" s="109"/>
      <c r="M39" s="109"/>
      <c r="N39" s="109"/>
      <c r="O39" s="109"/>
      <c r="P39" s="109"/>
      <c r="Q39" s="109"/>
      <c r="R39" s="109"/>
    </row>
    <row r="40" spans="1:18" ht="13.9" customHeight="1">
      <c r="A40" s="19" t="s">
        <v>269</v>
      </c>
      <c r="B40" s="144" t="s">
        <v>302</v>
      </c>
      <c r="C40" s="145"/>
      <c r="D40" s="145"/>
      <c r="E40" s="145"/>
      <c r="F40" s="145"/>
      <c r="G40" s="145"/>
      <c r="H40" s="145"/>
      <c r="I40" s="145"/>
      <c r="J40" s="145"/>
      <c r="K40" s="145"/>
      <c r="L40" s="145"/>
      <c r="M40" s="145"/>
      <c r="N40" s="145"/>
      <c r="O40" s="145"/>
      <c r="P40" s="145"/>
      <c r="Q40" s="145"/>
      <c r="R40" s="146"/>
    </row>
    <row r="41" spans="1:18" ht="13.9" customHeight="1">
      <c r="A41" s="187" t="s">
        <v>271</v>
      </c>
      <c r="B41" s="142"/>
      <c r="C41" s="142"/>
      <c r="D41" s="142"/>
      <c r="E41" s="142"/>
      <c r="F41" s="142"/>
      <c r="G41" s="142"/>
      <c r="H41" s="142"/>
      <c r="I41" s="142"/>
      <c r="J41" s="142"/>
      <c r="K41" s="142"/>
      <c r="L41" s="142"/>
      <c r="M41" s="142"/>
      <c r="N41" s="142"/>
      <c r="O41" s="142"/>
      <c r="P41" s="142"/>
      <c r="Q41" s="142"/>
      <c r="R41" s="188"/>
    </row>
    <row r="42" spans="1:18" ht="13.9" customHeight="1">
      <c r="A42" s="19" t="s">
        <v>272</v>
      </c>
      <c r="B42" s="109" t="e">
        <f ca="1">VLOOKUP(F3,INDEX!B:J,2,0)&amp;", RTJ"</f>
        <v>#VALUE!</v>
      </c>
      <c r="C42" s="109"/>
      <c r="D42" s="109"/>
      <c r="E42" s="109"/>
      <c r="F42" s="109"/>
      <c r="G42" s="109"/>
      <c r="H42" s="109"/>
      <c r="I42" s="109"/>
      <c r="J42" s="109"/>
      <c r="K42" s="109"/>
      <c r="L42" s="109"/>
      <c r="M42" s="109"/>
      <c r="N42" s="109"/>
      <c r="O42" s="109"/>
      <c r="P42" s="109"/>
      <c r="Q42" s="109"/>
      <c r="R42" s="109"/>
    </row>
    <row r="43" spans="1:18" ht="13.9" customHeight="1">
      <c r="A43" s="1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6"/>
    </row>
    <row r="44" spans="1:18" ht="13.9" customHeight="1">
      <c r="A44" s="19" t="s">
        <v>274</v>
      </c>
      <c r="B44" s="109" t="e">
        <f ca="1">"GAW"&amp;VLOOKUP(F3,INDEX!B:AH,33,0)&amp;"J"</f>
        <v>#VALUE!</v>
      </c>
      <c r="C44" s="109"/>
      <c r="D44" s="109"/>
      <c r="E44" s="109"/>
      <c r="F44" s="109"/>
      <c r="G44" s="109"/>
      <c r="H44" s="109"/>
      <c r="I44" s="109"/>
      <c r="J44" s="109"/>
      <c r="K44" s="109"/>
      <c r="L44" s="109"/>
      <c r="M44" s="109"/>
      <c r="N44" s="109"/>
      <c r="O44" s="109"/>
      <c r="P44" s="109"/>
      <c r="Q44" s="109"/>
      <c r="R44" s="109"/>
    </row>
    <row r="45" spans="1:18" ht="13.9" customHeight="1">
      <c r="A45" s="19" t="s">
        <v>275</v>
      </c>
      <c r="B45" s="109" t="e">
        <f ca="1">"GLS"&amp;VLOOKUP(F3,INDEX!B:AH,33,0)&amp;"J"</f>
        <v>#VALUE!</v>
      </c>
      <c r="C45" s="109"/>
      <c r="D45" s="109"/>
      <c r="E45" s="109"/>
      <c r="F45" s="109"/>
      <c r="G45" s="109"/>
      <c r="H45" s="109"/>
      <c r="I45" s="109"/>
      <c r="J45" s="109"/>
      <c r="K45" s="109"/>
      <c r="L45" s="109"/>
      <c r="M45" s="109"/>
      <c r="N45" s="109"/>
      <c r="O45" s="109"/>
      <c r="P45" s="109"/>
      <c r="Q45" s="109"/>
      <c r="R45" s="109"/>
    </row>
    <row r="46" spans="1:18" ht="13.9" customHeight="1">
      <c r="A46" s="1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6"/>
    </row>
    <row r="47" spans="1:18" ht="13.9" customHeight="1">
      <c r="A47" s="19" t="s">
        <v>304</v>
      </c>
      <c r="B47" s="144" t="e">
        <f ca="1">"DSR"&amp;VLOOKUP(F3,INDEX!B:AH,33,0)&amp;"JT"</f>
        <v>#VALUE!</v>
      </c>
      <c r="C47" s="145"/>
      <c r="D47" s="145"/>
      <c r="E47" s="145"/>
      <c r="F47" s="145"/>
      <c r="G47" s="144"/>
      <c r="H47" s="145"/>
      <c r="I47" s="145"/>
      <c r="J47" s="145"/>
      <c r="K47" s="145"/>
      <c r="L47" s="145"/>
      <c r="M47" s="145"/>
      <c r="N47" s="145"/>
      <c r="O47" s="145"/>
      <c r="P47" s="145"/>
      <c r="Q47" s="145"/>
      <c r="R47" s="146"/>
    </row>
    <row r="48" spans="1:18" ht="13.9" customHeight="1">
      <c r="A48" s="19" t="s">
        <v>320</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6"/>
    </row>
    <row r="49" spans="1:18">
      <c r="A49" s="194" t="s">
        <v>278</v>
      </c>
      <c r="B49" s="149"/>
      <c r="C49" s="149"/>
      <c r="D49" s="149"/>
      <c r="E49" s="149"/>
      <c r="F49" s="149"/>
      <c r="G49" s="149"/>
      <c r="H49" s="149"/>
      <c r="I49" s="149"/>
      <c r="J49" s="149"/>
      <c r="K49" s="149"/>
      <c r="L49" s="149"/>
      <c r="M49" s="149"/>
      <c r="N49" s="149"/>
      <c r="O49" s="149"/>
      <c r="P49" s="149"/>
      <c r="Q49" s="149"/>
      <c r="R49" s="180"/>
    </row>
    <row r="50" spans="1:18" ht="28.15" customHeight="1">
      <c r="A50" s="192" t="s">
        <v>279</v>
      </c>
      <c r="B50" s="115"/>
      <c r="C50" s="115"/>
      <c r="D50" s="115"/>
      <c r="E50" s="115"/>
      <c r="F50" s="115"/>
      <c r="G50" s="115"/>
      <c r="H50" s="115"/>
      <c r="I50" s="115"/>
      <c r="J50" s="115"/>
      <c r="K50" s="115"/>
      <c r="L50" s="115"/>
      <c r="M50" s="115"/>
      <c r="N50" s="115"/>
      <c r="O50" s="115"/>
      <c r="P50" s="115"/>
      <c r="Q50" s="115"/>
      <c r="R50" s="193"/>
    </row>
    <row r="51" spans="1:18" ht="14.45" customHeight="1">
      <c r="A51" s="192" t="s">
        <v>280</v>
      </c>
      <c r="B51" s="115"/>
      <c r="C51" s="115"/>
      <c r="D51" s="115"/>
      <c r="E51" s="115"/>
      <c r="F51" s="115"/>
      <c r="G51" s="115"/>
      <c r="H51" s="115"/>
      <c r="I51" s="115"/>
      <c r="J51" s="115"/>
      <c r="K51" s="115"/>
      <c r="L51" s="115"/>
      <c r="M51" s="115"/>
      <c r="N51" s="115"/>
      <c r="O51" s="115"/>
      <c r="P51" s="115"/>
      <c r="Q51" s="115"/>
      <c r="R51" s="193"/>
    </row>
    <row r="52" spans="1:18" ht="14.45" customHeight="1">
      <c r="A52" s="192" t="s">
        <v>281</v>
      </c>
      <c r="B52" s="115"/>
      <c r="C52" s="115"/>
      <c r="D52" s="115"/>
      <c r="E52" s="115"/>
      <c r="F52" s="115"/>
      <c r="G52" s="115"/>
      <c r="H52" s="115"/>
      <c r="I52" s="115"/>
      <c r="J52" s="115"/>
      <c r="K52" s="115"/>
      <c r="L52" s="115"/>
      <c r="M52" s="115"/>
      <c r="N52" s="115"/>
      <c r="O52" s="115"/>
      <c r="P52" s="115"/>
      <c r="Q52" s="115"/>
      <c r="R52" s="193"/>
    </row>
    <row r="53" spans="1:18" ht="28.9" customHeight="1">
      <c r="A53" s="192" t="s">
        <v>282</v>
      </c>
      <c r="B53" s="115"/>
      <c r="C53" s="115"/>
      <c r="D53" s="115"/>
      <c r="E53" s="115"/>
      <c r="F53" s="115"/>
      <c r="G53" s="115"/>
      <c r="H53" s="115"/>
      <c r="I53" s="115"/>
      <c r="J53" s="115"/>
      <c r="K53" s="115"/>
      <c r="L53" s="115"/>
      <c r="M53" s="115"/>
      <c r="N53" s="115"/>
      <c r="O53" s="115"/>
      <c r="P53" s="115"/>
      <c r="Q53" s="115"/>
      <c r="R53" s="193"/>
    </row>
    <row r="54" spans="1:18" ht="26.45" customHeight="1">
      <c r="A54" s="192" t="s">
        <v>283</v>
      </c>
      <c r="B54" s="115"/>
      <c r="C54" s="115"/>
      <c r="D54" s="115"/>
      <c r="E54" s="115"/>
      <c r="F54" s="115"/>
      <c r="G54" s="115"/>
      <c r="H54" s="115"/>
      <c r="I54" s="115"/>
      <c r="J54" s="115"/>
      <c r="K54" s="115"/>
      <c r="L54" s="115"/>
      <c r="M54" s="115"/>
      <c r="N54" s="115"/>
      <c r="O54" s="115"/>
      <c r="P54" s="115"/>
      <c r="Q54" s="115"/>
      <c r="R54" s="193"/>
    </row>
    <row r="55" spans="1:18" ht="14.45" customHeight="1">
      <c r="A55" s="192" t="s">
        <v>284</v>
      </c>
      <c r="B55" s="115"/>
      <c r="C55" s="115"/>
      <c r="D55" s="115"/>
      <c r="E55" s="115"/>
      <c r="F55" s="115"/>
      <c r="G55" s="115"/>
      <c r="H55" s="115"/>
      <c r="I55" s="115"/>
      <c r="J55" s="115"/>
      <c r="K55" s="115"/>
      <c r="L55" s="115"/>
      <c r="M55" s="115"/>
      <c r="N55" s="115"/>
      <c r="O55" s="115"/>
      <c r="P55" s="115"/>
      <c r="Q55" s="115"/>
      <c r="R55" s="193"/>
    </row>
    <row r="56" spans="1:18" ht="14.45" customHeight="1">
      <c r="A56" s="192" t="s">
        <v>285</v>
      </c>
      <c r="B56" s="115"/>
      <c r="C56" s="115"/>
      <c r="D56" s="115"/>
      <c r="E56" s="115"/>
      <c r="F56" s="115"/>
      <c r="G56" s="115"/>
      <c r="H56" s="115"/>
      <c r="I56" s="115"/>
      <c r="J56" s="115"/>
      <c r="K56" s="115"/>
      <c r="L56" s="115"/>
      <c r="M56" s="115"/>
      <c r="N56" s="115"/>
      <c r="O56" s="115"/>
      <c r="P56" s="115"/>
      <c r="Q56" s="115"/>
      <c r="R56" s="193"/>
    </row>
    <row r="57" spans="1:18" ht="14.45" customHeight="1">
      <c r="A57" s="192" t="s">
        <v>306</v>
      </c>
      <c r="B57" s="115"/>
      <c r="C57" s="115"/>
      <c r="D57" s="115"/>
      <c r="E57" s="115"/>
      <c r="F57" s="115"/>
      <c r="G57" s="115"/>
      <c r="H57" s="115"/>
      <c r="I57" s="115"/>
      <c r="J57" s="115"/>
      <c r="K57" s="115"/>
      <c r="L57" s="115"/>
      <c r="M57" s="115"/>
      <c r="N57" s="115"/>
      <c r="O57" s="115"/>
      <c r="P57" s="115"/>
      <c r="Q57" s="115"/>
      <c r="R57" s="193"/>
    </row>
    <row r="58" spans="1:18" ht="14.45" customHeight="1">
      <c r="A58" s="192" t="s">
        <v>307</v>
      </c>
      <c r="B58" s="115"/>
      <c r="C58" s="115"/>
      <c r="D58" s="115"/>
      <c r="E58" s="115"/>
      <c r="F58" s="115"/>
      <c r="G58" s="115"/>
      <c r="H58" s="115"/>
      <c r="I58" s="115"/>
      <c r="J58" s="115"/>
      <c r="K58" s="115"/>
      <c r="L58" s="115"/>
      <c r="M58" s="115"/>
      <c r="N58" s="115"/>
      <c r="O58" s="115"/>
      <c r="P58" s="115"/>
      <c r="Q58" s="115"/>
      <c r="R58" s="193"/>
    </row>
    <row r="59" spans="1:18">
      <c r="A59" s="189"/>
      <c r="B59" s="190"/>
      <c r="C59" s="190"/>
      <c r="D59" s="190"/>
      <c r="E59" s="190"/>
      <c r="F59" s="190"/>
      <c r="G59" s="190"/>
      <c r="H59" s="190"/>
      <c r="I59" s="190"/>
      <c r="J59" s="190"/>
      <c r="K59" s="190"/>
      <c r="L59" s="190"/>
      <c r="M59" s="190"/>
      <c r="N59" s="190"/>
      <c r="O59" s="190"/>
      <c r="P59" s="190"/>
      <c r="Q59" s="190"/>
      <c r="R59" s="191"/>
    </row>
  </sheetData>
  <mergeCells count="91">
    <mergeCell ref="A56:R56"/>
    <mergeCell ref="A57:R57"/>
    <mergeCell ref="A58:R58"/>
    <mergeCell ref="A59:R59"/>
    <mergeCell ref="A50:R50"/>
    <mergeCell ref="A51:R51"/>
    <mergeCell ref="A52:R52"/>
    <mergeCell ref="A53:R53"/>
    <mergeCell ref="A54:R54"/>
    <mergeCell ref="A55:R55"/>
    <mergeCell ref="A49:R49"/>
    <mergeCell ref="B39:R39"/>
    <mergeCell ref="B40:R40"/>
    <mergeCell ref="A41:R41"/>
    <mergeCell ref="B42:R42"/>
    <mergeCell ref="B43:E43"/>
    <mergeCell ref="F43:R43"/>
    <mergeCell ref="B44:R44"/>
    <mergeCell ref="B45:R45"/>
    <mergeCell ref="B46:E46"/>
    <mergeCell ref="F46:R46"/>
    <mergeCell ref="B48:R48"/>
    <mergeCell ref="B47:F47"/>
    <mergeCell ref="G47:R47"/>
    <mergeCell ref="B38:R38"/>
    <mergeCell ref="A28:R28"/>
    <mergeCell ref="B29:R29"/>
    <mergeCell ref="B30:R30"/>
    <mergeCell ref="B31:R31"/>
    <mergeCell ref="A34:R34"/>
    <mergeCell ref="B35:R35"/>
    <mergeCell ref="B36:L36"/>
    <mergeCell ref="M36:R36"/>
    <mergeCell ref="A37:R37"/>
    <mergeCell ref="B32:F32"/>
    <mergeCell ref="G32:R32"/>
    <mergeCell ref="B33:F33"/>
    <mergeCell ref="G33:R33"/>
    <mergeCell ref="B22:R22"/>
    <mergeCell ref="B23:R23"/>
    <mergeCell ref="B24:R24"/>
    <mergeCell ref="B26:E26"/>
    <mergeCell ref="F26:R26"/>
    <mergeCell ref="B25:R25"/>
    <mergeCell ref="A19:R19"/>
    <mergeCell ref="B18:R18"/>
    <mergeCell ref="B20:N20"/>
    <mergeCell ref="O20:R20"/>
    <mergeCell ref="B21:R21"/>
    <mergeCell ref="A10:R10"/>
    <mergeCell ref="B11:R11"/>
    <mergeCell ref="B16:N16"/>
    <mergeCell ref="O16:R16"/>
    <mergeCell ref="B17:N17"/>
    <mergeCell ref="O17:R17"/>
    <mergeCell ref="P8:R8"/>
    <mergeCell ref="D9:E9"/>
    <mergeCell ref="F9:G9"/>
    <mergeCell ref="H9:I9"/>
    <mergeCell ref="J9:K9"/>
    <mergeCell ref="P9:R9"/>
    <mergeCell ref="L8:M8"/>
    <mergeCell ref="L9:M9"/>
    <mergeCell ref="A7:R7"/>
    <mergeCell ref="A1:E6"/>
    <mergeCell ref="F1:P1"/>
    <mergeCell ref="Q1:R1"/>
    <mergeCell ref="F2:I2"/>
    <mergeCell ref="J2:L2"/>
    <mergeCell ref="M2:N2"/>
    <mergeCell ref="O2:P2"/>
    <mergeCell ref="Q2:R2"/>
    <mergeCell ref="J3:L3"/>
    <mergeCell ref="M3:N3"/>
    <mergeCell ref="O3:P3"/>
    <mergeCell ref="B9:C9"/>
    <mergeCell ref="B27:R27"/>
    <mergeCell ref="Q3:R3"/>
    <mergeCell ref="F4:H4"/>
    <mergeCell ref="I4:R4"/>
    <mergeCell ref="F3:G3"/>
    <mergeCell ref="H3:I3"/>
    <mergeCell ref="B8:C8"/>
    <mergeCell ref="D8:E8"/>
    <mergeCell ref="F8:G8"/>
    <mergeCell ref="H8:I8"/>
    <mergeCell ref="J8:K8"/>
    <mergeCell ref="F5:G5"/>
    <mergeCell ref="H5:R5"/>
    <mergeCell ref="F6:H6"/>
    <mergeCell ref="I6:R6"/>
  </mergeCells>
  <printOptions horizontalCentered="1"/>
  <pageMargins left="0.7" right="0.7" top="0.75" bottom="0.75" header="0.3" footer="0.3"/>
  <pageSetup paperSize="9" scale="83" firstPageNumber="18" orientation="portrait" r:id="rId1"/>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2682-D4BF-43CF-8A5C-6602C5BD9FC1}">
  <sheetPr codeName="Sheet32">
    <tabColor rgb="FF92D050"/>
    <pageSetUpPr fitToPage="1"/>
  </sheetPr>
  <dimension ref="A1:V55"/>
  <sheetViews>
    <sheetView topLeftCell="A24" zoomScale="115" zoomScaleNormal="115" workbookViewId="0">
      <selection activeCell="X8" sqref="X8"/>
    </sheetView>
  </sheetViews>
  <sheetFormatPr defaultColWidth="9.140625" defaultRowHeight="15"/>
  <cols>
    <col min="1" max="1" width="10.7109375" style="1" customWidth="1"/>
    <col min="2" max="22" width="4.28515625" style="1" customWidth="1"/>
    <col min="23" max="16384" width="9.140625" style="1"/>
  </cols>
  <sheetData>
    <row r="1" spans="1:22" s="5" customFormat="1" ht="15.75" customHeight="1">
      <c r="A1" s="132" t="e" vm="1">
        <v>#VALUE!</v>
      </c>
      <c r="B1" s="133"/>
      <c r="C1" s="133"/>
      <c r="D1" s="133"/>
      <c r="E1" s="134"/>
      <c r="F1" s="165" t="s">
        <v>213</v>
      </c>
      <c r="G1" s="166"/>
      <c r="H1" s="166"/>
      <c r="I1" s="166"/>
      <c r="J1" s="166"/>
      <c r="K1" s="166"/>
      <c r="L1" s="166"/>
      <c r="M1" s="166"/>
      <c r="N1" s="166"/>
      <c r="O1" s="166"/>
      <c r="P1" s="166"/>
      <c r="Q1" s="166"/>
      <c r="R1" s="166"/>
      <c r="S1" s="166"/>
      <c r="T1" s="203" t="s">
        <v>214</v>
      </c>
      <c r="U1" s="203"/>
      <c r="V1" s="204"/>
    </row>
    <row r="2" spans="1:22" s="5" customFormat="1" ht="15.75" customHeight="1">
      <c r="A2" s="135"/>
      <c r="B2" s="136"/>
      <c r="C2" s="136"/>
      <c r="D2" s="136"/>
      <c r="E2" s="137"/>
      <c r="F2" s="127" t="s">
        <v>215</v>
      </c>
      <c r="G2" s="101"/>
      <c r="H2" s="101"/>
      <c r="I2" s="101"/>
      <c r="J2" s="151" t="s">
        <v>216</v>
      </c>
      <c r="K2" s="152"/>
      <c r="L2" s="152"/>
      <c r="M2" s="127"/>
      <c r="N2" s="151" t="s">
        <v>217</v>
      </c>
      <c r="O2" s="152"/>
      <c r="P2" s="127"/>
      <c r="Q2" s="101" t="s">
        <v>13</v>
      </c>
      <c r="R2" s="101"/>
      <c r="S2" s="101"/>
      <c r="T2" s="101" t="s">
        <v>10</v>
      </c>
      <c r="U2" s="101"/>
      <c r="V2" s="102"/>
    </row>
    <row r="3" spans="1:22"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52"/>
      <c r="M3" s="127"/>
      <c r="N3" s="151" t="e">
        <f ca="1">VLOOKUP(F3,INDEX!B:J,5,0)</f>
        <v>#VALUE!</v>
      </c>
      <c r="O3" s="152"/>
      <c r="P3" s="127"/>
      <c r="Q3" s="105" t="e">
        <f ca="1">VLOOKUP(F3,INDEX!B:AF,17,0)</f>
        <v>#VALUE!</v>
      </c>
      <c r="R3" s="105"/>
      <c r="S3" s="105"/>
      <c r="T3" s="101" t="e">
        <f ca="1">VLOOKUP(F3,INDEX!B:J,9,0)</f>
        <v>#VALUE!</v>
      </c>
      <c r="U3" s="101"/>
      <c r="V3" s="102"/>
    </row>
    <row r="4" spans="1:22" s="5" customFormat="1" ht="15" customHeight="1">
      <c r="A4" s="135"/>
      <c r="B4" s="136"/>
      <c r="C4" s="136"/>
      <c r="D4" s="136"/>
      <c r="E4" s="137"/>
      <c r="F4" s="130" t="s">
        <v>218</v>
      </c>
      <c r="G4" s="131"/>
      <c r="H4" s="131"/>
      <c r="I4" s="212" t="e">
        <f ca="1">VLOOKUP(F3,INDEX!B:AF,18,0)</f>
        <v>#VALUE!</v>
      </c>
      <c r="J4" s="212"/>
      <c r="K4" s="212"/>
      <c r="L4" s="212"/>
      <c r="M4" s="212"/>
      <c r="N4" s="212"/>
      <c r="O4" s="212"/>
      <c r="P4" s="212"/>
      <c r="Q4" s="212"/>
      <c r="R4" s="212"/>
      <c r="S4" s="212"/>
      <c r="T4" s="212"/>
      <c r="U4" s="212"/>
      <c r="V4" s="213"/>
    </row>
    <row r="5" spans="1:22" s="5" customFormat="1" ht="13.9" customHeight="1">
      <c r="A5" s="135"/>
      <c r="B5" s="136"/>
      <c r="C5" s="136"/>
      <c r="D5" s="136"/>
      <c r="E5" s="137"/>
      <c r="F5" s="158" t="s">
        <v>219</v>
      </c>
      <c r="G5" s="158"/>
      <c r="H5" s="128"/>
      <c r="I5" s="211" t="e">
        <f ca="1">VLOOKUP(F3,INDEX!B:J,6,0)</f>
        <v>#VALUE!</v>
      </c>
      <c r="J5" s="159"/>
      <c r="K5" s="159"/>
      <c r="L5" s="159"/>
      <c r="M5" s="159"/>
      <c r="N5" s="159"/>
      <c r="O5" s="159"/>
      <c r="P5" s="159"/>
      <c r="Q5" s="159"/>
      <c r="R5" s="159"/>
      <c r="S5" s="159"/>
      <c r="T5" s="159"/>
      <c r="U5" s="159"/>
      <c r="V5" s="160"/>
    </row>
    <row r="6" spans="1:22" s="5" customFormat="1" ht="14.45" customHeight="1" thickBot="1">
      <c r="A6" s="138"/>
      <c r="B6" s="139"/>
      <c r="C6" s="139"/>
      <c r="D6" s="139"/>
      <c r="E6" s="140"/>
      <c r="F6" s="130" t="s">
        <v>220</v>
      </c>
      <c r="G6" s="131"/>
      <c r="H6" s="131"/>
      <c r="I6" s="198" t="e">
        <f ca="1">VLOOKUP(F3,INDEX!B:AF,16,0)</f>
        <v>#VALUE!</v>
      </c>
      <c r="J6" s="198"/>
      <c r="K6" s="198"/>
      <c r="L6" s="198"/>
      <c r="M6" s="198"/>
      <c r="N6" s="198"/>
      <c r="O6" s="198"/>
      <c r="P6" s="198"/>
      <c r="Q6" s="198"/>
      <c r="R6" s="198"/>
      <c r="S6" s="198"/>
      <c r="T6" s="198"/>
      <c r="U6" s="198"/>
      <c r="V6" s="199"/>
    </row>
    <row r="7" spans="1:22" s="5" customFormat="1" ht="14.45" customHeight="1">
      <c r="A7" s="200" t="s">
        <v>221</v>
      </c>
      <c r="B7" s="201"/>
      <c r="C7" s="201"/>
      <c r="D7" s="201"/>
      <c r="E7" s="201"/>
      <c r="F7" s="201"/>
      <c r="G7" s="201"/>
      <c r="H7" s="201"/>
      <c r="I7" s="201"/>
      <c r="J7" s="201"/>
      <c r="K7" s="201"/>
      <c r="L7" s="201"/>
      <c r="M7" s="201"/>
      <c r="N7" s="201"/>
      <c r="O7" s="201"/>
      <c r="P7" s="201"/>
      <c r="Q7" s="201"/>
      <c r="R7" s="201"/>
      <c r="S7" s="201"/>
      <c r="T7" s="201"/>
      <c r="U7" s="201"/>
      <c r="V7" s="202"/>
    </row>
    <row r="8" spans="1:22"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51" t="e">
        <f ca="1">VLOOKUP(F3,INDEX!B:AF,25,0)</f>
        <v>#VALUE!</v>
      </c>
      <c r="M8" s="127"/>
      <c r="N8" s="27"/>
      <c r="O8" s="28"/>
      <c r="P8" s="101" t="s">
        <v>223</v>
      </c>
      <c r="Q8" s="101"/>
      <c r="R8" s="101"/>
      <c r="S8" s="101"/>
      <c r="T8" s="101"/>
      <c r="U8" s="101"/>
      <c r="V8" s="102"/>
    </row>
    <row r="9" spans="1:22" s="3" customFormat="1">
      <c r="A9" s="67" t="s">
        <v>224</v>
      </c>
      <c r="B9" s="151" t="e">
        <f ca="1">VLOOKUP(F3,INDEX!B:Z,19,0)&amp;" to 38"</f>
        <v>#VALUE!</v>
      </c>
      <c r="C9" s="127"/>
      <c r="D9" s="151">
        <v>50</v>
      </c>
      <c r="E9" s="127"/>
      <c r="F9" s="151">
        <v>100</v>
      </c>
      <c r="G9" s="127"/>
      <c r="H9" s="151">
        <v>150</v>
      </c>
      <c r="I9" s="127"/>
      <c r="J9" s="151">
        <v>200</v>
      </c>
      <c r="K9" s="127"/>
      <c r="L9" s="151">
        <v>250</v>
      </c>
      <c r="M9" s="127"/>
      <c r="N9" s="29"/>
      <c r="O9" s="30"/>
      <c r="P9" s="101" t="e">
        <f ca="1">B8*1.5</f>
        <v>#VALUE!</v>
      </c>
      <c r="Q9" s="101"/>
      <c r="R9" s="101"/>
      <c r="S9" s="101"/>
      <c r="T9" s="101"/>
      <c r="U9" s="101"/>
      <c r="V9" s="102"/>
    </row>
    <row r="10" spans="1:22" s="3" customFormat="1">
      <c r="A10" s="208" t="s">
        <v>225</v>
      </c>
      <c r="B10" s="209"/>
      <c r="C10" s="209"/>
      <c r="D10" s="209"/>
      <c r="E10" s="209"/>
      <c r="F10" s="209"/>
      <c r="G10" s="209"/>
      <c r="H10" s="209"/>
      <c r="I10" s="209"/>
      <c r="J10" s="209"/>
      <c r="K10" s="209"/>
      <c r="L10" s="209"/>
      <c r="M10" s="209"/>
      <c r="N10" s="209"/>
      <c r="O10" s="209"/>
      <c r="P10" s="209"/>
      <c r="Q10" s="209"/>
      <c r="R10" s="209"/>
      <c r="S10" s="209"/>
      <c r="T10" s="209"/>
      <c r="U10" s="209"/>
      <c r="V10" s="210"/>
    </row>
    <row r="11" spans="1:22">
      <c r="A11" s="69" t="s">
        <v>226</v>
      </c>
      <c r="B11" s="109" t="s">
        <v>227</v>
      </c>
      <c r="C11" s="109"/>
      <c r="D11" s="109"/>
      <c r="E11" s="109"/>
      <c r="F11" s="109"/>
      <c r="G11" s="109"/>
      <c r="H11" s="109"/>
      <c r="I11" s="109"/>
      <c r="J11" s="109"/>
      <c r="K11" s="109"/>
      <c r="L11" s="109"/>
      <c r="M11" s="109"/>
      <c r="N11" s="109"/>
      <c r="O11" s="109"/>
      <c r="P11" s="109"/>
      <c r="Q11" s="109"/>
      <c r="R11" s="144"/>
      <c r="S11" s="35"/>
      <c r="T11" s="8"/>
      <c r="U11" s="8"/>
      <c r="V11" s="76"/>
    </row>
    <row r="12" spans="1:22"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17">
        <v>30</v>
      </c>
      <c r="V12" s="66">
        <v>32</v>
      </c>
    </row>
    <row r="13" spans="1:22"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17">
        <v>762</v>
      </c>
      <c r="V13" s="66">
        <v>812.8</v>
      </c>
    </row>
    <row r="14" spans="1:22" s="12" customFormat="1">
      <c r="A14" s="70" t="s">
        <v>230</v>
      </c>
      <c r="B14" s="17">
        <v>160</v>
      </c>
      <c r="C14" s="17">
        <v>160</v>
      </c>
      <c r="D14" s="17">
        <v>160</v>
      </c>
      <c r="E14" s="17">
        <v>160</v>
      </c>
      <c r="F14" s="17">
        <v>80</v>
      </c>
      <c r="G14" s="17">
        <v>80</v>
      </c>
      <c r="H14" s="17">
        <v>80</v>
      </c>
      <c r="I14" s="17">
        <v>80</v>
      </c>
      <c r="J14" s="17" t="s">
        <v>231</v>
      </c>
      <c r="K14" s="17" t="s">
        <v>231</v>
      </c>
      <c r="L14" s="17" t="s">
        <v>231</v>
      </c>
      <c r="M14" s="17" t="s">
        <v>231</v>
      </c>
      <c r="N14" s="17" t="s">
        <v>231</v>
      </c>
      <c r="O14" s="17" t="s">
        <v>231</v>
      </c>
      <c r="P14" s="17" t="s">
        <v>231</v>
      </c>
      <c r="Q14" s="17" t="s">
        <v>231</v>
      </c>
      <c r="R14" s="17" t="s">
        <v>231</v>
      </c>
      <c r="S14" s="17" t="s">
        <v>231</v>
      </c>
      <c r="T14" s="17" t="s">
        <v>231</v>
      </c>
      <c r="U14" s="17" t="s">
        <v>232</v>
      </c>
      <c r="V14" s="66" t="s">
        <v>232</v>
      </c>
    </row>
    <row r="15" spans="1:22" s="12" customFormat="1">
      <c r="A15" s="70" t="s">
        <v>233</v>
      </c>
      <c r="B15" s="17">
        <v>7.47</v>
      </c>
      <c r="C15" s="17">
        <v>5.56</v>
      </c>
      <c r="D15" s="17">
        <v>6.35</v>
      </c>
      <c r="E15" s="17">
        <v>7.14</v>
      </c>
      <c r="F15" s="17">
        <v>5.54</v>
      </c>
      <c r="G15" s="17">
        <v>7.62</v>
      </c>
      <c r="H15" s="17">
        <v>8.56</v>
      </c>
      <c r="I15" s="17">
        <v>10.97</v>
      </c>
      <c r="J15" s="17">
        <v>8.18</v>
      </c>
      <c r="K15" s="17">
        <v>9.27</v>
      </c>
      <c r="L15" s="17">
        <v>9.5299999999999994</v>
      </c>
      <c r="M15" s="17">
        <v>9.5299999999999994</v>
      </c>
      <c r="N15" s="17">
        <v>9.5299999999999994</v>
      </c>
      <c r="O15" s="17">
        <v>9.5299999999999994</v>
      </c>
      <c r="P15" s="17">
        <v>9.5299999999999994</v>
      </c>
      <c r="Q15" s="17">
        <v>9.5299999999999994</v>
      </c>
      <c r="R15" s="17">
        <v>9.5299999999999994</v>
      </c>
      <c r="S15" s="17">
        <v>9.5299999999999994</v>
      </c>
      <c r="T15" s="17">
        <v>9.5299999999999994</v>
      </c>
      <c r="U15" s="17">
        <v>12.7</v>
      </c>
      <c r="V15" s="66">
        <v>12.7</v>
      </c>
    </row>
    <row r="16" spans="1:22">
      <c r="A16" s="69" t="s">
        <v>234</v>
      </c>
      <c r="B16" s="109" t="s">
        <v>235</v>
      </c>
      <c r="C16" s="109"/>
      <c r="D16" s="109"/>
      <c r="E16" s="109"/>
      <c r="F16" s="109"/>
      <c r="G16" s="109"/>
      <c r="H16" s="109"/>
      <c r="I16" s="109"/>
      <c r="J16" s="109"/>
      <c r="K16" s="109"/>
      <c r="L16" s="109"/>
      <c r="M16" s="109"/>
      <c r="N16" s="109"/>
      <c r="O16" s="151" t="s">
        <v>236</v>
      </c>
      <c r="P16" s="152"/>
      <c r="Q16" s="152"/>
      <c r="R16" s="152"/>
      <c r="S16" s="152"/>
      <c r="T16" s="152"/>
      <c r="U16" s="152"/>
      <c r="V16" s="161"/>
    </row>
    <row r="17" spans="1:22" ht="15" customHeight="1">
      <c r="A17" s="69" t="s">
        <v>237</v>
      </c>
      <c r="B17" s="109" t="s">
        <v>238</v>
      </c>
      <c r="C17" s="109"/>
      <c r="D17" s="109"/>
      <c r="E17" s="109"/>
      <c r="F17" s="109"/>
      <c r="G17" s="109"/>
      <c r="H17" s="109"/>
      <c r="I17" s="109"/>
      <c r="J17" s="109"/>
      <c r="K17" s="109"/>
      <c r="L17" s="109"/>
      <c r="M17" s="109"/>
      <c r="N17" s="109"/>
      <c r="O17" s="195" t="s">
        <v>239</v>
      </c>
      <c r="P17" s="196"/>
      <c r="Q17" s="196"/>
      <c r="R17" s="196"/>
      <c r="S17" s="196"/>
      <c r="T17" s="196"/>
      <c r="U17" s="196"/>
      <c r="V17" s="197"/>
    </row>
    <row r="18" spans="1:22">
      <c r="A18" s="69" t="s">
        <v>240</v>
      </c>
      <c r="B18" s="144" t="s">
        <v>241</v>
      </c>
      <c r="C18" s="145"/>
      <c r="D18" s="145"/>
      <c r="E18" s="145"/>
      <c r="F18" s="145"/>
      <c r="G18" s="145"/>
      <c r="H18" s="145"/>
      <c r="I18" s="145"/>
      <c r="J18" s="145"/>
      <c r="K18" s="145"/>
      <c r="L18" s="145"/>
      <c r="M18" s="145"/>
      <c r="N18" s="145"/>
      <c r="O18" s="145"/>
      <c r="P18" s="145"/>
      <c r="Q18" s="145"/>
      <c r="R18" s="145"/>
      <c r="S18" s="145"/>
      <c r="T18" s="145"/>
      <c r="U18" s="145"/>
      <c r="V18" s="147"/>
    </row>
    <row r="19" spans="1:22" ht="13.9" customHeight="1">
      <c r="A19" s="148" t="s">
        <v>242</v>
      </c>
      <c r="B19" s="149"/>
      <c r="C19" s="149"/>
      <c r="D19" s="149"/>
      <c r="E19" s="149"/>
      <c r="F19" s="149"/>
      <c r="G19" s="149"/>
      <c r="H19" s="149"/>
      <c r="I19" s="149"/>
      <c r="J19" s="149"/>
      <c r="K19" s="149"/>
      <c r="L19" s="149"/>
      <c r="M19" s="149"/>
      <c r="N19" s="149"/>
      <c r="O19" s="149"/>
      <c r="P19" s="149"/>
      <c r="Q19" s="149"/>
      <c r="R19" s="149"/>
      <c r="S19" s="149"/>
      <c r="T19" s="149"/>
      <c r="U19" s="149"/>
      <c r="V19" s="150"/>
    </row>
    <row r="20" spans="1:22" ht="14.45" customHeight="1">
      <c r="A20" s="69" t="s">
        <v>234</v>
      </c>
      <c r="B20" s="144" t="s">
        <v>243</v>
      </c>
      <c r="C20" s="145"/>
      <c r="D20" s="145"/>
      <c r="E20" s="145"/>
      <c r="F20" s="145"/>
      <c r="G20" s="145"/>
      <c r="H20" s="145"/>
      <c r="I20" s="145"/>
      <c r="J20" s="145"/>
      <c r="K20" s="145"/>
      <c r="L20" s="145"/>
      <c r="M20" s="145"/>
      <c r="N20" s="146"/>
      <c r="O20" s="144" t="s">
        <v>321</v>
      </c>
      <c r="P20" s="145"/>
      <c r="Q20" s="145"/>
      <c r="R20" s="145"/>
      <c r="S20" s="145"/>
      <c r="T20" s="145"/>
      <c r="U20" s="145"/>
      <c r="V20" s="147"/>
    </row>
    <row r="21" spans="1:22" ht="15" customHeight="1">
      <c r="A21" s="69" t="s">
        <v>237</v>
      </c>
      <c r="B21" s="144" t="s">
        <v>245</v>
      </c>
      <c r="C21" s="145"/>
      <c r="D21" s="145"/>
      <c r="E21" s="145"/>
      <c r="F21" s="145"/>
      <c r="G21" s="145"/>
      <c r="H21" s="145"/>
      <c r="I21" s="145"/>
      <c r="J21" s="145"/>
      <c r="K21" s="145"/>
      <c r="L21" s="145"/>
      <c r="M21" s="145"/>
      <c r="N21" s="145"/>
      <c r="O21" s="145"/>
      <c r="P21" s="145"/>
      <c r="Q21" s="145"/>
      <c r="R21" s="145"/>
      <c r="S21" s="145"/>
      <c r="T21" s="145"/>
      <c r="U21" s="145"/>
      <c r="V21" s="147"/>
    </row>
    <row r="22" spans="1:22" ht="15" customHeight="1">
      <c r="A22" s="69" t="s">
        <v>246</v>
      </c>
      <c r="B22" s="144" t="s">
        <v>247</v>
      </c>
      <c r="C22" s="145"/>
      <c r="D22" s="145"/>
      <c r="E22" s="145"/>
      <c r="F22" s="145"/>
      <c r="G22" s="145"/>
      <c r="H22" s="145"/>
      <c r="I22" s="145"/>
      <c r="J22" s="145"/>
      <c r="K22" s="145"/>
      <c r="L22" s="145"/>
      <c r="M22" s="145"/>
      <c r="N22" s="145"/>
      <c r="O22" s="145"/>
      <c r="P22" s="145"/>
      <c r="Q22" s="145"/>
      <c r="R22" s="145"/>
      <c r="S22" s="145"/>
      <c r="T22" s="145"/>
      <c r="U22" s="145"/>
      <c r="V22" s="147"/>
    </row>
    <row r="23" spans="1:22" ht="15" customHeight="1">
      <c r="A23" s="69" t="s">
        <v>248</v>
      </c>
      <c r="B23" s="144" t="s">
        <v>247</v>
      </c>
      <c r="C23" s="145"/>
      <c r="D23" s="145"/>
      <c r="E23" s="145"/>
      <c r="F23" s="145"/>
      <c r="G23" s="145"/>
      <c r="H23" s="145"/>
      <c r="I23" s="145"/>
      <c r="J23" s="145"/>
      <c r="K23" s="145"/>
      <c r="L23" s="145"/>
      <c r="M23" s="145"/>
      <c r="N23" s="145"/>
      <c r="O23" s="145"/>
      <c r="P23" s="145"/>
      <c r="Q23" s="145"/>
      <c r="R23" s="145"/>
      <c r="S23" s="145"/>
      <c r="T23" s="145"/>
      <c r="U23" s="145"/>
      <c r="V23" s="147"/>
    </row>
    <row r="24" spans="1:22" ht="15" customHeight="1">
      <c r="A24" s="69" t="s">
        <v>249</v>
      </c>
      <c r="B24" s="144" t="s">
        <v>247</v>
      </c>
      <c r="C24" s="145"/>
      <c r="D24" s="145"/>
      <c r="E24" s="145"/>
      <c r="F24" s="145"/>
      <c r="G24" s="145"/>
      <c r="H24" s="145"/>
      <c r="I24" s="145"/>
      <c r="J24" s="145"/>
      <c r="K24" s="145"/>
      <c r="L24" s="145"/>
      <c r="M24" s="145"/>
      <c r="N24" s="145"/>
      <c r="O24" s="145"/>
      <c r="P24" s="145"/>
      <c r="Q24" s="145"/>
      <c r="R24" s="145"/>
      <c r="S24" s="145"/>
      <c r="T24" s="145"/>
      <c r="U24" s="145"/>
      <c r="V24" s="147"/>
    </row>
    <row r="25" spans="1:22" ht="15" customHeight="1">
      <c r="A25" s="69" t="s">
        <v>250</v>
      </c>
      <c r="B25" s="144" t="s">
        <v>247</v>
      </c>
      <c r="C25" s="145"/>
      <c r="D25" s="145"/>
      <c r="E25" s="145"/>
      <c r="F25" s="145"/>
      <c r="G25" s="145"/>
      <c r="H25" s="145"/>
      <c r="I25" s="145"/>
      <c r="J25" s="145"/>
      <c r="K25" s="145"/>
      <c r="L25" s="145"/>
      <c r="M25" s="145"/>
      <c r="N25" s="145"/>
      <c r="O25" s="145"/>
      <c r="P25" s="145"/>
      <c r="Q25" s="145"/>
      <c r="R25" s="145"/>
      <c r="S25" s="145"/>
      <c r="T25" s="145"/>
      <c r="U25" s="145"/>
      <c r="V25" s="147"/>
    </row>
    <row r="26" spans="1:22" ht="15" customHeight="1">
      <c r="A26" s="69" t="s">
        <v>251</v>
      </c>
      <c r="B26" s="151" t="s">
        <v>290</v>
      </c>
      <c r="C26" s="152"/>
      <c r="D26" s="152"/>
      <c r="E26" s="127"/>
      <c r="F26" s="144"/>
      <c r="G26" s="145"/>
      <c r="H26" s="145"/>
      <c r="I26" s="145"/>
      <c r="J26" s="145"/>
      <c r="K26" s="145"/>
      <c r="L26" s="145"/>
      <c r="M26" s="145"/>
      <c r="N26" s="145"/>
      <c r="O26" s="145"/>
      <c r="P26" s="145"/>
      <c r="Q26" s="145"/>
      <c r="R26" s="145"/>
      <c r="S26" s="145"/>
      <c r="T26" s="145"/>
      <c r="U26" s="145"/>
      <c r="V26" s="147"/>
    </row>
    <row r="27" spans="1:22" ht="15" customHeight="1">
      <c r="A27" s="69" t="s">
        <v>253</v>
      </c>
      <c r="B27" s="144" t="s">
        <v>254</v>
      </c>
      <c r="C27" s="145"/>
      <c r="D27" s="145"/>
      <c r="E27" s="145"/>
      <c r="F27" s="145"/>
      <c r="G27" s="145"/>
      <c r="H27" s="145"/>
      <c r="I27" s="145"/>
      <c r="J27" s="145"/>
      <c r="K27" s="145"/>
      <c r="L27" s="145"/>
      <c r="M27" s="145"/>
      <c r="N27" s="145"/>
      <c r="O27" s="145"/>
      <c r="P27" s="145"/>
      <c r="Q27" s="145"/>
      <c r="R27" s="145"/>
      <c r="S27" s="145"/>
      <c r="T27" s="145"/>
      <c r="U27" s="145"/>
      <c r="V27" s="147"/>
    </row>
    <row r="28" spans="1:22">
      <c r="A28" s="148" t="s">
        <v>255</v>
      </c>
      <c r="B28" s="145"/>
      <c r="C28" s="145"/>
      <c r="D28" s="145"/>
      <c r="E28" s="145"/>
      <c r="F28" s="145"/>
      <c r="G28" s="145"/>
      <c r="H28" s="145"/>
      <c r="I28" s="145"/>
      <c r="J28" s="145"/>
      <c r="K28" s="145"/>
      <c r="L28" s="145"/>
      <c r="M28" s="145"/>
      <c r="N28" s="145"/>
      <c r="O28" s="145"/>
      <c r="P28" s="145"/>
      <c r="Q28" s="145"/>
      <c r="R28" s="145"/>
      <c r="S28" s="145"/>
      <c r="T28" s="145"/>
      <c r="U28" s="145"/>
      <c r="V28" s="147"/>
    </row>
    <row r="29" spans="1:22">
      <c r="A29" s="69" t="s">
        <v>237</v>
      </c>
      <c r="B29" s="109" t="s">
        <v>256</v>
      </c>
      <c r="C29" s="109"/>
      <c r="D29" s="109"/>
      <c r="E29" s="109"/>
      <c r="F29" s="109"/>
      <c r="G29" s="109"/>
      <c r="H29" s="109"/>
      <c r="I29" s="109"/>
      <c r="J29" s="109"/>
      <c r="K29" s="109"/>
      <c r="L29" s="109"/>
      <c r="M29" s="109"/>
      <c r="N29" s="109"/>
      <c r="O29" s="109"/>
      <c r="P29" s="109"/>
      <c r="Q29" s="109"/>
      <c r="R29" s="109"/>
      <c r="S29" s="109"/>
      <c r="T29" s="109"/>
      <c r="U29" s="109"/>
      <c r="V29" s="110"/>
    </row>
    <row r="30" spans="1:22" s="5" customFormat="1" ht="13.9" customHeight="1">
      <c r="A30" s="69" t="s">
        <v>257</v>
      </c>
      <c r="B30" s="144" t="s">
        <v>258</v>
      </c>
      <c r="C30" s="145"/>
      <c r="D30" s="145"/>
      <c r="E30" s="145"/>
      <c r="F30" s="145"/>
      <c r="G30" s="145"/>
      <c r="H30" s="145"/>
      <c r="I30" s="145"/>
      <c r="J30" s="145"/>
      <c r="K30" s="145"/>
      <c r="L30" s="145"/>
      <c r="M30" s="145"/>
      <c r="N30" s="145"/>
      <c r="O30" s="145"/>
      <c r="P30" s="145"/>
      <c r="Q30" s="145"/>
      <c r="R30" s="145"/>
      <c r="S30" s="145"/>
      <c r="T30" s="145"/>
      <c r="U30" s="145"/>
      <c r="V30" s="147"/>
    </row>
    <row r="31" spans="1:22" ht="15" customHeight="1">
      <c r="A31" s="69" t="s">
        <v>234</v>
      </c>
      <c r="B31" s="144" t="s">
        <v>259</v>
      </c>
      <c r="C31" s="145"/>
      <c r="D31" s="145"/>
      <c r="E31" s="145"/>
      <c r="F31" s="145"/>
      <c r="G31" s="145"/>
      <c r="H31" s="145"/>
      <c r="I31" s="145"/>
      <c r="J31" s="145"/>
      <c r="K31" s="145"/>
      <c r="L31" s="145"/>
      <c r="M31" s="145"/>
      <c r="N31" s="145"/>
      <c r="O31" s="145"/>
      <c r="P31" s="145"/>
      <c r="Q31" s="145"/>
      <c r="R31" s="145"/>
      <c r="S31" s="145"/>
      <c r="T31" s="145"/>
      <c r="U31" s="145"/>
      <c r="V31" s="147"/>
    </row>
    <row r="32" spans="1:22" ht="14.45" customHeight="1">
      <c r="A32" s="148" t="s">
        <v>260</v>
      </c>
      <c r="B32" s="145"/>
      <c r="C32" s="145"/>
      <c r="D32" s="145"/>
      <c r="E32" s="145"/>
      <c r="F32" s="145"/>
      <c r="G32" s="145"/>
      <c r="H32" s="145"/>
      <c r="I32" s="145"/>
      <c r="J32" s="145"/>
      <c r="K32" s="145"/>
      <c r="L32" s="145"/>
      <c r="M32" s="145"/>
      <c r="N32" s="145"/>
      <c r="O32" s="145"/>
      <c r="P32" s="145"/>
      <c r="Q32" s="145"/>
      <c r="R32" s="145"/>
      <c r="S32" s="145"/>
      <c r="T32" s="145"/>
      <c r="U32" s="145"/>
      <c r="V32" s="147"/>
    </row>
    <row r="33" spans="1:22" ht="13.9" customHeight="1">
      <c r="A33" s="69" t="s">
        <v>237</v>
      </c>
      <c r="B33" s="205" t="s">
        <v>256</v>
      </c>
      <c r="C33" s="206"/>
      <c r="D33" s="206"/>
      <c r="E33" s="206"/>
      <c r="F33" s="206"/>
      <c r="G33" s="206"/>
      <c r="H33" s="206"/>
      <c r="I33" s="206"/>
      <c r="J33" s="206"/>
      <c r="K33" s="206"/>
      <c r="L33" s="206"/>
      <c r="M33" s="206"/>
      <c r="N33" s="206"/>
      <c r="O33" s="206"/>
      <c r="P33" s="206"/>
      <c r="Q33" s="206"/>
      <c r="R33" s="206"/>
      <c r="S33" s="206"/>
      <c r="T33" s="206"/>
      <c r="U33" s="206"/>
      <c r="V33" s="207"/>
    </row>
    <row r="34" spans="1:22" ht="15" customHeight="1">
      <c r="A34" s="69" t="s">
        <v>261</v>
      </c>
      <c r="B34" s="144" t="s">
        <v>262</v>
      </c>
      <c r="C34" s="145"/>
      <c r="D34" s="145"/>
      <c r="E34" s="145"/>
      <c r="F34" s="145"/>
      <c r="G34" s="145"/>
      <c r="H34" s="145"/>
      <c r="I34" s="145"/>
      <c r="J34" s="145"/>
      <c r="K34" s="145"/>
      <c r="L34" s="145"/>
      <c r="M34" s="146"/>
      <c r="N34" s="151" t="s">
        <v>263</v>
      </c>
      <c r="O34" s="152"/>
      <c r="P34" s="152"/>
      <c r="Q34" s="152"/>
      <c r="R34" s="152"/>
      <c r="S34" s="152"/>
      <c r="T34" s="152"/>
      <c r="U34" s="152"/>
      <c r="V34" s="161"/>
    </row>
    <row r="35" spans="1:22" ht="15" customHeight="1">
      <c r="A35" s="141" t="s">
        <v>264</v>
      </c>
      <c r="B35" s="142"/>
      <c r="C35" s="142"/>
      <c r="D35" s="142"/>
      <c r="E35" s="142"/>
      <c r="F35" s="142"/>
      <c r="G35" s="142"/>
      <c r="H35" s="142"/>
      <c r="I35" s="142"/>
      <c r="J35" s="142"/>
      <c r="K35" s="142"/>
      <c r="L35" s="142"/>
      <c r="M35" s="142"/>
      <c r="N35" s="142"/>
      <c r="O35" s="142"/>
      <c r="P35" s="142"/>
      <c r="Q35" s="142"/>
      <c r="R35" s="142"/>
      <c r="S35" s="142"/>
      <c r="T35" s="142"/>
      <c r="U35" s="142"/>
      <c r="V35" s="143"/>
    </row>
    <row r="36" spans="1:22" ht="13.9" customHeight="1">
      <c r="A36" s="69" t="s">
        <v>265</v>
      </c>
      <c r="B36" s="109" t="s">
        <v>266</v>
      </c>
      <c r="C36" s="109"/>
      <c r="D36" s="109"/>
      <c r="E36" s="109"/>
      <c r="F36" s="109"/>
      <c r="G36" s="109"/>
      <c r="H36" s="109"/>
      <c r="I36" s="109"/>
      <c r="J36" s="109"/>
      <c r="K36" s="109"/>
      <c r="L36" s="109"/>
      <c r="M36" s="109"/>
      <c r="N36" s="109"/>
      <c r="O36" s="109"/>
      <c r="P36" s="109"/>
      <c r="Q36" s="109"/>
      <c r="R36" s="109"/>
      <c r="S36" s="109"/>
      <c r="T36" s="109"/>
      <c r="U36" s="109"/>
      <c r="V36" s="110"/>
    </row>
    <row r="37" spans="1:22" ht="13.9" customHeight="1">
      <c r="A37" s="69" t="s">
        <v>267</v>
      </c>
      <c r="B37" s="109" t="s">
        <v>268</v>
      </c>
      <c r="C37" s="109"/>
      <c r="D37" s="109"/>
      <c r="E37" s="109"/>
      <c r="F37" s="109"/>
      <c r="G37" s="109"/>
      <c r="H37" s="109"/>
      <c r="I37" s="109"/>
      <c r="J37" s="109"/>
      <c r="K37" s="109"/>
      <c r="L37" s="109"/>
      <c r="M37" s="109"/>
      <c r="N37" s="109"/>
      <c r="O37" s="109"/>
      <c r="P37" s="109"/>
      <c r="Q37" s="109"/>
      <c r="R37" s="109"/>
      <c r="S37" s="109"/>
      <c r="T37" s="109"/>
      <c r="U37" s="109"/>
      <c r="V37" s="110"/>
    </row>
    <row r="38" spans="1:22" ht="15" customHeight="1">
      <c r="A38" s="69" t="s">
        <v>269</v>
      </c>
      <c r="B38" s="109" t="s">
        <v>270</v>
      </c>
      <c r="C38" s="109"/>
      <c r="D38" s="109"/>
      <c r="E38" s="109"/>
      <c r="F38" s="109"/>
      <c r="G38" s="109"/>
      <c r="H38" s="109"/>
      <c r="I38" s="109"/>
      <c r="J38" s="109"/>
      <c r="K38" s="109"/>
      <c r="L38" s="109"/>
      <c r="M38" s="109"/>
      <c r="N38" s="109"/>
      <c r="O38" s="109"/>
      <c r="P38" s="109"/>
      <c r="Q38" s="109"/>
      <c r="R38" s="109"/>
      <c r="S38" s="109"/>
      <c r="T38" s="109"/>
      <c r="U38" s="109"/>
      <c r="V38" s="110"/>
    </row>
    <row r="39" spans="1:22" ht="14.45" customHeight="1">
      <c r="A39" s="141" t="s">
        <v>271</v>
      </c>
      <c r="B39" s="142"/>
      <c r="C39" s="142"/>
      <c r="D39" s="142"/>
      <c r="E39" s="142"/>
      <c r="F39" s="142"/>
      <c r="G39" s="142"/>
      <c r="H39" s="142"/>
      <c r="I39" s="142"/>
      <c r="J39" s="142"/>
      <c r="K39" s="142"/>
      <c r="L39" s="142"/>
      <c r="M39" s="142"/>
      <c r="N39" s="142"/>
      <c r="O39" s="142"/>
      <c r="P39" s="142"/>
      <c r="Q39" s="142"/>
      <c r="R39" s="142"/>
      <c r="S39" s="142"/>
      <c r="T39" s="142"/>
      <c r="U39" s="142"/>
      <c r="V39" s="143"/>
    </row>
    <row r="40" spans="1:22">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09"/>
      <c r="V40" s="110"/>
    </row>
    <row r="41" spans="1:22"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09"/>
      <c r="V41" s="110"/>
    </row>
    <row r="42" spans="1:22"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09"/>
      <c r="V42" s="110"/>
    </row>
    <row r="43" spans="1:22"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09"/>
      <c r="V43" s="110"/>
    </row>
    <row r="44" spans="1:22"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5"/>
      <c r="V44" s="147"/>
    </row>
    <row r="45" spans="1:22" s="5" customFormat="1" ht="13.9" customHeight="1">
      <c r="A45" s="69"/>
      <c r="B45" s="109"/>
      <c r="C45" s="109"/>
      <c r="D45" s="109"/>
      <c r="E45" s="109"/>
      <c r="F45" s="109"/>
      <c r="G45" s="109"/>
      <c r="H45" s="109"/>
      <c r="I45" s="109"/>
      <c r="J45" s="109"/>
      <c r="K45" s="109"/>
      <c r="L45" s="109"/>
      <c r="M45" s="109"/>
      <c r="N45" s="109"/>
      <c r="O45" s="109"/>
      <c r="P45" s="109"/>
      <c r="Q45" s="109"/>
      <c r="R45" s="109"/>
      <c r="S45" s="109"/>
      <c r="T45" s="109"/>
      <c r="U45" s="109"/>
      <c r="V45" s="110"/>
    </row>
    <row r="46" spans="1:22" s="5" customFormat="1" ht="13.9" customHeight="1">
      <c r="A46" s="69"/>
      <c r="B46" s="109"/>
      <c r="C46" s="109"/>
      <c r="D46" s="109"/>
      <c r="E46" s="109"/>
      <c r="F46" s="109"/>
      <c r="G46" s="109"/>
      <c r="H46" s="109"/>
      <c r="I46" s="109"/>
      <c r="J46" s="109"/>
      <c r="K46" s="109"/>
      <c r="L46" s="109"/>
      <c r="M46" s="109"/>
      <c r="N46" s="109"/>
      <c r="O46" s="109"/>
      <c r="P46" s="109"/>
      <c r="Q46" s="109"/>
      <c r="R46" s="109"/>
      <c r="S46" s="109"/>
      <c r="T46" s="109"/>
      <c r="U46" s="109"/>
      <c r="V46" s="110"/>
    </row>
    <row r="47" spans="1:22" s="5" customFormat="1" ht="13.9" customHeight="1">
      <c r="A47" s="148" t="s">
        <v>278</v>
      </c>
      <c r="B47" s="149"/>
      <c r="C47" s="149"/>
      <c r="D47" s="149"/>
      <c r="E47" s="149"/>
      <c r="F47" s="149"/>
      <c r="G47" s="149"/>
      <c r="H47" s="149"/>
      <c r="I47" s="149"/>
      <c r="J47" s="149"/>
      <c r="K47" s="149"/>
      <c r="L47" s="149"/>
      <c r="M47" s="149"/>
      <c r="N47" s="149"/>
      <c r="O47" s="149"/>
      <c r="P47" s="149"/>
      <c r="Q47" s="149"/>
      <c r="R47" s="149"/>
      <c r="S47" s="149"/>
      <c r="T47" s="149"/>
      <c r="U47" s="149"/>
      <c r="V47" s="150"/>
    </row>
    <row r="48" spans="1:22" s="5" customFormat="1" ht="29.45" customHeight="1">
      <c r="A48" s="111" t="s">
        <v>279</v>
      </c>
      <c r="B48" s="112"/>
      <c r="C48" s="112"/>
      <c r="D48" s="112"/>
      <c r="E48" s="112"/>
      <c r="F48" s="112"/>
      <c r="G48" s="112"/>
      <c r="H48" s="112"/>
      <c r="I48" s="112"/>
      <c r="J48" s="112"/>
      <c r="K48" s="112"/>
      <c r="L48" s="112"/>
      <c r="M48" s="112"/>
      <c r="N48" s="112"/>
      <c r="O48" s="112"/>
      <c r="P48" s="112"/>
      <c r="Q48" s="112"/>
      <c r="R48" s="112"/>
      <c r="S48" s="112"/>
      <c r="T48" s="112"/>
      <c r="U48" s="112"/>
      <c r="V48" s="113"/>
    </row>
    <row r="49" spans="1:22" s="5" customFormat="1" ht="13.9" customHeight="1">
      <c r="A49" s="114" t="s">
        <v>280</v>
      </c>
      <c r="B49" s="115"/>
      <c r="C49" s="115"/>
      <c r="D49" s="115"/>
      <c r="E49" s="115"/>
      <c r="F49" s="115"/>
      <c r="G49" s="115"/>
      <c r="H49" s="115"/>
      <c r="I49" s="115"/>
      <c r="J49" s="115"/>
      <c r="K49" s="115"/>
      <c r="L49" s="115"/>
      <c r="M49" s="115"/>
      <c r="N49" s="115"/>
      <c r="O49" s="115"/>
      <c r="P49" s="115"/>
      <c r="Q49" s="115"/>
      <c r="R49" s="115"/>
      <c r="S49" s="115"/>
      <c r="T49" s="115"/>
      <c r="U49" s="115"/>
      <c r="V49" s="116"/>
    </row>
    <row r="50" spans="1:22" s="5" customFormat="1" ht="13.9" customHeight="1">
      <c r="A50" s="114" t="s">
        <v>281</v>
      </c>
      <c r="B50" s="115"/>
      <c r="C50" s="115"/>
      <c r="D50" s="115"/>
      <c r="E50" s="115"/>
      <c r="F50" s="115"/>
      <c r="G50" s="115"/>
      <c r="H50" s="115"/>
      <c r="I50" s="115"/>
      <c r="J50" s="115"/>
      <c r="K50" s="115"/>
      <c r="L50" s="115"/>
      <c r="M50" s="115"/>
      <c r="N50" s="115"/>
      <c r="O50" s="115"/>
      <c r="P50" s="115"/>
      <c r="Q50" s="115"/>
      <c r="R50" s="115"/>
      <c r="S50" s="115"/>
      <c r="T50" s="115"/>
      <c r="U50" s="115"/>
      <c r="V50" s="116"/>
    </row>
    <row r="51" spans="1:22" s="5" customFormat="1" ht="28.9" customHeight="1">
      <c r="A51" s="114" t="s">
        <v>282</v>
      </c>
      <c r="B51" s="115"/>
      <c r="C51" s="115"/>
      <c r="D51" s="115"/>
      <c r="E51" s="115"/>
      <c r="F51" s="115"/>
      <c r="G51" s="115"/>
      <c r="H51" s="115"/>
      <c r="I51" s="115"/>
      <c r="J51" s="115"/>
      <c r="K51" s="115"/>
      <c r="L51" s="115"/>
      <c r="M51" s="115"/>
      <c r="N51" s="115"/>
      <c r="O51" s="115"/>
      <c r="P51" s="115"/>
      <c r="Q51" s="115"/>
      <c r="R51" s="115"/>
      <c r="S51" s="115"/>
      <c r="T51" s="115"/>
      <c r="U51" s="115"/>
      <c r="V51" s="116"/>
    </row>
    <row r="52" spans="1:22" ht="28.15" customHeight="1">
      <c r="A52" s="114" t="s">
        <v>283</v>
      </c>
      <c r="B52" s="115"/>
      <c r="C52" s="115"/>
      <c r="D52" s="115"/>
      <c r="E52" s="115"/>
      <c r="F52" s="115"/>
      <c r="G52" s="115"/>
      <c r="H52" s="115"/>
      <c r="I52" s="115"/>
      <c r="J52" s="115"/>
      <c r="K52" s="115"/>
      <c r="L52" s="115"/>
      <c r="M52" s="115"/>
      <c r="N52" s="115"/>
      <c r="O52" s="115"/>
      <c r="P52" s="115"/>
      <c r="Q52" s="115"/>
      <c r="R52" s="115"/>
      <c r="S52" s="115"/>
      <c r="T52" s="115"/>
      <c r="U52" s="115"/>
      <c r="V52" s="116"/>
    </row>
    <row r="53" spans="1:22"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5"/>
      <c r="V53" s="116"/>
    </row>
    <row r="54" spans="1:22"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5"/>
      <c r="V54" s="116"/>
    </row>
    <row r="55" spans="1:22" ht="15.75" thickBot="1">
      <c r="A55" s="106"/>
      <c r="B55" s="107"/>
      <c r="C55" s="107"/>
      <c r="D55" s="107"/>
      <c r="E55" s="107"/>
      <c r="F55" s="107"/>
      <c r="G55" s="107"/>
      <c r="H55" s="107"/>
      <c r="I55" s="107"/>
      <c r="J55" s="107"/>
      <c r="K55" s="107"/>
      <c r="L55" s="107"/>
      <c r="M55" s="107"/>
      <c r="N55" s="107"/>
      <c r="O55" s="107"/>
      <c r="P55" s="107"/>
      <c r="Q55" s="107"/>
      <c r="R55" s="107"/>
      <c r="S55" s="107"/>
      <c r="T55" s="107"/>
      <c r="U55" s="107"/>
      <c r="V55" s="108"/>
    </row>
  </sheetData>
  <mergeCells count="83">
    <mergeCell ref="P9:V9"/>
    <mergeCell ref="A10:V10"/>
    <mergeCell ref="I5:V5"/>
    <mergeCell ref="F5:H5"/>
    <mergeCell ref="Q2:S2"/>
    <mergeCell ref="Q3:S3"/>
    <mergeCell ref="N2:P2"/>
    <mergeCell ref="N3:P3"/>
    <mergeCell ref="J2:M2"/>
    <mergeCell ref="J3:M3"/>
    <mergeCell ref="T2:V2"/>
    <mergeCell ref="T3:V3"/>
    <mergeCell ref="J8:K8"/>
    <mergeCell ref="I4:V4"/>
    <mergeCell ref="F3:G3"/>
    <mergeCell ref="H3:I3"/>
    <mergeCell ref="B43:V43"/>
    <mergeCell ref="B44:E44"/>
    <mergeCell ref="F44:V44"/>
    <mergeCell ref="B45:V45"/>
    <mergeCell ref="B29:V29"/>
    <mergeCell ref="B31:V31"/>
    <mergeCell ref="A32:V32"/>
    <mergeCell ref="A52:V52"/>
    <mergeCell ref="A54:V54"/>
    <mergeCell ref="A53:V53"/>
    <mergeCell ref="A49:V49"/>
    <mergeCell ref="A50:V50"/>
    <mergeCell ref="A51:V51"/>
    <mergeCell ref="A47:V47"/>
    <mergeCell ref="B46:V46"/>
    <mergeCell ref="A48:V48"/>
    <mergeCell ref="B26:E26"/>
    <mergeCell ref="B33:V33"/>
    <mergeCell ref="B34:M34"/>
    <mergeCell ref="N34:V34"/>
    <mergeCell ref="A35:V35"/>
    <mergeCell ref="B36:V36"/>
    <mergeCell ref="B37:V37"/>
    <mergeCell ref="B38:V38"/>
    <mergeCell ref="A39:V39"/>
    <mergeCell ref="B40:V40"/>
    <mergeCell ref="B41:V41"/>
    <mergeCell ref="B42:V42"/>
    <mergeCell ref="A28:V28"/>
    <mergeCell ref="O16:V16"/>
    <mergeCell ref="O17:V17"/>
    <mergeCell ref="B16:N16"/>
    <mergeCell ref="B17:N17"/>
    <mergeCell ref="F4:H4"/>
    <mergeCell ref="D8:E8"/>
    <mergeCell ref="F8:G8"/>
    <mergeCell ref="H8:I8"/>
    <mergeCell ref="I6:V6"/>
    <mergeCell ref="A7:V7"/>
    <mergeCell ref="P8:V8"/>
    <mergeCell ref="F6:H6"/>
    <mergeCell ref="A1:E6"/>
    <mergeCell ref="F2:I2"/>
    <mergeCell ref="F1:S1"/>
    <mergeCell ref="T1:V1"/>
    <mergeCell ref="B27:V27"/>
    <mergeCell ref="F26:V26"/>
    <mergeCell ref="B18:V18"/>
    <mergeCell ref="A19:V19"/>
    <mergeCell ref="B23:V23"/>
    <mergeCell ref="B24:V24"/>
    <mergeCell ref="A55:V55"/>
    <mergeCell ref="L8:M8"/>
    <mergeCell ref="L9:M9"/>
    <mergeCell ref="B9:C9"/>
    <mergeCell ref="B30:V30"/>
    <mergeCell ref="D9:E9"/>
    <mergeCell ref="F9:G9"/>
    <mergeCell ref="H9:I9"/>
    <mergeCell ref="J9:K9"/>
    <mergeCell ref="B8:C8"/>
    <mergeCell ref="B20:N20"/>
    <mergeCell ref="O20:V20"/>
    <mergeCell ref="B21:V21"/>
    <mergeCell ref="B22:V22"/>
    <mergeCell ref="B11:R11"/>
    <mergeCell ref="B25:V25"/>
  </mergeCells>
  <printOptions horizontalCentered="1"/>
  <pageMargins left="0.7" right="0.7" top="0.75" bottom="0.75" header="0.3" footer="0.3"/>
  <pageSetup paperSize="9" scale="88" firstPageNumber="18" orientation="portrait" r:id="rId1"/>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5674-59EF-4EFF-AA51-76C1F35456CA}">
  <sheetPr codeName="Sheet146">
    <tabColor rgb="FF92D050"/>
    <pageSetUpPr fitToPage="1"/>
  </sheetPr>
  <dimension ref="A1:R55"/>
  <sheetViews>
    <sheetView workbookViewId="0">
      <selection activeCell="X23" sqref="W22:X23"/>
    </sheetView>
  </sheetViews>
  <sheetFormatPr defaultColWidth="9.140625" defaultRowHeight="15"/>
  <cols>
    <col min="1" max="1" width="10.7109375" style="1" customWidth="1"/>
    <col min="2" max="22" width="5.28515625" style="1" customWidth="1"/>
    <col min="23" max="16384" width="9.140625" style="1"/>
  </cols>
  <sheetData>
    <row r="1" spans="1:18" s="5" customFormat="1" ht="15.75" customHeight="1">
      <c r="A1" s="132" t="e" vm="1">
        <v>#VALUE!</v>
      </c>
      <c r="B1" s="133"/>
      <c r="C1" s="133"/>
      <c r="D1" s="133"/>
      <c r="E1" s="134"/>
      <c r="F1" s="214" t="s">
        <v>213</v>
      </c>
      <c r="G1" s="215"/>
      <c r="H1" s="215"/>
      <c r="I1" s="215"/>
      <c r="J1" s="215"/>
      <c r="K1" s="215"/>
      <c r="L1" s="215"/>
      <c r="M1" s="215"/>
      <c r="N1" s="215"/>
      <c r="O1" s="215"/>
      <c r="P1" s="215"/>
      <c r="Q1" s="203" t="s">
        <v>214</v>
      </c>
      <c r="R1" s="20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51" t="e">
        <f ca="1">VLOOKUP(F3,INDEX!B:AF,25,0)</f>
        <v>#VALUE!</v>
      </c>
      <c r="M8" s="127"/>
      <c r="N8" s="27"/>
      <c r="O8" s="28"/>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51">
        <v>250</v>
      </c>
      <c r="M9" s="127"/>
      <c r="N9" s="29"/>
      <c r="O9" s="30"/>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v>80</v>
      </c>
      <c r="G14" s="17">
        <v>80</v>
      </c>
      <c r="H14" s="17">
        <v>80</v>
      </c>
      <c r="I14" s="17">
        <v>80</v>
      </c>
      <c r="J14" s="17">
        <v>40</v>
      </c>
      <c r="K14" s="17">
        <v>40</v>
      </c>
      <c r="L14" s="17">
        <v>40</v>
      </c>
      <c r="M14" s="17">
        <v>40</v>
      </c>
      <c r="N14" s="17">
        <v>40</v>
      </c>
      <c r="O14" s="17">
        <v>40</v>
      </c>
      <c r="P14" s="17">
        <v>40</v>
      </c>
      <c r="Q14" s="17" t="s">
        <v>174</v>
      </c>
      <c r="R14" s="66">
        <v>40</v>
      </c>
    </row>
    <row r="15" spans="1:18" s="12" customFormat="1">
      <c r="A15" s="70" t="s">
        <v>233</v>
      </c>
      <c r="B15" s="17">
        <v>7.47</v>
      </c>
      <c r="C15" s="17">
        <v>5.56</v>
      </c>
      <c r="D15" s="17">
        <v>6.35</v>
      </c>
      <c r="E15" s="17">
        <v>7.14</v>
      </c>
      <c r="F15" s="17">
        <v>5.54</v>
      </c>
      <c r="G15" s="17">
        <v>7.62</v>
      </c>
      <c r="H15" s="17">
        <v>8.56</v>
      </c>
      <c r="I15" s="17">
        <v>10.97</v>
      </c>
      <c r="J15" s="17">
        <v>8.18</v>
      </c>
      <c r="K15" s="17">
        <v>9.27</v>
      </c>
      <c r="L15" s="17">
        <v>10.31</v>
      </c>
      <c r="M15" s="17">
        <v>11.1</v>
      </c>
      <c r="N15" s="17">
        <v>12.7</v>
      </c>
      <c r="O15" s="17">
        <v>14.27</v>
      </c>
      <c r="P15" s="17">
        <v>15.1</v>
      </c>
      <c r="Q15" s="17">
        <v>15.88</v>
      </c>
      <c r="R15" s="66">
        <v>17.47</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c r="A17" s="69" t="s">
        <v>237</v>
      </c>
      <c r="B17" s="144" t="s">
        <v>238</v>
      </c>
      <c r="C17" s="145"/>
      <c r="D17" s="145"/>
      <c r="E17" s="145"/>
      <c r="F17" s="145"/>
      <c r="G17" s="145"/>
      <c r="H17" s="145"/>
      <c r="I17" s="145"/>
      <c r="J17" s="145"/>
      <c r="K17" s="145"/>
      <c r="L17" s="145"/>
      <c r="M17" s="145"/>
      <c r="N17" s="146"/>
      <c r="O17" s="151" t="s">
        <v>288</v>
      </c>
      <c r="P17" s="152"/>
      <c r="Q17" s="152"/>
      <c r="R17" s="161"/>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5" customHeight="1">
      <c r="A19" s="117" t="s">
        <v>242</v>
      </c>
      <c r="B19" s="109"/>
      <c r="C19" s="109"/>
      <c r="D19" s="109"/>
      <c r="E19" s="109"/>
      <c r="F19" s="109"/>
      <c r="G19" s="109"/>
      <c r="H19" s="109"/>
      <c r="I19" s="109"/>
      <c r="J19" s="109"/>
      <c r="K19" s="109"/>
      <c r="L19" s="109"/>
      <c r="M19" s="109"/>
      <c r="N19" s="109"/>
      <c r="O19" s="109"/>
      <c r="P19" s="109"/>
      <c r="Q19" s="109"/>
      <c r="R19" s="110"/>
    </row>
    <row r="20" spans="1:18" ht="29.45" customHeight="1">
      <c r="A20" s="69" t="s">
        <v>234</v>
      </c>
      <c r="B20" s="144" t="s">
        <v>322</v>
      </c>
      <c r="C20" s="145"/>
      <c r="D20" s="145"/>
      <c r="E20" s="145"/>
      <c r="F20" s="145"/>
      <c r="G20" s="145"/>
      <c r="H20" s="145"/>
      <c r="I20" s="145"/>
      <c r="J20" s="145"/>
      <c r="K20" s="145"/>
      <c r="L20" s="145"/>
      <c r="M20" s="145"/>
      <c r="N20" s="146"/>
      <c r="O20" s="144" t="s">
        <v>244</v>
      </c>
      <c r="P20" s="145"/>
      <c r="Q20" s="145"/>
      <c r="R20" s="147"/>
    </row>
    <row r="21" spans="1:18" ht="15" customHeight="1">
      <c r="A21" s="69" t="s">
        <v>237</v>
      </c>
      <c r="B21" s="144" t="s">
        <v>245</v>
      </c>
      <c r="C21" s="145"/>
      <c r="D21" s="145"/>
      <c r="E21" s="145"/>
      <c r="F21" s="145"/>
      <c r="G21" s="145"/>
      <c r="H21" s="145"/>
      <c r="I21" s="145"/>
      <c r="J21" s="145"/>
      <c r="K21" s="145"/>
      <c r="L21" s="145"/>
      <c r="M21" s="146"/>
      <c r="N21" s="144" t="s">
        <v>289</v>
      </c>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c r="P27" s="145"/>
      <c r="Q27" s="145"/>
      <c r="R27" s="147"/>
    </row>
    <row r="28" spans="1:18" s="5" customFormat="1">
      <c r="A28" s="117" t="s">
        <v>255</v>
      </c>
      <c r="B28" s="109"/>
      <c r="C28" s="109"/>
      <c r="D28" s="109"/>
      <c r="E28" s="109"/>
      <c r="F28" s="109"/>
      <c r="G28" s="109"/>
      <c r="H28" s="109"/>
      <c r="I28" s="109"/>
      <c r="J28" s="109"/>
      <c r="K28" s="109"/>
      <c r="L28" s="109"/>
      <c r="M28" s="109"/>
      <c r="N28" s="109"/>
      <c r="O28" s="109"/>
      <c r="P28" s="109"/>
      <c r="Q28" s="109"/>
      <c r="R28" s="110"/>
    </row>
    <row r="29" spans="1:18" s="5" customFormat="1" ht="13.9" customHeight="1">
      <c r="A29" s="69" t="s">
        <v>237</v>
      </c>
      <c r="B29" s="144" t="s">
        <v>256</v>
      </c>
      <c r="C29" s="145"/>
      <c r="D29" s="145"/>
      <c r="E29" s="145"/>
      <c r="F29" s="145"/>
      <c r="G29" s="145"/>
      <c r="H29" s="145"/>
      <c r="I29" s="145"/>
      <c r="J29" s="145"/>
      <c r="K29" s="145"/>
      <c r="L29" s="145"/>
      <c r="M29" s="145"/>
      <c r="N29" s="145"/>
      <c r="O29" s="145"/>
      <c r="P29" s="145"/>
      <c r="Q29" s="145"/>
      <c r="R29" s="147"/>
    </row>
    <row r="30" spans="1:18" s="5" customFormat="1" ht="13.9" customHeight="1">
      <c r="A30" s="69" t="s">
        <v>257</v>
      </c>
      <c r="B30" s="144" t="s">
        <v>291</v>
      </c>
      <c r="C30" s="145"/>
      <c r="D30" s="145"/>
      <c r="E30" s="145"/>
      <c r="F30" s="145"/>
      <c r="G30" s="145"/>
      <c r="H30" s="145"/>
      <c r="I30" s="145"/>
      <c r="J30" s="145"/>
      <c r="K30" s="145"/>
      <c r="L30" s="145"/>
      <c r="M30" s="145"/>
      <c r="N30" s="145"/>
      <c r="O30" s="145"/>
      <c r="P30" s="145"/>
      <c r="Q30" s="145"/>
      <c r="R30" s="147"/>
    </row>
    <row r="31" spans="1:18" s="5" customFormat="1" ht="13.9" customHeight="1">
      <c r="A31" s="69" t="s">
        <v>234</v>
      </c>
      <c r="B31" s="144" t="s">
        <v>292</v>
      </c>
      <c r="C31" s="145"/>
      <c r="D31" s="145"/>
      <c r="E31" s="145"/>
      <c r="F31" s="145"/>
      <c r="G31" s="145"/>
      <c r="H31" s="145"/>
      <c r="I31" s="145"/>
      <c r="J31" s="145"/>
      <c r="K31" s="145"/>
      <c r="L31" s="145"/>
      <c r="M31" s="145"/>
      <c r="N31" s="145"/>
      <c r="O31" s="145"/>
      <c r="P31" s="145"/>
      <c r="Q31" s="145"/>
      <c r="R31" s="147"/>
    </row>
    <row r="32" spans="1:18" s="5" customFormat="1">
      <c r="A32" s="117" t="s">
        <v>260</v>
      </c>
      <c r="B32" s="109"/>
      <c r="C32" s="109"/>
      <c r="D32" s="109"/>
      <c r="E32" s="109"/>
      <c r="F32" s="109"/>
      <c r="G32" s="109"/>
      <c r="H32" s="109"/>
      <c r="I32" s="109"/>
      <c r="J32" s="109"/>
      <c r="K32" s="109"/>
      <c r="L32" s="109"/>
      <c r="M32" s="109"/>
      <c r="N32" s="109"/>
      <c r="O32" s="109"/>
      <c r="P32" s="109"/>
      <c r="Q32" s="109"/>
      <c r="R32" s="110"/>
    </row>
    <row r="33" spans="1:18" s="5" customFormat="1">
      <c r="A33" s="69" t="s">
        <v>237</v>
      </c>
      <c r="B33" s="109" t="s">
        <v>256</v>
      </c>
      <c r="C33" s="109"/>
      <c r="D33" s="109"/>
      <c r="E33" s="109"/>
      <c r="F33" s="109"/>
      <c r="G33" s="109"/>
      <c r="H33" s="109"/>
      <c r="I33" s="109"/>
      <c r="J33" s="109"/>
      <c r="K33" s="109"/>
      <c r="L33" s="109"/>
      <c r="M33" s="109"/>
      <c r="N33" s="109"/>
      <c r="O33" s="109"/>
      <c r="P33" s="109"/>
      <c r="Q33" s="109"/>
      <c r="R33" s="110"/>
    </row>
    <row r="34" spans="1:18" s="5" customFormat="1"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s="5" customFormat="1" ht="13.9" customHeight="1">
      <c r="A35" s="141" t="s">
        <v>264</v>
      </c>
      <c r="B35" s="142"/>
      <c r="C35" s="142"/>
      <c r="D35" s="142"/>
      <c r="E35" s="142"/>
      <c r="F35" s="142"/>
      <c r="G35" s="142"/>
      <c r="H35" s="142"/>
      <c r="I35" s="142"/>
      <c r="J35" s="142"/>
      <c r="K35" s="142"/>
      <c r="L35" s="142"/>
      <c r="M35" s="142"/>
      <c r="N35" s="142"/>
      <c r="O35" s="142"/>
      <c r="P35" s="142"/>
      <c r="Q35" s="142"/>
      <c r="R35" s="143"/>
    </row>
    <row r="36" spans="1:18" s="5" customFormat="1" ht="13.9" customHeight="1">
      <c r="A36" s="69" t="s">
        <v>265</v>
      </c>
      <c r="B36" s="109" t="s">
        <v>266</v>
      </c>
      <c r="C36" s="109"/>
      <c r="D36" s="109"/>
      <c r="E36" s="109"/>
      <c r="F36" s="109"/>
      <c r="G36" s="109"/>
      <c r="H36" s="109"/>
      <c r="I36" s="109"/>
      <c r="J36" s="109"/>
      <c r="K36" s="109"/>
      <c r="L36" s="109"/>
      <c r="M36" s="109"/>
      <c r="N36" s="109"/>
      <c r="O36" s="109"/>
      <c r="P36" s="109"/>
      <c r="Q36" s="109"/>
      <c r="R36" s="110"/>
    </row>
    <row r="37" spans="1:18" s="5" customFormat="1" ht="13.9" customHeight="1">
      <c r="A37" s="69" t="s">
        <v>267</v>
      </c>
      <c r="B37" s="109" t="s">
        <v>268</v>
      </c>
      <c r="C37" s="109"/>
      <c r="D37" s="109"/>
      <c r="E37" s="109"/>
      <c r="F37" s="109"/>
      <c r="G37" s="109"/>
      <c r="H37" s="109"/>
      <c r="I37" s="109"/>
      <c r="J37" s="109"/>
      <c r="K37" s="109"/>
      <c r="L37" s="109"/>
      <c r="M37" s="109"/>
      <c r="N37" s="109"/>
      <c r="O37" s="109"/>
      <c r="P37" s="109"/>
      <c r="Q37" s="109"/>
      <c r="R37" s="110"/>
    </row>
    <row r="38" spans="1:18" s="5" customFormat="1" ht="13.9" customHeight="1">
      <c r="A38" s="69" t="s">
        <v>269</v>
      </c>
      <c r="B38" s="109" t="s">
        <v>270</v>
      </c>
      <c r="C38" s="109"/>
      <c r="D38" s="109"/>
      <c r="E38" s="109"/>
      <c r="F38" s="109"/>
      <c r="G38" s="109"/>
      <c r="H38" s="109"/>
      <c r="I38" s="109"/>
      <c r="J38" s="109"/>
      <c r="K38" s="109"/>
      <c r="L38" s="109"/>
      <c r="M38" s="109"/>
      <c r="N38" s="109"/>
      <c r="O38" s="109"/>
      <c r="P38" s="109"/>
      <c r="Q38" s="109"/>
      <c r="R38" s="110"/>
    </row>
    <row r="39" spans="1:18" s="5"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18"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s="5" customFormat="1" ht="13.9" customHeight="1">
      <c r="A45" s="69"/>
      <c r="B45" s="109"/>
      <c r="C45" s="109"/>
      <c r="D45" s="109"/>
      <c r="E45" s="109"/>
      <c r="F45" s="109"/>
      <c r="G45" s="109"/>
      <c r="H45" s="109"/>
      <c r="I45" s="109"/>
      <c r="J45" s="109"/>
      <c r="K45" s="109"/>
      <c r="L45" s="109"/>
      <c r="M45" s="109"/>
      <c r="N45" s="109"/>
      <c r="O45" s="109"/>
      <c r="P45" s="109"/>
      <c r="Q45" s="109"/>
      <c r="R45" s="110"/>
    </row>
    <row r="46" spans="1:18" s="5" customFormat="1" ht="13.9" customHeight="1">
      <c r="A46" s="69"/>
      <c r="B46" s="109"/>
      <c r="C46" s="109"/>
      <c r="D46" s="109"/>
      <c r="E46" s="109"/>
      <c r="F46" s="109"/>
      <c r="G46" s="109"/>
      <c r="H46" s="109"/>
      <c r="I46" s="109"/>
      <c r="J46" s="109"/>
      <c r="K46" s="109"/>
      <c r="L46" s="109"/>
      <c r="M46" s="109"/>
      <c r="N46" s="109"/>
      <c r="O46" s="109"/>
      <c r="P46" s="109"/>
      <c r="Q46" s="109"/>
      <c r="R46" s="110"/>
    </row>
    <row r="47" spans="1:18" s="5" customFormat="1">
      <c r="A47" s="148" t="s">
        <v>278</v>
      </c>
      <c r="B47" s="149"/>
      <c r="C47" s="149"/>
      <c r="D47" s="149"/>
      <c r="E47" s="149"/>
      <c r="F47" s="149"/>
      <c r="G47" s="149"/>
      <c r="H47" s="149"/>
      <c r="I47" s="149"/>
      <c r="J47" s="149"/>
      <c r="K47" s="149"/>
      <c r="L47" s="149"/>
      <c r="M47" s="149"/>
      <c r="N47" s="149"/>
      <c r="O47" s="149"/>
      <c r="P47" s="149"/>
      <c r="Q47" s="149"/>
      <c r="R47" s="150"/>
    </row>
    <row r="48" spans="1:18" s="5" customFormat="1" ht="28.1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ht="14.45" customHeight="1">
      <c r="A49" s="114" t="s">
        <v>280</v>
      </c>
      <c r="B49" s="115"/>
      <c r="C49" s="115"/>
      <c r="D49" s="115"/>
      <c r="E49" s="115"/>
      <c r="F49" s="115"/>
      <c r="G49" s="115"/>
      <c r="H49" s="115"/>
      <c r="I49" s="115"/>
      <c r="J49" s="115"/>
      <c r="K49" s="115"/>
      <c r="L49" s="115"/>
      <c r="M49" s="115"/>
      <c r="N49" s="115"/>
      <c r="O49" s="115"/>
      <c r="P49" s="115"/>
      <c r="Q49" s="115"/>
      <c r="R49" s="116"/>
    </row>
    <row r="50" spans="1:18" s="5" customFormat="1" ht="14.45" customHeight="1">
      <c r="A50" s="114" t="s">
        <v>281</v>
      </c>
      <c r="B50" s="115"/>
      <c r="C50" s="115"/>
      <c r="D50" s="115"/>
      <c r="E50" s="115"/>
      <c r="F50" s="115"/>
      <c r="G50" s="115"/>
      <c r="H50" s="115"/>
      <c r="I50" s="115"/>
      <c r="J50" s="115"/>
      <c r="K50" s="115"/>
      <c r="L50" s="115"/>
      <c r="M50" s="115"/>
      <c r="N50" s="115"/>
      <c r="O50" s="115"/>
      <c r="P50" s="115"/>
      <c r="Q50" s="115"/>
      <c r="R50" s="116"/>
    </row>
    <row r="51" spans="1:18" s="5" customFormat="1" ht="28.9" customHeight="1">
      <c r="A51" s="114" t="s">
        <v>282</v>
      </c>
      <c r="B51" s="115"/>
      <c r="C51" s="115"/>
      <c r="D51" s="115"/>
      <c r="E51" s="115"/>
      <c r="F51" s="115"/>
      <c r="G51" s="115"/>
      <c r="H51" s="115"/>
      <c r="I51" s="115"/>
      <c r="J51" s="115"/>
      <c r="K51" s="115"/>
      <c r="L51" s="115"/>
      <c r="M51" s="115"/>
      <c r="N51" s="115"/>
      <c r="O51" s="115"/>
      <c r="P51" s="115"/>
      <c r="Q51" s="115"/>
      <c r="R51" s="116"/>
    </row>
    <row r="52" spans="1:18" s="5" customFormat="1" ht="26.4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ht="14.45" customHeight="1">
      <c r="A53" s="114" t="s">
        <v>284</v>
      </c>
      <c r="B53" s="115"/>
      <c r="C53" s="115"/>
      <c r="D53" s="115"/>
      <c r="E53" s="115"/>
      <c r="F53" s="115"/>
      <c r="G53" s="115"/>
      <c r="H53" s="115"/>
      <c r="I53" s="115"/>
      <c r="J53" s="115"/>
      <c r="K53" s="115"/>
      <c r="L53" s="115"/>
      <c r="M53" s="115"/>
      <c r="N53" s="115"/>
      <c r="O53" s="115"/>
      <c r="P53" s="115"/>
      <c r="Q53" s="115"/>
      <c r="R53" s="116"/>
    </row>
    <row r="54" spans="1:18" s="5" customFormat="1">
      <c r="A54" s="114" t="s">
        <v>285</v>
      </c>
      <c r="B54" s="115"/>
      <c r="C54" s="115"/>
      <c r="D54" s="115"/>
      <c r="E54" s="115"/>
      <c r="F54" s="115"/>
      <c r="G54" s="115"/>
      <c r="H54" s="115"/>
      <c r="I54" s="115"/>
      <c r="J54" s="115"/>
      <c r="K54" s="115"/>
      <c r="L54" s="115"/>
      <c r="M54" s="115"/>
      <c r="N54" s="115"/>
      <c r="O54" s="115"/>
      <c r="P54" s="115"/>
      <c r="Q54" s="115"/>
      <c r="R54" s="116"/>
    </row>
    <row r="55" spans="1:18" s="5" customFormat="1" ht="15.75" thickBot="1">
      <c r="A55" s="177"/>
      <c r="B55" s="178"/>
      <c r="C55" s="178"/>
      <c r="D55" s="178"/>
      <c r="E55" s="178"/>
      <c r="F55" s="178"/>
      <c r="G55" s="178"/>
      <c r="H55" s="178"/>
      <c r="I55" s="178"/>
      <c r="J55" s="178"/>
      <c r="K55" s="178"/>
      <c r="L55" s="178"/>
      <c r="M55" s="178"/>
      <c r="N55" s="178"/>
      <c r="O55" s="178"/>
      <c r="P55" s="178"/>
      <c r="Q55" s="178"/>
      <c r="R55" s="179"/>
    </row>
  </sheetData>
  <mergeCells count="84">
    <mergeCell ref="A55:R55"/>
    <mergeCell ref="A50:R50"/>
    <mergeCell ref="A51:R51"/>
    <mergeCell ref="A52:R52"/>
    <mergeCell ref="A39:R39"/>
    <mergeCell ref="B41:R41"/>
    <mergeCell ref="B42:R42"/>
    <mergeCell ref="B43:R43"/>
    <mergeCell ref="B44:E44"/>
    <mergeCell ref="F44:R44"/>
    <mergeCell ref="B46:R46"/>
    <mergeCell ref="A48:R48"/>
    <mergeCell ref="A49:R49"/>
    <mergeCell ref="A53:R53"/>
    <mergeCell ref="A54:R54"/>
    <mergeCell ref="B34:L34"/>
    <mergeCell ref="M34:R34"/>
    <mergeCell ref="A35:R35"/>
    <mergeCell ref="B40:R40"/>
    <mergeCell ref="B38:R38"/>
    <mergeCell ref="B37:R37"/>
    <mergeCell ref="B29:R29"/>
    <mergeCell ref="B30:R30"/>
    <mergeCell ref="A47:R47"/>
    <mergeCell ref="B45:R45"/>
    <mergeCell ref="B11:R11"/>
    <mergeCell ref="B23:R23"/>
    <mergeCell ref="B16:N16"/>
    <mergeCell ref="O16:R16"/>
    <mergeCell ref="O17:R17"/>
    <mergeCell ref="B18:R18"/>
    <mergeCell ref="A19:R19"/>
    <mergeCell ref="B17:N17"/>
    <mergeCell ref="B20:N20"/>
    <mergeCell ref="O20:R20"/>
    <mergeCell ref="B21:M21"/>
    <mergeCell ref="N21:R21"/>
    <mergeCell ref="A32:R32"/>
    <mergeCell ref="B33:R33"/>
    <mergeCell ref="B36:R36"/>
    <mergeCell ref="F4:H4"/>
    <mergeCell ref="I4:R4"/>
    <mergeCell ref="B26:E26"/>
    <mergeCell ref="F26:R26"/>
    <mergeCell ref="B27:R27"/>
    <mergeCell ref="B22:R22"/>
    <mergeCell ref="B25:R25"/>
    <mergeCell ref="A28:R28"/>
    <mergeCell ref="B24:R2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M3:N3"/>
    <mergeCell ref="O3:P3"/>
    <mergeCell ref="Q3:R3"/>
    <mergeCell ref="L8:M8"/>
    <mergeCell ref="L9:M9"/>
    <mergeCell ref="B9:C9"/>
    <mergeCell ref="A10:R10"/>
    <mergeCell ref="B31:R31"/>
    <mergeCell ref="P8:R8"/>
    <mergeCell ref="D9:E9"/>
    <mergeCell ref="F9:G9"/>
    <mergeCell ref="H9:I9"/>
    <mergeCell ref="J9:K9"/>
    <mergeCell ref="P9:R9"/>
    <mergeCell ref="B8:C8"/>
    <mergeCell ref="D8:E8"/>
    <mergeCell ref="F8:G8"/>
    <mergeCell ref="H8:I8"/>
    <mergeCell ref="J8:K8"/>
  </mergeCells>
  <printOptions horizontalCentered="1"/>
  <pageMargins left="0.7" right="0.7" top="0.75" bottom="0.75" header="0.3" footer="0.3"/>
  <pageSetup paperSize="9" scale="88" firstPageNumber="18" orientation="portrait" r:id="rId1"/>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D5165-E0B1-42F0-BD92-F61519D89CFA}">
  <sheetPr codeName="Sheet148">
    <tabColor rgb="FF92D050"/>
    <pageSetUpPr fitToPage="1"/>
  </sheetPr>
  <dimension ref="A1:R55"/>
  <sheetViews>
    <sheetView workbookViewId="0">
      <selection activeCell="X23" sqref="W22:X23"/>
    </sheetView>
  </sheetViews>
  <sheetFormatPr defaultColWidth="9.140625" defaultRowHeight="15"/>
  <cols>
    <col min="1" max="1" width="10.7109375" style="5" customWidth="1"/>
    <col min="2" max="22" width="5.28515625" style="5" customWidth="1"/>
    <col min="23" max="16384" width="9.140625" style="5"/>
  </cols>
  <sheetData>
    <row r="1" spans="1:18" ht="15.75" customHeight="1">
      <c r="A1" s="132" t="e" vm="1">
        <v>#VALUE!</v>
      </c>
      <c r="B1" s="133"/>
      <c r="C1" s="133"/>
      <c r="D1" s="133"/>
      <c r="E1" s="134"/>
      <c r="F1" s="214" t="s">
        <v>213</v>
      </c>
      <c r="G1" s="215"/>
      <c r="H1" s="215"/>
      <c r="I1" s="215"/>
      <c r="J1" s="215"/>
      <c r="K1" s="215"/>
      <c r="L1" s="215"/>
      <c r="M1" s="215"/>
      <c r="N1" s="215"/>
      <c r="O1" s="215"/>
      <c r="P1" s="215"/>
      <c r="Q1" s="203" t="s">
        <v>214</v>
      </c>
      <c r="R1" s="20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51" t="e">
        <f ca="1">VLOOKUP(F3,INDEX!B:AF,25,0)</f>
        <v>#VALUE!</v>
      </c>
      <c r="M8" s="127"/>
      <c r="N8" s="27"/>
      <c r="O8" s="28"/>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51">
        <v>250</v>
      </c>
      <c r="M9" s="127"/>
      <c r="N9" s="29"/>
      <c r="O9" s="30"/>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v>160</v>
      </c>
      <c r="C14" s="17">
        <v>160</v>
      </c>
      <c r="D14" s="17">
        <v>160</v>
      </c>
      <c r="E14" s="17">
        <v>160</v>
      </c>
      <c r="F14" s="17">
        <v>160</v>
      </c>
      <c r="G14" s="17">
        <v>80</v>
      </c>
      <c r="H14" s="17">
        <v>80</v>
      </c>
      <c r="I14" s="17">
        <v>80</v>
      </c>
      <c r="J14" s="17">
        <v>80</v>
      </c>
      <c r="K14" s="17">
        <v>80</v>
      </c>
      <c r="L14" s="17">
        <v>80</v>
      </c>
      <c r="M14" s="17">
        <v>80</v>
      </c>
      <c r="N14" s="17">
        <v>80</v>
      </c>
      <c r="O14" s="17">
        <v>80</v>
      </c>
      <c r="P14" s="17">
        <v>80</v>
      </c>
      <c r="Q14" s="17">
        <v>80</v>
      </c>
      <c r="R14" s="66">
        <v>80</v>
      </c>
    </row>
    <row r="15" spans="1:18" s="3" customFormat="1">
      <c r="A15" s="70" t="s">
        <v>233</v>
      </c>
      <c r="B15" s="17">
        <v>7.47</v>
      </c>
      <c r="C15" s="17">
        <v>5.56</v>
      </c>
      <c r="D15" s="17">
        <v>6.35</v>
      </c>
      <c r="E15" s="17">
        <v>7.14</v>
      </c>
      <c r="F15" s="17">
        <v>8.74</v>
      </c>
      <c r="G15" s="17">
        <v>7.62</v>
      </c>
      <c r="H15" s="17">
        <v>8.56</v>
      </c>
      <c r="I15" s="17">
        <v>10.97</v>
      </c>
      <c r="J15" s="17">
        <v>12.7</v>
      </c>
      <c r="K15" s="17">
        <v>15.08</v>
      </c>
      <c r="L15" s="17">
        <v>17.47</v>
      </c>
      <c r="M15" s="17">
        <v>19.05</v>
      </c>
      <c r="N15" s="17">
        <v>21.44</v>
      </c>
      <c r="O15" s="17">
        <v>23.82</v>
      </c>
      <c r="P15" s="17">
        <v>26.19</v>
      </c>
      <c r="Q15" s="17">
        <v>28.57</v>
      </c>
      <c r="R15" s="66">
        <v>30.96</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s="1" customFormat="1" ht="13.9" customHeight="1">
      <c r="A17" s="69" t="s">
        <v>237</v>
      </c>
      <c r="B17" s="144" t="s">
        <v>238</v>
      </c>
      <c r="C17" s="145"/>
      <c r="D17" s="145"/>
      <c r="E17" s="145"/>
      <c r="F17" s="145"/>
      <c r="G17" s="145"/>
      <c r="H17" s="145"/>
      <c r="I17" s="145"/>
      <c r="J17" s="145"/>
      <c r="K17" s="146"/>
      <c r="L17" s="144" t="s">
        <v>295</v>
      </c>
      <c r="M17" s="145"/>
      <c r="N17" s="146"/>
      <c r="O17" s="151" t="s">
        <v>288</v>
      </c>
      <c r="P17" s="152"/>
      <c r="Q17" s="152"/>
      <c r="R17" s="161"/>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17" t="s">
        <v>242</v>
      </c>
      <c r="B19" s="109"/>
      <c r="C19" s="109"/>
      <c r="D19" s="109"/>
      <c r="E19" s="109"/>
      <c r="F19" s="109"/>
      <c r="G19" s="109"/>
      <c r="H19" s="109"/>
      <c r="I19" s="109"/>
      <c r="J19" s="109"/>
      <c r="K19" s="109"/>
      <c r="L19" s="109"/>
      <c r="M19" s="109"/>
      <c r="N19" s="109"/>
      <c r="O19" s="109"/>
      <c r="P19" s="109"/>
      <c r="Q19" s="109"/>
      <c r="R19" s="110"/>
    </row>
    <row r="20" spans="1:18" ht="30.6"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296</v>
      </c>
      <c r="C21" s="145"/>
      <c r="D21" s="145"/>
      <c r="E21" s="145"/>
      <c r="F21" s="145"/>
      <c r="G21" s="145"/>
      <c r="H21" s="145"/>
      <c r="I21" s="145"/>
      <c r="J21" s="145"/>
      <c r="K21" s="146"/>
      <c r="L21" s="144" t="s">
        <v>297</v>
      </c>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t="s">
        <v>323</v>
      </c>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256</v>
      </c>
      <c r="C29" s="145"/>
      <c r="D29" s="145"/>
      <c r="E29" s="145"/>
      <c r="F29" s="145"/>
      <c r="G29" s="145"/>
      <c r="H29" s="145"/>
      <c r="I29" s="145"/>
      <c r="J29" s="145"/>
      <c r="K29" s="145"/>
      <c r="L29" s="145"/>
      <c r="M29" s="145"/>
      <c r="N29" s="145"/>
      <c r="O29" s="145"/>
      <c r="P29" s="145"/>
      <c r="Q29" s="145"/>
      <c r="R29" s="147"/>
    </row>
    <row r="30" spans="1:18" ht="13.9" customHeight="1">
      <c r="A30" s="69" t="s">
        <v>257</v>
      </c>
      <c r="B30" s="144" t="s">
        <v>298</v>
      </c>
      <c r="C30" s="145"/>
      <c r="D30" s="145"/>
      <c r="E30" s="145"/>
      <c r="F30" s="145"/>
      <c r="G30" s="145"/>
      <c r="H30" s="145"/>
      <c r="I30" s="145"/>
      <c r="J30" s="145"/>
      <c r="K30" s="145"/>
      <c r="L30" s="145"/>
      <c r="M30" s="145"/>
      <c r="N30" s="145"/>
      <c r="O30" s="145"/>
      <c r="P30" s="145"/>
      <c r="Q30" s="145"/>
      <c r="R30" s="147"/>
    </row>
    <row r="31" spans="1:18" ht="13.9" customHeight="1">
      <c r="A31" s="69" t="s">
        <v>234</v>
      </c>
      <c r="B31" s="144" t="s">
        <v>292</v>
      </c>
      <c r="C31" s="145"/>
      <c r="D31" s="145"/>
      <c r="E31" s="145"/>
      <c r="F31" s="145"/>
      <c r="G31" s="145"/>
      <c r="H31" s="145"/>
      <c r="I31" s="145"/>
      <c r="J31" s="145"/>
      <c r="K31" s="145"/>
      <c r="L31" s="145"/>
      <c r="M31" s="145"/>
      <c r="N31" s="145"/>
      <c r="O31" s="145"/>
      <c r="P31" s="145"/>
      <c r="Q31" s="145"/>
      <c r="R31" s="147"/>
    </row>
    <row r="32" spans="1:18">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256</v>
      </c>
      <c r="C33" s="109"/>
      <c r="D33" s="109"/>
      <c r="E33" s="109"/>
      <c r="F33" s="109"/>
      <c r="G33" s="109"/>
      <c r="H33" s="109"/>
      <c r="I33" s="109"/>
      <c r="J33" s="109"/>
      <c r="K33" s="109"/>
      <c r="L33" s="109"/>
      <c r="M33" s="109"/>
      <c r="N33" s="109"/>
      <c r="O33" s="109"/>
      <c r="P33" s="109"/>
      <c r="Q33" s="109"/>
      <c r="R33" s="110"/>
    </row>
    <row r="34" spans="1:18"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ht="13.9" customHeight="1">
      <c r="A35" s="141" t="s">
        <v>264</v>
      </c>
      <c r="B35" s="142"/>
      <c r="C35" s="142"/>
      <c r="D35" s="142"/>
      <c r="E35" s="142"/>
      <c r="F35" s="142"/>
      <c r="G35" s="142"/>
      <c r="H35" s="142"/>
      <c r="I35" s="142"/>
      <c r="J35" s="142"/>
      <c r="K35" s="142"/>
      <c r="L35" s="142"/>
      <c r="M35" s="142"/>
      <c r="N35" s="142"/>
      <c r="O35" s="142"/>
      <c r="P35" s="142"/>
      <c r="Q35" s="142"/>
      <c r="R35" s="143"/>
    </row>
    <row r="36" spans="1:18" ht="13.9" customHeight="1">
      <c r="A36" s="69" t="s">
        <v>265</v>
      </c>
      <c r="B36" s="109" t="s">
        <v>266</v>
      </c>
      <c r="C36" s="109"/>
      <c r="D36" s="109"/>
      <c r="E36" s="109"/>
      <c r="F36" s="109"/>
      <c r="G36" s="109"/>
      <c r="H36" s="109"/>
      <c r="I36" s="109"/>
      <c r="J36" s="109"/>
      <c r="K36" s="109"/>
      <c r="L36" s="109"/>
      <c r="M36" s="109"/>
      <c r="N36" s="109"/>
      <c r="O36" s="109"/>
      <c r="P36" s="109"/>
      <c r="Q36" s="109"/>
      <c r="R36" s="110"/>
    </row>
    <row r="37" spans="1:18" ht="13.9" customHeight="1">
      <c r="A37" s="69" t="s">
        <v>267</v>
      </c>
      <c r="B37" s="109" t="s">
        <v>268</v>
      </c>
      <c r="C37" s="109"/>
      <c r="D37" s="109"/>
      <c r="E37" s="109"/>
      <c r="F37" s="109"/>
      <c r="G37" s="109"/>
      <c r="H37" s="109"/>
      <c r="I37" s="109"/>
      <c r="J37" s="109"/>
      <c r="K37" s="109"/>
      <c r="L37" s="109"/>
      <c r="M37" s="109"/>
      <c r="N37" s="109"/>
      <c r="O37" s="109"/>
      <c r="P37" s="109"/>
      <c r="Q37" s="109"/>
      <c r="R37" s="110"/>
    </row>
    <row r="38" spans="1:18" ht="13.9" customHeight="1">
      <c r="A38" s="69" t="s">
        <v>269</v>
      </c>
      <c r="B38" s="109" t="s">
        <v>270</v>
      </c>
      <c r="C38" s="109"/>
      <c r="D38" s="109"/>
      <c r="E38" s="109"/>
      <c r="F38" s="109"/>
      <c r="G38" s="109"/>
      <c r="H38" s="109"/>
      <c r="I38" s="109"/>
      <c r="J38" s="109"/>
      <c r="K38" s="109"/>
      <c r="L38" s="109"/>
      <c r="M38" s="109"/>
      <c r="N38" s="109"/>
      <c r="O38" s="109"/>
      <c r="P38" s="109"/>
      <c r="Q38" s="109"/>
      <c r="R38" s="110"/>
    </row>
    <row r="39" spans="1:18" ht="13.9" customHeight="1">
      <c r="A39" s="141" t="s">
        <v>271</v>
      </c>
      <c r="B39" s="142"/>
      <c r="C39" s="142"/>
      <c r="D39" s="142"/>
      <c r="E39" s="142"/>
      <c r="F39" s="142"/>
      <c r="G39" s="142"/>
      <c r="H39" s="142"/>
      <c r="I39" s="142"/>
      <c r="J39" s="142"/>
      <c r="K39" s="142"/>
      <c r="L39" s="142"/>
      <c r="M39" s="142"/>
      <c r="N39" s="142"/>
      <c r="O39" s="142"/>
      <c r="P39" s="142"/>
      <c r="Q39" s="142"/>
      <c r="R39" s="143"/>
    </row>
    <row r="40" spans="1:18"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ht="13.9" customHeight="1">
      <c r="A45" s="69"/>
      <c r="B45" s="109"/>
      <c r="C45" s="109"/>
      <c r="D45" s="109"/>
      <c r="E45" s="109"/>
      <c r="F45" s="109"/>
      <c r="G45" s="109"/>
      <c r="H45" s="109"/>
      <c r="I45" s="109"/>
      <c r="J45" s="109"/>
      <c r="K45" s="109"/>
      <c r="L45" s="109"/>
      <c r="M45" s="109"/>
      <c r="N45" s="109"/>
      <c r="O45" s="109"/>
      <c r="P45" s="109"/>
      <c r="Q45" s="109"/>
      <c r="R45" s="110"/>
    </row>
    <row r="46" spans="1:18" ht="13.9" customHeight="1">
      <c r="A46" s="69"/>
      <c r="B46" s="109"/>
      <c r="C46" s="109"/>
      <c r="D46" s="109"/>
      <c r="E46" s="109"/>
      <c r="F46" s="109"/>
      <c r="G46" s="109"/>
      <c r="H46" s="109"/>
      <c r="I46" s="109"/>
      <c r="J46" s="109"/>
      <c r="K46" s="109"/>
      <c r="L46" s="109"/>
      <c r="M46" s="109"/>
      <c r="N46" s="109"/>
      <c r="O46" s="109"/>
      <c r="P46" s="109"/>
      <c r="Q46" s="109"/>
      <c r="R46" s="110"/>
    </row>
    <row r="47" spans="1:18">
      <c r="A47" s="148" t="s">
        <v>278</v>
      </c>
      <c r="B47" s="149"/>
      <c r="C47" s="149"/>
      <c r="D47" s="149"/>
      <c r="E47" s="149"/>
      <c r="F47" s="149"/>
      <c r="G47" s="149"/>
      <c r="H47" s="149"/>
      <c r="I47" s="149"/>
      <c r="J47" s="149"/>
      <c r="K47" s="149"/>
      <c r="L47" s="149"/>
      <c r="M47" s="149"/>
      <c r="N47" s="149"/>
      <c r="O47" s="149"/>
      <c r="P47" s="149"/>
      <c r="Q47" s="149"/>
      <c r="R47" s="150"/>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282</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5">
    <mergeCell ref="A53:R53"/>
    <mergeCell ref="A54:R54"/>
    <mergeCell ref="A55:R55"/>
    <mergeCell ref="B45:R45"/>
    <mergeCell ref="B43:R43"/>
    <mergeCell ref="B44:E44"/>
    <mergeCell ref="F44:R44"/>
    <mergeCell ref="A48:R48"/>
    <mergeCell ref="A49:R49"/>
    <mergeCell ref="A52:R52"/>
    <mergeCell ref="B46:R46"/>
    <mergeCell ref="A19:R19"/>
    <mergeCell ref="B20:N20"/>
    <mergeCell ref="O20:R20"/>
    <mergeCell ref="B11:R11"/>
    <mergeCell ref="B16:N16"/>
    <mergeCell ref="O16:R16"/>
    <mergeCell ref="O17:R17"/>
    <mergeCell ref="B18:R18"/>
    <mergeCell ref="B17:K17"/>
    <mergeCell ref="L17:N17"/>
    <mergeCell ref="B21:K21"/>
    <mergeCell ref="A28:R28"/>
    <mergeCell ref="B23:R23"/>
    <mergeCell ref="B24:R24"/>
    <mergeCell ref="B25:R25"/>
    <mergeCell ref="B26:E26"/>
    <mergeCell ref="F26:R26"/>
    <mergeCell ref="B27:R27"/>
    <mergeCell ref="L21:R21"/>
    <mergeCell ref="B22:R22"/>
    <mergeCell ref="B29:R29"/>
    <mergeCell ref="B30:R30"/>
    <mergeCell ref="B31:R31"/>
    <mergeCell ref="A32:R32"/>
    <mergeCell ref="B33:R33"/>
    <mergeCell ref="B34:L34"/>
    <mergeCell ref="M34:R34"/>
    <mergeCell ref="A35:R35"/>
    <mergeCell ref="A50:R50"/>
    <mergeCell ref="A51:R51"/>
    <mergeCell ref="A47:R47"/>
    <mergeCell ref="B37:R37"/>
    <mergeCell ref="B38:R38"/>
    <mergeCell ref="B36:R36"/>
    <mergeCell ref="A39:R39"/>
    <mergeCell ref="B40:R40"/>
    <mergeCell ref="B41:R41"/>
    <mergeCell ref="B42:R42"/>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10:R10"/>
    <mergeCell ref="P8:R8"/>
    <mergeCell ref="D9:E9"/>
    <mergeCell ref="F9:G9"/>
    <mergeCell ref="H9:I9"/>
    <mergeCell ref="J9:K9"/>
    <mergeCell ref="P9:R9"/>
    <mergeCell ref="B8:C8"/>
    <mergeCell ref="D8:E8"/>
    <mergeCell ref="F8:G8"/>
    <mergeCell ref="H8:I8"/>
    <mergeCell ref="J8:K8"/>
    <mergeCell ref="L8:M8"/>
    <mergeCell ref="L9:M9"/>
    <mergeCell ref="B9:C9"/>
  </mergeCells>
  <printOptions horizontalCentered="1"/>
  <pageMargins left="0.7" right="0.7" top="0.75" bottom="0.75" header="0.3" footer="0.3"/>
  <pageSetup paperSize="9" scale="88" firstPageNumber="18" orientation="portrait" r:id="rId1"/>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EDB70-87F6-4D74-B65B-42FF522B7974}">
  <sheetPr codeName="Sheet150">
    <tabColor rgb="FF92D050"/>
    <pageSetUpPr fitToPage="1"/>
  </sheetPr>
  <dimension ref="A1:R57"/>
  <sheetViews>
    <sheetView topLeftCell="A30" workbookViewId="0">
      <selection activeCell="X23" sqref="W22:X23"/>
    </sheetView>
  </sheetViews>
  <sheetFormatPr defaultColWidth="9.140625" defaultRowHeight="15"/>
  <cols>
    <col min="1" max="1" width="10.7109375" style="5" customWidth="1"/>
    <col min="2" max="22" width="5.28515625" style="5" customWidth="1"/>
    <col min="23" max="16384" width="9.140625" style="5"/>
  </cols>
  <sheetData>
    <row r="1" spans="1:18" ht="15.75" customHeight="1">
      <c r="A1" s="132" t="e" vm="1">
        <v>#VALUE!</v>
      </c>
      <c r="B1" s="133"/>
      <c r="C1" s="133"/>
      <c r="D1" s="133"/>
      <c r="E1" s="134"/>
      <c r="F1" s="214" t="s">
        <v>213</v>
      </c>
      <c r="G1" s="215"/>
      <c r="H1" s="215"/>
      <c r="I1" s="215"/>
      <c r="J1" s="215"/>
      <c r="K1" s="215"/>
      <c r="L1" s="215"/>
      <c r="M1" s="215"/>
      <c r="N1" s="215"/>
      <c r="O1" s="215"/>
      <c r="P1" s="215"/>
      <c r="Q1" s="203" t="s">
        <v>214</v>
      </c>
      <c r="R1" s="20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51" t="e">
        <f ca="1">VLOOKUP(F3,INDEX!B:AF,25,0)</f>
        <v>#VALUE!</v>
      </c>
      <c r="M8" s="127"/>
      <c r="N8" s="27"/>
      <c r="O8" s="28"/>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51">
        <v>250</v>
      </c>
      <c r="M9" s="127"/>
      <c r="N9" s="29"/>
      <c r="O9" s="30"/>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v>
      </c>
      <c r="I13" s="17">
        <v>168.3</v>
      </c>
      <c r="J13" s="17">
        <v>219</v>
      </c>
      <c r="K13" s="17">
        <v>273.10000000000002</v>
      </c>
      <c r="L13" s="17">
        <v>323.89999999999998</v>
      </c>
      <c r="M13" s="17">
        <v>355.6</v>
      </c>
      <c r="N13" s="17">
        <v>406.4</v>
      </c>
      <c r="O13" s="17">
        <v>457</v>
      </c>
      <c r="P13" s="17">
        <v>508</v>
      </c>
      <c r="Q13" s="17">
        <v>559</v>
      </c>
      <c r="R13" s="66">
        <v>610</v>
      </c>
    </row>
    <row r="14" spans="1:18" s="3" customFormat="1">
      <c r="A14" s="70" t="s">
        <v>230</v>
      </c>
      <c r="B14" s="17">
        <v>160</v>
      </c>
      <c r="C14" s="17">
        <v>160</v>
      </c>
      <c r="D14" s="17">
        <v>160</v>
      </c>
      <c r="E14" s="17">
        <v>160</v>
      </c>
      <c r="F14" s="17">
        <v>160</v>
      </c>
      <c r="G14" s="17">
        <v>160</v>
      </c>
      <c r="H14" s="17">
        <v>120</v>
      </c>
      <c r="I14" s="17">
        <v>120</v>
      </c>
      <c r="J14" s="17">
        <v>120</v>
      </c>
      <c r="K14" s="17">
        <v>120</v>
      </c>
      <c r="L14" s="17">
        <v>120</v>
      </c>
      <c r="M14" s="17">
        <v>120</v>
      </c>
      <c r="N14" s="17">
        <v>120</v>
      </c>
      <c r="O14" s="17">
        <v>120</v>
      </c>
      <c r="P14" s="17">
        <v>120</v>
      </c>
      <c r="Q14" s="17">
        <v>120</v>
      </c>
      <c r="R14" s="66">
        <v>120</v>
      </c>
    </row>
    <row r="15" spans="1:18" s="3" customFormat="1">
      <c r="A15" s="70" t="s">
        <v>233</v>
      </c>
      <c r="B15" s="17">
        <v>7.47</v>
      </c>
      <c r="C15" s="17">
        <v>5.56</v>
      </c>
      <c r="D15" s="17">
        <v>6.35</v>
      </c>
      <c r="E15" s="17">
        <v>7.14</v>
      </c>
      <c r="F15" s="17">
        <v>8.6999999999999993</v>
      </c>
      <c r="G15" s="17">
        <v>11.12</v>
      </c>
      <c r="H15" s="17">
        <v>11.1</v>
      </c>
      <c r="I15" s="17">
        <v>14.27</v>
      </c>
      <c r="J15" s="17">
        <v>18.3</v>
      </c>
      <c r="K15" s="17">
        <v>21.44</v>
      </c>
      <c r="L15" s="17">
        <v>25.4</v>
      </c>
      <c r="M15" s="17">
        <v>27.79</v>
      </c>
      <c r="N15" s="17">
        <v>30.96</v>
      </c>
      <c r="O15" s="17">
        <v>34.92</v>
      </c>
      <c r="P15" s="17">
        <v>38.1</v>
      </c>
      <c r="Q15" s="17">
        <v>41.27</v>
      </c>
      <c r="R15" s="66">
        <v>46.02</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s="1" customFormat="1" ht="13.9" customHeight="1">
      <c r="A17" s="69" t="s">
        <v>237</v>
      </c>
      <c r="B17" s="144" t="s">
        <v>238</v>
      </c>
      <c r="C17" s="145"/>
      <c r="D17" s="145"/>
      <c r="E17" s="145"/>
      <c r="F17" s="145"/>
      <c r="G17" s="145"/>
      <c r="H17" s="145"/>
      <c r="I17" s="146"/>
      <c r="J17" s="145" t="s">
        <v>295</v>
      </c>
      <c r="K17" s="145"/>
      <c r="L17" s="145"/>
      <c r="M17" s="145"/>
      <c r="N17" s="146"/>
      <c r="O17" s="151" t="s">
        <v>288</v>
      </c>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17" t="s">
        <v>242</v>
      </c>
      <c r="B19" s="109"/>
      <c r="C19" s="109"/>
      <c r="D19" s="109"/>
      <c r="E19" s="109"/>
      <c r="F19" s="109"/>
      <c r="G19" s="109"/>
      <c r="H19" s="109"/>
      <c r="I19" s="109"/>
      <c r="J19" s="109"/>
      <c r="K19" s="109"/>
      <c r="L19" s="109"/>
      <c r="M19" s="109"/>
      <c r="N19" s="109"/>
      <c r="O19" s="109"/>
      <c r="P19" s="109"/>
      <c r="Q19" s="109"/>
      <c r="R19" s="110"/>
    </row>
    <row r="20" spans="1:1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245</v>
      </c>
      <c r="C21" s="145"/>
      <c r="D21" s="145"/>
      <c r="E21" s="145"/>
      <c r="F21" s="145"/>
      <c r="G21" s="145"/>
      <c r="H21" s="145"/>
      <c r="I21" s="146"/>
      <c r="J21" s="144" t="s">
        <v>297</v>
      </c>
      <c r="K21" s="145"/>
      <c r="L21" s="145"/>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t="s">
        <v>323</v>
      </c>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256</v>
      </c>
      <c r="C29" s="145"/>
      <c r="D29" s="145"/>
      <c r="E29" s="145"/>
      <c r="F29" s="145"/>
      <c r="G29" s="145"/>
      <c r="H29" s="145"/>
      <c r="I29" s="145"/>
      <c r="J29" s="145"/>
      <c r="K29" s="145"/>
      <c r="L29" s="145"/>
      <c r="M29" s="145"/>
      <c r="N29" s="145"/>
      <c r="O29" s="145"/>
      <c r="P29" s="145"/>
      <c r="Q29" s="145"/>
      <c r="R29" s="147"/>
    </row>
    <row r="30" spans="1:18" ht="13.9" customHeight="1">
      <c r="A30" s="69" t="s">
        <v>257</v>
      </c>
      <c r="B30" s="144" t="s">
        <v>299</v>
      </c>
      <c r="C30" s="145"/>
      <c r="D30" s="145"/>
      <c r="E30" s="146"/>
      <c r="F30" s="144" t="s">
        <v>300</v>
      </c>
      <c r="G30" s="145"/>
      <c r="H30" s="145"/>
      <c r="I30" s="145"/>
      <c r="J30" s="145"/>
      <c r="K30" s="145"/>
      <c r="L30" s="145"/>
      <c r="M30" s="145"/>
      <c r="N30" s="145"/>
      <c r="O30" s="145"/>
      <c r="P30" s="145"/>
      <c r="Q30" s="145"/>
      <c r="R30" s="147"/>
    </row>
    <row r="31" spans="1:18" ht="13.9" customHeight="1">
      <c r="A31" s="69" t="s">
        <v>234</v>
      </c>
      <c r="B31" s="144" t="s">
        <v>301</v>
      </c>
      <c r="C31" s="145"/>
      <c r="D31" s="145"/>
      <c r="E31" s="145"/>
      <c r="F31" s="145"/>
      <c r="G31" s="145"/>
      <c r="H31" s="145"/>
      <c r="I31" s="145"/>
      <c r="J31" s="145"/>
      <c r="K31" s="145"/>
      <c r="L31" s="145"/>
      <c r="M31" s="145"/>
      <c r="N31" s="145"/>
      <c r="O31" s="145"/>
      <c r="P31" s="145"/>
      <c r="Q31" s="145"/>
      <c r="R31" s="147"/>
    </row>
    <row r="32" spans="1:18" s="1" customFormat="1">
      <c r="A32" s="117" t="s">
        <v>260</v>
      </c>
      <c r="B32" s="109"/>
      <c r="C32" s="109"/>
      <c r="D32" s="109"/>
      <c r="E32" s="109"/>
      <c r="F32" s="109"/>
      <c r="G32" s="109"/>
      <c r="H32" s="109"/>
      <c r="I32" s="109"/>
      <c r="J32" s="109"/>
      <c r="K32" s="109"/>
      <c r="L32" s="109"/>
      <c r="M32" s="109"/>
      <c r="N32" s="109"/>
      <c r="O32" s="109"/>
      <c r="P32" s="109"/>
      <c r="Q32" s="109"/>
      <c r="R32" s="110"/>
    </row>
    <row r="33" spans="1:18" s="1" customFormat="1">
      <c r="A33" s="69" t="s">
        <v>237</v>
      </c>
      <c r="B33" s="109" t="s">
        <v>256</v>
      </c>
      <c r="C33" s="109"/>
      <c r="D33" s="109"/>
      <c r="E33" s="109"/>
      <c r="F33" s="109"/>
      <c r="G33" s="109"/>
      <c r="H33" s="109"/>
      <c r="I33" s="109"/>
      <c r="J33" s="109"/>
      <c r="K33" s="109"/>
      <c r="L33" s="109"/>
      <c r="M33" s="109"/>
      <c r="N33" s="109"/>
      <c r="O33" s="109"/>
      <c r="P33" s="109"/>
      <c r="Q33" s="109"/>
      <c r="R33" s="110"/>
    </row>
    <row r="34" spans="1:18" s="1" customFormat="1"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ht="13.9" customHeight="1">
      <c r="A35" s="141" t="s">
        <v>264</v>
      </c>
      <c r="B35" s="142"/>
      <c r="C35" s="142"/>
      <c r="D35" s="142"/>
      <c r="E35" s="142"/>
      <c r="F35" s="142"/>
      <c r="G35" s="142"/>
      <c r="H35" s="142"/>
      <c r="I35" s="142"/>
      <c r="J35" s="142"/>
      <c r="K35" s="142"/>
      <c r="L35" s="142"/>
      <c r="M35" s="142"/>
      <c r="N35" s="142"/>
      <c r="O35" s="142"/>
      <c r="P35" s="142"/>
      <c r="Q35" s="142"/>
      <c r="R35" s="143"/>
    </row>
    <row r="36" spans="1:18" ht="13.9" customHeight="1">
      <c r="A36" s="69" t="s">
        <v>265</v>
      </c>
      <c r="B36" s="109" t="s">
        <v>266</v>
      </c>
      <c r="C36" s="109"/>
      <c r="D36" s="109"/>
      <c r="E36" s="109"/>
      <c r="F36" s="109"/>
      <c r="G36" s="109"/>
      <c r="H36" s="109"/>
      <c r="I36" s="109"/>
      <c r="J36" s="109"/>
      <c r="K36" s="109"/>
      <c r="L36" s="109"/>
      <c r="M36" s="109"/>
      <c r="N36" s="109"/>
      <c r="O36" s="109"/>
      <c r="P36" s="109"/>
      <c r="Q36" s="109"/>
      <c r="R36" s="110"/>
    </row>
    <row r="37" spans="1:18" ht="13.9" customHeight="1">
      <c r="A37" s="69" t="s">
        <v>267</v>
      </c>
      <c r="B37" s="109" t="s">
        <v>268</v>
      </c>
      <c r="C37" s="109"/>
      <c r="D37" s="109"/>
      <c r="E37" s="109"/>
      <c r="F37" s="109"/>
      <c r="G37" s="109"/>
      <c r="H37" s="109"/>
      <c r="I37" s="109"/>
      <c r="J37" s="109"/>
      <c r="K37" s="109"/>
      <c r="L37" s="109"/>
      <c r="M37" s="109"/>
      <c r="N37" s="109"/>
      <c r="O37" s="109"/>
      <c r="P37" s="109"/>
      <c r="Q37" s="109"/>
      <c r="R37" s="110"/>
    </row>
    <row r="38" spans="1:18" ht="13.9" customHeight="1">
      <c r="A38" s="69" t="s">
        <v>269</v>
      </c>
      <c r="B38" s="144" t="s">
        <v>302</v>
      </c>
      <c r="C38" s="145"/>
      <c r="D38" s="145"/>
      <c r="E38" s="145"/>
      <c r="F38" s="145"/>
      <c r="G38" s="145"/>
      <c r="H38" s="145"/>
      <c r="I38" s="145"/>
      <c r="J38" s="145"/>
      <c r="K38" s="145"/>
      <c r="L38" s="145"/>
      <c r="M38" s="145"/>
      <c r="N38" s="145"/>
      <c r="O38" s="145"/>
      <c r="P38" s="145"/>
      <c r="Q38" s="145"/>
      <c r="R38" s="147"/>
    </row>
    <row r="39" spans="1:18" ht="13.9" customHeight="1">
      <c r="A39" s="141" t="s">
        <v>271</v>
      </c>
      <c r="B39" s="142"/>
      <c r="C39" s="142"/>
      <c r="D39" s="142"/>
      <c r="E39" s="142"/>
      <c r="F39" s="142"/>
      <c r="G39" s="142"/>
      <c r="H39" s="142"/>
      <c r="I39" s="142"/>
      <c r="J39" s="142"/>
      <c r="K39" s="142"/>
      <c r="L39" s="142"/>
      <c r="M39" s="142"/>
      <c r="N39" s="142"/>
      <c r="O39" s="142"/>
      <c r="P39" s="142"/>
      <c r="Q39" s="142"/>
      <c r="R39" s="143"/>
    </row>
    <row r="40" spans="1:18" ht="13.9" customHeight="1">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18" ht="13.9"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18" ht="13.9"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18"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18"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18">
      <c r="A47" s="148" t="s">
        <v>278</v>
      </c>
      <c r="B47" s="149"/>
      <c r="C47" s="149"/>
      <c r="D47" s="149"/>
      <c r="E47" s="149"/>
      <c r="F47" s="149"/>
      <c r="G47" s="149"/>
      <c r="H47" s="149"/>
      <c r="I47" s="149"/>
      <c r="J47" s="149"/>
      <c r="K47" s="149"/>
      <c r="L47" s="149"/>
      <c r="M47" s="149"/>
      <c r="N47" s="149"/>
      <c r="O47" s="149"/>
      <c r="P47" s="149"/>
      <c r="Q47" s="149"/>
      <c r="R47" s="150"/>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282</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c r="A55" s="114" t="s">
        <v>306</v>
      </c>
      <c r="B55" s="115"/>
      <c r="C55" s="115"/>
      <c r="D55" s="115"/>
      <c r="E55" s="115"/>
      <c r="F55" s="115"/>
      <c r="G55" s="115"/>
      <c r="H55" s="115"/>
      <c r="I55" s="115"/>
      <c r="J55" s="115"/>
      <c r="K55" s="115"/>
      <c r="L55" s="115"/>
      <c r="M55" s="115"/>
      <c r="N55" s="115"/>
      <c r="O55" s="115"/>
      <c r="P55" s="115"/>
      <c r="Q55" s="115"/>
      <c r="R55" s="116"/>
    </row>
    <row r="56" spans="1:18">
      <c r="A56" s="114" t="s">
        <v>307</v>
      </c>
      <c r="B56" s="115"/>
      <c r="C56" s="115"/>
      <c r="D56" s="115"/>
      <c r="E56" s="115"/>
      <c r="F56" s="115"/>
      <c r="G56" s="115"/>
      <c r="H56" s="115"/>
      <c r="I56" s="115"/>
      <c r="J56" s="115"/>
      <c r="K56" s="115"/>
      <c r="L56" s="115"/>
      <c r="M56" s="115"/>
      <c r="N56" s="115"/>
      <c r="O56" s="115"/>
      <c r="P56" s="115"/>
      <c r="Q56" s="115"/>
      <c r="R56" s="116"/>
    </row>
    <row r="57" spans="1:18" ht="15.75" thickBot="1">
      <c r="A57" s="177"/>
      <c r="B57" s="178"/>
      <c r="C57" s="178"/>
      <c r="D57" s="178"/>
      <c r="E57" s="178"/>
      <c r="F57" s="178"/>
      <c r="G57" s="178"/>
      <c r="H57" s="178"/>
      <c r="I57" s="178"/>
      <c r="J57" s="178"/>
      <c r="K57" s="178"/>
      <c r="L57" s="178"/>
      <c r="M57" s="178"/>
      <c r="N57" s="178"/>
      <c r="O57" s="178"/>
      <c r="P57" s="178"/>
      <c r="Q57" s="178"/>
      <c r="R57" s="179"/>
    </row>
  </sheetData>
  <mergeCells count="90">
    <mergeCell ref="B46:R46"/>
    <mergeCell ref="B45:F45"/>
    <mergeCell ref="G45:R45"/>
    <mergeCell ref="A57:R57"/>
    <mergeCell ref="B40:R40"/>
    <mergeCell ref="B42:R42"/>
    <mergeCell ref="B43:R43"/>
    <mergeCell ref="B44:E44"/>
    <mergeCell ref="F44:R44"/>
    <mergeCell ref="A54:R54"/>
    <mergeCell ref="A52:R52"/>
    <mergeCell ref="A53:R53"/>
    <mergeCell ref="A49:R49"/>
    <mergeCell ref="A50:R50"/>
    <mergeCell ref="A55:R55"/>
    <mergeCell ref="A56:R56"/>
    <mergeCell ref="A47:R47"/>
    <mergeCell ref="A48:R48"/>
    <mergeCell ref="B11:R11"/>
    <mergeCell ref="B16:N16"/>
    <mergeCell ref="O16:R16"/>
    <mergeCell ref="O17:R17"/>
    <mergeCell ref="B18:R18"/>
    <mergeCell ref="B17:I17"/>
    <mergeCell ref="J17:N17"/>
    <mergeCell ref="B41:E41"/>
    <mergeCell ref="A19:R19"/>
    <mergeCell ref="B20:N20"/>
    <mergeCell ref="O20:R20"/>
    <mergeCell ref="B22:R22"/>
    <mergeCell ref="B21:I21"/>
    <mergeCell ref="J21:R21"/>
    <mergeCell ref="B24:R24"/>
    <mergeCell ref="B25:R25"/>
    <mergeCell ref="B26:E26"/>
    <mergeCell ref="F26:R26"/>
    <mergeCell ref="B27:R27"/>
    <mergeCell ref="B23:R23"/>
    <mergeCell ref="A51:R51"/>
    <mergeCell ref="B36:R36"/>
    <mergeCell ref="A28:R28"/>
    <mergeCell ref="B29:R29"/>
    <mergeCell ref="A39:R39"/>
    <mergeCell ref="B37:R37"/>
    <mergeCell ref="B38:R38"/>
    <mergeCell ref="B31:R31"/>
    <mergeCell ref="A32:R32"/>
    <mergeCell ref="B33:R33"/>
    <mergeCell ref="B34:L34"/>
    <mergeCell ref="M34:R34"/>
    <mergeCell ref="F41:R41"/>
    <mergeCell ref="A35:R35"/>
    <mergeCell ref="B30:E30"/>
    <mergeCell ref="F30:R30"/>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10:R10"/>
    <mergeCell ref="P8:R8"/>
    <mergeCell ref="D9:E9"/>
    <mergeCell ref="F9:G9"/>
    <mergeCell ref="H9:I9"/>
    <mergeCell ref="J9:K9"/>
    <mergeCell ref="P9:R9"/>
    <mergeCell ref="B8:C8"/>
    <mergeCell ref="D8:E8"/>
    <mergeCell ref="F8:G8"/>
    <mergeCell ref="H8:I8"/>
    <mergeCell ref="J8:K8"/>
    <mergeCell ref="B9:C9"/>
    <mergeCell ref="L8:M8"/>
    <mergeCell ref="L9:M9"/>
  </mergeCells>
  <printOptions horizontalCentered="1"/>
  <pageMargins left="0.7" right="0.7" top="0.75" bottom="0.75" header="0.3" footer="0.3"/>
  <pageSetup paperSize="9" scale="88" firstPageNumber="18" orientation="portrait" r:id="rId1"/>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32BE-4062-4CA3-ADC7-4FCC7A92AC0D}">
  <sheetPr codeName="Sheet152">
    <tabColor rgb="FF92D050"/>
    <pageSetUpPr fitToPage="1"/>
  </sheetPr>
  <dimension ref="A1:R59"/>
  <sheetViews>
    <sheetView topLeftCell="X23" workbookViewId="0">
      <selection activeCell="X23" sqref="W22:X23"/>
    </sheetView>
  </sheetViews>
  <sheetFormatPr defaultColWidth="9.140625" defaultRowHeight="15"/>
  <cols>
    <col min="1" max="1" width="10.7109375" style="5" customWidth="1"/>
    <col min="2" max="22" width="5.28515625" style="5" customWidth="1"/>
    <col min="23" max="16384" width="9.140625" style="5"/>
  </cols>
  <sheetData>
    <row r="1" spans="1:18" ht="15.75" customHeight="1">
      <c r="A1" s="132" t="e" vm="1">
        <v>#VALUE!</v>
      </c>
      <c r="B1" s="133"/>
      <c r="C1" s="133"/>
      <c r="D1" s="133"/>
      <c r="E1" s="134"/>
      <c r="F1" s="214" t="s">
        <v>213</v>
      </c>
      <c r="G1" s="215"/>
      <c r="H1" s="215"/>
      <c r="I1" s="215"/>
      <c r="J1" s="215"/>
      <c r="K1" s="215"/>
      <c r="L1" s="215"/>
      <c r="M1" s="215"/>
      <c r="N1" s="215"/>
      <c r="O1" s="215"/>
      <c r="P1" s="215"/>
      <c r="Q1" s="203" t="s">
        <v>214</v>
      </c>
      <c r="R1" s="20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5" t="s">
        <v>308</v>
      </c>
      <c r="C14" s="15" t="s">
        <v>308</v>
      </c>
      <c r="D14" s="15" t="s">
        <v>308</v>
      </c>
      <c r="E14" s="15" t="s">
        <v>308</v>
      </c>
      <c r="F14" s="15">
        <v>160</v>
      </c>
      <c r="G14" s="15">
        <v>160</v>
      </c>
      <c r="H14" s="15">
        <v>160</v>
      </c>
      <c r="I14" s="15">
        <v>160</v>
      </c>
      <c r="J14" s="15" t="s">
        <v>308</v>
      </c>
      <c r="K14" s="15">
        <v>140</v>
      </c>
      <c r="L14" s="15">
        <v>160</v>
      </c>
      <c r="M14" s="15">
        <v>160</v>
      </c>
      <c r="N14" s="15">
        <v>140</v>
      </c>
      <c r="O14" s="15">
        <v>160</v>
      </c>
      <c r="P14" s="15">
        <v>140</v>
      </c>
      <c r="Q14" s="15">
        <v>160</v>
      </c>
      <c r="R14" s="77">
        <v>140</v>
      </c>
    </row>
    <row r="15" spans="1:18" s="3" customFormat="1">
      <c r="A15" s="70" t="s">
        <v>233</v>
      </c>
      <c r="B15" s="17">
        <v>7.47</v>
      </c>
      <c r="C15" s="17">
        <v>7.82</v>
      </c>
      <c r="D15" s="17">
        <v>9.09</v>
      </c>
      <c r="E15" s="17">
        <v>10.15</v>
      </c>
      <c r="F15" s="17">
        <v>8.74</v>
      </c>
      <c r="G15" s="17">
        <v>11.13</v>
      </c>
      <c r="H15" s="17">
        <v>13.49</v>
      </c>
      <c r="I15" s="17">
        <v>18.260000000000002</v>
      </c>
      <c r="J15" s="13">
        <v>22.23</v>
      </c>
      <c r="K15" s="13">
        <v>25.4</v>
      </c>
      <c r="L15" s="13">
        <v>33.32</v>
      </c>
      <c r="M15" s="13">
        <v>35.71</v>
      </c>
      <c r="N15" s="13">
        <v>36.53</v>
      </c>
      <c r="O15" s="13">
        <v>45.24</v>
      </c>
      <c r="P15" s="13">
        <v>44.45</v>
      </c>
      <c r="Q15" s="13">
        <v>53.98</v>
      </c>
      <c r="R15" s="78">
        <v>52.37</v>
      </c>
    </row>
    <row r="16" spans="1:18">
      <c r="A16" s="69" t="s">
        <v>234</v>
      </c>
      <c r="B16" s="144" t="s">
        <v>235</v>
      </c>
      <c r="C16" s="145"/>
      <c r="D16" s="145"/>
      <c r="E16" s="145"/>
      <c r="F16" s="145"/>
      <c r="G16" s="145"/>
      <c r="H16" s="145"/>
      <c r="I16" s="145"/>
      <c r="J16" s="145"/>
      <c r="K16" s="145"/>
      <c r="L16" s="145"/>
      <c r="M16" s="145"/>
      <c r="N16" s="146"/>
      <c r="O16" s="144" t="s">
        <v>236</v>
      </c>
      <c r="P16" s="145"/>
      <c r="Q16" s="145"/>
      <c r="R16" s="147"/>
    </row>
    <row r="17" spans="1:18" s="1" customFormat="1">
      <c r="A17" s="69" t="s">
        <v>237</v>
      </c>
      <c r="B17" s="144" t="s">
        <v>309</v>
      </c>
      <c r="C17" s="145"/>
      <c r="D17" s="145"/>
      <c r="E17" s="145"/>
      <c r="F17" s="145"/>
      <c r="G17" s="145"/>
      <c r="H17" s="145"/>
      <c r="I17" s="145"/>
      <c r="J17" s="145"/>
      <c r="K17" s="145"/>
      <c r="L17" s="145"/>
      <c r="M17" s="145"/>
      <c r="N17" s="146"/>
      <c r="O17" s="151" t="s">
        <v>309</v>
      </c>
      <c r="P17" s="152"/>
      <c r="Q17" s="152"/>
      <c r="R17" s="161"/>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48" t="s">
        <v>242</v>
      </c>
      <c r="B19" s="145"/>
      <c r="C19" s="145"/>
      <c r="D19" s="145"/>
      <c r="E19" s="145"/>
      <c r="F19" s="145"/>
      <c r="G19" s="145"/>
      <c r="H19" s="145"/>
      <c r="I19" s="145"/>
      <c r="J19" s="145"/>
      <c r="K19" s="145"/>
      <c r="L19" s="145"/>
      <c r="M19" s="145"/>
      <c r="N19" s="145"/>
      <c r="O19" s="145"/>
      <c r="P19" s="145"/>
      <c r="Q19" s="145"/>
      <c r="R19" s="147"/>
    </row>
    <row r="20" spans="1:18" ht="28.9" customHeight="1">
      <c r="A20" s="69" t="s">
        <v>234</v>
      </c>
      <c r="B20" s="144" t="s">
        <v>243</v>
      </c>
      <c r="C20" s="145"/>
      <c r="D20" s="145"/>
      <c r="E20" s="145"/>
      <c r="F20" s="145"/>
      <c r="G20" s="145"/>
      <c r="H20" s="145"/>
      <c r="I20" s="145"/>
      <c r="J20" s="145"/>
      <c r="K20" s="145"/>
      <c r="L20" s="145"/>
      <c r="M20" s="145"/>
      <c r="N20" s="146"/>
      <c r="O20" s="144" t="s">
        <v>244</v>
      </c>
      <c r="P20" s="145"/>
      <c r="Q20" s="145"/>
      <c r="R20" s="147"/>
    </row>
    <row r="21" spans="1:18" ht="15" customHeight="1">
      <c r="A21" s="69" t="s">
        <v>237</v>
      </c>
      <c r="B21" s="144" t="s">
        <v>310</v>
      </c>
      <c r="C21" s="145"/>
      <c r="D21" s="145"/>
      <c r="E21" s="145"/>
      <c r="F21" s="145"/>
      <c r="G21" s="145"/>
      <c r="H21" s="145"/>
      <c r="I21" s="145"/>
      <c r="J21" s="145"/>
      <c r="K21" s="145"/>
      <c r="L21" s="145"/>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3.9" customHeight="1">
      <c r="A23" s="69" t="s">
        <v>248</v>
      </c>
      <c r="B23" s="144" t="s">
        <v>247</v>
      </c>
      <c r="C23" s="145"/>
      <c r="D23" s="145"/>
      <c r="E23" s="145"/>
      <c r="F23" s="145"/>
      <c r="G23" s="145"/>
      <c r="H23" s="145"/>
      <c r="I23" s="145"/>
      <c r="J23" s="145"/>
      <c r="K23" s="145"/>
      <c r="L23" s="145"/>
      <c r="M23" s="145"/>
      <c r="N23" s="145"/>
      <c r="O23" s="145"/>
      <c r="P23" s="145"/>
      <c r="Q23" s="145"/>
      <c r="R23" s="147"/>
    </row>
    <row r="24" spans="1:18" ht="13.9" customHeight="1">
      <c r="A24" s="69" t="s">
        <v>249</v>
      </c>
      <c r="B24" s="144" t="s">
        <v>247</v>
      </c>
      <c r="C24" s="145"/>
      <c r="D24" s="145"/>
      <c r="E24" s="145"/>
      <c r="F24" s="145"/>
      <c r="G24" s="145"/>
      <c r="H24" s="145"/>
      <c r="I24" s="145"/>
      <c r="J24" s="145"/>
      <c r="K24" s="145"/>
      <c r="L24" s="145"/>
      <c r="M24" s="145"/>
      <c r="N24" s="145"/>
      <c r="O24" s="145"/>
      <c r="P24" s="145"/>
      <c r="Q24" s="145"/>
      <c r="R24" s="147"/>
    </row>
    <row r="25" spans="1:18" ht="13.9" customHeight="1">
      <c r="A25" s="69" t="s">
        <v>250</v>
      </c>
      <c r="B25" s="144" t="s">
        <v>247</v>
      </c>
      <c r="C25" s="145"/>
      <c r="D25" s="145"/>
      <c r="E25" s="145"/>
      <c r="F25" s="145"/>
      <c r="G25" s="145"/>
      <c r="H25" s="145"/>
      <c r="I25" s="145"/>
      <c r="J25" s="145"/>
      <c r="K25" s="145"/>
      <c r="L25" s="145"/>
      <c r="M25" s="145"/>
      <c r="N25" s="145"/>
      <c r="O25" s="145"/>
      <c r="P25" s="145"/>
      <c r="Q25" s="145"/>
      <c r="R25" s="147"/>
    </row>
    <row r="26" spans="1:18" ht="13.9"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311</v>
      </c>
      <c r="C27" s="145"/>
      <c r="D27" s="145"/>
      <c r="E27" s="145"/>
      <c r="F27" s="145"/>
      <c r="G27" s="145"/>
      <c r="H27" s="145"/>
      <c r="I27" s="145"/>
      <c r="J27" s="145"/>
      <c r="K27" s="145"/>
      <c r="L27" s="145"/>
      <c r="M27" s="145"/>
      <c r="N27" s="145"/>
      <c r="O27" s="145" t="s">
        <v>311</v>
      </c>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312</v>
      </c>
      <c r="C29" s="145"/>
      <c r="D29" s="145"/>
      <c r="E29" s="145"/>
      <c r="F29" s="145"/>
      <c r="G29" s="145"/>
      <c r="H29" s="145"/>
      <c r="I29" s="145"/>
      <c r="J29" s="145"/>
      <c r="K29" s="145"/>
      <c r="L29" s="145"/>
      <c r="M29" s="145"/>
      <c r="N29" s="145"/>
      <c r="O29" s="145"/>
      <c r="P29" s="145"/>
      <c r="Q29" s="145"/>
      <c r="R29" s="147"/>
    </row>
    <row r="30" spans="1:18" ht="13.9" customHeight="1">
      <c r="A30" s="69" t="s">
        <v>257</v>
      </c>
      <c r="B30" s="144" t="s">
        <v>299</v>
      </c>
      <c r="C30" s="145"/>
      <c r="D30" s="145"/>
      <c r="E30" s="145"/>
      <c r="F30" s="145"/>
      <c r="G30" s="145"/>
      <c r="H30" s="145"/>
      <c r="I30" s="145"/>
      <c r="J30" s="145"/>
      <c r="K30" s="145"/>
      <c r="L30" s="145"/>
      <c r="M30" s="145"/>
      <c r="N30" s="145"/>
      <c r="O30" s="145"/>
      <c r="P30" s="145"/>
      <c r="Q30" s="145"/>
      <c r="R30" s="147"/>
    </row>
    <row r="31" spans="1:18" ht="13.9" customHeight="1">
      <c r="A31" s="69" t="s">
        <v>313</v>
      </c>
      <c r="B31" s="144" t="s">
        <v>314</v>
      </c>
      <c r="C31" s="145"/>
      <c r="D31" s="145"/>
      <c r="E31" s="145"/>
      <c r="F31" s="145"/>
      <c r="G31" s="145"/>
      <c r="H31" s="145"/>
      <c r="I31" s="145"/>
      <c r="J31" s="145"/>
      <c r="K31" s="145"/>
      <c r="L31" s="145"/>
      <c r="M31" s="145"/>
      <c r="N31" s="145"/>
      <c r="O31" s="145"/>
      <c r="P31" s="145"/>
      <c r="Q31" s="145"/>
      <c r="R31" s="147"/>
    </row>
    <row r="32" spans="1:18" s="1" customFormat="1" ht="30">
      <c r="A32" s="19" t="s">
        <v>315</v>
      </c>
      <c r="B32" s="144"/>
      <c r="C32" s="145"/>
      <c r="D32" s="145"/>
      <c r="E32" s="145"/>
      <c r="F32" s="146"/>
      <c r="G32" s="144" t="s">
        <v>316</v>
      </c>
      <c r="H32" s="145"/>
      <c r="I32" s="145"/>
      <c r="J32" s="145"/>
      <c r="K32" s="145"/>
      <c r="L32" s="145"/>
      <c r="M32" s="145"/>
      <c r="N32" s="145"/>
      <c r="O32" s="145"/>
      <c r="P32" s="145"/>
      <c r="Q32" s="145"/>
      <c r="R32" s="146"/>
    </row>
    <row r="33" spans="1:18" s="1" customFormat="1" ht="43.15" customHeight="1">
      <c r="A33" s="19" t="s">
        <v>317</v>
      </c>
      <c r="B33" s="144"/>
      <c r="C33" s="145"/>
      <c r="D33" s="145"/>
      <c r="E33" s="145"/>
      <c r="F33" s="146"/>
      <c r="G33" s="144" t="s">
        <v>318</v>
      </c>
      <c r="H33" s="145"/>
      <c r="I33" s="145"/>
      <c r="J33" s="145"/>
      <c r="K33" s="145"/>
      <c r="L33" s="145"/>
      <c r="M33" s="145"/>
      <c r="N33" s="145"/>
      <c r="O33" s="145"/>
      <c r="P33" s="145"/>
      <c r="Q33" s="145"/>
      <c r="R33" s="146"/>
    </row>
    <row r="34" spans="1:18" s="1" customFormat="1" ht="14.45" customHeight="1">
      <c r="A34" s="117" t="s">
        <v>260</v>
      </c>
      <c r="B34" s="109"/>
      <c r="C34" s="109"/>
      <c r="D34" s="109"/>
      <c r="E34" s="109"/>
      <c r="F34" s="109"/>
      <c r="G34" s="109"/>
      <c r="H34" s="109"/>
      <c r="I34" s="109"/>
      <c r="J34" s="109"/>
      <c r="K34" s="109"/>
      <c r="L34" s="109"/>
      <c r="M34" s="109"/>
      <c r="N34" s="109"/>
      <c r="O34" s="109"/>
      <c r="P34" s="109"/>
      <c r="Q34" s="109"/>
      <c r="R34" s="110"/>
    </row>
    <row r="35" spans="1:18" ht="13.9" customHeight="1">
      <c r="A35" s="69" t="s">
        <v>237</v>
      </c>
      <c r="B35" s="109" t="s">
        <v>312</v>
      </c>
      <c r="C35" s="109"/>
      <c r="D35" s="109"/>
      <c r="E35" s="109"/>
      <c r="F35" s="109"/>
      <c r="G35" s="109"/>
      <c r="H35" s="109"/>
      <c r="I35" s="109"/>
      <c r="J35" s="109"/>
      <c r="K35" s="109"/>
      <c r="L35" s="109"/>
      <c r="M35" s="109"/>
      <c r="N35" s="109"/>
      <c r="O35" s="109"/>
      <c r="P35" s="109"/>
      <c r="Q35" s="109"/>
      <c r="R35" s="110"/>
    </row>
    <row r="36" spans="1:18" ht="13.9" customHeight="1">
      <c r="A36" s="69" t="s">
        <v>261</v>
      </c>
      <c r="B36" s="144" t="s">
        <v>262</v>
      </c>
      <c r="C36" s="145"/>
      <c r="D36" s="145"/>
      <c r="E36" s="145"/>
      <c r="F36" s="145"/>
      <c r="G36" s="145"/>
      <c r="H36" s="145"/>
      <c r="I36" s="145"/>
      <c r="J36" s="145"/>
      <c r="K36" s="145"/>
      <c r="L36" s="146"/>
      <c r="M36" s="101" t="s">
        <v>293</v>
      </c>
      <c r="N36" s="101"/>
      <c r="O36" s="101"/>
      <c r="P36" s="101"/>
      <c r="Q36" s="101"/>
      <c r="R36" s="102"/>
    </row>
    <row r="37" spans="1:18" ht="13.9" customHeight="1">
      <c r="A37" s="141" t="s">
        <v>264</v>
      </c>
      <c r="B37" s="142"/>
      <c r="C37" s="142"/>
      <c r="D37" s="142"/>
      <c r="E37" s="142"/>
      <c r="F37" s="142"/>
      <c r="G37" s="142"/>
      <c r="H37" s="142"/>
      <c r="I37" s="142"/>
      <c r="J37" s="142"/>
      <c r="K37" s="142"/>
      <c r="L37" s="142"/>
      <c r="M37" s="142"/>
      <c r="N37" s="142"/>
      <c r="O37" s="142"/>
      <c r="P37" s="142"/>
      <c r="Q37" s="142"/>
      <c r="R37" s="143"/>
    </row>
    <row r="38" spans="1:18" ht="13.9" customHeight="1">
      <c r="A38" s="69" t="s">
        <v>265</v>
      </c>
      <c r="B38" s="109" t="s">
        <v>266</v>
      </c>
      <c r="C38" s="109"/>
      <c r="D38" s="109"/>
      <c r="E38" s="109"/>
      <c r="F38" s="109"/>
      <c r="G38" s="109"/>
      <c r="H38" s="109"/>
      <c r="I38" s="109"/>
      <c r="J38" s="109"/>
      <c r="K38" s="109"/>
      <c r="L38" s="109"/>
      <c r="M38" s="109"/>
      <c r="N38" s="109"/>
      <c r="O38" s="109"/>
      <c r="P38" s="109"/>
      <c r="Q38" s="109"/>
      <c r="R38" s="110"/>
    </row>
    <row r="39" spans="1:18" ht="13.9" customHeight="1">
      <c r="A39" s="69" t="s">
        <v>267</v>
      </c>
      <c r="B39" s="109" t="s">
        <v>268</v>
      </c>
      <c r="C39" s="109"/>
      <c r="D39" s="109"/>
      <c r="E39" s="109"/>
      <c r="F39" s="109"/>
      <c r="G39" s="109"/>
      <c r="H39" s="109"/>
      <c r="I39" s="109"/>
      <c r="J39" s="109"/>
      <c r="K39" s="109"/>
      <c r="L39" s="109"/>
      <c r="M39" s="109"/>
      <c r="N39" s="109"/>
      <c r="O39" s="109"/>
      <c r="P39" s="109"/>
      <c r="Q39" s="109"/>
      <c r="R39" s="110"/>
    </row>
    <row r="40" spans="1:18" ht="13.9" customHeight="1">
      <c r="A40" s="69" t="s">
        <v>269</v>
      </c>
      <c r="B40" s="144" t="s">
        <v>302</v>
      </c>
      <c r="C40" s="145"/>
      <c r="D40" s="145"/>
      <c r="E40" s="145"/>
      <c r="F40" s="145"/>
      <c r="G40" s="145"/>
      <c r="H40" s="145"/>
      <c r="I40" s="145"/>
      <c r="J40" s="145"/>
      <c r="K40" s="145"/>
      <c r="L40" s="145"/>
      <c r="M40" s="145"/>
      <c r="N40" s="145"/>
      <c r="O40" s="145"/>
      <c r="P40" s="145"/>
      <c r="Q40" s="145"/>
      <c r="R40" s="147"/>
    </row>
    <row r="41" spans="1:18" ht="13.9" customHeight="1">
      <c r="A41" s="141" t="s">
        <v>271</v>
      </c>
      <c r="B41" s="142"/>
      <c r="C41" s="142"/>
      <c r="D41" s="142"/>
      <c r="E41" s="142"/>
      <c r="F41" s="142"/>
      <c r="G41" s="142"/>
      <c r="H41" s="142"/>
      <c r="I41" s="142"/>
      <c r="J41" s="142"/>
      <c r="K41" s="142"/>
      <c r="L41" s="142"/>
      <c r="M41" s="142"/>
      <c r="N41" s="142"/>
      <c r="O41" s="142"/>
      <c r="P41" s="142"/>
      <c r="Q41" s="142"/>
      <c r="R41" s="143"/>
    </row>
    <row r="42" spans="1:18" ht="13.9"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3.9"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28.15"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ht="14.45" customHeight="1">
      <c r="A49" s="148" t="s">
        <v>278</v>
      </c>
      <c r="B49" s="149"/>
      <c r="C49" s="149"/>
      <c r="D49" s="149"/>
      <c r="E49" s="149"/>
      <c r="F49" s="149"/>
      <c r="G49" s="149"/>
      <c r="H49" s="149"/>
      <c r="I49" s="149"/>
      <c r="J49" s="149"/>
      <c r="K49" s="149"/>
      <c r="L49" s="149"/>
      <c r="M49" s="149"/>
      <c r="N49" s="149"/>
      <c r="O49" s="149"/>
      <c r="P49" s="149"/>
      <c r="Q49" s="149"/>
      <c r="R49" s="150"/>
    </row>
    <row r="50" spans="1:18" ht="30"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c r="A52" s="114" t="s">
        <v>281</v>
      </c>
      <c r="B52" s="115"/>
      <c r="C52" s="115"/>
      <c r="D52" s="115"/>
      <c r="E52" s="115"/>
      <c r="F52" s="115"/>
      <c r="G52" s="115"/>
      <c r="H52" s="115"/>
      <c r="I52" s="115"/>
      <c r="J52" s="115"/>
      <c r="K52" s="115"/>
      <c r="L52" s="115"/>
      <c r="M52" s="115"/>
      <c r="N52" s="115"/>
      <c r="O52" s="115"/>
      <c r="P52" s="115"/>
      <c r="Q52" s="115"/>
      <c r="R52" s="116"/>
    </row>
    <row r="53" spans="1:18" ht="14.45" customHeight="1">
      <c r="A53" s="114" t="s">
        <v>282</v>
      </c>
      <c r="B53" s="115"/>
      <c r="C53" s="115"/>
      <c r="D53" s="115"/>
      <c r="E53" s="115"/>
      <c r="F53" s="115"/>
      <c r="G53" s="115"/>
      <c r="H53" s="115"/>
      <c r="I53" s="115"/>
      <c r="J53" s="115"/>
      <c r="K53" s="115"/>
      <c r="L53" s="115"/>
      <c r="M53" s="115"/>
      <c r="N53" s="115"/>
      <c r="O53" s="115"/>
      <c r="P53" s="115"/>
      <c r="Q53" s="115"/>
      <c r="R53" s="116"/>
    </row>
    <row r="54" spans="1:18" ht="14.45" customHeight="1">
      <c r="A54" s="114" t="s">
        <v>283</v>
      </c>
      <c r="B54" s="115"/>
      <c r="C54" s="115"/>
      <c r="D54" s="115"/>
      <c r="E54" s="115"/>
      <c r="F54" s="115"/>
      <c r="G54" s="115"/>
      <c r="H54" s="115"/>
      <c r="I54" s="115"/>
      <c r="J54" s="115"/>
      <c r="K54" s="115"/>
      <c r="L54" s="115"/>
      <c r="M54" s="115"/>
      <c r="N54" s="115"/>
      <c r="O54" s="115"/>
      <c r="P54" s="115"/>
      <c r="Q54" s="115"/>
      <c r="R54" s="116"/>
    </row>
    <row r="55" spans="1:18" ht="14.45" customHeight="1">
      <c r="A55" s="114" t="s">
        <v>284</v>
      </c>
      <c r="B55" s="115"/>
      <c r="C55" s="115"/>
      <c r="D55" s="115"/>
      <c r="E55" s="115"/>
      <c r="F55" s="115"/>
      <c r="G55" s="115"/>
      <c r="H55" s="115"/>
      <c r="I55" s="115"/>
      <c r="J55" s="115"/>
      <c r="K55" s="115"/>
      <c r="L55" s="115"/>
      <c r="M55" s="115"/>
      <c r="N55" s="115"/>
      <c r="O55" s="115"/>
      <c r="P55" s="115"/>
      <c r="Q55" s="115"/>
      <c r="R55" s="116"/>
    </row>
    <row r="56" spans="1:18" ht="14.45" customHeight="1">
      <c r="A56" s="114" t="s">
        <v>285</v>
      </c>
      <c r="B56" s="115"/>
      <c r="C56" s="115"/>
      <c r="D56" s="115"/>
      <c r="E56" s="115"/>
      <c r="F56" s="115"/>
      <c r="G56" s="115"/>
      <c r="H56" s="115"/>
      <c r="I56" s="115"/>
      <c r="J56" s="115"/>
      <c r="K56" s="115"/>
      <c r="L56" s="115"/>
      <c r="M56" s="115"/>
      <c r="N56" s="115"/>
      <c r="O56" s="115"/>
      <c r="P56" s="115"/>
      <c r="Q56" s="115"/>
      <c r="R56" s="116"/>
    </row>
    <row r="57" spans="1:18">
      <c r="A57" s="114" t="s">
        <v>306</v>
      </c>
      <c r="B57" s="115"/>
      <c r="C57" s="115"/>
      <c r="D57" s="115"/>
      <c r="E57" s="115"/>
      <c r="F57" s="115"/>
      <c r="G57" s="115"/>
      <c r="H57" s="115"/>
      <c r="I57" s="115"/>
      <c r="J57" s="115"/>
      <c r="K57" s="115"/>
      <c r="L57" s="115"/>
      <c r="M57" s="115"/>
      <c r="N57" s="115"/>
      <c r="O57" s="115"/>
      <c r="P57" s="115"/>
      <c r="Q57" s="115"/>
      <c r="R57" s="116"/>
    </row>
    <row r="58" spans="1:18">
      <c r="A58" s="114" t="s">
        <v>307</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0">
    <mergeCell ref="B32:F32"/>
    <mergeCell ref="G32:R32"/>
    <mergeCell ref="B33:F33"/>
    <mergeCell ref="G33:R33"/>
    <mergeCell ref="A59:R59"/>
    <mergeCell ref="A50:R50"/>
    <mergeCell ref="A51:R51"/>
    <mergeCell ref="A56:R56"/>
    <mergeCell ref="A57:R57"/>
    <mergeCell ref="A58:R58"/>
    <mergeCell ref="A55:R55"/>
    <mergeCell ref="A49:R49"/>
    <mergeCell ref="A52:R52"/>
    <mergeCell ref="A53:R53"/>
    <mergeCell ref="A54:R54"/>
    <mergeCell ref="B48:R48"/>
    <mergeCell ref="B47:F47"/>
    <mergeCell ref="G47:R47"/>
    <mergeCell ref="B44:R44"/>
    <mergeCell ref="B45:R45"/>
    <mergeCell ref="B46:E46"/>
    <mergeCell ref="F46:R46"/>
    <mergeCell ref="B43:E43"/>
    <mergeCell ref="F43:R43"/>
    <mergeCell ref="B36:L36"/>
    <mergeCell ref="M36:R36"/>
    <mergeCell ref="A37:R37"/>
    <mergeCell ref="B40:R40"/>
    <mergeCell ref="B42:R42"/>
    <mergeCell ref="B38:R38"/>
    <mergeCell ref="B39:R39"/>
    <mergeCell ref="A41:R41"/>
    <mergeCell ref="B24:R24"/>
    <mergeCell ref="B11:R11"/>
    <mergeCell ref="B18:R18"/>
    <mergeCell ref="B16:N16"/>
    <mergeCell ref="O16:R16"/>
    <mergeCell ref="B17:N17"/>
    <mergeCell ref="O17:R17"/>
    <mergeCell ref="B35:R35"/>
    <mergeCell ref="A19:R19"/>
    <mergeCell ref="B27:R27"/>
    <mergeCell ref="A28:R28"/>
    <mergeCell ref="B29:R29"/>
    <mergeCell ref="B30:R30"/>
    <mergeCell ref="B20:N20"/>
    <mergeCell ref="B25:R25"/>
    <mergeCell ref="B26:E26"/>
    <mergeCell ref="F26:R26"/>
    <mergeCell ref="B31:R31"/>
    <mergeCell ref="A34:R34"/>
    <mergeCell ref="O20:R20"/>
    <mergeCell ref="B21:R21"/>
    <mergeCell ref="B22:R22"/>
    <mergeCell ref="B23:R23"/>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10:R10"/>
    <mergeCell ref="P8:R8"/>
    <mergeCell ref="D9:E9"/>
    <mergeCell ref="F9:G9"/>
    <mergeCell ref="H9:I9"/>
    <mergeCell ref="J9:K9"/>
    <mergeCell ref="P9:R9"/>
    <mergeCell ref="B8:C8"/>
    <mergeCell ref="D8:E8"/>
    <mergeCell ref="F8:G8"/>
    <mergeCell ref="H8:I8"/>
    <mergeCell ref="J8:K8"/>
    <mergeCell ref="B9:C9"/>
    <mergeCell ref="L8:O9"/>
  </mergeCells>
  <printOptions horizontalCentered="1"/>
  <pageMargins left="0.7" right="0.7" top="0.75" bottom="0.75" header="0.3" footer="0.3"/>
  <pageSetup paperSize="9" scale="83" firstPageNumber="18" orientation="portrait" r:id="rId1"/>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023D7-9C9F-478D-9C51-BB024F7498D8}">
  <sheetPr codeName="Sheet154">
    <tabColor rgb="FF92D050"/>
    <pageSetUpPr fitToPage="1"/>
  </sheetPr>
  <dimension ref="A1:R59"/>
  <sheetViews>
    <sheetView workbookViewId="0">
      <selection activeCell="X23" sqref="W22:X23"/>
    </sheetView>
  </sheetViews>
  <sheetFormatPr defaultColWidth="9.140625" defaultRowHeight="15"/>
  <cols>
    <col min="1" max="1" width="10.7109375" style="5" customWidth="1"/>
    <col min="2" max="22" width="5.28515625" style="5" customWidth="1"/>
    <col min="23" max="16384" width="9.140625" style="5"/>
  </cols>
  <sheetData>
    <row r="1" spans="1:18" ht="15.75" customHeight="1">
      <c r="A1" s="132" t="e" vm="1">
        <v>#VALUE!</v>
      </c>
      <c r="B1" s="133"/>
      <c r="C1" s="133"/>
      <c r="D1" s="133"/>
      <c r="E1" s="134"/>
      <c r="F1" s="214" t="s">
        <v>213</v>
      </c>
      <c r="G1" s="215"/>
      <c r="H1" s="215"/>
      <c r="I1" s="215"/>
      <c r="J1" s="215"/>
      <c r="K1" s="215"/>
      <c r="L1" s="215"/>
      <c r="M1" s="215"/>
      <c r="N1" s="215"/>
      <c r="O1" s="215"/>
      <c r="P1" s="215"/>
      <c r="Q1" s="203" t="s">
        <v>214</v>
      </c>
      <c r="R1" s="20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308</v>
      </c>
      <c r="C14" s="17" t="s">
        <v>308</v>
      </c>
      <c r="D14" s="17" t="s">
        <v>308</v>
      </c>
      <c r="E14" s="17" t="s">
        <v>308</v>
      </c>
      <c r="F14" s="17" t="s">
        <v>174</v>
      </c>
      <c r="G14" s="17" t="s">
        <v>308</v>
      </c>
      <c r="H14" s="17" t="s">
        <v>174</v>
      </c>
      <c r="I14" s="17" t="s">
        <v>174</v>
      </c>
      <c r="J14" s="17" t="s">
        <v>174</v>
      </c>
      <c r="K14" s="17" t="s">
        <v>174</v>
      </c>
      <c r="L14" s="17" t="s">
        <v>174</v>
      </c>
      <c r="M14" s="17" t="s">
        <v>174</v>
      </c>
      <c r="N14" s="17" t="s">
        <v>174</v>
      </c>
      <c r="O14" s="17" t="s">
        <v>174</v>
      </c>
      <c r="P14" s="17" t="s">
        <v>174</v>
      </c>
      <c r="Q14" s="17" t="s">
        <v>174</v>
      </c>
      <c r="R14" s="66" t="s">
        <v>174</v>
      </c>
    </row>
    <row r="15" spans="1:18" s="3" customFormat="1">
      <c r="A15" s="70" t="s">
        <v>233</v>
      </c>
      <c r="B15" s="13">
        <v>7.47</v>
      </c>
      <c r="C15" s="13">
        <v>7.82</v>
      </c>
      <c r="D15" s="13">
        <v>9.09</v>
      </c>
      <c r="E15" s="13">
        <v>10.15</v>
      </c>
      <c r="F15" s="13">
        <v>11.2</v>
      </c>
      <c r="G15" s="13">
        <v>15.24</v>
      </c>
      <c r="H15" s="13">
        <v>18.130000000000003</v>
      </c>
      <c r="I15" s="13">
        <v>25.060000000000002</v>
      </c>
      <c r="J15" s="13">
        <v>31.580000000000002</v>
      </c>
      <c r="K15" s="13">
        <v>38.5</v>
      </c>
      <c r="L15" s="13">
        <v>45.02</v>
      </c>
      <c r="M15" s="13">
        <v>49.11</v>
      </c>
      <c r="N15" s="13">
        <v>55.63</v>
      </c>
      <c r="O15" s="13">
        <v>62.120000000000005</v>
      </c>
      <c r="P15" s="13">
        <v>68.67</v>
      </c>
      <c r="Q15" s="13">
        <v>75.19</v>
      </c>
      <c r="R15" s="78">
        <v>81.77</v>
      </c>
    </row>
    <row r="16" spans="1:18">
      <c r="A16" s="69" t="s">
        <v>234</v>
      </c>
      <c r="B16" s="144" t="s">
        <v>235</v>
      </c>
      <c r="C16" s="145"/>
      <c r="D16" s="145"/>
      <c r="E16" s="145"/>
      <c r="F16" s="145"/>
      <c r="G16" s="145"/>
      <c r="H16" s="145"/>
      <c r="I16" s="145"/>
      <c r="J16" s="145"/>
      <c r="K16" s="145"/>
      <c r="L16" s="145"/>
      <c r="M16" s="145"/>
      <c r="N16" s="146"/>
      <c r="O16" s="144" t="s">
        <v>236</v>
      </c>
      <c r="P16" s="145"/>
      <c r="Q16" s="145"/>
      <c r="R16" s="147"/>
    </row>
    <row r="17" spans="1:18" s="1" customFormat="1" ht="13.9" customHeight="1">
      <c r="A17" s="69" t="s">
        <v>237</v>
      </c>
      <c r="B17" s="144" t="s">
        <v>309</v>
      </c>
      <c r="C17" s="145"/>
      <c r="D17" s="145"/>
      <c r="E17" s="145"/>
      <c r="F17" s="145"/>
      <c r="G17" s="145"/>
      <c r="H17" s="145"/>
      <c r="I17" s="145"/>
      <c r="J17" s="145"/>
      <c r="K17" s="145"/>
      <c r="L17" s="145"/>
      <c r="M17" s="145"/>
      <c r="N17" s="146"/>
      <c r="O17" s="151" t="s">
        <v>309</v>
      </c>
      <c r="P17" s="152"/>
      <c r="Q17" s="152"/>
      <c r="R17" s="161"/>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28.9" customHeight="1">
      <c r="A20" s="69" t="s">
        <v>234</v>
      </c>
      <c r="B20" s="144" t="s">
        <v>243</v>
      </c>
      <c r="C20" s="145"/>
      <c r="D20" s="145"/>
      <c r="E20" s="145"/>
      <c r="F20" s="145"/>
      <c r="G20" s="145"/>
      <c r="H20" s="145"/>
      <c r="I20" s="145"/>
      <c r="J20" s="145"/>
      <c r="K20" s="145"/>
      <c r="L20" s="145"/>
      <c r="M20" s="145"/>
      <c r="N20" s="146"/>
      <c r="O20" s="144" t="s">
        <v>244</v>
      </c>
      <c r="P20" s="145"/>
      <c r="Q20" s="145"/>
      <c r="R20" s="147"/>
    </row>
    <row r="21" spans="1:18" ht="15" customHeight="1">
      <c r="A21" s="69" t="s">
        <v>237</v>
      </c>
      <c r="B21" s="144" t="s">
        <v>310</v>
      </c>
      <c r="C21" s="145"/>
      <c r="D21" s="145"/>
      <c r="E21" s="145"/>
      <c r="F21" s="145"/>
      <c r="G21" s="145"/>
      <c r="H21" s="145"/>
      <c r="I21" s="145"/>
      <c r="J21" s="145"/>
      <c r="K21" s="145"/>
      <c r="L21" s="145"/>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3.9" customHeight="1">
      <c r="A23" s="69" t="s">
        <v>248</v>
      </c>
      <c r="B23" s="144" t="s">
        <v>247</v>
      </c>
      <c r="C23" s="145"/>
      <c r="D23" s="145"/>
      <c r="E23" s="145"/>
      <c r="F23" s="145"/>
      <c r="G23" s="145"/>
      <c r="H23" s="145"/>
      <c r="I23" s="145"/>
      <c r="J23" s="145"/>
      <c r="K23" s="145"/>
      <c r="L23" s="145"/>
      <c r="M23" s="145"/>
      <c r="N23" s="145"/>
      <c r="O23" s="145"/>
      <c r="P23" s="145"/>
      <c r="Q23" s="145"/>
      <c r="R23" s="147"/>
    </row>
    <row r="24" spans="1:18" ht="13.9" customHeight="1">
      <c r="A24" s="69" t="s">
        <v>249</v>
      </c>
      <c r="B24" s="144" t="s">
        <v>247</v>
      </c>
      <c r="C24" s="145"/>
      <c r="D24" s="145"/>
      <c r="E24" s="145"/>
      <c r="F24" s="145"/>
      <c r="G24" s="145"/>
      <c r="H24" s="145"/>
      <c r="I24" s="145"/>
      <c r="J24" s="145"/>
      <c r="K24" s="145"/>
      <c r="L24" s="145"/>
      <c r="M24" s="145"/>
      <c r="N24" s="145"/>
      <c r="O24" s="145"/>
      <c r="P24" s="145"/>
      <c r="Q24" s="145"/>
      <c r="R24" s="147"/>
    </row>
    <row r="25" spans="1:18" ht="13.9" customHeight="1">
      <c r="A25" s="69" t="s">
        <v>250</v>
      </c>
      <c r="B25" s="144" t="s">
        <v>247</v>
      </c>
      <c r="C25" s="145"/>
      <c r="D25" s="145"/>
      <c r="E25" s="145"/>
      <c r="F25" s="145"/>
      <c r="G25" s="145"/>
      <c r="H25" s="145"/>
      <c r="I25" s="145"/>
      <c r="J25" s="145"/>
      <c r="K25" s="145"/>
      <c r="L25" s="145"/>
      <c r="M25" s="145"/>
      <c r="N25" s="145"/>
      <c r="O25" s="145"/>
      <c r="P25" s="145"/>
      <c r="Q25" s="145"/>
      <c r="R25" s="147"/>
    </row>
    <row r="26" spans="1:18" ht="13.9"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311</v>
      </c>
      <c r="C27" s="145"/>
      <c r="D27" s="145"/>
      <c r="E27" s="145"/>
      <c r="F27" s="145"/>
      <c r="G27" s="145"/>
      <c r="H27" s="145"/>
      <c r="I27" s="145"/>
      <c r="J27" s="145"/>
      <c r="K27" s="145"/>
      <c r="L27" s="145"/>
      <c r="M27" s="145"/>
      <c r="N27" s="145"/>
      <c r="O27" s="145"/>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312</v>
      </c>
      <c r="C29" s="145"/>
      <c r="D29" s="145"/>
      <c r="E29" s="145"/>
      <c r="F29" s="145"/>
      <c r="G29" s="145"/>
      <c r="H29" s="145"/>
      <c r="I29" s="145"/>
      <c r="J29" s="145"/>
      <c r="K29" s="145"/>
      <c r="L29" s="145"/>
      <c r="M29" s="145"/>
      <c r="N29" s="145"/>
      <c r="O29" s="145"/>
      <c r="P29" s="145"/>
      <c r="Q29" s="145"/>
      <c r="R29" s="147"/>
    </row>
    <row r="30" spans="1:18" ht="13.9" customHeight="1">
      <c r="A30" s="69" t="s">
        <v>257</v>
      </c>
      <c r="B30" s="144" t="s">
        <v>299</v>
      </c>
      <c r="C30" s="145"/>
      <c r="D30" s="145"/>
      <c r="E30" s="145"/>
      <c r="F30" s="145"/>
      <c r="G30" s="145"/>
      <c r="H30" s="145"/>
      <c r="I30" s="145"/>
      <c r="J30" s="145"/>
      <c r="K30" s="145"/>
      <c r="L30" s="145"/>
      <c r="M30" s="145"/>
      <c r="N30" s="145"/>
      <c r="O30" s="145"/>
      <c r="P30" s="145"/>
      <c r="Q30" s="145"/>
      <c r="R30" s="147"/>
    </row>
    <row r="31" spans="1:18" ht="13.9" customHeight="1">
      <c r="A31" s="69" t="s">
        <v>313</v>
      </c>
      <c r="B31" s="144" t="s">
        <v>314</v>
      </c>
      <c r="C31" s="145"/>
      <c r="D31" s="145"/>
      <c r="E31" s="145"/>
      <c r="F31" s="145"/>
      <c r="G31" s="145"/>
      <c r="H31" s="145"/>
      <c r="I31" s="145"/>
      <c r="J31" s="145"/>
      <c r="K31" s="145"/>
      <c r="L31" s="145"/>
      <c r="M31" s="145"/>
      <c r="N31" s="145"/>
      <c r="O31" s="145"/>
      <c r="P31" s="145"/>
      <c r="Q31" s="145"/>
      <c r="R31" s="147"/>
    </row>
    <row r="32" spans="1:18" s="1" customFormat="1" ht="28.9" customHeight="1">
      <c r="A32" s="69" t="s">
        <v>315</v>
      </c>
      <c r="B32" s="144"/>
      <c r="C32" s="145"/>
      <c r="D32" s="145"/>
      <c r="E32" s="145"/>
      <c r="F32" s="146"/>
      <c r="G32" s="144" t="s">
        <v>316</v>
      </c>
      <c r="H32" s="145"/>
      <c r="I32" s="145"/>
      <c r="J32" s="145"/>
      <c r="K32" s="145"/>
      <c r="L32" s="145"/>
      <c r="M32" s="145"/>
      <c r="N32" s="145"/>
      <c r="O32" s="145"/>
      <c r="P32" s="145"/>
      <c r="Q32" s="145"/>
      <c r="R32" s="146"/>
    </row>
    <row r="33" spans="1:18" s="1" customFormat="1" ht="43.15" customHeight="1">
      <c r="A33" s="69" t="s">
        <v>317</v>
      </c>
      <c r="B33" s="144"/>
      <c r="C33" s="145"/>
      <c r="D33" s="145"/>
      <c r="E33" s="145"/>
      <c r="F33" s="146"/>
      <c r="G33" s="144" t="s">
        <v>318</v>
      </c>
      <c r="H33" s="145"/>
      <c r="I33" s="145"/>
      <c r="J33" s="145"/>
      <c r="K33" s="145"/>
      <c r="L33" s="145"/>
      <c r="M33" s="145"/>
      <c r="N33" s="145"/>
      <c r="O33" s="145"/>
      <c r="P33" s="145"/>
      <c r="Q33" s="145"/>
      <c r="R33" s="146"/>
    </row>
    <row r="34" spans="1:18" s="1" customFormat="1">
      <c r="A34" s="117" t="s">
        <v>260</v>
      </c>
      <c r="B34" s="109"/>
      <c r="C34" s="109"/>
      <c r="D34" s="109"/>
      <c r="E34" s="109"/>
      <c r="F34" s="109"/>
      <c r="G34" s="109"/>
      <c r="H34" s="109"/>
      <c r="I34" s="109"/>
      <c r="J34" s="109"/>
      <c r="K34" s="109"/>
      <c r="L34" s="109"/>
      <c r="M34" s="109"/>
      <c r="N34" s="109"/>
      <c r="O34" s="109"/>
      <c r="P34" s="109"/>
      <c r="Q34" s="109"/>
      <c r="R34" s="110"/>
    </row>
    <row r="35" spans="1:18" s="1" customFormat="1" ht="15" customHeight="1">
      <c r="A35" s="69" t="s">
        <v>237</v>
      </c>
      <c r="B35" s="109" t="s">
        <v>312</v>
      </c>
      <c r="C35" s="109"/>
      <c r="D35" s="109"/>
      <c r="E35" s="109"/>
      <c r="F35" s="109"/>
      <c r="G35" s="109"/>
      <c r="H35" s="109"/>
      <c r="I35" s="109"/>
      <c r="J35" s="109"/>
      <c r="K35" s="109"/>
      <c r="L35" s="109"/>
      <c r="M35" s="109"/>
      <c r="N35" s="109"/>
      <c r="O35" s="109"/>
      <c r="P35" s="109"/>
      <c r="Q35" s="109"/>
      <c r="R35" s="110"/>
    </row>
    <row r="36" spans="1:18" s="1" customFormat="1" ht="14.45" customHeight="1">
      <c r="A36" s="69" t="s">
        <v>261</v>
      </c>
      <c r="B36" s="144" t="s">
        <v>262</v>
      </c>
      <c r="C36" s="145"/>
      <c r="D36" s="145"/>
      <c r="E36" s="145"/>
      <c r="F36" s="145"/>
      <c r="G36" s="145"/>
      <c r="H36" s="145"/>
      <c r="I36" s="145"/>
      <c r="J36" s="145"/>
      <c r="K36" s="145"/>
      <c r="L36" s="146"/>
      <c r="M36" s="101" t="s">
        <v>293</v>
      </c>
      <c r="N36" s="101"/>
      <c r="O36" s="101"/>
      <c r="P36" s="101"/>
      <c r="Q36" s="101"/>
      <c r="R36" s="102"/>
    </row>
    <row r="37" spans="1:18" ht="13.9" customHeight="1">
      <c r="A37" s="141" t="s">
        <v>264</v>
      </c>
      <c r="B37" s="142"/>
      <c r="C37" s="142"/>
      <c r="D37" s="142"/>
      <c r="E37" s="142"/>
      <c r="F37" s="142"/>
      <c r="G37" s="142"/>
      <c r="H37" s="142"/>
      <c r="I37" s="142"/>
      <c r="J37" s="142"/>
      <c r="K37" s="142"/>
      <c r="L37" s="142"/>
      <c r="M37" s="142"/>
      <c r="N37" s="142"/>
      <c r="O37" s="142"/>
      <c r="P37" s="142"/>
      <c r="Q37" s="142"/>
      <c r="R37" s="143"/>
    </row>
    <row r="38" spans="1:18" ht="13.9" customHeight="1">
      <c r="A38" s="69" t="s">
        <v>265</v>
      </c>
      <c r="B38" s="109" t="s">
        <v>266</v>
      </c>
      <c r="C38" s="109"/>
      <c r="D38" s="109"/>
      <c r="E38" s="109"/>
      <c r="F38" s="109"/>
      <c r="G38" s="109"/>
      <c r="H38" s="109"/>
      <c r="I38" s="109"/>
      <c r="J38" s="109"/>
      <c r="K38" s="109"/>
      <c r="L38" s="109"/>
      <c r="M38" s="109"/>
      <c r="N38" s="109"/>
      <c r="O38" s="109"/>
      <c r="P38" s="109"/>
      <c r="Q38" s="109"/>
      <c r="R38" s="110"/>
    </row>
    <row r="39" spans="1:18" ht="13.9" customHeight="1">
      <c r="A39" s="69" t="s">
        <v>267</v>
      </c>
      <c r="B39" s="109" t="s">
        <v>268</v>
      </c>
      <c r="C39" s="109"/>
      <c r="D39" s="109"/>
      <c r="E39" s="109"/>
      <c r="F39" s="109"/>
      <c r="G39" s="109"/>
      <c r="H39" s="109"/>
      <c r="I39" s="109"/>
      <c r="J39" s="109"/>
      <c r="K39" s="109"/>
      <c r="L39" s="109"/>
      <c r="M39" s="109"/>
      <c r="N39" s="109"/>
      <c r="O39" s="109"/>
      <c r="P39" s="109"/>
      <c r="Q39" s="109"/>
      <c r="R39" s="110"/>
    </row>
    <row r="40" spans="1:18" ht="13.9" customHeight="1">
      <c r="A40" s="69" t="s">
        <v>269</v>
      </c>
      <c r="B40" s="144" t="s">
        <v>302</v>
      </c>
      <c r="C40" s="145"/>
      <c r="D40" s="145"/>
      <c r="E40" s="145"/>
      <c r="F40" s="145"/>
      <c r="G40" s="145"/>
      <c r="H40" s="145"/>
      <c r="I40" s="145"/>
      <c r="J40" s="145"/>
      <c r="K40" s="145"/>
      <c r="L40" s="145"/>
      <c r="M40" s="145"/>
      <c r="N40" s="145"/>
      <c r="O40" s="145"/>
      <c r="P40" s="145"/>
      <c r="Q40" s="145"/>
      <c r="R40" s="147"/>
    </row>
    <row r="41" spans="1:18" ht="13.9" customHeight="1">
      <c r="A41" s="141" t="s">
        <v>271</v>
      </c>
      <c r="B41" s="142"/>
      <c r="C41" s="142"/>
      <c r="D41" s="142"/>
      <c r="E41" s="142"/>
      <c r="F41" s="142"/>
      <c r="G41" s="142"/>
      <c r="H41" s="142"/>
      <c r="I41" s="142"/>
      <c r="J41" s="142"/>
      <c r="K41" s="142"/>
      <c r="L41" s="142"/>
      <c r="M41" s="142"/>
      <c r="N41" s="142"/>
      <c r="O41" s="142"/>
      <c r="P41" s="142"/>
      <c r="Q41" s="142"/>
      <c r="R41" s="143"/>
    </row>
    <row r="42" spans="1:18" ht="13.9"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3.9" customHeight="1">
      <c r="A43" s="69" t="s">
        <v>273</v>
      </c>
      <c r="B43" s="144" t="s">
        <v>303</v>
      </c>
      <c r="C43" s="145"/>
      <c r="D43" s="145"/>
      <c r="E43" s="146"/>
      <c r="F43" s="144" t="e">
        <f ca="1">"BSR"&amp;VLOOKUP(F3,INDEX!B:AH,33,0)&amp;"J"&amp;", BSF"&amp;VLOOKUP(F3,INDEX!B:AH,33,0)&amp;"J"&amp;", BSFM"&amp;VLOOKUP(F3,INDEX!B:AH,33,0)&amp;"J"&amp;", BSRM"&amp;VLOOKUP(F3,INDEX!B:AH,33,0)&amp;"J"</f>
        <v>#VALUE!</v>
      </c>
      <c r="G43" s="145"/>
      <c r="H43" s="145"/>
      <c r="I43" s="145"/>
      <c r="J43" s="145"/>
      <c r="K43" s="145"/>
      <c r="L43" s="145"/>
      <c r="M43" s="145"/>
      <c r="N43" s="145"/>
      <c r="O43" s="145"/>
      <c r="P43" s="145"/>
      <c r="Q43" s="145"/>
      <c r="R43" s="147"/>
    </row>
    <row r="44" spans="1:18"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13.9" customHeight="1">
      <c r="A48" s="69" t="s">
        <v>305</v>
      </c>
      <c r="B48" s="144" t="e">
        <f ca="1">"DSR"&amp;VLOOKUP(F3,INDEX!B:AH,33,0)&amp;"J"&amp;", DSRM"&amp;VLOOKUP(F3,INDEX!B:AH,33,0)&amp;"J"</f>
        <v>#VALUE!</v>
      </c>
      <c r="C48" s="145"/>
      <c r="D48" s="145"/>
      <c r="E48" s="145"/>
      <c r="F48" s="145"/>
      <c r="G48" s="145"/>
      <c r="H48" s="145"/>
      <c r="I48" s="145"/>
      <c r="J48" s="145"/>
      <c r="K48" s="145"/>
      <c r="L48" s="145"/>
      <c r="M48" s="145"/>
      <c r="N48" s="145"/>
      <c r="O48" s="145"/>
      <c r="P48" s="145"/>
      <c r="Q48" s="145"/>
      <c r="R48" s="147"/>
    </row>
    <row r="49" spans="1:18">
      <c r="A49" s="148" t="s">
        <v>278</v>
      </c>
      <c r="B49" s="149"/>
      <c r="C49" s="149"/>
      <c r="D49" s="149"/>
      <c r="E49" s="149"/>
      <c r="F49" s="149"/>
      <c r="G49" s="149"/>
      <c r="H49" s="149"/>
      <c r="I49" s="149"/>
      <c r="J49" s="149"/>
      <c r="K49" s="149"/>
      <c r="L49" s="149"/>
      <c r="M49" s="149"/>
      <c r="N49" s="149"/>
      <c r="O49" s="149"/>
      <c r="P49" s="149"/>
      <c r="Q49" s="149"/>
      <c r="R49" s="150"/>
    </row>
    <row r="50" spans="1:18" ht="28.15" customHeight="1">
      <c r="A50" s="114" t="s">
        <v>279</v>
      </c>
      <c r="B50" s="115"/>
      <c r="C50" s="115"/>
      <c r="D50" s="115"/>
      <c r="E50" s="115"/>
      <c r="F50" s="115"/>
      <c r="G50" s="115"/>
      <c r="H50" s="115"/>
      <c r="I50" s="115"/>
      <c r="J50" s="115"/>
      <c r="K50" s="115"/>
      <c r="L50" s="115"/>
      <c r="M50" s="115"/>
      <c r="N50" s="115"/>
      <c r="O50" s="115"/>
      <c r="P50" s="115"/>
      <c r="Q50" s="115"/>
      <c r="R50" s="116"/>
    </row>
    <row r="51" spans="1:18" ht="14.45" customHeight="1">
      <c r="A51" s="114" t="s">
        <v>280</v>
      </c>
      <c r="B51" s="115"/>
      <c r="C51" s="115"/>
      <c r="D51" s="115"/>
      <c r="E51" s="115"/>
      <c r="F51" s="115"/>
      <c r="G51" s="115"/>
      <c r="H51" s="115"/>
      <c r="I51" s="115"/>
      <c r="J51" s="115"/>
      <c r="K51" s="115"/>
      <c r="L51" s="115"/>
      <c r="M51" s="115"/>
      <c r="N51" s="115"/>
      <c r="O51" s="115"/>
      <c r="P51" s="115"/>
      <c r="Q51" s="115"/>
      <c r="R51" s="116"/>
    </row>
    <row r="52" spans="1:18" ht="14.45" customHeight="1">
      <c r="A52" s="114" t="s">
        <v>281</v>
      </c>
      <c r="B52" s="115"/>
      <c r="C52" s="115"/>
      <c r="D52" s="115"/>
      <c r="E52" s="115"/>
      <c r="F52" s="115"/>
      <c r="G52" s="115"/>
      <c r="H52" s="115"/>
      <c r="I52" s="115"/>
      <c r="J52" s="115"/>
      <c r="K52" s="115"/>
      <c r="L52" s="115"/>
      <c r="M52" s="115"/>
      <c r="N52" s="115"/>
      <c r="O52" s="115"/>
      <c r="P52" s="115"/>
      <c r="Q52" s="115"/>
      <c r="R52" s="116"/>
    </row>
    <row r="53" spans="1:18" ht="28.9" customHeight="1">
      <c r="A53" s="114" t="s">
        <v>282</v>
      </c>
      <c r="B53" s="115"/>
      <c r="C53" s="115"/>
      <c r="D53" s="115"/>
      <c r="E53" s="115"/>
      <c r="F53" s="115"/>
      <c r="G53" s="115"/>
      <c r="H53" s="115"/>
      <c r="I53" s="115"/>
      <c r="J53" s="115"/>
      <c r="K53" s="115"/>
      <c r="L53" s="115"/>
      <c r="M53" s="115"/>
      <c r="N53" s="115"/>
      <c r="O53" s="115"/>
      <c r="P53" s="115"/>
      <c r="Q53" s="115"/>
      <c r="R53" s="116"/>
    </row>
    <row r="54" spans="1:18" ht="26.45" customHeight="1">
      <c r="A54" s="114" t="s">
        <v>283</v>
      </c>
      <c r="B54" s="115"/>
      <c r="C54" s="115"/>
      <c r="D54" s="115"/>
      <c r="E54" s="115"/>
      <c r="F54" s="115"/>
      <c r="G54" s="115"/>
      <c r="H54" s="115"/>
      <c r="I54" s="115"/>
      <c r="J54" s="115"/>
      <c r="K54" s="115"/>
      <c r="L54" s="115"/>
      <c r="M54" s="115"/>
      <c r="N54" s="115"/>
      <c r="O54" s="115"/>
      <c r="P54" s="115"/>
      <c r="Q54" s="115"/>
      <c r="R54" s="116"/>
    </row>
    <row r="55" spans="1:18" ht="14.45" customHeight="1">
      <c r="A55" s="114" t="s">
        <v>284</v>
      </c>
      <c r="B55" s="115"/>
      <c r="C55" s="115"/>
      <c r="D55" s="115"/>
      <c r="E55" s="115"/>
      <c r="F55" s="115"/>
      <c r="G55" s="115"/>
      <c r="H55" s="115"/>
      <c r="I55" s="115"/>
      <c r="J55" s="115"/>
      <c r="K55" s="115"/>
      <c r="L55" s="115"/>
      <c r="M55" s="115"/>
      <c r="N55" s="115"/>
      <c r="O55" s="115"/>
      <c r="P55" s="115"/>
      <c r="Q55" s="115"/>
      <c r="R55" s="116"/>
    </row>
    <row r="56" spans="1:18" ht="14.45" customHeight="1">
      <c r="A56" s="114" t="s">
        <v>285</v>
      </c>
      <c r="B56" s="115"/>
      <c r="C56" s="115"/>
      <c r="D56" s="115"/>
      <c r="E56" s="115"/>
      <c r="F56" s="115"/>
      <c r="G56" s="115"/>
      <c r="H56" s="115"/>
      <c r="I56" s="115"/>
      <c r="J56" s="115"/>
      <c r="K56" s="115"/>
      <c r="L56" s="115"/>
      <c r="M56" s="115"/>
      <c r="N56" s="115"/>
      <c r="O56" s="115"/>
      <c r="P56" s="115"/>
      <c r="Q56" s="115"/>
      <c r="R56" s="116"/>
    </row>
    <row r="57" spans="1:18" ht="14.45" customHeight="1">
      <c r="A57" s="114" t="s">
        <v>306</v>
      </c>
      <c r="B57" s="115"/>
      <c r="C57" s="115"/>
      <c r="D57" s="115"/>
      <c r="E57" s="115"/>
      <c r="F57" s="115"/>
      <c r="G57" s="115"/>
      <c r="H57" s="115"/>
      <c r="I57" s="115"/>
      <c r="J57" s="115"/>
      <c r="K57" s="115"/>
      <c r="L57" s="115"/>
      <c r="M57" s="115"/>
      <c r="N57" s="115"/>
      <c r="O57" s="115"/>
      <c r="P57" s="115"/>
      <c r="Q57" s="115"/>
      <c r="R57" s="116"/>
    </row>
    <row r="58" spans="1:18" ht="14.45" customHeight="1">
      <c r="A58" s="114" t="s">
        <v>307</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0">
    <mergeCell ref="A58:R58"/>
    <mergeCell ref="A59:R59"/>
    <mergeCell ref="B45:R45"/>
    <mergeCell ref="B46:E46"/>
    <mergeCell ref="F46:R46"/>
    <mergeCell ref="A50:R50"/>
    <mergeCell ref="A51:R51"/>
    <mergeCell ref="A54:R54"/>
    <mergeCell ref="A55:R55"/>
    <mergeCell ref="A49:R49"/>
    <mergeCell ref="A52:R52"/>
    <mergeCell ref="A53:R53"/>
    <mergeCell ref="B48:R48"/>
    <mergeCell ref="B47:F47"/>
    <mergeCell ref="G47:R47"/>
    <mergeCell ref="A56:R56"/>
    <mergeCell ref="A57:R57"/>
    <mergeCell ref="B39:R39"/>
    <mergeCell ref="B40:R40"/>
    <mergeCell ref="B42:R42"/>
    <mergeCell ref="B44:R44"/>
    <mergeCell ref="A41:R41"/>
    <mergeCell ref="B43:E43"/>
    <mergeCell ref="F43:R43"/>
    <mergeCell ref="B38:R38"/>
    <mergeCell ref="B30:R30"/>
    <mergeCell ref="B26:E26"/>
    <mergeCell ref="F26:R26"/>
    <mergeCell ref="B31:R31"/>
    <mergeCell ref="A34:R34"/>
    <mergeCell ref="A28:R28"/>
    <mergeCell ref="B29:R29"/>
    <mergeCell ref="B27:R27"/>
    <mergeCell ref="B35:R35"/>
    <mergeCell ref="B36:L36"/>
    <mergeCell ref="M36:R36"/>
    <mergeCell ref="A37:R37"/>
    <mergeCell ref="B32:F32"/>
    <mergeCell ref="G32:R32"/>
    <mergeCell ref="B33:F33"/>
    <mergeCell ref="F2:I2"/>
    <mergeCell ref="J2:L2"/>
    <mergeCell ref="M2:N2"/>
    <mergeCell ref="O2:P2"/>
    <mergeCell ref="B25:R25"/>
    <mergeCell ref="B21:R21"/>
    <mergeCell ref="B22:R22"/>
    <mergeCell ref="B23:R23"/>
    <mergeCell ref="B24:R24"/>
    <mergeCell ref="A1:E6"/>
    <mergeCell ref="F1:P1"/>
    <mergeCell ref="Q1:R1"/>
    <mergeCell ref="B16:N16"/>
    <mergeCell ref="O16:R16"/>
    <mergeCell ref="B11:R11"/>
    <mergeCell ref="Q2:R2"/>
    <mergeCell ref="O3:P3"/>
    <mergeCell ref="H3:I3"/>
    <mergeCell ref="J3:L3"/>
    <mergeCell ref="M3:N3"/>
    <mergeCell ref="F3:G3"/>
    <mergeCell ref="Q3:R3"/>
    <mergeCell ref="F4:H4"/>
    <mergeCell ref="I4:R4"/>
    <mergeCell ref="A10:R10"/>
    <mergeCell ref="A7:R7"/>
    <mergeCell ref="B8:C8"/>
    <mergeCell ref="D8:E8"/>
    <mergeCell ref="F8:G8"/>
    <mergeCell ref="H8:I8"/>
    <mergeCell ref="J8:K8"/>
    <mergeCell ref="P8:R8"/>
    <mergeCell ref="D9:E9"/>
    <mergeCell ref="F5:G5"/>
    <mergeCell ref="H5:R5"/>
    <mergeCell ref="F6:H6"/>
    <mergeCell ref="I6:R6"/>
    <mergeCell ref="G33:R33"/>
    <mergeCell ref="B20:N20"/>
    <mergeCell ref="O20:R20"/>
    <mergeCell ref="P9:R9"/>
    <mergeCell ref="A19:R19"/>
    <mergeCell ref="B18:R18"/>
    <mergeCell ref="L8:O9"/>
    <mergeCell ref="J9:K9"/>
    <mergeCell ref="F9:G9"/>
    <mergeCell ref="H9:I9"/>
    <mergeCell ref="B9:C9"/>
    <mergeCell ref="B17:N17"/>
    <mergeCell ref="O17:R17"/>
  </mergeCells>
  <printOptions horizontalCentered="1"/>
  <pageMargins left="0.7" right="0.7" top="0.75" bottom="0.75" header="0.3" footer="0.3"/>
  <pageSetup paperSize="9" scale="83" firstPageNumber="18" orientation="portrait" r:id="rId1"/>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BC5F-42EA-46B6-987A-104F76236232}">
  <sheetPr codeName="Sheet5">
    <tabColor rgb="FF00B0F0"/>
    <pageSetUpPr fitToPage="1"/>
  </sheetPr>
  <dimension ref="A1:T55"/>
  <sheetViews>
    <sheetView tabSelected="1" topLeftCell="A25" workbookViewId="0">
      <selection activeCell="I6" sqref="I6:T6"/>
    </sheetView>
  </sheetViews>
  <sheetFormatPr defaultColWidth="9.140625" defaultRowHeight="15"/>
  <cols>
    <col min="1" max="1" width="10.7109375" style="1" customWidth="1"/>
    <col min="2" max="20" width="4.28515625" style="1" customWidth="1"/>
    <col min="21" max="16384" width="9.140625" style="1"/>
  </cols>
  <sheetData>
    <row r="1" spans="1:20" s="5" customFormat="1" ht="15.75" customHeight="1">
      <c r="A1" s="132" t="e" vm="1">
        <v>#VALUE!</v>
      </c>
      <c r="B1" s="133"/>
      <c r="C1" s="133"/>
      <c r="D1" s="133"/>
      <c r="E1" s="134"/>
      <c r="F1" s="214" t="s">
        <v>213</v>
      </c>
      <c r="G1" s="215"/>
      <c r="H1" s="215"/>
      <c r="I1" s="215"/>
      <c r="J1" s="215"/>
      <c r="K1" s="215"/>
      <c r="L1" s="215"/>
      <c r="M1" s="215"/>
      <c r="N1" s="215"/>
      <c r="O1" s="215"/>
      <c r="P1" s="215"/>
      <c r="Q1" s="203" t="s">
        <v>214</v>
      </c>
      <c r="R1" s="203"/>
      <c r="S1" s="203"/>
      <c r="T1" s="204"/>
    </row>
    <row r="2" spans="1:20"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1"/>
      <c r="S2" s="101"/>
      <c r="T2" s="102"/>
    </row>
    <row r="3" spans="1:20" s="5" customFormat="1">
      <c r="A3" s="135"/>
      <c r="B3" s="136"/>
      <c r="C3" s="136"/>
      <c r="D3" s="136"/>
      <c r="E3" s="137"/>
      <c r="F3" s="173" t="e">
        <f ca="1">MID(CELL("filename",A4),FIND("]",CELL("filename",A4))+1,255)</f>
        <v>#VALUE!</v>
      </c>
      <c r="G3" s="216"/>
      <c r="H3" s="216" t="e">
        <f ca="1">VLOOKUP(F3,INDEX!B:J,2,0)</f>
        <v>#VALUE!</v>
      </c>
      <c r="I3" s="216"/>
      <c r="J3" s="171" t="e">
        <f ca="1">VLOOKUP(F3,INDEX!B:J,4,0)</f>
        <v>#VALUE!</v>
      </c>
      <c r="K3" s="172"/>
      <c r="L3" s="173"/>
      <c r="M3" s="216" t="e">
        <f ca="1">VLOOKUP(F3,INDEX!B:J,5,0)</f>
        <v>#VALUE!</v>
      </c>
      <c r="N3" s="216"/>
      <c r="O3" s="217" t="e">
        <f ca="1">VLOOKUP(F3,INDEX!B:AF,17,0)</f>
        <v>#VALUE!</v>
      </c>
      <c r="P3" s="217"/>
      <c r="Q3" s="101" t="e">
        <f ca="1">VLOOKUP(F3,INDEX!B:J,9,0)</f>
        <v>#VALUE!</v>
      </c>
      <c r="R3" s="101"/>
      <c r="S3" s="101"/>
      <c r="T3" s="102"/>
    </row>
    <row r="4" spans="1:20" s="5" customFormat="1" ht="15" customHeight="1">
      <c r="A4" s="135"/>
      <c r="B4" s="136"/>
      <c r="C4" s="136"/>
      <c r="D4" s="136"/>
      <c r="E4" s="137"/>
      <c r="F4" s="130" t="s">
        <v>218</v>
      </c>
      <c r="G4" s="131"/>
      <c r="H4" s="131"/>
      <c r="I4" s="212" t="e">
        <f ca="1">VLOOKUP(F3,INDEX!B:AF,18,0)</f>
        <v>#VALUE!</v>
      </c>
      <c r="J4" s="212"/>
      <c r="K4" s="212"/>
      <c r="L4" s="212"/>
      <c r="M4" s="212"/>
      <c r="N4" s="212"/>
      <c r="O4" s="212"/>
      <c r="P4" s="212"/>
      <c r="Q4" s="212"/>
      <c r="R4" s="212"/>
      <c r="S4" s="212"/>
      <c r="T4" s="213"/>
    </row>
    <row r="5" spans="1:20" s="5" customFormat="1" ht="13.9" customHeight="1">
      <c r="A5" s="135"/>
      <c r="B5" s="136"/>
      <c r="C5" s="136"/>
      <c r="D5" s="136"/>
      <c r="E5" s="137"/>
      <c r="F5" s="149" t="s">
        <v>219</v>
      </c>
      <c r="G5" s="149"/>
      <c r="H5" s="180"/>
      <c r="I5" s="211" t="e">
        <f ca="1">VLOOKUP(F3,INDEX!B:J,6,0)</f>
        <v>#VALUE!</v>
      </c>
      <c r="J5" s="159"/>
      <c r="K5" s="159"/>
      <c r="L5" s="159"/>
      <c r="M5" s="159"/>
      <c r="N5" s="159"/>
      <c r="O5" s="159"/>
      <c r="P5" s="159"/>
      <c r="Q5" s="159"/>
      <c r="R5" s="159"/>
      <c r="S5" s="159"/>
      <c r="T5" s="160"/>
    </row>
    <row r="6" spans="1:20" s="5" customFormat="1" ht="14.45" customHeight="1" thickBot="1">
      <c r="A6" s="138"/>
      <c r="B6" s="139"/>
      <c r="C6" s="139"/>
      <c r="D6" s="139"/>
      <c r="E6" s="140"/>
      <c r="F6" s="130" t="s">
        <v>220</v>
      </c>
      <c r="G6" s="131"/>
      <c r="H6" s="131"/>
      <c r="I6" s="198" t="e">
        <f ca="1">VLOOKUP(F3,INDEX!B:AF,16,0)</f>
        <v>#VALUE!</v>
      </c>
      <c r="J6" s="198"/>
      <c r="K6" s="198"/>
      <c r="L6" s="198"/>
      <c r="M6" s="198"/>
      <c r="N6" s="198"/>
      <c r="O6" s="198"/>
      <c r="P6" s="198"/>
      <c r="Q6" s="198"/>
      <c r="R6" s="198"/>
      <c r="S6" s="198"/>
      <c r="T6" s="199"/>
    </row>
    <row r="7" spans="1:20" s="5" customFormat="1" ht="14.45" customHeight="1">
      <c r="A7" s="200" t="s">
        <v>221</v>
      </c>
      <c r="B7" s="201"/>
      <c r="C7" s="201"/>
      <c r="D7" s="201"/>
      <c r="E7" s="201"/>
      <c r="F7" s="201"/>
      <c r="G7" s="201"/>
      <c r="H7" s="201"/>
      <c r="I7" s="201"/>
      <c r="J7" s="201"/>
      <c r="K7" s="201"/>
      <c r="L7" s="201"/>
      <c r="M7" s="201"/>
      <c r="N7" s="201"/>
      <c r="O7" s="201"/>
      <c r="P7" s="201"/>
      <c r="Q7" s="201"/>
      <c r="R7" s="201"/>
      <c r="S7" s="201"/>
      <c r="T7" s="202"/>
    </row>
    <row r="8" spans="1:20"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01" t="s">
        <v>223</v>
      </c>
      <c r="Q8" s="101"/>
      <c r="R8" s="101"/>
      <c r="S8" s="101"/>
      <c r="T8" s="102"/>
    </row>
    <row r="9" spans="1:20"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01" t="e">
        <f ca="1">B8*1.5</f>
        <v>#VALUE!</v>
      </c>
      <c r="Q9" s="101"/>
      <c r="R9" s="101"/>
      <c r="S9" s="101"/>
      <c r="T9" s="102"/>
    </row>
    <row r="10" spans="1:20" s="3" customFormat="1">
      <c r="A10" s="208" t="s">
        <v>225</v>
      </c>
      <c r="B10" s="209"/>
      <c r="C10" s="209"/>
      <c r="D10" s="209"/>
      <c r="E10" s="209"/>
      <c r="F10" s="209"/>
      <c r="G10" s="209"/>
      <c r="H10" s="209"/>
      <c r="I10" s="209"/>
      <c r="J10" s="209"/>
      <c r="K10" s="209"/>
      <c r="L10" s="209"/>
      <c r="M10" s="209"/>
      <c r="N10" s="209"/>
      <c r="O10" s="209"/>
      <c r="P10" s="209"/>
      <c r="Q10" s="209"/>
      <c r="R10" s="209"/>
      <c r="S10" s="209"/>
      <c r="T10" s="210"/>
    </row>
    <row r="11" spans="1:20">
      <c r="A11" s="69" t="s">
        <v>226</v>
      </c>
      <c r="B11" s="109" t="s">
        <v>227</v>
      </c>
      <c r="C11" s="109"/>
      <c r="D11" s="109"/>
      <c r="E11" s="109"/>
      <c r="F11" s="109"/>
      <c r="G11" s="109"/>
      <c r="H11" s="109"/>
      <c r="I11" s="109"/>
      <c r="J11" s="109"/>
      <c r="K11" s="109"/>
      <c r="L11" s="109"/>
      <c r="M11" s="109"/>
      <c r="N11" s="109"/>
      <c r="O11" s="109"/>
      <c r="P11" s="109"/>
      <c r="Q11" s="109"/>
      <c r="R11" s="144"/>
      <c r="S11" s="8"/>
      <c r="T11" s="76"/>
    </row>
    <row r="12" spans="1:20"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28</v>
      </c>
      <c r="T12" s="66">
        <v>30</v>
      </c>
    </row>
    <row r="13" spans="1:20"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711</v>
      </c>
      <c r="T13" s="66">
        <v>762</v>
      </c>
    </row>
    <row r="14" spans="1:20" s="12" customFormat="1">
      <c r="A14" s="70" t="s">
        <v>230</v>
      </c>
      <c r="B14" s="17" t="s">
        <v>308</v>
      </c>
      <c r="C14" s="17" t="s">
        <v>308</v>
      </c>
      <c r="D14" s="17" t="s">
        <v>308</v>
      </c>
      <c r="E14" s="17" t="s">
        <v>308</v>
      </c>
      <c r="F14" s="17">
        <v>160</v>
      </c>
      <c r="G14" s="17">
        <v>80</v>
      </c>
      <c r="H14" s="17">
        <v>80</v>
      </c>
      <c r="I14" s="17">
        <v>80</v>
      </c>
      <c r="J14" s="17">
        <v>60</v>
      </c>
      <c r="K14" s="17">
        <v>40</v>
      </c>
      <c r="L14" s="17">
        <v>40</v>
      </c>
      <c r="M14" s="17">
        <v>40</v>
      </c>
      <c r="N14" s="17">
        <v>40</v>
      </c>
      <c r="O14" s="17">
        <v>30</v>
      </c>
      <c r="P14" s="17" t="s">
        <v>232</v>
      </c>
      <c r="Q14" s="17" t="s">
        <v>232</v>
      </c>
      <c r="R14" s="17" t="s">
        <v>232</v>
      </c>
      <c r="S14" s="17" t="s">
        <v>232</v>
      </c>
      <c r="T14" s="66">
        <v>30</v>
      </c>
    </row>
    <row r="15" spans="1:20" s="12" customFormat="1">
      <c r="A15" s="70" t="s">
        <v>233</v>
      </c>
      <c r="B15" s="17">
        <v>7.47</v>
      </c>
      <c r="C15" s="17">
        <v>7.82</v>
      </c>
      <c r="D15" s="17">
        <v>9.09</v>
      </c>
      <c r="E15" s="17">
        <v>10.16</v>
      </c>
      <c r="F15" s="17">
        <v>8.74</v>
      </c>
      <c r="G15" s="17">
        <v>7.62</v>
      </c>
      <c r="H15" s="17">
        <v>8.56</v>
      </c>
      <c r="I15" s="17">
        <v>10.97</v>
      </c>
      <c r="J15" s="17">
        <v>10.31</v>
      </c>
      <c r="K15" s="17">
        <v>9.27</v>
      </c>
      <c r="L15" s="17">
        <v>10.31</v>
      </c>
      <c r="M15" s="17">
        <v>11.12</v>
      </c>
      <c r="N15" s="17">
        <v>12.7</v>
      </c>
      <c r="O15" s="17">
        <v>11.3</v>
      </c>
      <c r="P15" s="17">
        <v>12.7</v>
      </c>
      <c r="Q15" s="17">
        <v>12.7</v>
      </c>
      <c r="R15" s="17">
        <v>12.7</v>
      </c>
      <c r="S15" s="17">
        <v>12.7</v>
      </c>
      <c r="T15" s="66">
        <v>15.88</v>
      </c>
    </row>
    <row r="16" spans="1:20">
      <c r="A16" s="69" t="s">
        <v>234</v>
      </c>
      <c r="B16" s="109" t="s">
        <v>235</v>
      </c>
      <c r="C16" s="109"/>
      <c r="D16" s="109"/>
      <c r="E16" s="109"/>
      <c r="F16" s="109"/>
      <c r="G16" s="109"/>
      <c r="H16" s="109"/>
      <c r="I16" s="109"/>
      <c r="J16" s="109"/>
      <c r="K16" s="109"/>
      <c r="L16" s="109"/>
      <c r="M16" s="109"/>
      <c r="N16" s="109"/>
      <c r="O16" s="151" t="s">
        <v>236</v>
      </c>
      <c r="P16" s="152"/>
      <c r="Q16" s="152"/>
      <c r="R16" s="152"/>
      <c r="S16" s="152"/>
      <c r="T16" s="161"/>
    </row>
    <row r="17" spans="1:20" ht="15" customHeight="1">
      <c r="A17" s="69" t="s">
        <v>237</v>
      </c>
      <c r="B17" s="109" t="s">
        <v>238</v>
      </c>
      <c r="C17" s="109"/>
      <c r="D17" s="109"/>
      <c r="E17" s="109"/>
      <c r="F17" s="109"/>
      <c r="G17" s="109"/>
      <c r="H17" s="109"/>
      <c r="I17" s="109"/>
      <c r="J17" s="109"/>
      <c r="K17" s="109"/>
      <c r="L17" s="109"/>
      <c r="M17" s="109"/>
      <c r="N17" s="109"/>
      <c r="O17" s="144" t="s">
        <v>239</v>
      </c>
      <c r="P17" s="145"/>
      <c r="Q17" s="145"/>
      <c r="R17" s="145"/>
      <c r="S17" s="145"/>
      <c r="T17" s="147"/>
    </row>
    <row r="18" spans="1:20">
      <c r="A18" s="69" t="s">
        <v>240</v>
      </c>
      <c r="B18" s="144" t="s">
        <v>241</v>
      </c>
      <c r="C18" s="145"/>
      <c r="D18" s="145"/>
      <c r="E18" s="145"/>
      <c r="F18" s="145"/>
      <c r="G18" s="145"/>
      <c r="H18" s="145"/>
      <c r="I18" s="145"/>
      <c r="J18" s="145"/>
      <c r="K18" s="145"/>
      <c r="L18" s="145"/>
      <c r="M18" s="145"/>
      <c r="N18" s="145"/>
      <c r="O18" s="145"/>
      <c r="P18" s="145"/>
      <c r="Q18" s="145"/>
      <c r="R18" s="145"/>
      <c r="S18" s="7"/>
      <c r="T18" s="79"/>
    </row>
    <row r="19" spans="1:20" ht="13.9" customHeight="1">
      <c r="A19" s="148" t="s">
        <v>242</v>
      </c>
      <c r="B19" s="145"/>
      <c r="C19" s="145"/>
      <c r="D19" s="145"/>
      <c r="E19" s="145"/>
      <c r="F19" s="145"/>
      <c r="G19" s="145"/>
      <c r="H19" s="145"/>
      <c r="I19" s="145"/>
      <c r="J19" s="145"/>
      <c r="K19" s="145"/>
      <c r="L19" s="145"/>
      <c r="M19" s="145"/>
      <c r="N19" s="145"/>
      <c r="O19" s="145"/>
      <c r="P19" s="145"/>
      <c r="Q19" s="145"/>
      <c r="R19" s="145"/>
      <c r="S19" s="7"/>
      <c r="T19" s="79"/>
    </row>
    <row r="20" spans="1:20" ht="30" customHeight="1">
      <c r="A20" s="69" t="s">
        <v>234</v>
      </c>
      <c r="B20" s="144" t="s">
        <v>243</v>
      </c>
      <c r="C20" s="145"/>
      <c r="D20" s="145"/>
      <c r="E20" s="145"/>
      <c r="F20" s="145"/>
      <c r="G20" s="145"/>
      <c r="H20" s="145"/>
      <c r="I20" s="145"/>
      <c r="J20" s="145"/>
      <c r="K20" s="145"/>
      <c r="L20" s="145"/>
      <c r="M20" s="145"/>
      <c r="N20" s="146"/>
      <c r="O20" s="144" t="s">
        <v>321</v>
      </c>
      <c r="P20" s="145"/>
      <c r="Q20" s="145"/>
      <c r="R20" s="145"/>
      <c r="S20" s="145"/>
      <c r="T20" s="147"/>
    </row>
    <row r="21" spans="1:20" ht="15" customHeight="1">
      <c r="A21" s="69" t="s">
        <v>237</v>
      </c>
      <c r="B21" s="144" t="s">
        <v>245</v>
      </c>
      <c r="C21" s="145"/>
      <c r="D21" s="145"/>
      <c r="E21" s="145"/>
      <c r="F21" s="145"/>
      <c r="G21" s="145"/>
      <c r="H21" s="145"/>
      <c r="I21" s="145"/>
      <c r="J21" s="145"/>
      <c r="K21" s="145"/>
      <c r="L21" s="145"/>
      <c r="M21" s="145"/>
      <c r="N21" s="145"/>
      <c r="O21" s="145"/>
      <c r="P21" s="145"/>
      <c r="Q21" s="145"/>
      <c r="R21" s="145"/>
      <c r="S21" s="7"/>
      <c r="T21" s="79"/>
    </row>
    <row r="22" spans="1:20" ht="15" customHeight="1">
      <c r="A22" s="69" t="s">
        <v>246</v>
      </c>
      <c r="B22" s="144" t="s">
        <v>247</v>
      </c>
      <c r="C22" s="145"/>
      <c r="D22" s="145"/>
      <c r="E22" s="145"/>
      <c r="F22" s="145"/>
      <c r="G22" s="145"/>
      <c r="H22" s="145"/>
      <c r="I22" s="145"/>
      <c r="J22" s="145"/>
      <c r="K22" s="145"/>
      <c r="L22" s="145"/>
      <c r="M22" s="145"/>
      <c r="N22" s="145"/>
      <c r="O22" s="145"/>
      <c r="P22" s="145"/>
      <c r="Q22" s="145"/>
      <c r="R22" s="145"/>
      <c r="S22" s="7"/>
      <c r="T22" s="79"/>
    </row>
    <row r="23" spans="1:20" ht="15" customHeight="1">
      <c r="A23" s="69" t="s">
        <v>248</v>
      </c>
      <c r="B23" s="144" t="s">
        <v>247</v>
      </c>
      <c r="C23" s="145"/>
      <c r="D23" s="145"/>
      <c r="E23" s="145"/>
      <c r="F23" s="145"/>
      <c r="G23" s="145"/>
      <c r="H23" s="145"/>
      <c r="I23" s="145"/>
      <c r="J23" s="145"/>
      <c r="K23" s="145"/>
      <c r="L23" s="145"/>
      <c r="M23" s="145"/>
      <c r="N23" s="145"/>
      <c r="O23" s="145"/>
      <c r="P23" s="145"/>
      <c r="Q23" s="145"/>
      <c r="R23" s="145"/>
      <c r="S23" s="7"/>
      <c r="T23" s="79"/>
    </row>
    <row r="24" spans="1:20" ht="15" customHeight="1">
      <c r="A24" s="69" t="s">
        <v>249</v>
      </c>
      <c r="B24" s="144" t="s">
        <v>247</v>
      </c>
      <c r="C24" s="145"/>
      <c r="D24" s="145"/>
      <c r="E24" s="145"/>
      <c r="F24" s="145"/>
      <c r="G24" s="145"/>
      <c r="H24" s="145"/>
      <c r="I24" s="145"/>
      <c r="J24" s="145"/>
      <c r="K24" s="145"/>
      <c r="L24" s="145"/>
      <c r="M24" s="145"/>
      <c r="N24" s="145"/>
      <c r="O24" s="145"/>
      <c r="P24" s="145"/>
      <c r="Q24" s="145"/>
      <c r="R24" s="145"/>
      <c r="S24" s="7"/>
      <c r="T24" s="79"/>
    </row>
    <row r="25" spans="1:20" ht="15" customHeight="1">
      <c r="A25" s="69" t="s">
        <v>250</v>
      </c>
      <c r="B25" s="144" t="s">
        <v>247</v>
      </c>
      <c r="C25" s="145"/>
      <c r="D25" s="145"/>
      <c r="E25" s="145"/>
      <c r="F25" s="145"/>
      <c r="G25" s="145"/>
      <c r="H25" s="145"/>
      <c r="I25" s="145"/>
      <c r="J25" s="145"/>
      <c r="K25" s="145"/>
      <c r="L25" s="145"/>
      <c r="M25" s="145"/>
      <c r="N25" s="145"/>
      <c r="O25" s="145"/>
      <c r="P25" s="145"/>
      <c r="Q25" s="145"/>
      <c r="R25" s="145"/>
      <c r="S25" s="7"/>
      <c r="T25" s="79"/>
    </row>
    <row r="26" spans="1:20" ht="15" customHeight="1">
      <c r="A26" s="69" t="s">
        <v>251</v>
      </c>
      <c r="B26" s="151" t="s">
        <v>290</v>
      </c>
      <c r="C26" s="152"/>
      <c r="D26" s="152"/>
      <c r="E26" s="127"/>
      <c r="F26" s="144"/>
      <c r="G26" s="145"/>
      <c r="H26" s="145"/>
      <c r="I26" s="145"/>
      <c r="J26" s="145"/>
      <c r="K26" s="145"/>
      <c r="L26" s="145"/>
      <c r="M26" s="145"/>
      <c r="N26" s="145"/>
      <c r="O26" s="145"/>
      <c r="P26" s="145"/>
      <c r="Q26" s="145"/>
      <c r="R26" s="145"/>
      <c r="S26" s="7"/>
      <c r="T26" s="79"/>
    </row>
    <row r="27" spans="1:20" ht="15" customHeight="1">
      <c r="A27" s="69" t="s">
        <v>253</v>
      </c>
      <c r="B27" s="144" t="s">
        <v>254</v>
      </c>
      <c r="C27" s="145"/>
      <c r="D27" s="145"/>
      <c r="E27" s="145"/>
      <c r="F27" s="145"/>
      <c r="G27" s="145"/>
      <c r="H27" s="145"/>
      <c r="I27" s="145"/>
      <c r="J27" s="145"/>
      <c r="K27" s="145"/>
      <c r="L27" s="145"/>
      <c r="M27" s="145"/>
      <c r="N27" s="145"/>
      <c r="O27" s="145"/>
      <c r="P27" s="145"/>
      <c r="Q27" s="145"/>
      <c r="R27" s="145"/>
      <c r="S27" s="7"/>
      <c r="T27" s="79"/>
    </row>
    <row r="28" spans="1:20">
      <c r="A28" s="148" t="s">
        <v>255</v>
      </c>
      <c r="B28" s="145"/>
      <c r="C28" s="145"/>
      <c r="D28" s="145"/>
      <c r="E28" s="145"/>
      <c r="F28" s="145"/>
      <c r="G28" s="145"/>
      <c r="H28" s="145"/>
      <c r="I28" s="145"/>
      <c r="J28" s="145"/>
      <c r="K28" s="145"/>
      <c r="L28" s="145"/>
      <c r="M28" s="145"/>
      <c r="N28" s="145"/>
      <c r="O28" s="145"/>
      <c r="P28" s="145"/>
      <c r="Q28" s="145"/>
      <c r="R28" s="145"/>
      <c r="S28" s="145"/>
      <c r="T28" s="147"/>
    </row>
    <row r="29" spans="1:20">
      <c r="A29" s="69" t="s">
        <v>237</v>
      </c>
      <c r="B29" s="109" t="s">
        <v>256</v>
      </c>
      <c r="C29" s="109"/>
      <c r="D29" s="109"/>
      <c r="E29" s="109"/>
      <c r="F29" s="109"/>
      <c r="G29" s="109"/>
      <c r="H29" s="109"/>
      <c r="I29" s="109"/>
      <c r="J29" s="109"/>
      <c r="K29" s="109"/>
      <c r="L29" s="109"/>
      <c r="M29" s="109"/>
      <c r="N29" s="109"/>
      <c r="O29" s="109"/>
      <c r="P29" s="109"/>
      <c r="Q29" s="109"/>
      <c r="R29" s="109"/>
      <c r="S29" s="109"/>
      <c r="T29" s="110"/>
    </row>
    <row r="30" spans="1:20" s="5" customFormat="1" ht="13.9" customHeight="1">
      <c r="A30" s="69" t="s">
        <v>257</v>
      </c>
      <c r="B30" s="144" t="s">
        <v>258</v>
      </c>
      <c r="C30" s="145"/>
      <c r="D30" s="145"/>
      <c r="E30" s="145"/>
      <c r="F30" s="145"/>
      <c r="G30" s="145"/>
      <c r="H30" s="145"/>
      <c r="I30" s="145"/>
      <c r="J30" s="145"/>
      <c r="K30" s="145"/>
      <c r="L30" s="145"/>
      <c r="M30" s="145"/>
      <c r="N30" s="145"/>
      <c r="O30" s="145"/>
      <c r="P30" s="145"/>
      <c r="Q30" s="145"/>
      <c r="R30" s="145"/>
      <c r="S30" s="145"/>
      <c r="T30" s="147"/>
    </row>
    <row r="31" spans="1:20" ht="15" customHeight="1">
      <c r="A31" s="69" t="s">
        <v>234</v>
      </c>
      <c r="B31" s="144" t="s">
        <v>259</v>
      </c>
      <c r="C31" s="145"/>
      <c r="D31" s="145"/>
      <c r="E31" s="145"/>
      <c r="F31" s="145"/>
      <c r="G31" s="145"/>
      <c r="H31" s="145"/>
      <c r="I31" s="145"/>
      <c r="J31" s="145"/>
      <c r="K31" s="145"/>
      <c r="L31" s="145"/>
      <c r="M31" s="145"/>
      <c r="N31" s="145"/>
      <c r="O31" s="145"/>
      <c r="P31" s="145"/>
      <c r="Q31" s="145"/>
      <c r="R31" s="145"/>
      <c r="S31" s="145"/>
      <c r="T31" s="147"/>
    </row>
    <row r="32" spans="1:20" ht="14.45" customHeight="1">
      <c r="A32" s="148" t="s">
        <v>260</v>
      </c>
      <c r="B32" s="145"/>
      <c r="C32" s="145"/>
      <c r="D32" s="145"/>
      <c r="E32" s="145"/>
      <c r="F32" s="145"/>
      <c r="G32" s="145"/>
      <c r="H32" s="145"/>
      <c r="I32" s="145"/>
      <c r="J32" s="145"/>
      <c r="K32" s="145"/>
      <c r="L32" s="145"/>
      <c r="M32" s="145"/>
      <c r="N32" s="145"/>
      <c r="O32" s="145"/>
      <c r="P32" s="145"/>
      <c r="Q32" s="145"/>
      <c r="R32" s="145"/>
      <c r="S32" s="145"/>
      <c r="T32" s="147"/>
    </row>
    <row r="33" spans="1:20" ht="13.9" customHeight="1">
      <c r="A33" s="69" t="s">
        <v>237</v>
      </c>
      <c r="B33" s="205" t="s">
        <v>256</v>
      </c>
      <c r="C33" s="206"/>
      <c r="D33" s="206"/>
      <c r="E33" s="206"/>
      <c r="F33" s="206"/>
      <c r="G33" s="206"/>
      <c r="H33" s="206"/>
      <c r="I33" s="206"/>
      <c r="J33" s="206"/>
      <c r="K33" s="206"/>
      <c r="L33" s="206"/>
      <c r="M33" s="206"/>
      <c r="N33" s="206"/>
      <c r="O33" s="206"/>
      <c r="P33" s="206"/>
      <c r="Q33" s="206"/>
      <c r="R33" s="206"/>
      <c r="S33" s="206"/>
      <c r="T33" s="207"/>
    </row>
    <row r="34" spans="1:20" ht="15" customHeight="1">
      <c r="A34" s="69" t="s">
        <v>261</v>
      </c>
      <c r="B34" s="144" t="s">
        <v>262</v>
      </c>
      <c r="C34" s="145"/>
      <c r="D34" s="145"/>
      <c r="E34" s="145"/>
      <c r="F34" s="145"/>
      <c r="G34" s="145"/>
      <c r="H34" s="145"/>
      <c r="I34" s="145"/>
      <c r="J34" s="145"/>
      <c r="K34" s="145"/>
      <c r="L34" s="145"/>
      <c r="M34" s="146"/>
      <c r="N34" s="151" t="s">
        <v>263</v>
      </c>
      <c r="O34" s="152"/>
      <c r="P34" s="152"/>
      <c r="Q34" s="152"/>
      <c r="R34" s="152"/>
      <c r="S34" s="152"/>
      <c r="T34" s="161"/>
    </row>
    <row r="35" spans="1:20" ht="15" customHeight="1">
      <c r="A35" s="141" t="s">
        <v>264</v>
      </c>
      <c r="B35" s="142"/>
      <c r="C35" s="142"/>
      <c r="D35" s="142"/>
      <c r="E35" s="142"/>
      <c r="F35" s="142"/>
      <c r="G35" s="142"/>
      <c r="H35" s="142"/>
      <c r="I35" s="142"/>
      <c r="J35" s="142"/>
      <c r="K35" s="142"/>
      <c r="L35" s="142"/>
      <c r="M35" s="142"/>
      <c r="N35" s="142"/>
      <c r="O35" s="142"/>
      <c r="P35" s="142"/>
      <c r="Q35" s="142"/>
      <c r="R35" s="142"/>
      <c r="S35" s="142"/>
      <c r="T35" s="143"/>
    </row>
    <row r="36" spans="1:20" ht="13.9" customHeight="1">
      <c r="A36" s="69" t="s">
        <v>265</v>
      </c>
      <c r="B36" s="109" t="s">
        <v>266</v>
      </c>
      <c r="C36" s="109"/>
      <c r="D36" s="109"/>
      <c r="E36" s="109"/>
      <c r="F36" s="109"/>
      <c r="G36" s="109"/>
      <c r="H36" s="109"/>
      <c r="I36" s="109"/>
      <c r="J36" s="109"/>
      <c r="K36" s="109"/>
      <c r="L36" s="109"/>
      <c r="M36" s="109"/>
      <c r="N36" s="109"/>
      <c r="O36" s="109"/>
      <c r="P36" s="109"/>
      <c r="Q36" s="109"/>
      <c r="R36" s="109"/>
      <c r="S36" s="109"/>
      <c r="T36" s="110"/>
    </row>
    <row r="37" spans="1:20" ht="13.9" customHeight="1">
      <c r="A37" s="69" t="s">
        <v>267</v>
      </c>
      <c r="B37" s="144" t="s">
        <v>268</v>
      </c>
      <c r="C37" s="145"/>
      <c r="D37" s="145"/>
      <c r="E37" s="145"/>
      <c r="F37" s="145"/>
      <c r="G37" s="145"/>
      <c r="H37" s="145"/>
      <c r="I37" s="145"/>
      <c r="J37" s="145"/>
      <c r="K37" s="145"/>
      <c r="L37" s="145"/>
      <c r="M37" s="145"/>
      <c r="N37" s="145"/>
      <c r="O37" s="145"/>
      <c r="P37" s="145"/>
      <c r="Q37" s="145"/>
      <c r="R37" s="145"/>
      <c r="S37" s="145"/>
      <c r="T37" s="147"/>
    </row>
    <row r="38" spans="1:20" ht="15" customHeight="1">
      <c r="A38" s="69" t="s">
        <v>269</v>
      </c>
      <c r="B38" s="109" t="s">
        <v>270</v>
      </c>
      <c r="C38" s="109"/>
      <c r="D38" s="109"/>
      <c r="E38" s="109"/>
      <c r="F38" s="109"/>
      <c r="G38" s="109"/>
      <c r="H38" s="109"/>
      <c r="I38" s="109"/>
      <c r="J38" s="109"/>
      <c r="K38" s="109"/>
      <c r="L38" s="109"/>
      <c r="M38" s="109"/>
      <c r="N38" s="109"/>
      <c r="O38" s="109"/>
      <c r="P38" s="109"/>
      <c r="Q38" s="109"/>
      <c r="R38" s="109"/>
      <c r="S38" s="109"/>
      <c r="T38" s="110"/>
    </row>
    <row r="39" spans="1:20" ht="14.45" customHeight="1">
      <c r="A39" s="141" t="s">
        <v>271</v>
      </c>
      <c r="B39" s="142"/>
      <c r="C39" s="142"/>
      <c r="D39" s="142"/>
      <c r="E39" s="142"/>
      <c r="F39" s="142"/>
      <c r="G39" s="142"/>
      <c r="H39" s="142"/>
      <c r="I39" s="142"/>
      <c r="J39" s="142"/>
      <c r="K39" s="142"/>
      <c r="L39" s="142"/>
      <c r="M39" s="142"/>
      <c r="N39" s="142"/>
      <c r="O39" s="142"/>
      <c r="P39" s="142"/>
      <c r="Q39" s="142"/>
      <c r="R39" s="142"/>
      <c r="S39" s="142"/>
      <c r="T39" s="143"/>
    </row>
    <row r="40" spans="1:20">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10"/>
    </row>
    <row r="41" spans="1:20"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10"/>
    </row>
    <row r="42" spans="1:20"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10"/>
    </row>
    <row r="43" spans="1:20"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10"/>
    </row>
    <row r="44" spans="1:20"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7"/>
    </row>
    <row r="45" spans="1:20" s="5" customFormat="1" ht="13.9" customHeight="1">
      <c r="A45" s="69" t="s">
        <v>277</v>
      </c>
      <c r="B45" s="144"/>
      <c r="C45" s="145"/>
      <c r="D45" s="145"/>
      <c r="E45" s="145"/>
      <c r="F45" s="146"/>
      <c r="G45" s="144" t="e">
        <f ca="1">"BFD"&amp;VLOOKUP(F3,INDEX!B:AH,33,0)&amp;"WR"</f>
        <v>#VALUE!</v>
      </c>
      <c r="H45" s="145"/>
      <c r="I45" s="145"/>
      <c r="J45" s="145"/>
      <c r="K45" s="145"/>
      <c r="L45" s="145"/>
      <c r="M45" s="145"/>
      <c r="N45" s="145"/>
      <c r="O45" s="145"/>
      <c r="P45" s="145"/>
      <c r="Q45" s="145"/>
      <c r="R45" s="145"/>
      <c r="S45" s="145"/>
      <c r="T45" s="147"/>
    </row>
    <row r="46" spans="1:20" s="5" customFormat="1" ht="13.9" customHeight="1">
      <c r="A46" s="69"/>
      <c r="B46" s="109"/>
      <c r="C46" s="109"/>
      <c r="D46" s="109"/>
      <c r="E46" s="109"/>
      <c r="F46" s="109"/>
      <c r="G46" s="109"/>
      <c r="H46" s="109"/>
      <c r="I46" s="109"/>
      <c r="J46" s="109"/>
      <c r="K46" s="109"/>
      <c r="L46" s="109"/>
      <c r="M46" s="109"/>
      <c r="N46" s="109"/>
      <c r="O46" s="109"/>
      <c r="P46" s="109"/>
      <c r="Q46" s="109"/>
      <c r="R46" s="109"/>
      <c r="S46" s="109"/>
      <c r="T46" s="110"/>
    </row>
    <row r="47" spans="1:20" s="5" customFormat="1" ht="13.9" customHeight="1">
      <c r="A47" s="148" t="s">
        <v>278</v>
      </c>
      <c r="B47" s="149"/>
      <c r="C47" s="149"/>
      <c r="D47" s="149"/>
      <c r="E47" s="149"/>
      <c r="F47" s="149"/>
      <c r="G47" s="149"/>
      <c r="H47" s="149"/>
      <c r="I47" s="149"/>
      <c r="J47" s="149"/>
      <c r="K47" s="149"/>
      <c r="L47" s="149"/>
      <c r="M47" s="149"/>
      <c r="N47" s="149"/>
      <c r="O47" s="149"/>
      <c r="P47" s="149"/>
      <c r="Q47" s="149"/>
      <c r="R47" s="149"/>
      <c r="S47" s="149"/>
      <c r="T47" s="150"/>
    </row>
    <row r="48" spans="1:20" s="5" customFormat="1" ht="29.45" customHeight="1">
      <c r="A48" s="111" t="s">
        <v>279</v>
      </c>
      <c r="B48" s="112"/>
      <c r="C48" s="112"/>
      <c r="D48" s="112"/>
      <c r="E48" s="112"/>
      <c r="F48" s="112"/>
      <c r="G48" s="112"/>
      <c r="H48" s="112"/>
      <c r="I48" s="112"/>
      <c r="J48" s="112"/>
      <c r="K48" s="112"/>
      <c r="L48" s="112"/>
      <c r="M48" s="112"/>
      <c r="N48" s="112"/>
      <c r="O48" s="112"/>
      <c r="P48" s="112"/>
      <c r="Q48" s="112"/>
      <c r="R48" s="112"/>
      <c r="S48" s="112"/>
      <c r="T48" s="113"/>
    </row>
    <row r="49" spans="1:20" s="5" customFormat="1" ht="13.9" customHeight="1">
      <c r="A49" s="114" t="s">
        <v>280</v>
      </c>
      <c r="B49" s="115"/>
      <c r="C49" s="115"/>
      <c r="D49" s="115"/>
      <c r="E49" s="115"/>
      <c r="F49" s="115"/>
      <c r="G49" s="115"/>
      <c r="H49" s="115"/>
      <c r="I49" s="115"/>
      <c r="J49" s="115"/>
      <c r="K49" s="115"/>
      <c r="L49" s="115"/>
      <c r="M49" s="115"/>
      <c r="N49" s="115"/>
      <c r="O49" s="115"/>
      <c r="P49" s="115"/>
      <c r="Q49" s="115"/>
      <c r="R49" s="115"/>
      <c r="S49" s="115"/>
      <c r="T49" s="116"/>
    </row>
    <row r="50" spans="1:20" s="5" customFormat="1" ht="13.9" customHeight="1">
      <c r="A50" s="114" t="s">
        <v>281</v>
      </c>
      <c r="B50" s="115"/>
      <c r="C50" s="115"/>
      <c r="D50" s="115"/>
      <c r="E50" s="115"/>
      <c r="F50" s="115"/>
      <c r="G50" s="115"/>
      <c r="H50" s="115"/>
      <c r="I50" s="115"/>
      <c r="J50" s="115"/>
      <c r="K50" s="115"/>
      <c r="L50" s="115"/>
      <c r="M50" s="115"/>
      <c r="N50" s="115"/>
      <c r="O50" s="115"/>
      <c r="P50" s="115"/>
      <c r="Q50" s="115"/>
      <c r="R50" s="115"/>
      <c r="S50" s="115"/>
      <c r="T50" s="116"/>
    </row>
    <row r="51" spans="1:20" s="5" customFormat="1" ht="30.6" customHeight="1">
      <c r="A51" s="114" t="s">
        <v>282</v>
      </c>
      <c r="B51" s="115"/>
      <c r="C51" s="115"/>
      <c r="D51" s="115"/>
      <c r="E51" s="115"/>
      <c r="F51" s="115"/>
      <c r="G51" s="115"/>
      <c r="H51" s="115"/>
      <c r="I51" s="115"/>
      <c r="J51" s="115"/>
      <c r="K51" s="115"/>
      <c r="L51" s="115"/>
      <c r="M51" s="115"/>
      <c r="N51" s="115"/>
      <c r="O51" s="115"/>
      <c r="P51" s="115"/>
      <c r="Q51" s="115"/>
      <c r="R51" s="115"/>
      <c r="S51" s="115"/>
      <c r="T51" s="116"/>
    </row>
    <row r="52" spans="1:20" ht="28.15" customHeight="1">
      <c r="A52" s="114" t="s">
        <v>283</v>
      </c>
      <c r="B52" s="115"/>
      <c r="C52" s="115"/>
      <c r="D52" s="115"/>
      <c r="E52" s="115"/>
      <c r="F52" s="115"/>
      <c r="G52" s="115"/>
      <c r="H52" s="115"/>
      <c r="I52" s="115"/>
      <c r="J52" s="115"/>
      <c r="K52" s="115"/>
      <c r="L52" s="115"/>
      <c r="M52" s="115"/>
      <c r="N52" s="115"/>
      <c r="O52" s="115"/>
      <c r="P52" s="115"/>
      <c r="Q52" s="115"/>
      <c r="R52" s="115"/>
      <c r="S52" s="115"/>
      <c r="T52" s="116"/>
    </row>
    <row r="53" spans="1:20" ht="14.45" customHeight="1">
      <c r="A53" s="114" t="s">
        <v>284</v>
      </c>
      <c r="B53" s="115"/>
      <c r="C53" s="115"/>
      <c r="D53" s="115"/>
      <c r="E53" s="115"/>
      <c r="F53" s="115"/>
      <c r="G53" s="115"/>
      <c r="H53" s="115"/>
      <c r="I53" s="115"/>
      <c r="J53" s="115"/>
      <c r="K53" s="115"/>
      <c r="L53" s="115"/>
      <c r="M53" s="115"/>
      <c r="N53" s="115"/>
      <c r="O53" s="115"/>
      <c r="P53" s="115"/>
      <c r="Q53" s="115"/>
      <c r="R53" s="115"/>
      <c r="S53" s="115"/>
      <c r="T53" s="116"/>
    </row>
    <row r="54" spans="1:20" ht="14.45" customHeight="1">
      <c r="A54" s="114" t="s">
        <v>285</v>
      </c>
      <c r="B54" s="115"/>
      <c r="C54" s="115"/>
      <c r="D54" s="115"/>
      <c r="E54" s="115"/>
      <c r="F54" s="115"/>
      <c r="G54" s="115"/>
      <c r="H54" s="115"/>
      <c r="I54" s="115"/>
      <c r="J54" s="115"/>
      <c r="K54" s="115"/>
      <c r="L54" s="115"/>
      <c r="M54" s="115"/>
      <c r="N54" s="115"/>
      <c r="O54" s="115"/>
      <c r="P54" s="115"/>
      <c r="Q54" s="115"/>
      <c r="R54" s="115"/>
      <c r="S54" s="115"/>
      <c r="T54" s="116"/>
    </row>
    <row r="55" spans="1:20" ht="15.75" thickBot="1">
      <c r="A55" s="177"/>
      <c r="B55" s="178"/>
      <c r="C55" s="178"/>
      <c r="D55" s="178"/>
      <c r="E55" s="178"/>
      <c r="F55" s="178"/>
      <c r="G55" s="178"/>
      <c r="H55" s="178"/>
      <c r="I55" s="178"/>
      <c r="J55" s="178"/>
      <c r="K55" s="178"/>
      <c r="L55" s="178"/>
      <c r="M55" s="178"/>
      <c r="N55" s="178"/>
      <c r="O55" s="178"/>
      <c r="P55" s="178"/>
      <c r="Q55" s="178"/>
      <c r="R55" s="178"/>
      <c r="S55" s="178"/>
      <c r="T55" s="179"/>
    </row>
  </sheetData>
  <mergeCells count="83">
    <mergeCell ref="I5:T5"/>
    <mergeCell ref="F3:G3"/>
    <mergeCell ref="H3:I3"/>
    <mergeCell ref="F4:H4"/>
    <mergeCell ref="I4:T4"/>
    <mergeCell ref="Q1:T1"/>
    <mergeCell ref="Q2:T2"/>
    <mergeCell ref="Q3:T3"/>
    <mergeCell ref="F5:H5"/>
    <mergeCell ref="A10:T10"/>
    <mergeCell ref="J8:K8"/>
    <mergeCell ref="F6:H6"/>
    <mergeCell ref="A1:E6"/>
    <mergeCell ref="F1:P1"/>
    <mergeCell ref="F2:I2"/>
    <mergeCell ref="J2:L2"/>
    <mergeCell ref="M2:N2"/>
    <mergeCell ref="O2:P2"/>
    <mergeCell ref="J3:L3"/>
    <mergeCell ref="M3:N3"/>
    <mergeCell ref="O3:P3"/>
    <mergeCell ref="B11:R11"/>
    <mergeCell ref="B16:N16"/>
    <mergeCell ref="I6:T6"/>
    <mergeCell ref="A7:T7"/>
    <mergeCell ref="P8:T8"/>
    <mergeCell ref="P9:T9"/>
    <mergeCell ref="L8:O9"/>
    <mergeCell ref="B9:C9"/>
    <mergeCell ref="D9:E9"/>
    <mergeCell ref="F9:G9"/>
    <mergeCell ref="H9:I9"/>
    <mergeCell ref="J9:K9"/>
    <mergeCell ref="B8:C8"/>
    <mergeCell ref="D8:E8"/>
    <mergeCell ref="F8:G8"/>
    <mergeCell ref="H8:I8"/>
    <mergeCell ref="B24:R24"/>
    <mergeCell ref="B25:R25"/>
    <mergeCell ref="B26:E26"/>
    <mergeCell ref="F26:R26"/>
    <mergeCell ref="B17:N17"/>
    <mergeCell ref="O17:T17"/>
    <mergeCell ref="B20:N20"/>
    <mergeCell ref="O20:T20"/>
    <mergeCell ref="B21:R21"/>
    <mergeCell ref="B22:R22"/>
    <mergeCell ref="B23:R23"/>
    <mergeCell ref="O16:T16"/>
    <mergeCell ref="B38:T38"/>
    <mergeCell ref="A28:T28"/>
    <mergeCell ref="B29:T29"/>
    <mergeCell ref="B30:T30"/>
    <mergeCell ref="B31:T31"/>
    <mergeCell ref="A32:T32"/>
    <mergeCell ref="B33:T33"/>
    <mergeCell ref="B34:M34"/>
    <mergeCell ref="N34:T34"/>
    <mergeCell ref="A35:T35"/>
    <mergeCell ref="B36:T36"/>
    <mergeCell ref="B37:T37"/>
    <mergeCell ref="B27:R27"/>
    <mergeCell ref="B18:R18"/>
    <mergeCell ref="A19:R19"/>
    <mergeCell ref="A49:T49"/>
    <mergeCell ref="A50:T50"/>
    <mergeCell ref="A39:T39"/>
    <mergeCell ref="B40:T40"/>
    <mergeCell ref="B41:T41"/>
    <mergeCell ref="B42:T42"/>
    <mergeCell ref="B43:T43"/>
    <mergeCell ref="B44:E44"/>
    <mergeCell ref="F44:T44"/>
    <mergeCell ref="B45:F45"/>
    <mergeCell ref="G45:T45"/>
    <mergeCell ref="B46:T46"/>
    <mergeCell ref="A47:T47"/>
    <mergeCell ref="A48:T48"/>
    <mergeCell ref="A51:T51"/>
    <mergeCell ref="A52:T52"/>
    <mergeCell ref="A53:T53"/>
    <mergeCell ref="A54:T54"/>
    <mergeCell ref="A55:T55"/>
  </mergeCells>
  <printOptions horizontalCentered="1"/>
  <pageMargins left="0.7" right="0.7" top="0.75" bottom="0.75" header="0.3" footer="0.3"/>
  <pageSetup paperSize="9" scale="91" firstPageNumber="18" orientation="portrait" r:id="rId1"/>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F6E5-EEFC-4854-A02A-EBC1D2F30CC5}">
  <sheetPr codeName="Sheet7">
    <tabColor rgb="FF00B0F0"/>
    <pageSetUpPr fitToPage="1"/>
  </sheetPr>
  <dimension ref="A1:T55"/>
  <sheetViews>
    <sheetView workbookViewId="0">
      <selection activeCell="AA12" sqref="AA12"/>
    </sheetView>
  </sheetViews>
  <sheetFormatPr defaultColWidth="9.140625" defaultRowHeight="15"/>
  <cols>
    <col min="1" max="1" width="10.7109375" style="1" customWidth="1"/>
    <col min="2" max="22" width="4.28515625" style="1" customWidth="1"/>
    <col min="23" max="16384" width="9.140625" style="1"/>
  </cols>
  <sheetData>
    <row r="1" spans="1:20" s="5" customFormat="1" ht="15.75" customHeight="1">
      <c r="A1" s="132" t="e" vm="1">
        <v>#VALUE!</v>
      </c>
      <c r="B1" s="133"/>
      <c r="C1" s="133"/>
      <c r="D1" s="133"/>
      <c r="E1" s="134"/>
      <c r="F1" s="221" t="s">
        <v>213</v>
      </c>
      <c r="G1" s="221"/>
      <c r="H1" s="221"/>
      <c r="I1" s="221"/>
      <c r="J1" s="221"/>
      <c r="K1" s="221"/>
      <c r="L1" s="221"/>
      <c r="M1" s="221"/>
      <c r="N1" s="221"/>
      <c r="O1" s="221"/>
      <c r="P1" s="221"/>
      <c r="Q1" s="214"/>
      <c r="R1" s="218" t="s">
        <v>214</v>
      </c>
      <c r="S1" s="219"/>
      <c r="T1" s="220"/>
    </row>
    <row r="2" spans="1:20" s="5" customFormat="1" ht="15.75" customHeight="1">
      <c r="A2" s="135"/>
      <c r="B2" s="136"/>
      <c r="C2" s="136"/>
      <c r="D2" s="136"/>
      <c r="E2" s="137"/>
      <c r="F2" s="127" t="s">
        <v>215</v>
      </c>
      <c r="G2" s="101"/>
      <c r="H2" s="101"/>
      <c r="I2" s="101"/>
      <c r="J2" s="101" t="s">
        <v>216</v>
      </c>
      <c r="K2" s="101"/>
      <c r="L2" s="101"/>
      <c r="M2" s="101" t="s">
        <v>217</v>
      </c>
      <c r="N2" s="101"/>
      <c r="O2" s="101" t="s">
        <v>13</v>
      </c>
      <c r="P2" s="101"/>
      <c r="Q2" s="101"/>
      <c r="R2" s="101" t="s">
        <v>10</v>
      </c>
      <c r="S2" s="101"/>
      <c r="T2" s="102"/>
    </row>
    <row r="3" spans="1:20" s="5" customFormat="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t="e">
        <f ca="1">VLOOKUP(F3,INDEX!B:J,5,0)</f>
        <v>#VALUE!</v>
      </c>
      <c r="N3" s="101"/>
      <c r="O3" s="105" t="e">
        <f ca="1">VLOOKUP(F3,INDEX!B:AF,17,0)</f>
        <v>#VALUE!</v>
      </c>
      <c r="P3" s="105"/>
      <c r="Q3" s="105"/>
      <c r="R3" s="101" t="e">
        <f ca="1">VLOOKUP(F3,INDEX!B:J,9,0)</f>
        <v>#VALUE!</v>
      </c>
      <c r="S3" s="101"/>
      <c r="T3" s="102"/>
    </row>
    <row r="4" spans="1:20" s="5" customFormat="1" ht="15" customHeight="1">
      <c r="A4" s="135"/>
      <c r="B4" s="136"/>
      <c r="C4" s="136"/>
      <c r="D4" s="136"/>
      <c r="E4" s="137"/>
      <c r="F4" s="130" t="s">
        <v>218</v>
      </c>
      <c r="G4" s="131"/>
      <c r="H4" s="131"/>
      <c r="I4" s="101" t="e">
        <f ca="1">VLOOKUP(F3,INDEX!B:AF,18,0)</f>
        <v>#VALUE!</v>
      </c>
      <c r="J4" s="101"/>
      <c r="K4" s="101"/>
      <c r="L4" s="101"/>
      <c r="M4" s="101"/>
      <c r="N4" s="101"/>
      <c r="O4" s="101"/>
      <c r="P4" s="101"/>
      <c r="Q4" s="101"/>
      <c r="R4" s="101"/>
      <c r="S4" s="101"/>
      <c r="T4" s="102"/>
    </row>
    <row r="5" spans="1:20" s="5" customFormat="1" ht="13.9" customHeight="1">
      <c r="A5" s="135"/>
      <c r="B5" s="136"/>
      <c r="C5" s="136"/>
      <c r="D5" s="136"/>
      <c r="E5" s="137"/>
      <c r="F5" s="128" t="s">
        <v>219</v>
      </c>
      <c r="G5" s="129"/>
      <c r="H5" s="129"/>
      <c r="I5" s="101" t="e">
        <f ca="1">VLOOKUP(F3,INDEX!B:J,6,0)</f>
        <v>#VALUE!</v>
      </c>
      <c r="J5" s="101"/>
      <c r="K5" s="101"/>
      <c r="L5" s="101"/>
      <c r="M5" s="101"/>
      <c r="N5" s="101"/>
      <c r="O5" s="101"/>
      <c r="P5" s="101"/>
      <c r="Q5" s="101"/>
      <c r="R5" s="101"/>
      <c r="S5" s="101"/>
      <c r="T5" s="102"/>
    </row>
    <row r="6" spans="1:20" s="5" customFormat="1" ht="14.45" customHeight="1" thickBot="1">
      <c r="A6" s="138"/>
      <c r="B6" s="139"/>
      <c r="C6" s="139"/>
      <c r="D6" s="139"/>
      <c r="E6" s="140"/>
      <c r="F6" s="130" t="s">
        <v>220</v>
      </c>
      <c r="G6" s="131"/>
      <c r="H6" s="131"/>
      <c r="I6" s="109" t="e">
        <f ca="1">VLOOKUP(F3,INDEX!B:AF,16,0)</f>
        <v>#VALUE!</v>
      </c>
      <c r="J6" s="109"/>
      <c r="K6" s="109"/>
      <c r="L6" s="109"/>
      <c r="M6" s="109"/>
      <c r="N6" s="109"/>
      <c r="O6" s="109"/>
      <c r="P6" s="109"/>
      <c r="Q6" s="109"/>
      <c r="R6" s="109"/>
      <c r="S6" s="109"/>
      <c r="T6" s="110"/>
    </row>
    <row r="7" spans="1:20" s="5" customFormat="1" ht="14.45" customHeight="1">
      <c r="A7" s="120" t="s">
        <v>221</v>
      </c>
      <c r="B7" s="121"/>
      <c r="C7" s="121"/>
      <c r="D7" s="121"/>
      <c r="E7" s="121"/>
      <c r="F7" s="122"/>
      <c r="G7" s="122"/>
      <c r="H7" s="122"/>
      <c r="I7" s="122"/>
      <c r="J7" s="122"/>
      <c r="K7" s="122"/>
      <c r="L7" s="122"/>
      <c r="M7" s="122"/>
      <c r="N7" s="122"/>
      <c r="O7" s="122"/>
      <c r="P7" s="122"/>
      <c r="Q7" s="122"/>
      <c r="R7" s="122"/>
      <c r="S7" s="122"/>
      <c r="T7" s="123"/>
    </row>
    <row r="8" spans="1:20" s="3" customFormat="1">
      <c r="A8" s="67" t="s">
        <v>222</v>
      </c>
      <c r="B8" s="101" t="e">
        <f ca="1">VLOOKUP(F3,INDEX!B:AF,20,0)</f>
        <v>#VALUE!</v>
      </c>
      <c r="C8" s="101"/>
      <c r="D8" s="101" t="e">
        <f ca="1">VLOOKUP(F3,INDEX!B:AF,21,0)</f>
        <v>#VALUE!</v>
      </c>
      <c r="E8" s="101"/>
      <c r="F8" s="101" t="e">
        <f ca="1">VLOOKUP(F3,INDEX!B:AF,22,0)</f>
        <v>#VALUE!</v>
      </c>
      <c r="G8" s="101"/>
      <c r="H8" s="101" t="e">
        <f ca="1">VLOOKUP(F3,INDEX!B:AF,23,0)</f>
        <v>#VALUE!</v>
      </c>
      <c r="I8" s="101"/>
      <c r="J8" s="101" t="e">
        <f ca="1">VLOOKUP(F3,INDEX!B:AF,24,0)</f>
        <v>#VALUE!</v>
      </c>
      <c r="K8" s="101"/>
      <c r="L8" s="101"/>
      <c r="M8" s="101"/>
      <c r="N8" s="101"/>
      <c r="O8" s="101"/>
      <c r="P8" s="101" t="s">
        <v>223</v>
      </c>
      <c r="Q8" s="101"/>
      <c r="R8" s="101"/>
      <c r="S8" s="101"/>
      <c r="T8" s="102"/>
    </row>
    <row r="9" spans="1:20" s="3" customFormat="1">
      <c r="A9" s="67" t="s">
        <v>224</v>
      </c>
      <c r="B9" s="101" t="e">
        <f ca="1">VLOOKUP(F3,INDEX!B:Z,19,0)&amp;" to 38"</f>
        <v>#VALUE!</v>
      </c>
      <c r="C9" s="101"/>
      <c r="D9" s="101">
        <v>50</v>
      </c>
      <c r="E9" s="101"/>
      <c r="F9" s="101">
        <v>100</v>
      </c>
      <c r="G9" s="101"/>
      <c r="H9" s="101">
        <v>150</v>
      </c>
      <c r="I9" s="101"/>
      <c r="J9" s="101">
        <v>200</v>
      </c>
      <c r="K9" s="101"/>
      <c r="L9" s="101"/>
      <c r="M9" s="101"/>
      <c r="N9" s="101"/>
      <c r="O9" s="101"/>
      <c r="P9" s="101" t="e">
        <f ca="1">B8*1.5</f>
        <v>#VALUE!</v>
      </c>
      <c r="Q9" s="101"/>
      <c r="R9" s="101"/>
      <c r="S9" s="101"/>
      <c r="T9" s="102"/>
    </row>
    <row r="10" spans="1:20" s="3" customFormat="1">
      <c r="A10" s="208" t="s">
        <v>225</v>
      </c>
      <c r="B10" s="209"/>
      <c r="C10" s="209"/>
      <c r="D10" s="209"/>
      <c r="E10" s="209"/>
      <c r="F10" s="209"/>
      <c r="G10" s="209"/>
      <c r="H10" s="209"/>
      <c r="I10" s="209"/>
      <c r="J10" s="209"/>
      <c r="K10" s="209"/>
      <c r="L10" s="209"/>
      <c r="M10" s="209"/>
      <c r="N10" s="209"/>
      <c r="O10" s="209"/>
      <c r="P10" s="209"/>
      <c r="Q10" s="209"/>
      <c r="R10" s="209"/>
      <c r="S10" s="209"/>
      <c r="T10" s="210"/>
    </row>
    <row r="11" spans="1:20">
      <c r="A11" s="69" t="s">
        <v>226</v>
      </c>
      <c r="B11" s="109" t="s">
        <v>227</v>
      </c>
      <c r="C11" s="109"/>
      <c r="D11" s="109"/>
      <c r="E11" s="109"/>
      <c r="F11" s="109"/>
      <c r="G11" s="109"/>
      <c r="H11" s="109"/>
      <c r="I11" s="109"/>
      <c r="J11" s="109"/>
      <c r="K11" s="109"/>
      <c r="L11" s="109"/>
      <c r="M11" s="109"/>
      <c r="N11" s="109"/>
      <c r="O11" s="109"/>
      <c r="P11" s="109"/>
      <c r="Q11" s="109"/>
      <c r="R11" s="144"/>
      <c r="S11" s="8"/>
      <c r="T11" s="76"/>
    </row>
    <row r="12" spans="1:20"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28</v>
      </c>
      <c r="T12" s="66">
        <v>30</v>
      </c>
    </row>
    <row r="13" spans="1:20"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711</v>
      </c>
      <c r="T13" s="66">
        <v>762</v>
      </c>
    </row>
    <row r="14" spans="1:20" s="12" customFormat="1">
      <c r="A14" s="70" t="s">
        <v>230</v>
      </c>
      <c r="B14" s="17" t="s">
        <v>308</v>
      </c>
      <c r="C14" s="17" t="s">
        <v>308</v>
      </c>
      <c r="D14" s="17" t="s">
        <v>308</v>
      </c>
      <c r="E14" s="17" t="s">
        <v>308</v>
      </c>
      <c r="F14" s="17">
        <v>160</v>
      </c>
      <c r="G14" s="17">
        <v>80</v>
      </c>
      <c r="H14" s="17">
        <v>80</v>
      </c>
      <c r="I14" s="17">
        <v>80</v>
      </c>
      <c r="J14" s="17">
        <v>60</v>
      </c>
      <c r="K14" s="17">
        <v>40</v>
      </c>
      <c r="L14" s="17">
        <v>40</v>
      </c>
      <c r="M14" s="17">
        <v>40</v>
      </c>
      <c r="N14" s="17">
        <v>40</v>
      </c>
      <c r="O14" s="17">
        <v>30</v>
      </c>
      <c r="P14" s="17" t="s">
        <v>232</v>
      </c>
      <c r="Q14" s="17" t="s">
        <v>232</v>
      </c>
      <c r="R14" s="17" t="s">
        <v>232</v>
      </c>
      <c r="S14" s="17" t="s">
        <v>232</v>
      </c>
      <c r="T14" s="66">
        <v>30</v>
      </c>
    </row>
    <row r="15" spans="1:20" s="12" customFormat="1">
      <c r="A15" s="70" t="s">
        <v>233</v>
      </c>
      <c r="B15" s="17">
        <v>7.47</v>
      </c>
      <c r="C15" s="17">
        <v>7.82</v>
      </c>
      <c r="D15" s="17">
        <v>9.09</v>
      </c>
      <c r="E15" s="17">
        <v>10.16</v>
      </c>
      <c r="F15" s="17">
        <v>8.74</v>
      </c>
      <c r="G15" s="17">
        <v>7.62</v>
      </c>
      <c r="H15" s="17">
        <v>8.56</v>
      </c>
      <c r="I15" s="17">
        <v>10.97</v>
      </c>
      <c r="J15" s="17">
        <v>10.31</v>
      </c>
      <c r="K15" s="17">
        <v>9.27</v>
      </c>
      <c r="L15" s="17">
        <v>10.31</v>
      </c>
      <c r="M15" s="17">
        <v>11.12</v>
      </c>
      <c r="N15" s="17">
        <v>12.7</v>
      </c>
      <c r="O15" s="17">
        <v>11.3</v>
      </c>
      <c r="P15" s="17">
        <v>12.7</v>
      </c>
      <c r="Q15" s="17">
        <v>12.7</v>
      </c>
      <c r="R15" s="17">
        <v>12.7</v>
      </c>
      <c r="S15" s="17">
        <v>12.7</v>
      </c>
      <c r="T15" s="66">
        <v>15.88</v>
      </c>
    </row>
    <row r="16" spans="1:20">
      <c r="A16" s="69" t="s">
        <v>234</v>
      </c>
      <c r="B16" s="109" t="s">
        <v>235</v>
      </c>
      <c r="C16" s="109"/>
      <c r="D16" s="109"/>
      <c r="E16" s="109"/>
      <c r="F16" s="109"/>
      <c r="G16" s="109"/>
      <c r="H16" s="109"/>
      <c r="I16" s="109"/>
      <c r="J16" s="109"/>
      <c r="K16" s="109"/>
      <c r="L16" s="109"/>
      <c r="M16" s="109"/>
      <c r="N16" s="109"/>
      <c r="O16" s="151" t="s">
        <v>236</v>
      </c>
      <c r="P16" s="152"/>
      <c r="Q16" s="152"/>
      <c r="R16" s="152"/>
      <c r="S16" s="152"/>
      <c r="T16" s="161"/>
    </row>
    <row r="17" spans="1:20" ht="15" customHeight="1">
      <c r="A17" s="69" t="s">
        <v>237</v>
      </c>
      <c r="B17" s="109" t="s">
        <v>238</v>
      </c>
      <c r="C17" s="109"/>
      <c r="D17" s="109"/>
      <c r="E17" s="109"/>
      <c r="F17" s="109"/>
      <c r="G17" s="109"/>
      <c r="H17" s="109"/>
      <c r="I17" s="109"/>
      <c r="J17" s="109"/>
      <c r="K17" s="109"/>
      <c r="L17" s="109"/>
      <c r="M17" s="109"/>
      <c r="N17" s="109"/>
      <c r="O17" s="144" t="s">
        <v>239</v>
      </c>
      <c r="P17" s="145"/>
      <c r="Q17" s="145"/>
      <c r="R17" s="145"/>
      <c r="S17" s="145"/>
      <c r="T17" s="147"/>
    </row>
    <row r="18" spans="1:20">
      <c r="A18" s="69" t="s">
        <v>240</v>
      </c>
      <c r="B18" s="144" t="s">
        <v>241</v>
      </c>
      <c r="C18" s="145"/>
      <c r="D18" s="145"/>
      <c r="E18" s="145"/>
      <c r="F18" s="145"/>
      <c r="G18" s="145"/>
      <c r="H18" s="145"/>
      <c r="I18" s="145"/>
      <c r="J18" s="145"/>
      <c r="K18" s="145"/>
      <c r="L18" s="145"/>
      <c r="M18" s="145"/>
      <c r="N18" s="145"/>
      <c r="O18" s="145"/>
      <c r="P18" s="145"/>
      <c r="Q18" s="145"/>
      <c r="R18" s="145"/>
      <c r="S18" s="7"/>
      <c r="T18" s="79"/>
    </row>
    <row r="19" spans="1:20" ht="13.9" customHeight="1">
      <c r="A19" s="148" t="s">
        <v>242</v>
      </c>
      <c r="B19" s="145"/>
      <c r="C19" s="145"/>
      <c r="D19" s="145"/>
      <c r="E19" s="145"/>
      <c r="F19" s="145"/>
      <c r="G19" s="145"/>
      <c r="H19" s="145"/>
      <c r="I19" s="145"/>
      <c r="J19" s="145"/>
      <c r="K19" s="145"/>
      <c r="L19" s="145"/>
      <c r="M19" s="145"/>
      <c r="N19" s="145"/>
      <c r="O19" s="145"/>
      <c r="P19" s="145"/>
      <c r="Q19" s="145"/>
      <c r="R19" s="145"/>
      <c r="S19" s="7"/>
      <c r="T19" s="79"/>
    </row>
    <row r="20" spans="1:20" ht="30" customHeight="1">
      <c r="A20" s="69" t="s">
        <v>234</v>
      </c>
      <c r="B20" s="144" t="s">
        <v>243</v>
      </c>
      <c r="C20" s="145"/>
      <c r="D20" s="145"/>
      <c r="E20" s="145"/>
      <c r="F20" s="145"/>
      <c r="G20" s="145"/>
      <c r="H20" s="145"/>
      <c r="I20" s="145"/>
      <c r="J20" s="145"/>
      <c r="K20" s="145"/>
      <c r="L20" s="145"/>
      <c r="M20" s="145"/>
      <c r="N20" s="146"/>
      <c r="O20" s="144" t="s">
        <v>321</v>
      </c>
      <c r="P20" s="145"/>
      <c r="Q20" s="145"/>
      <c r="R20" s="145"/>
      <c r="S20" s="145"/>
      <c r="T20" s="147"/>
    </row>
    <row r="21" spans="1:20" ht="15" customHeight="1">
      <c r="A21" s="69" t="s">
        <v>237</v>
      </c>
      <c r="B21" s="144" t="s">
        <v>245</v>
      </c>
      <c r="C21" s="145"/>
      <c r="D21" s="145"/>
      <c r="E21" s="145"/>
      <c r="F21" s="145"/>
      <c r="G21" s="145"/>
      <c r="H21" s="145"/>
      <c r="I21" s="145"/>
      <c r="J21" s="145"/>
      <c r="K21" s="145"/>
      <c r="L21" s="145"/>
      <c r="M21" s="145"/>
      <c r="N21" s="145"/>
      <c r="O21" s="145"/>
      <c r="P21" s="145"/>
      <c r="Q21" s="145"/>
      <c r="R21" s="145"/>
      <c r="S21" s="7"/>
      <c r="T21" s="79"/>
    </row>
    <row r="22" spans="1:20" ht="15" customHeight="1">
      <c r="A22" s="69" t="s">
        <v>246</v>
      </c>
      <c r="B22" s="144" t="s">
        <v>247</v>
      </c>
      <c r="C22" s="145"/>
      <c r="D22" s="145"/>
      <c r="E22" s="145"/>
      <c r="F22" s="145"/>
      <c r="G22" s="145"/>
      <c r="H22" s="145"/>
      <c r="I22" s="145"/>
      <c r="J22" s="145"/>
      <c r="K22" s="145"/>
      <c r="L22" s="145"/>
      <c r="M22" s="145"/>
      <c r="N22" s="145"/>
      <c r="O22" s="145"/>
      <c r="P22" s="145"/>
      <c r="Q22" s="145"/>
      <c r="R22" s="145"/>
      <c r="S22" s="7"/>
      <c r="T22" s="79"/>
    </row>
    <row r="23" spans="1:20" ht="15" customHeight="1">
      <c r="A23" s="69" t="s">
        <v>248</v>
      </c>
      <c r="B23" s="144" t="s">
        <v>247</v>
      </c>
      <c r="C23" s="145"/>
      <c r="D23" s="145"/>
      <c r="E23" s="145"/>
      <c r="F23" s="145"/>
      <c r="G23" s="145"/>
      <c r="H23" s="145"/>
      <c r="I23" s="145"/>
      <c r="J23" s="145"/>
      <c r="K23" s="145"/>
      <c r="L23" s="145"/>
      <c r="M23" s="145"/>
      <c r="N23" s="145"/>
      <c r="O23" s="145"/>
      <c r="P23" s="145"/>
      <c r="Q23" s="145"/>
      <c r="R23" s="145"/>
      <c r="S23" s="7"/>
      <c r="T23" s="79"/>
    </row>
    <row r="24" spans="1:20" ht="15" customHeight="1">
      <c r="A24" s="69" t="s">
        <v>249</v>
      </c>
      <c r="B24" s="144" t="s">
        <v>247</v>
      </c>
      <c r="C24" s="145"/>
      <c r="D24" s="145"/>
      <c r="E24" s="145"/>
      <c r="F24" s="145"/>
      <c r="G24" s="145"/>
      <c r="H24" s="145"/>
      <c r="I24" s="145"/>
      <c r="J24" s="145"/>
      <c r="K24" s="145"/>
      <c r="L24" s="145"/>
      <c r="M24" s="145"/>
      <c r="N24" s="145"/>
      <c r="O24" s="145"/>
      <c r="P24" s="145"/>
      <c r="Q24" s="145"/>
      <c r="R24" s="145"/>
      <c r="S24" s="7"/>
      <c r="T24" s="79"/>
    </row>
    <row r="25" spans="1:20" ht="15" customHeight="1">
      <c r="A25" s="69" t="s">
        <v>250</v>
      </c>
      <c r="B25" s="144" t="s">
        <v>247</v>
      </c>
      <c r="C25" s="145"/>
      <c r="D25" s="145"/>
      <c r="E25" s="145"/>
      <c r="F25" s="145"/>
      <c r="G25" s="145"/>
      <c r="H25" s="145"/>
      <c r="I25" s="145"/>
      <c r="J25" s="145"/>
      <c r="K25" s="145"/>
      <c r="L25" s="145"/>
      <c r="M25" s="145"/>
      <c r="N25" s="145"/>
      <c r="O25" s="145"/>
      <c r="P25" s="145"/>
      <c r="Q25" s="145"/>
      <c r="R25" s="145"/>
      <c r="S25" s="7"/>
      <c r="T25" s="79"/>
    </row>
    <row r="26" spans="1:20" ht="15" customHeight="1">
      <c r="A26" s="69" t="s">
        <v>251</v>
      </c>
      <c r="B26" s="151" t="s">
        <v>290</v>
      </c>
      <c r="C26" s="152"/>
      <c r="D26" s="152"/>
      <c r="E26" s="127"/>
      <c r="F26" s="144"/>
      <c r="G26" s="145"/>
      <c r="H26" s="145"/>
      <c r="I26" s="145"/>
      <c r="J26" s="145"/>
      <c r="K26" s="145"/>
      <c r="L26" s="145"/>
      <c r="M26" s="145"/>
      <c r="N26" s="145"/>
      <c r="O26" s="145"/>
      <c r="P26" s="145"/>
      <c r="Q26" s="145"/>
      <c r="R26" s="145"/>
      <c r="S26" s="7"/>
      <c r="T26" s="79"/>
    </row>
    <row r="27" spans="1:20" ht="15" customHeight="1">
      <c r="A27" s="69" t="s">
        <v>253</v>
      </c>
      <c r="B27" s="144" t="s">
        <v>254</v>
      </c>
      <c r="C27" s="145"/>
      <c r="D27" s="145"/>
      <c r="E27" s="145"/>
      <c r="F27" s="145"/>
      <c r="G27" s="145"/>
      <c r="H27" s="145"/>
      <c r="I27" s="145"/>
      <c r="J27" s="145"/>
      <c r="K27" s="145"/>
      <c r="L27" s="145"/>
      <c r="M27" s="145"/>
      <c r="N27" s="145"/>
      <c r="O27" s="145"/>
      <c r="P27" s="145"/>
      <c r="Q27" s="145"/>
      <c r="R27" s="145"/>
      <c r="S27" s="7"/>
      <c r="T27" s="79"/>
    </row>
    <row r="28" spans="1:20">
      <c r="A28" s="148" t="s">
        <v>255</v>
      </c>
      <c r="B28" s="145"/>
      <c r="C28" s="145"/>
      <c r="D28" s="145"/>
      <c r="E28" s="145"/>
      <c r="F28" s="145"/>
      <c r="G28" s="145"/>
      <c r="H28" s="145"/>
      <c r="I28" s="145"/>
      <c r="J28" s="145"/>
      <c r="K28" s="145"/>
      <c r="L28" s="145"/>
      <c r="M28" s="145"/>
      <c r="N28" s="145"/>
      <c r="O28" s="145"/>
      <c r="P28" s="145"/>
      <c r="Q28" s="145"/>
      <c r="R28" s="145"/>
      <c r="S28" s="145"/>
      <c r="T28" s="147"/>
    </row>
    <row r="29" spans="1:20">
      <c r="A29" s="69" t="s">
        <v>237</v>
      </c>
      <c r="B29" s="109" t="s">
        <v>256</v>
      </c>
      <c r="C29" s="109"/>
      <c r="D29" s="109"/>
      <c r="E29" s="109"/>
      <c r="F29" s="109"/>
      <c r="G29" s="109"/>
      <c r="H29" s="109"/>
      <c r="I29" s="109"/>
      <c r="J29" s="109"/>
      <c r="K29" s="109"/>
      <c r="L29" s="109"/>
      <c r="M29" s="109"/>
      <c r="N29" s="109"/>
      <c r="O29" s="109"/>
      <c r="P29" s="109"/>
      <c r="Q29" s="109"/>
      <c r="R29" s="109"/>
      <c r="S29" s="109"/>
      <c r="T29" s="110"/>
    </row>
    <row r="30" spans="1:20" s="5" customFormat="1" ht="13.9" customHeight="1">
      <c r="A30" s="69" t="s">
        <v>257</v>
      </c>
      <c r="B30" s="144" t="s">
        <v>258</v>
      </c>
      <c r="C30" s="145"/>
      <c r="D30" s="145"/>
      <c r="E30" s="145"/>
      <c r="F30" s="145"/>
      <c r="G30" s="145"/>
      <c r="H30" s="145"/>
      <c r="I30" s="145"/>
      <c r="J30" s="145"/>
      <c r="K30" s="145"/>
      <c r="L30" s="145"/>
      <c r="M30" s="145"/>
      <c r="N30" s="145"/>
      <c r="O30" s="145"/>
      <c r="P30" s="145"/>
      <c r="Q30" s="145"/>
      <c r="R30" s="145"/>
      <c r="S30" s="145"/>
      <c r="T30" s="147"/>
    </row>
    <row r="31" spans="1:20" ht="15" customHeight="1">
      <c r="A31" s="69" t="s">
        <v>234</v>
      </c>
      <c r="B31" s="144" t="s">
        <v>259</v>
      </c>
      <c r="C31" s="145"/>
      <c r="D31" s="145"/>
      <c r="E31" s="145"/>
      <c r="F31" s="145"/>
      <c r="G31" s="145"/>
      <c r="H31" s="145"/>
      <c r="I31" s="145"/>
      <c r="J31" s="145"/>
      <c r="K31" s="145"/>
      <c r="L31" s="145"/>
      <c r="M31" s="145"/>
      <c r="N31" s="145"/>
      <c r="O31" s="145"/>
      <c r="P31" s="145"/>
      <c r="Q31" s="145"/>
      <c r="R31" s="145"/>
      <c r="S31" s="145"/>
      <c r="T31" s="147"/>
    </row>
    <row r="32" spans="1:20" ht="14.45" customHeight="1">
      <c r="A32" s="148" t="s">
        <v>260</v>
      </c>
      <c r="B32" s="145"/>
      <c r="C32" s="145"/>
      <c r="D32" s="145"/>
      <c r="E32" s="145"/>
      <c r="F32" s="145"/>
      <c r="G32" s="145"/>
      <c r="H32" s="145"/>
      <c r="I32" s="145"/>
      <c r="J32" s="145"/>
      <c r="K32" s="145"/>
      <c r="L32" s="145"/>
      <c r="M32" s="145"/>
      <c r="N32" s="145"/>
      <c r="O32" s="145"/>
      <c r="P32" s="145"/>
      <c r="Q32" s="145"/>
      <c r="R32" s="145"/>
      <c r="S32" s="145"/>
      <c r="T32" s="147"/>
    </row>
    <row r="33" spans="1:20" ht="13.9" customHeight="1">
      <c r="A33" s="69" t="s">
        <v>237</v>
      </c>
      <c r="B33" s="205" t="s">
        <v>256</v>
      </c>
      <c r="C33" s="206"/>
      <c r="D33" s="206"/>
      <c r="E33" s="206"/>
      <c r="F33" s="206"/>
      <c r="G33" s="206"/>
      <c r="H33" s="206"/>
      <c r="I33" s="206"/>
      <c r="J33" s="206"/>
      <c r="K33" s="206"/>
      <c r="L33" s="206"/>
      <c r="M33" s="206"/>
      <c r="N33" s="206"/>
      <c r="O33" s="206"/>
      <c r="P33" s="206"/>
      <c r="Q33" s="206"/>
      <c r="R33" s="206"/>
      <c r="S33" s="206"/>
      <c r="T33" s="207"/>
    </row>
    <row r="34" spans="1:20" ht="15" customHeight="1">
      <c r="A34" s="69" t="s">
        <v>261</v>
      </c>
      <c r="B34" s="144" t="s">
        <v>262</v>
      </c>
      <c r="C34" s="145"/>
      <c r="D34" s="145"/>
      <c r="E34" s="145"/>
      <c r="F34" s="145"/>
      <c r="G34" s="145"/>
      <c r="H34" s="145"/>
      <c r="I34" s="145"/>
      <c r="J34" s="145"/>
      <c r="K34" s="145"/>
      <c r="L34" s="145"/>
      <c r="M34" s="146"/>
      <c r="N34" s="151" t="s">
        <v>263</v>
      </c>
      <c r="O34" s="152"/>
      <c r="P34" s="152"/>
      <c r="Q34" s="152"/>
      <c r="R34" s="152"/>
      <c r="S34" s="152"/>
      <c r="T34" s="161"/>
    </row>
    <row r="35" spans="1:20" ht="15" customHeight="1">
      <c r="A35" s="141" t="s">
        <v>264</v>
      </c>
      <c r="B35" s="142"/>
      <c r="C35" s="142"/>
      <c r="D35" s="142"/>
      <c r="E35" s="142"/>
      <c r="F35" s="142"/>
      <c r="G35" s="142"/>
      <c r="H35" s="142"/>
      <c r="I35" s="142"/>
      <c r="J35" s="142"/>
      <c r="K35" s="142"/>
      <c r="L35" s="142"/>
      <c r="M35" s="142"/>
      <c r="N35" s="142"/>
      <c r="O35" s="142"/>
      <c r="P35" s="142"/>
      <c r="Q35" s="142"/>
      <c r="R35" s="142"/>
      <c r="S35" s="142"/>
      <c r="T35" s="143"/>
    </row>
    <row r="36" spans="1:20" ht="13.9" customHeight="1">
      <c r="A36" s="69" t="s">
        <v>265</v>
      </c>
      <c r="B36" s="109" t="s">
        <v>266</v>
      </c>
      <c r="C36" s="109"/>
      <c r="D36" s="109"/>
      <c r="E36" s="109"/>
      <c r="F36" s="109"/>
      <c r="G36" s="109"/>
      <c r="H36" s="109"/>
      <c r="I36" s="109"/>
      <c r="J36" s="109"/>
      <c r="K36" s="109"/>
      <c r="L36" s="109"/>
      <c r="M36" s="109"/>
      <c r="N36" s="109"/>
      <c r="O36" s="109"/>
      <c r="P36" s="109"/>
      <c r="Q36" s="109"/>
      <c r="R36" s="109"/>
      <c r="S36" s="109"/>
      <c r="T36" s="110"/>
    </row>
    <row r="37" spans="1:20" ht="13.9" customHeight="1">
      <c r="A37" s="69" t="s">
        <v>267</v>
      </c>
      <c r="B37" s="109" t="s">
        <v>268</v>
      </c>
      <c r="C37" s="109"/>
      <c r="D37" s="109"/>
      <c r="E37" s="109"/>
      <c r="F37" s="109"/>
      <c r="G37" s="109"/>
      <c r="H37" s="109"/>
      <c r="I37" s="109"/>
      <c r="J37" s="109"/>
      <c r="K37" s="109"/>
      <c r="L37" s="109"/>
      <c r="M37" s="109"/>
      <c r="N37" s="109"/>
      <c r="O37" s="109"/>
      <c r="P37" s="109"/>
      <c r="Q37" s="109"/>
      <c r="R37" s="109"/>
      <c r="S37" s="109"/>
      <c r="T37" s="110"/>
    </row>
    <row r="38" spans="1:20" ht="15" customHeight="1">
      <c r="A38" s="69" t="s">
        <v>269</v>
      </c>
      <c r="B38" s="109" t="s">
        <v>270</v>
      </c>
      <c r="C38" s="109"/>
      <c r="D38" s="109"/>
      <c r="E38" s="109"/>
      <c r="F38" s="109"/>
      <c r="G38" s="109"/>
      <c r="H38" s="109"/>
      <c r="I38" s="109"/>
      <c r="J38" s="109"/>
      <c r="K38" s="109"/>
      <c r="L38" s="109"/>
      <c r="M38" s="109"/>
      <c r="N38" s="109"/>
      <c r="O38" s="109"/>
      <c r="P38" s="109"/>
      <c r="Q38" s="109"/>
      <c r="R38" s="109"/>
      <c r="S38" s="109"/>
      <c r="T38" s="110"/>
    </row>
    <row r="39" spans="1:20" ht="14.45" customHeight="1">
      <c r="A39" s="141" t="s">
        <v>271</v>
      </c>
      <c r="B39" s="142"/>
      <c r="C39" s="142"/>
      <c r="D39" s="142"/>
      <c r="E39" s="142"/>
      <c r="F39" s="142"/>
      <c r="G39" s="142"/>
      <c r="H39" s="142"/>
      <c r="I39" s="142"/>
      <c r="J39" s="142"/>
      <c r="K39" s="142"/>
      <c r="L39" s="142"/>
      <c r="M39" s="142"/>
      <c r="N39" s="142"/>
      <c r="O39" s="142"/>
      <c r="P39" s="142"/>
      <c r="Q39" s="142"/>
      <c r="R39" s="142"/>
      <c r="S39" s="142"/>
      <c r="T39" s="143"/>
    </row>
    <row r="40" spans="1:20">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10"/>
    </row>
    <row r="41" spans="1:20"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10"/>
    </row>
    <row r="42" spans="1:20"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10"/>
    </row>
    <row r="43" spans="1:20"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10"/>
    </row>
    <row r="44" spans="1:20"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7"/>
    </row>
    <row r="45" spans="1:20" s="5" customFormat="1" ht="13.9" customHeight="1">
      <c r="A45" s="69"/>
      <c r="B45" s="109"/>
      <c r="C45" s="109"/>
      <c r="D45" s="109"/>
      <c r="E45" s="109"/>
      <c r="F45" s="109"/>
      <c r="G45" s="109"/>
      <c r="H45" s="109"/>
      <c r="I45" s="109"/>
      <c r="J45" s="109"/>
      <c r="K45" s="109"/>
      <c r="L45" s="109"/>
      <c r="M45" s="109"/>
      <c r="N45" s="109"/>
      <c r="O45" s="109"/>
      <c r="P45" s="109"/>
      <c r="Q45" s="109"/>
      <c r="R45" s="109"/>
      <c r="S45" s="109"/>
      <c r="T45" s="110"/>
    </row>
    <row r="46" spans="1:20" s="5" customFormat="1" ht="13.9" customHeight="1">
      <c r="A46" s="69"/>
      <c r="B46" s="109"/>
      <c r="C46" s="109"/>
      <c r="D46" s="109"/>
      <c r="E46" s="109"/>
      <c r="F46" s="109"/>
      <c r="G46" s="109"/>
      <c r="H46" s="109"/>
      <c r="I46" s="109"/>
      <c r="J46" s="109"/>
      <c r="K46" s="109"/>
      <c r="L46" s="109"/>
      <c r="M46" s="109"/>
      <c r="N46" s="109"/>
      <c r="O46" s="109"/>
      <c r="P46" s="109"/>
      <c r="Q46" s="109"/>
      <c r="R46" s="109"/>
      <c r="S46" s="109"/>
      <c r="T46" s="110"/>
    </row>
    <row r="47" spans="1:20" s="5" customFormat="1" ht="13.9" customHeight="1">
      <c r="A47" s="148" t="s">
        <v>278</v>
      </c>
      <c r="B47" s="149"/>
      <c r="C47" s="149"/>
      <c r="D47" s="149"/>
      <c r="E47" s="149"/>
      <c r="F47" s="149"/>
      <c r="G47" s="149"/>
      <c r="H47" s="149"/>
      <c r="I47" s="149"/>
      <c r="J47" s="149"/>
      <c r="K47" s="149"/>
      <c r="L47" s="149"/>
      <c r="M47" s="149"/>
      <c r="N47" s="149"/>
      <c r="O47" s="149"/>
      <c r="P47" s="149"/>
      <c r="Q47" s="149"/>
      <c r="R47" s="149"/>
      <c r="S47" s="149"/>
      <c r="T47" s="150"/>
    </row>
    <row r="48" spans="1:20" s="5" customFormat="1" ht="29.45" customHeight="1">
      <c r="A48" s="111" t="s">
        <v>279</v>
      </c>
      <c r="B48" s="112"/>
      <c r="C48" s="112"/>
      <c r="D48" s="112"/>
      <c r="E48" s="112"/>
      <c r="F48" s="112"/>
      <c r="G48" s="112"/>
      <c r="H48" s="112"/>
      <c r="I48" s="112"/>
      <c r="J48" s="112"/>
      <c r="K48" s="112"/>
      <c r="L48" s="112"/>
      <c r="M48" s="112"/>
      <c r="N48" s="112"/>
      <c r="O48" s="112"/>
      <c r="P48" s="112"/>
      <c r="Q48" s="112"/>
      <c r="R48" s="112"/>
      <c r="S48" s="112"/>
      <c r="T48" s="113"/>
    </row>
    <row r="49" spans="1:20" s="5" customFormat="1" ht="13.9" customHeight="1">
      <c r="A49" s="114" t="s">
        <v>280</v>
      </c>
      <c r="B49" s="115"/>
      <c r="C49" s="115"/>
      <c r="D49" s="115"/>
      <c r="E49" s="115"/>
      <c r="F49" s="115"/>
      <c r="G49" s="115"/>
      <c r="H49" s="115"/>
      <c r="I49" s="115"/>
      <c r="J49" s="115"/>
      <c r="K49" s="115"/>
      <c r="L49" s="115"/>
      <c r="M49" s="115"/>
      <c r="N49" s="115"/>
      <c r="O49" s="115"/>
      <c r="P49" s="115"/>
      <c r="Q49" s="115"/>
      <c r="R49" s="115"/>
      <c r="S49" s="115"/>
      <c r="T49" s="116"/>
    </row>
    <row r="50" spans="1:20" s="5" customFormat="1" ht="13.9" customHeight="1">
      <c r="A50" s="114" t="s">
        <v>281</v>
      </c>
      <c r="B50" s="115"/>
      <c r="C50" s="115"/>
      <c r="D50" s="115"/>
      <c r="E50" s="115"/>
      <c r="F50" s="115"/>
      <c r="G50" s="115"/>
      <c r="H50" s="115"/>
      <c r="I50" s="115"/>
      <c r="J50" s="115"/>
      <c r="K50" s="115"/>
      <c r="L50" s="115"/>
      <c r="M50" s="115"/>
      <c r="N50" s="115"/>
      <c r="O50" s="115"/>
      <c r="P50" s="115"/>
      <c r="Q50" s="115"/>
      <c r="R50" s="115"/>
      <c r="S50" s="115"/>
      <c r="T50" s="116"/>
    </row>
    <row r="51" spans="1:20" s="5" customFormat="1" ht="30.6" customHeight="1">
      <c r="A51" s="114" t="s">
        <v>282</v>
      </c>
      <c r="B51" s="115"/>
      <c r="C51" s="115"/>
      <c r="D51" s="115"/>
      <c r="E51" s="115"/>
      <c r="F51" s="115"/>
      <c r="G51" s="115"/>
      <c r="H51" s="115"/>
      <c r="I51" s="115"/>
      <c r="J51" s="115"/>
      <c r="K51" s="115"/>
      <c r="L51" s="115"/>
      <c r="M51" s="115"/>
      <c r="N51" s="115"/>
      <c r="O51" s="115"/>
      <c r="P51" s="115"/>
      <c r="Q51" s="115"/>
      <c r="R51" s="115"/>
      <c r="S51" s="115"/>
      <c r="T51" s="116"/>
    </row>
    <row r="52" spans="1:20" ht="28.15" customHeight="1">
      <c r="A52" s="114" t="s">
        <v>283</v>
      </c>
      <c r="B52" s="115"/>
      <c r="C52" s="115"/>
      <c r="D52" s="115"/>
      <c r="E52" s="115"/>
      <c r="F52" s="115"/>
      <c r="G52" s="115"/>
      <c r="H52" s="115"/>
      <c r="I52" s="115"/>
      <c r="J52" s="115"/>
      <c r="K52" s="115"/>
      <c r="L52" s="115"/>
      <c r="M52" s="115"/>
      <c r="N52" s="115"/>
      <c r="O52" s="115"/>
      <c r="P52" s="115"/>
      <c r="Q52" s="115"/>
      <c r="R52" s="115"/>
      <c r="S52" s="115"/>
      <c r="T52" s="116"/>
    </row>
    <row r="53" spans="1:20" ht="14.45" customHeight="1">
      <c r="A53" s="114" t="s">
        <v>284</v>
      </c>
      <c r="B53" s="115"/>
      <c r="C53" s="115"/>
      <c r="D53" s="115"/>
      <c r="E53" s="115"/>
      <c r="F53" s="115"/>
      <c r="G53" s="115"/>
      <c r="H53" s="115"/>
      <c r="I53" s="115"/>
      <c r="J53" s="115"/>
      <c r="K53" s="115"/>
      <c r="L53" s="115"/>
      <c r="M53" s="115"/>
      <c r="N53" s="115"/>
      <c r="O53" s="115"/>
      <c r="P53" s="115"/>
      <c r="Q53" s="115"/>
      <c r="R53" s="115"/>
      <c r="S53" s="115"/>
      <c r="T53" s="116"/>
    </row>
    <row r="54" spans="1:20" ht="14.45" customHeight="1">
      <c r="A54" s="114" t="s">
        <v>285</v>
      </c>
      <c r="B54" s="115"/>
      <c r="C54" s="115"/>
      <c r="D54" s="115"/>
      <c r="E54" s="115"/>
      <c r="F54" s="115"/>
      <c r="G54" s="115"/>
      <c r="H54" s="115"/>
      <c r="I54" s="115"/>
      <c r="J54" s="115"/>
      <c r="K54" s="115"/>
      <c r="L54" s="115"/>
      <c r="M54" s="115"/>
      <c r="N54" s="115"/>
      <c r="O54" s="115"/>
      <c r="P54" s="115"/>
      <c r="Q54" s="115"/>
      <c r="R54" s="115"/>
      <c r="S54" s="115"/>
      <c r="T54" s="116"/>
    </row>
    <row r="55" spans="1:20" ht="15.75" thickBot="1">
      <c r="A55" s="177"/>
      <c r="B55" s="178"/>
      <c r="C55" s="178"/>
      <c r="D55" s="178"/>
      <c r="E55" s="178"/>
      <c r="F55" s="178"/>
      <c r="G55" s="178"/>
      <c r="H55" s="178"/>
      <c r="I55" s="178"/>
      <c r="J55" s="178"/>
      <c r="K55" s="178"/>
      <c r="L55" s="178"/>
      <c r="M55" s="178"/>
      <c r="N55" s="178"/>
      <c r="O55" s="178"/>
      <c r="P55" s="178"/>
      <c r="Q55" s="178"/>
      <c r="R55" s="178"/>
      <c r="S55" s="178"/>
      <c r="T55" s="179"/>
    </row>
  </sheetData>
  <mergeCells count="82">
    <mergeCell ref="R1:T1"/>
    <mergeCell ref="R2:T2"/>
    <mergeCell ref="R3:T3"/>
    <mergeCell ref="F1:Q1"/>
    <mergeCell ref="O2:Q2"/>
    <mergeCell ref="O3:Q3"/>
    <mergeCell ref="P8:T8"/>
    <mergeCell ref="P9:T9"/>
    <mergeCell ref="A10:T10"/>
    <mergeCell ref="A7:T7"/>
    <mergeCell ref="I4:T4"/>
    <mergeCell ref="I6:T6"/>
    <mergeCell ref="I5:T5"/>
    <mergeCell ref="F5:H5"/>
    <mergeCell ref="H9:I9"/>
    <mergeCell ref="J9:K9"/>
    <mergeCell ref="B8:C8"/>
    <mergeCell ref="D8:E8"/>
    <mergeCell ref="F8:G8"/>
    <mergeCell ref="H8:I8"/>
    <mergeCell ref="J8:K8"/>
    <mergeCell ref="A52:T52"/>
    <mergeCell ref="A53:T53"/>
    <mergeCell ref="A54:T54"/>
    <mergeCell ref="A55:T55"/>
    <mergeCell ref="A19:R19"/>
    <mergeCell ref="B20:N20"/>
    <mergeCell ref="O20:T20"/>
    <mergeCell ref="B21:R21"/>
    <mergeCell ref="B22:R22"/>
    <mergeCell ref="B27:R27"/>
    <mergeCell ref="B23:R23"/>
    <mergeCell ref="B24:R24"/>
    <mergeCell ref="B25:R25"/>
    <mergeCell ref="B26:E26"/>
    <mergeCell ref="B29:T29"/>
    <mergeCell ref="B30:T30"/>
    <mergeCell ref="A32:T32"/>
    <mergeCell ref="B18:R18"/>
    <mergeCell ref="B11:R11"/>
    <mergeCell ref="B16:N16"/>
    <mergeCell ref="O16:T16"/>
    <mergeCell ref="B17:N17"/>
    <mergeCell ref="O17:T17"/>
    <mergeCell ref="A28:T28"/>
    <mergeCell ref="F26:R26"/>
    <mergeCell ref="B33:T33"/>
    <mergeCell ref="B34:M34"/>
    <mergeCell ref="N34:T34"/>
    <mergeCell ref="A35:T35"/>
    <mergeCell ref="B36:T36"/>
    <mergeCell ref="B37:T37"/>
    <mergeCell ref="B38:T38"/>
    <mergeCell ref="A39:T39"/>
    <mergeCell ref="B40:T40"/>
    <mergeCell ref="B41:T41"/>
    <mergeCell ref="B42:T42"/>
    <mergeCell ref="B43:T43"/>
    <mergeCell ref="B44:E44"/>
    <mergeCell ref="F44:T44"/>
    <mergeCell ref="B45:T45"/>
    <mergeCell ref="A47:T47"/>
    <mergeCell ref="B46:T46"/>
    <mergeCell ref="A48:T48"/>
    <mergeCell ref="A49:T49"/>
    <mergeCell ref="A50:T50"/>
    <mergeCell ref="A51:T51"/>
    <mergeCell ref="M3:N3"/>
    <mergeCell ref="F4:H4"/>
    <mergeCell ref="F6:H6"/>
    <mergeCell ref="A1:E6"/>
    <mergeCell ref="F2:I2"/>
    <mergeCell ref="J2:L2"/>
    <mergeCell ref="M2:N2"/>
    <mergeCell ref="F3:G3"/>
    <mergeCell ref="H3:I3"/>
    <mergeCell ref="J3:L3"/>
    <mergeCell ref="B9:C9"/>
    <mergeCell ref="B31:T31"/>
    <mergeCell ref="L8:O9"/>
    <mergeCell ref="D9:E9"/>
    <mergeCell ref="F9:G9"/>
  </mergeCells>
  <printOptions horizontalCentered="1"/>
  <pageMargins left="0.7" right="0.7" top="0.75" bottom="0.75" header="0.3" footer="0.3"/>
  <pageSetup paperSize="9" scale="91" firstPageNumber="18" orientation="portrait" r:id="rId1"/>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6E8B-E11E-4F88-994A-F54F5B42A747}">
  <sheetPr codeName="Sheet9">
    <tabColor rgb="FF00B0F0"/>
    <pageSetUpPr fitToPage="1"/>
  </sheetPr>
  <dimension ref="A1:R55"/>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5.7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01" t="s">
        <v>216</v>
      </c>
      <c r="K2" s="101"/>
      <c r="L2" s="101"/>
      <c r="M2" s="101" t="s">
        <v>217</v>
      </c>
      <c r="N2" s="101"/>
      <c r="O2" s="222" t="s">
        <v>13</v>
      </c>
      <c r="P2" s="222"/>
      <c r="Q2" s="222" t="s">
        <v>10</v>
      </c>
      <c r="R2" s="223"/>
    </row>
    <row r="3" spans="1:18" s="5" customFormat="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t="s">
        <v>308</v>
      </c>
      <c r="C14" s="17" t="s">
        <v>308</v>
      </c>
      <c r="D14" s="17" t="s">
        <v>308</v>
      </c>
      <c r="E14" s="17" t="s">
        <v>308</v>
      </c>
      <c r="F14" s="17">
        <v>160</v>
      </c>
      <c r="G14" s="17">
        <v>160</v>
      </c>
      <c r="H14" s="17">
        <v>120</v>
      </c>
      <c r="I14" s="17" t="s">
        <v>232</v>
      </c>
      <c r="J14" s="17" t="s">
        <v>232</v>
      </c>
      <c r="K14" s="17" t="s">
        <v>232</v>
      </c>
      <c r="L14" s="17">
        <v>60</v>
      </c>
      <c r="M14" s="17">
        <v>60</v>
      </c>
      <c r="N14" s="17">
        <v>60</v>
      </c>
      <c r="O14" s="17">
        <v>60</v>
      </c>
      <c r="P14" s="17">
        <v>60</v>
      </c>
      <c r="Q14" s="17">
        <v>60</v>
      </c>
      <c r="R14" s="66">
        <v>60</v>
      </c>
    </row>
    <row r="15" spans="1:18" s="12" customFormat="1">
      <c r="A15" s="70" t="s">
        <v>233</v>
      </c>
      <c r="B15" s="17">
        <v>7.47</v>
      </c>
      <c r="C15" s="17">
        <v>7.82</v>
      </c>
      <c r="D15" s="17">
        <v>9.09</v>
      </c>
      <c r="E15" s="17">
        <v>10.16</v>
      </c>
      <c r="F15" s="17">
        <v>8.74</v>
      </c>
      <c r="G15" s="17">
        <v>11.12</v>
      </c>
      <c r="H15" s="17">
        <v>11.12</v>
      </c>
      <c r="I15" s="17">
        <v>10.97</v>
      </c>
      <c r="J15" s="17">
        <v>12.7</v>
      </c>
      <c r="K15" s="17">
        <v>12.7</v>
      </c>
      <c r="L15" s="17">
        <v>14.27</v>
      </c>
      <c r="M15" s="17">
        <v>15.09</v>
      </c>
      <c r="N15" s="17">
        <v>16.66</v>
      </c>
      <c r="O15" s="17">
        <v>19.05</v>
      </c>
      <c r="P15" s="17">
        <v>20.62</v>
      </c>
      <c r="Q15" s="17">
        <v>22.22</v>
      </c>
      <c r="R15" s="66">
        <v>24.61</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c r="A17" s="69" t="s">
        <v>237</v>
      </c>
      <c r="B17" s="144" t="s">
        <v>238</v>
      </c>
      <c r="C17" s="145"/>
      <c r="D17" s="145"/>
      <c r="E17" s="145"/>
      <c r="F17" s="145"/>
      <c r="G17" s="145"/>
      <c r="H17" s="145"/>
      <c r="I17" s="145"/>
      <c r="J17" s="145"/>
      <c r="K17" s="145"/>
      <c r="L17" s="145"/>
      <c r="M17" s="145"/>
      <c r="N17" s="146"/>
      <c r="O17" s="151" t="s">
        <v>288</v>
      </c>
      <c r="P17" s="152"/>
      <c r="Q17" s="152"/>
      <c r="R17" s="161"/>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5" customHeight="1">
      <c r="A19" s="117" t="s">
        <v>242</v>
      </c>
      <c r="B19" s="109"/>
      <c r="C19" s="109"/>
      <c r="D19" s="109"/>
      <c r="E19" s="109"/>
      <c r="F19" s="109"/>
      <c r="G19" s="109"/>
      <c r="H19" s="109"/>
      <c r="I19" s="109"/>
      <c r="J19" s="109"/>
      <c r="K19" s="109"/>
      <c r="L19" s="109"/>
      <c r="M19" s="109"/>
      <c r="N19" s="109"/>
      <c r="O19" s="109"/>
      <c r="P19" s="109"/>
      <c r="Q19" s="109"/>
      <c r="R19" s="110"/>
    </row>
    <row r="20" spans="1:18" ht="29.45" customHeight="1">
      <c r="A20" s="69" t="s">
        <v>234</v>
      </c>
      <c r="B20" s="144" t="s">
        <v>322</v>
      </c>
      <c r="C20" s="145"/>
      <c r="D20" s="145"/>
      <c r="E20" s="145"/>
      <c r="F20" s="145"/>
      <c r="G20" s="145"/>
      <c r="H20" s="145"/>
      <c r="I20" s="145"/>
      <c r="J20" s="145"/>
      <c r="K20" s="145"/>
      <c r="L20" s="145"/>
      <c r="M20" s="145"/>
      <c r="N20" s="146"/>
      <c r="O20" s="144" t="s">
        <v>244</v>
      </c>
      <c r="P20" s="145"/>
      <c r="Q20" s="145"/>
      <c r="R20" s="147"/>
    </row>
    <row r="21" spans="1:18" ht="15" customHeight="1">
      <c r="A21" s="69" t="s">
        <v>237</v>
      </c>
      <c r="B21" s="144" t="s">
        <v>245</v>
      </c>
      <c r="C21" s="145"/>
      <c r="D21" s="145"/>
      <c r="E21" s="145"/>
      <c r="F21" s="145"/>
      <c r="G21" s="145"/>
      <c r="H21" s="145"/>
      <c r="I21" s="145"/>
      <c r="J21" s="145"/>
      <c r="K21" s="145"/>
      <c r="L21" s="145"/>
      <c r="M21" s="146"/>
      <c r="N21" s="144" t="s">
        <v>289</v>
      </c>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c r="P27" s="145"/>
      <c r="Q27" s="145"/>
      <c r="R27" s="147"/>
    </row>
    <row r="28" spans="1:18" s="5" customFormat="1">
      <c r="A28" s="117" t="s">
        <v>255</v>
      </c>
      <c r="B28" s="109"/>
      <c r="C28" s="109"/>
      <c r="D28" s="109"/>
      <c r="E28" s="109"/>
      <c r="F28" s="109"/>
      <c r="G28" s="109"/>
      <c r="H28" s="109"/>
      <c r="I28" s="109"/>
      <c r="J28" s="109"/>
      <c r="K28" s="109"/>
      <c r="L28" s="109"/>
      <c r="M28" s="109"/>
      <c r="N28" s="109"/>
      <c r="O28" s="109"/>
      <c r="P28" s="109"/>
      <c r="Q28" s="109"/>
      <c r="R28" s="110"/>
    </row>
    <row r="29" spans="1:18" s="5" customFormat="1" ht="13.9" customHeight="1">
      <c r="A29" s="69" t="s">
        <v>237</v>
      </c>
      <c r="B29" s="144" t="s">
        <v>256</v>
      </c>
      <c r="C29" s="145"/>
      <c r="D29" s="145"/>
      <c r="E29" s="145"/>
      <c r="F29" s="145"/>
      <c r="G29" s="145"/>
      <c r="H29" s="145"/>
      <c r="I29" s="145"/>
      <c r="J29" s="145"/>
      <c r="K29" s="145"/>
      <c r="L29" s="145"/>
      <c r="M29" s="145"/>
      <c r="N29" s="145"/>
      <c r="O29" s="145"/>
      <c r="P29" s="145"/>
      <c r="Q29" s="145"/>
      <c r="R29" s="147"/>
    </row>
    <row r="30" spans="1:18" s="5" customFormat="1" ht="13.9" customHeight="1">
      <c r="A30" s="69" t="s">
        <v>257</v>
      </c>
      <c r="B30" s="144" t="s">
        <v>291</v>
      </c>
      <c r="C30" s="145"/>
      <c r="D30" s="145"/>
      <c r="E30" s="145"/>
      <c r="F30" s="145"/>
      <c r="G30" s="145"/>
      <c r="H30" s="145"/>
      <c r="I30" s="145"/>
      <c r="J30" s="145"/>
      <c r="K30" s="145"/>
      <c r="L30" s="145"/>
      <c r="M30" s="145"/>
      <c r="N30" s="145"/>
      <c r="O30" s="145"/>
      <c r="P30" s="145"/>
      <c r="Q30" s="145"/>
      <c r="R30" s="147"/>
    </row>
    <row r="31" spans="1:18" s="5" customFormat="1" ht="13.9" customHeight="1">
      <c r="A31" s="69" t="s">
        <v>234</v>
      </c>
      <c r="B31" s="144" t="s">
        <v>292</v>
      </c>
      <c r="C31" s="145"/>
      <c r="D31" s="145"/>
      <c r="E31" s="145"/>
      <c r="F31" s="145"/>
      <c r="G31" s="145"/>
      <c r="H31" s="145"/>
      <c r="I31" s="145"/>
      <c r="J31" s="145"/>
      <c r="K31" s="145"/>
      <c r="L31" s="145"/>
      <c r="M31" s="145"/>
      <c r="N31" s="145"/>
      <c r="O31" s="145"/>
      <c r="P31" s="145"/>
      <c r="Q31" s="145"/>
      <c r="R31" s="147"/>
    </row>
    <row r="32" spans="1:18" s="5" customFormat="1">
      <c r="A32" s="117" t="s">
        <v>260</v>
      </c>
      <c r="B32" s="109"/>
      <c r="C32" s="109"/>
      <c r="D32" s="109"/>
      <c r="E32" s="109"/>
      <c r="F32" s="109"/>
      <c r="G32" s="109"/>
      <c r="H32" s="109"/>
      <c r="I32" s="109"/>
      <c r="J32" s="109"/>
      <c r="K32" s="109"/>
      <c r="L32" s="109"/>
      <c r="M32" s="109"/>
      <c r="N32" s="109"/>
      <c r="O32" s="109"/>
      <c r="P32" s="109"/>
      <c r="Q32" s="109"/>
      <c r="R32" s="110"/>
    </row>
    <row r="33" spans="1:18" s="5" customFormat="1">
      <c r="A33" s="69" t="s">
        <v>237</v>
      </c>
      <c r="B33" s="109" t="s">
        <v>256</v>
      </c>
      <c r="C33" s="109"/>
      <c r="D33" s="109"/>
      <c r="E33" s="109"/>
      <c r="F33" s="109"/>
      <c r="G33" s="109"/>
      <c r="H33" s="109"/>
      <c r="I33" s="109"/>
      <c r="J33" s="109"/>
      <c r="K33" s="109"/>
      <c r="L33" s="109"/>
      <c r="M33" s="109"/>
      <c r="N33" s="109"/>
      <c r="O33" s="109"/>
      <c r="P33" s="109"/>
      <c r="Q33" s="109"/>
      <c r="R33" s="110"/>
    </row>
    <row r="34" spans="1:18" s="5" customFormat="1"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s="5" customFormat="1" ht="13.9" customHeight="1">
      <c r="A35" s="141" t="s">
        <v>264</v>
      </c>
      <c r="B35" s="142"/>
      <c r="C35" s="142"/>
      <c r="D35" s="142"/>
      <c r="E35" s="142"/>
      <c r="F35" s="142"/>
      <c r="G35" s="142"/>
      <c r="H35" s="142"/>
      <c r="I35" s="142"/>
      <c r="J35" s="142"/>
      <c r="K35" s="142"/>
      <c r="L35" s="142"/>
      <c r="M35" s="142"/>
      <c r="N35" s="142"/>
      <c r="O35" s="142"/>
      <c r="P35" s="142"/>
      <c r="Q35" s="142"/>
      <c r="R35" s="143"/>
    </row>
    <row r="36" spans="1:18" s="5" customFormat="1" ht="13.9" customHeight="1">
      <c r="A36" s="69" t="s">
        <v>265</v>
      </c>
      <c r="B36" s="109" t="s">
        <v>266</v>
      </c>
      <c r="C36" s="109"/>
      <c r="D36" s="109"/>
      <c r="E36" s="109"/>
      <c r="F36" s="109"/>
      <c r="G36" s="109"/>
      <c r="H36" s="109"/>
      <c r="I36" s="109"/>
      <c r="J36" s="109"/>
      <c r="K36" s="109"/>
      <c r="L36" s="109"/>
      <c r="M36" s="109"/>
      <c r="N36" s="109"/>
      <c r="O36" s="109"/>
      <c r="P36" s="109"/>
      <c r="Q36" s="109"/>
      <c r="R36" s="110"/>
    </row>
    <row r="37" spans="1:18" s="5" customFormat="1" ht="13.9" customHeight="1">
      <c r="A37" s="69" t="s">
        <v>267</v>
      </c>
      <c r="B37" s="109" t="s">
        <v>268</v>
      </c>
      <c r="C37" s="109"/>
      <c r="D37" s="109"/>
      <c r="E37" s="109"/>
      <c r="F37" s="109"/>
      <c r="G37" s="109"/>
      <c r="H37" s="109"/>
      <c r="I37" s="109"/>
      <c r="J37" s="109"/>
      <c r="K37" s="109"/>
      <c r="L37" s="109"/>
      <c r="M37" s="109"/>
      <c r="N37" s="109"/>
      <c r="O37" s="109"/>
      <c r="P37" s="109"/>
      <c r="Q37" s="109"/>
      <c r="R37" s="110"/>
    </row>
    <row r="38" spans="1:18" s="5" customFormat="1" ht="13.9" customHeight="1">
      <c r="A38" s="69" t="s">
        <v>269</v>
      </c>
      <c r="B38" s="109" t="s">
        <v>270</v>
      </c>
      <c r="C38" s="109"/>
      <c r="D38" s="109"/>
      <c r="E38" s="109"/>
      <c r="F38" s="109"/>
      <c r="G38" s="109"/>
      <c r="H38" s="109"/>
      <c r="I38" s="109"/>
      <c r="J38" s="109"/>
      <c r="K38" s="109"/>
      <c r="L38" s="109"/>
      <c r="M38" s="109"/>
      <c r="N38" s="109"/>
      <c r="O38" s="109"/>
      <c r="P38" s="109"/>
      <c r="Q38" s="109"/>
      <c r="R38" s="110"/>
    </row>
    <row r="39" spans="1:18" s="5"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18"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s="5" customFormat="1" ht="13.9" customHeight="1">
      <c r="A45" s="69"/>
      <c r="B45" s="109"/>
      <c r="C45" s="109"/>
      <c r="D45" s="109"/>
      <c r="E45" s="109"/>
      <c r="F45" s="109"/>
      <c r="G45" s="109"/>
      <c r="H45" s="109"/>
      <c r="I45" s="109"/>
      <c r="J45" s="109"/>
      <c r="K45" s="109"/>
      <c r="L45" s="109"/>
      <c r="M45" s="109"/>
      <c r="N45" s="109"/>
      <c r="O45" s="109"/>
      <c r="P45" s="109"/>
      <c r="Q45" s="109"/>
      <c r="R45" s="110"/>
    </row>
    <row r="46" spans="1:18" s="5" customFormat="1" ht="13.9" customHeight="1">
      <c r="A46" s="69"/>
      <c r="B46" s="109"/>
      <c r="C46" s="109"/>
      <c r="D46" s="109"/>
      <c r="E46" s="109"/>
      <c r="F46" s="109"/>
      <c r="G46" s="109"/>
      <c r="H46" s="109"/>
      <c r="I46" s="109"/>
      <c r="J46" s="109"/>
      <c r="K46" s="109"/>
      <c r="L46" s="109"/>
      <c r="M46" s="109"/>
      <c r="N46" s="109"/>
      <c r="O46" s="109"/>
      <c r="P46" s="109"/>
      <c r="Q46" s="109"/>
      <c r="R46" s="110"/>
    </row>
    <row r="47" spans="1:18" s="5" customFormat="1">
      <c r="A47" s="148" t="s">
        <v>278</v>
      </c>
      <c r="B47" s="149"/>
      <c r="C47" s="149"/>
      <c r="D47" s="149"/>
      <c r="E47" s="149"/>
      <c r="F47" s="149"/>
      <c r="G47" s="149"/>
      <c r="H47" s="149"/>
      <c r="I47" s="149"/>
      <c r="J47" s="149"/>
      <c r="K47" s="149"/>
      <c r="L47" s="149"/>
      <c r="M47" s="149"/>
      <c r="N47" s="149"/>
      <c r="O47" s="149"/>
      <c r="P47" s="149"/>
      <c r="Q47" s="149"/>
      <c r="R47" s="150"/>
    </row>
    <row r="48" spans="1:18" s="5" customFormat="1" ht="28.1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ht="14.45" customHeight="1">
      <c r="A49" s="114" t="s">
        <v>280</v>
      </c>
      <c r="B49" s="115"/>
      <c r="C49" s="115"/>
      <c r="D49" s="115"/>
      <c r="E49" s="115"/>
      <c r="F49" s="115"/>
      <c r="G49" s="115"/>
      <c r="H49" s="115"/>
      <c r="I49" s="115"/>
      <c r="J49" s="115"/>
      <c r="K49" s="115"/>
      <c r="L49" s="115"/>
      <c r="M49" s="115"/>
      <c r="N49" s="115"/>
      <c r="O49" s="115"/>
      <c r="P49" s="115"/>
      <c r="Q49" s="115"/>
      <c r="R49" s="116"/>
    </row>
    <row r="50" spans="1:18" s="5" customFormat="1" ht="14.45" customHeight="1">
      <c r="A50" s="114" t="s">
        <v>281</v>
      </c>
      <c r="B50" s="115"/>
      <c r="C50" s="115"/>
      <c r="D50" s="115"/>
      <c r="E50" s="115"/>
      <c r="F50" s="115"/>
      <c r="G50" s="115"/>
      <c r="H50" s="115"/>
      <c r="I50" s="115"/>
      <c r="J50" s="115"/>
      <c r="K50" s="115"/>
      <c r="L50" s="115"/>
      <c r="M50" s="115"/>
      <c r="N50" s="115"/>
      <c r="O50" s="115"/>
      <c r="P50" s="115"/>
      <c r="Q50" s="115"/>
      <c r="R50" s="116"/>
    </row>
    <row r="51" spans="1:18" s="5" customFormat="1" ht="28.9" customHeight="1">
      <c r="A51" s="114" t="s">
        <v>282</v>
      </c>
      <c r="B51" s="115"/>
      <c r="C51" s="115"/>
      <c r="D51" s="115"/>
      <c r="E51" s="115"/>
      <c r="F51" s="115"/>
      <c r="G51" s="115"/>
      <c r="H51" s="115"/>
      <c r="I51" s="115"/>
      <c r="J51" s="115"/>
      <c r="K51" s="115"/>
      <c r="L51" s="115"/>
      <c r="M51" s="115"/>
      <c r="N51" s="115"/>
      <c r="O51" s="115"/>
      <c r="P51" s="115"/>
      <c r="Q51" s="115"/>
      <c r="R51" s="116"/>
    </row>
    <row r="52" spans="1:18" s="5" customFormat="1" ht="26.4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ht="14.45" customHeight="1">
      <c r="A53" s="114" t="s">
        <v>284</v>
      </c>
      <c r="B53" s="115"/>
      <c r="C53" s="115"/>
      <c r="D53" s="115"/>
      <c r="E53" s="115"/>
      <c r="F53" s="115"/>
      <c r="G53" s="115"/>
      <c r="H53" s="115"/>
      <c r="I53" s="115"/>
      <c r="J53" s="115"/>
      <c r="K53" s="115"/>
      <c r="L53" s="115"/>
      <c r="M53" s="115"/>
      <c r="N53" s="115"/>
      <c r="O53" s="115"/>
      <c r="P53" s="115"/>
      <c r="Q53" s="115"/>
      <c r="R53" s="116"/>
    </row>
    <row r="54" spans="1:18" s="5" customFormat="1">
      <c r="A54" s="114" t="s">
        <v>285</v>
      </c>
      <c r="B54" s="115"/>
      <c r="C54" s="115"/>
      <c r="D54" s="115"/>
      <c r="E54" s="115"/>
      <c r="F54" s="115"/>
      <c r="G54" s="115"/>
      <c r="H54" s="115"/>
      <c r="I54" s="115"/>
      <c r="J54" s="115"/>
      <c r="K54" s="115"/>
      <c r="L54" s="115"/>
      <c r="M54" s="115"/>
      <c r="N54" s="115"/>
      <c r="O54" s="115"/>
      <c r="P54" s="115"/>
      <c r="Q54" s="115"/>
      <c r="R54" s="116"/>
    </row>
    <row r="55" spans="1:18" s="5" customFormat="1" ht="15.75" thickBot="1">
      <c r="A55" s="177"/>
      <c r="B55" s="178"/>
      <c r="C55" s="178"/>
      <c r="D55" s="178"/>
      <c r="E55" s="178"/>
      <c r="F55" s="178"/>
      <c r="G55" s="178"/>
      <c r="H55" s="178"/>
      <c r="I55" s="178"/>
      <c r="J55" s="178"/>
      <c r="K55" s="178"/>
      <c r="L55" s="178"/>
      <c r="M55" s="178"/>
      <c r="N55" s="178"/>
      <c r="O55" s="178"/>
      <c r="P55" s="178"/>
      <c r="Q55" s="178"/>
      <c r="R55" s="179"/>
    </row>
  </sheetData>
  <mergeCells count="83">
    <mergeCell ref="A53:R53"/>
    <mergeCell ref="A54:R54"/>
    <mergeCell ref="A55:R55"/>
    <mergeCell ref="B45:R45"/>
    <mergeCell ref="B18:R18"/>
    <mergeCell ref="A19:R19"/>
    <mergeCell ref="B20:N20"/>
    <mergeCell ref="O20:R20"/>
    <mergeCell ref="B21:M21"/>
    <mergeCell ref="N21:R21"/>
    <mergeCell ref="B27:R27"/>
    <mergeCell ref="A28:R28"/>
    <mergeCell ref="B22:R22"/>
    <mergeCell ref="B23:R23"/>
    <mergeCell ref="B24:R24"/>
    <mergeCell ref="B25:R25"/>
    <mergeCell ref="B11:R11"/>
    <mergeCell ref="B16:N16"/>
    <mergeCell ref="O16:R16"/>
    <mergeCell ref="B17:N17"/>
    <mergeCell ref="O17:R17"/>
    <mergeCell ref="B26:E26"/>
    <mergeCell ref="F26:R26"/>
    <mergeCell ref="A32:R32"/>
    <mergeCell ref="B33:R33"/>
    <mergeCell ref="B34:L34"/>
    <mergeCell ref="M34:R34"/>
    <mergeCell ref="B29:R29"/>
    <mergeCell ref="A35:R35"/>
    <mergeCell ref="B37:R37"/>
    <mergeCell ref="B38:R38"/>
    <mergeCell ref="B36:R36"/>
    <mergeCell ref="A39:R39"/>
    <mergeCell ref="B40:R40"/>
    <mergeCell ref="B41:R41"/>
    <mergeCell ref="A52:R52"/>
    <mergeCell ref="A47:R47"/>
    <mergeCell ref="A50:R50"/>
    <mergeCell ref="A51:R51"/>
    <mergeCell ref="B42:R42"/>
    <mergeCell ref="B43:R43"/>
    <mergeCell ref="B44:E44"/>
    <mergeCell ref="F44:R44"/>
    <mergeCell ref="A48:R48"/>
    <mergeCell ref="A49:R49"/>
    <mergeCell ref="B46:R46"/>
    <mergeCell ref="F5:G5"/>
    <mergeCell ref="H5:R5"/>
    <mergeCell ref="F6:H6"/>
    <mergeCell ref="I6:R6"/>
    <mergeCell ref="A7:R7"/>
    <mergeCell ref="A1:E6"/>
    <mergeCell ref="F1:P1"/>
    <mergeCell ref="Q1:R1"/>
    <mergeCell ref="F3:G3"/>
    <mergeCell ref="H3:I3"/>
    <mergeCell ref="J3:L3"/>
    <mergeCell ref="M3:N3"/>
    <mergeCell ref="O3:P3"/>
    <mergeCell ref="Q3:R3"/>
    <mergeCell ref="F4:H4"/>
    <mergeCell ref="I4:R4"/>
    <mergeCell ref="B9:C9"/>
    <mergeCell ref="A10:R10"/>
    <mergeCell ref="B31:R31"/>
    <mergeCell ref="L8:O9"/>
    <mergeCell ref="P8:R8"/>
    <mergeCell ref="D9:E9"/>
    <mergeCell ref="F9:G9"/>
    <mergeCell ref="H9:I9"/>
    <mergeCell ref="J9:K9"/>
    <mergeCell ref="P9:R9"/>
    <mergeCell ref="B8:C8"/>
    <mergeCell ref="D8:E8"/>
    <mergeCell ref="F8:G8"/>
    <mergeCell ref="H8:I8"/>
    <mergeCell ref="J8:K8"/>
    <mergeCell ref="B30:R30"/>
    <mergeCell ref="Q2:R2"/>
    <mergeCell ref="F2:I2"/>
    <mergeCell ref="J2:L2"/>
    <mergeCell ref="M2:N2"/>
    <mergeCell ref="O2:P2"/>
  </mergeCells>
  <printOptions horizontalCentered="1"/>
  <pageMargins left="0.7" right="0.7" top="0.75" bottom="0.75" header="0.3" footer="0.3"/>
  <pageSetup paperSize="9" scale="88" firstPageNumber="18" orientation="portrait" r:id="rId1"/>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5948A-5FE3-48FC-BA55-D919AD2EFDC3}">
  <sheetPr codeName="Sheet10">
    <tabColor rgb="FF00B0F0"/>
    <pageSetUpPr fitToPage="1"/>
  </sheetPr>
  <dimension ref="A1:R55"/>
  <sheetViews>
    <sheetView workbookViewId="0">
      <selection activeCell="A49" sqref="A49:V49"/>
    </sheetView>
  </sheetViews>
  <sheetFormatPr defaultColWidth="9.140625" defaultRowHeight="15"/>
  <cols>
    <col min="1" max="1" width="10.7109375" style="5" customWidth="1"/>
    <col min="2" max="22" width="5.28515625" style="5" customWidth="1"/>
    <col min="23" max="16384" width="9.140625" style="5"/>
  </cols>
  <sheetData>
    <row r="1" spans="1:18" ht="15.7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01" t="s">
        <v>216</v>
      </c>
      <c r="K2" s="101"/>
      <c r="L2" s="101"/>
      <c r="M2" s="101" t="s">
        <v>217</v>
      </c>
      <c r="N2" s="101"/>
      <c r="O2" s="222" t="s">
        <v>13</v>
      </c>
      <c r="P2" s="222"/>
      <c r="Q2" s="222" t="s">
        <v>10</v>
      </c>
      <c r="R2" s="223"/>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174</v>
      </c>
      <c r="C14" s="17" t="s">
        <v>174</v>
      </c>
      <c r="D14" s="17" t="s">
        <v>308</v>
      </c>
      <c r="E14" s="17" t="s">
        <v>308</v>
      </c>
      <c r="F14" s="17" t="s">
        <v>308</v>
      </c>
      <c r="G14" s="17">
        <v>160</v>
      </c>
      <c r="H14" s="17">
        <v>160</v>
      </c>
      <c r="I14" s="17">
        <v>120</v>
      </c>
      <c r="J14" s="17">
        <v>120</v>
      </c>
      <c r="K14" s="17">
        <v>100</v>
      </c>
      <c r="L14" s="17">
        <v>100</v>
      </c>
      <c r="M14" s="17">
        <v>100</v>
      </c>
      <c r="N14" s="17">
        <v>100</v>
      </c>
      <c r="O14" s="17">
        <v>100</v>
      </c>
      <c r="P14" s="17">
        <v>100</v>
      </c>
      <c r="Q14" s="17">
        <v>100</v>
      </c>
      <c r="R14" s="66">
        <v>100</v>
      </c>
    </row>
    <row r="15" spans="1:18" s="3" customFormat="1">
      <c r="A15" s="70" t="s">
        <v>233</v>
      </c>
      <c r="B15" s="17">
        <v>7.74</v>
      </c>
      <c r="C15" s="17">
        <v>7.96</v>
      </c>
      <c r="D15" s="17">
        <v>9.09</v>
      </c>
      <c r="E15" s="17">
        <v>10.16</v>
      </c>
      <c r="F15" s="17">
        <v>11.07</v>
      </c>
      <c r="G15" s="17">
        <v>11.12</v>
      </c>
      <c r="H15" s="17">
        <v>13.49</v>
      </c>
      <c r="I15" s="17">
        <v>14.27</v>
      </c>
      <c r="J15" s="17">
        <v>18.260000000000002</v>
      </c>
      <c r="K15" s="17">
        <v>18.260000000000002</v>
      </c>
      <c r="L15" s="17">
        <v>21.44</v>
      </c>
      <c r="M15" s="17">
        <v>23.82</v>
      </c>
      <c r="N15" s="17">
        <v>26.19</v>
      </c>
      <c r="O15" s="17">
        <v>29.36</v>
      </c>
      <c r="P15" s="17">
        <v>32.54</v>
      </c>
      <c r="Q15" s="17">
        <v>34.92</v>
      </c>
      <c r="R15" s="66">
        <v>38.89</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s="1" customFormat="1" ht="13.9" customHeight="1">
      <c r="A17" s="69" t="s">
        <v>237</v>
      </c>
      <c r="B17" s="144" t="s">
        <v>238</v>
      </c>
      <c r="C17" s="145"/>
      <c r="D17" s="145"/>
      <c r="E17" s="145"/>
      <c r="F17" s="145"/>
      <c r="G17" s="145"/>
      <c r="H17" s="145"/>
      <c r="I17" s="145"/>
      <c r="J17" s="145"/>
      <c r="K17" s="146"/>
      <c r="L17" s="144" t="s">
        <v>295</v>
      </c>
      <c r="M17" s="145"/>
      <c r="N17" s="146"/>
      <c r="O17" s="151" t="s">
        <v>288</v>
      </c>
      <c r="P17" s="152"/>
      <c r="Q17" s="152"/>
      <c r="R17" s="161"/>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17" t="s">
        <v>242</v>
      </c>
      <c r="B19" s="109"/>
      <c r="C19" s="109"/>
      <c r="D19" s="109"/>
      <c r="E19" s="109"/>
      <c r="F19" s="109"/>
      <c r="G19" s="109"/>
      <c r="H19" s="109"/>
      <c r="I19" s="109"/>
      <c r="J19" s="109"/>
      <c r="K19" s="109"/>
      <c r="L19" s="109"/>
      <c r="M19" s="109"/>
      <c r="N19" s="109"/>
      <c r="O19" s="109"/>
      <c r="P19" s="109"/>
      <c r="Q19" s="109"/>
      <c r="R19" s="110"/>
    </row>
    <row r="20" spans="1:18" ht="30.6"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296</v>
      </c>
      <c r="C21" s="145"/>
      <c r="D21" s="145"/>
      <c r="E21" s="145"/>
      <c r="F21" s="145"/>
      <c r="G21" s="145"/>
      <c r="H21" s="145"/>
      <c r="I21" s="145"/>
      <c r="J21" s="145"/>
      <c r="K21" s="146"/>
      <c r="L21" s="144" t="s">
        <v>297</v>
      </c>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t="s">
        <v>323</v>
      </c>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256</v>
      </c>
      <c r="C29" s="145"/>
      <c r="D29" s="145"/>
      <c r="E29" s="145"/>
      <c r="F29" s="145"/>
      <c r="G29" s="145"/>
      <c r="H29" s="145"/>
      <c r="I29" s="145"/>
      <c r="J29" s="145"/>
      <c r="K29" s="145"/>
      <c r="L29" s="145"/>
      <c r="M29" s="145"/>
      <c r="N29" s="145"/>
      <c r="O29" s="145"/>
      <c r="P29" s="145"/>
      <c r="Q29" s="145"/>
      <c r="R29" s="147"/>
    </row>
    <row r="30" spans="1:18" ht="13.9" customHeight="1">
      <c r="A30" s="69" t="s">
        <v>257</v>
      </c>
      <c r="B30" s="144" t="s">
        <v>298</v>
      </c>
      <c r="C30" s="145"/>
      <c r="D30" s="145"/>
      <c r="E30" s="145"/>
      <c r="F30" s="145"/>
      <c r="G30" s="145"/>
      <c r="H30" s="145"/>
      <c r="I30" s="145"/>
      <c r="J30" s="145"/>
      <c r="K30" s="145"/>
      <c r="L30" s="145"/>
      <c r="M30" s="145"/>
      <c r="N30" s="145"/>
      <c r="O30" s="145"/>
      <c r="P30" s="145"/>
      <c r="Q30" s="145"/>
      <c r="R30" s="147"/>
    </row>
    <row r="31" spans="1:18" ht="13.9" customHeight="1">
      <c r="A31" s="69" t="s">
        <v>234</v>
      </c>
      <c r="B31" s="144" t="s">
        <v>292</v>
      </c>
      <c r="C31" s="145"/>
      <c r="D31" s="145"/>
      <c r="E31" s="145"/>
      <c r="F31" s="145"/>
      <c r="G31" s="145"/>
      <c r="H31" s="145"/>
      <c r="I31" s="145"/>
      <c r="J31" s="145"/>
      <c r="K31" s="145"/>
      <c r="L31" s="145"/>
      <c r="M31" s="145"/>
      <c r="N31" s="145"/>
      <c r="O31" s="145"/>
      <c r="P31" s="145"/>
      <c r="Q31" s="145"/>
      <c r="R31" s="147"/>
    </row>
    <row r="32" spans="1:18">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256</v>
      </c>
      <c r="C33" s="109"/>
      <c r="D33" s="109"/>
      <c r="E33" s="109"/>
      <c r="F33" s="109"/>
      <c r="G33" s="109"/>
      <c r="H33" s="109"/>
      <c r="I33" s="109"/>
      <c r="J33" s="109"/>
      <c r="K33" s="109"/>
      <c r="L33" s="109"/>
      <c r="M33" s="109"/>
      <c r="N33" s="109"/>
      <c r="O33" s="109"/>
      <c r="P33" s="109"/>
      <c r="Q33" s="109"/>
      <c r="R33" s="110"/>
    </row>
    <row r="34" spans="1:18"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ht="13.9" customHeight="1">
      <c r="A35" s="141" t="s">
        <v>264</v>
      </c>
      <c r="B35" s="142"/>
      <c r="C35" s="142"/>
      <c r="D35" s="142"/>
      <c r="E35" s="142"/>
      <c r="F35" s="142"/>
      <c r="G35" s="142"/>
      <c r="H35" s="142"/>
      <c r="I35" s="142"/>
      <c r="J35" s="142"/>
      <c r="K35" s="142"/>
      <c r="L35" s="142"/>
      <c r="M35" s="142"/>
      <c r="N35" s="142"/>
      <c r="O35" s="142"/>
      <c r="P35" s="142"/>
      <c r="Q35" s="142"/>
      <c r="R35" s="143"/>
    </row>
    <row r="36" spans="1:18" ht="13.9" customHeight="1">
      <c r="A36" s="69" t="s">
        <v>265</v>
      </c>
      <c r="B36" s="109" t="s">
        <v>266</v>
      </c>
      <c r="C36" s="109"/>
      <c r="D36" s="109"/>
      <c r="E36" s="109"/>
      <c r="F36" s="109"/>
      <c r="G36" s="109"/>
      <c r="H36" s="109"/>
      <c r="I36" s="109"/>
      <c r="J36" s="109"/>
      <c r="K36" s="109"/>
      <c r="L36" s="109"/>
      <c r="M36" s="109"/>
      <c r="N36" s="109"/>
      <c r="O36" s="109"/>
      <c r="P36" s="109"/>
      <c r="Q36" s="109"/>
      <c r="R36" s="110"/>
    </row>
    <row r="37" spans="1:18" ht="13.9" customHeight="1">
      <c r="A37" s="69" t="s">
        <v>267</v>
      </c>
      <c r="B37" s="109" t="s">
        <v>268</v>
      </c>
      <c r="C37" s="109"/>
      <c r="D37" s="109"/>
      <c r="E37" s="109"/>
      <c r="F37" s="109"/>
      <c r="G37" s="109"/>
      <c r="H37" s="109"/>
      <c r="I37" s="109"/>
      <c r="J37" s="109"/>
      <c r="K37" s="109"/>
      <c r="L37" s="109"/>
      <c r="M37" s="109"/>
      <c r="N37" s="109"/>
      <c r="O37" s="109"/>
      <c r="P37" s="109"/>
      <c r="Q37" s="109"/>
      <c r="R37" s="110"/>
    </row>
    <row r="38" spans="1:18" ht="13.9" customHeight="1">
      <c r="A38" s="69" t="s">
        <v>269</v>
      </c>
      <c r="B38" s="109" t="s">
        <v>270</v>
      </c>
      <c r="C38" s="109"/>
      <c r="D38" s="109"/>
      <c r="E38" s="109"/>
      <c r="F38" s="109"/>
      <c r="G38" s="109"/>
      <c r="H38" s="109"/>
      <c r="I38" s="109"/>
      <c r="J38" s="109"/>
      <c r="K38" s="109"/>
      <c r="L38" s="109"/>
      <c r="M38" s="109"/>
      <c r="N38" s="109"/>
      <c r="O38" s="109"/>
      <c r="P38" s="109"/>
      <c r="Q38" s="109"/>
      <c r="R38" s="110"/>
    </row>
    <row r="39" spans="1:18" ht="13.9" customHeight="1">
      <c r="A39" s="141" t="s">
        <v>271</v>
      </c>
      <c r="B39" s="142"/>
      <c r="C39" s="142"/>
      <c r="D39" s="142"/>
      <c r="E39" s="142"/>
      <c r="F39" s="142"/>
      <c r="G39" s="142"/>
      <c r="H39" s="142"/>
      <c r="I39" s="142"/>
      <c r="J39" s="142"/>
      <c r="K39" s="142"/>
      <c r="L39" s="142"/>
      <c r="M39" s="142"/>
      <c r="N39" s="142"/>
      <c r="O39" s="142"/>
      <c r="P39" s="142"/>
      <c r="Q39" s="142"/>
      <c r="R39" s="143"/>
    </row>
    <row r="40" spans="1:18"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ht="13.9" customHeight="1">
      <c r="A45" s="69"/>
      <c r="B45" s="109"/>
      <c r="C45" s="109"/>
      <c r="D45" s="109"/>
      <c r="E45" s="109"/>
      <c r="F45" s="109"/>
      <c r="G45" s="109"/>
      <c r="H45" s="109"/>
      <c r="I45" s="109"/>
      <c r="J45" s="109"/>
      <c r="K45" s="109"/>
      <c r="L45" s="109"/>
      <c r="M45" s="109"/>
      <c r="N45" s="109"/>
      <c r="O45" s="109"/>
      <c r="P45" s="109"/>
      <c r="Q45" s="109"/>
      <c r="R45" s="110"/>
    </row>
    <row r="46" spans="1:18" ht="13.9" customHeight="1">
      <c r="A46" s="69"/>
      <c r="B46" s="109"/>
      <c r="C46" s="109"/>
      <c r="D46" s="109"/>
      <c r="E46" s="109"/>
      <c r="F46" s="109"/>
      <c r="G46" s="109"/>
      <c r="H46" s="109"/>
      <c r="I46" s="109"/>
      <c r="J46" s="109"/>
      <c r="K46" s="109"/>
      <c r="L46" s="109"/>
      <c r="M46" s="109"/>
      <c r="N46" s="109"/>
      <c r="O46" s="109"/>
      <c r="P46" s="109"/>
      <c r="Q46" s="109"/>
      <c r="R46" s="110"/>
    </row>
    <row r="47" spans="1:18">
      <c r="A47" s="148" t="s">
        <v>278</v>
      </c>
      <c r="B47" s="149"/>
      <c r="C47" s="149"/>
      <c r="D47" s="149"/>
      <c r="E47" s="149"/>
      <c r="F47" s="149"/>
      <c r="G47" s="149"/>
      <c r="H47" s="149"/>
      <c r="I47" s="149"/>
      <c r="J47" s="149"/>
      <c r="K47" s="149"/>
      <c r="L47" s="149"/>
      <c r="M47" s="149"/>
      <c r="N47" s="149"/>
      <c r="O47" s="149"/>
      <c r="P47" s="149"/>
      <c r="Q47" s="149"/>
      <c r="R47" s="150"/>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282</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4">
    <mergeCell ref="B46:R46"/>
    <mergeCell ref="A53:R53"/>
    <mergeCell ref="A54:R54"/>
    <mergeCell ref="A55:R55"/>
    <mergeCell ref="B45:R45"/>
    <mergeCell ref="A52:R52"/>
    <mergeCell ref="A47:R47"/>
    <mergeCell ref="A50:R50"/>
    <mergeCell ref="A51:R51"/>
    <mergeCell ref="A49:R49"/>
    <mergeCell ref="A39:R39"/>
    <mergeCell ref="B40:R40"/>
    <mergeCell ref="B41:R41"/>
    <mergeCell ref="B42:R42"/>
    <mergeCell ref="B43:R43"/>
    <mergeCell ref="B44:E44"/>
    <mergeCell ref="F44:R44"/>
    <mergeCell ref="A48:R48"/>
    <mergeCell ref="B11:R11"/>
    <mergeCell ref="B16:N16"/>
    <mergeCell ref="O16:R16"/>
    <mergeCell ref="B17:K17"/>
    <mergeCell ref="L17:N17"/>
    <mergeCell ref="O17:R17"/>
    <mergeCell ref="B18:R18"/>
    <mergeCell ref="A19:R19"/>
    <mergeCell ref="B20:N20"/>
    <mergeCell ref="O20:R20"/>
    <mergeCell ref="B21:K21"/>
    <mergeCell ref="L21:R21"/>
    <mergeCell ref="A28:R28"/>
    <mergeCell ref="B22:R22"/>
    <mergeCell ref="B23:R23"/>
    <mergeCell ref="B24:R24"/>
    <mergeCell ref="B25:R25"/>
    <mergeCell ref="B26:E26"/>
    <mergeCell ref="F26:R26"/>
    <mergeCell ref="B27:R27"/>
    <mergeCell ref="B38:R38"/>
    <mergeCell ref="B29:R29"/>
    <mergeCell ref="B30:R30"/>
    <mergeCell ref="B31:R31"/>
    <mergeCell ref="B37:R37"/>
    <mergeCell ref="A32:R32"/>
    <mergeCell ref="B33:R33"/>
    <mergeCell ref="B34:L34"/>
    <mergeCell ref="M34:R34"/>
    <mergeCell ref="A35:R35"/>
    <mergeCell ref="B36:R36"/>
    <mergeCell ref="F5:G5"/>
    <mergeCell ref="H5:R5"/>
    <mergeCell ref="F6:H6"/>
    <mergeCell ref="I6:R6"/>
    <mergeCell ref="A7:R7"/>
    <mergeCell ref="A1:E6"/>
    <mergeCell ref="F1:P1"/>
    <mergeCell ref="Q1:R1"/>
    <mergeCell ref="F3:G3"/>
    <mergeCell ref="H3:I3"/>
    <mergeCell ref="J3:L3"/>
    <mergeCell ref="M3:N3"/>
    <mergeCell ref="O3:P3"/>
    <mergeCell ref="Q3:R3"/>
    <mergeCell ref="F4:H4"/>
    <mergeCell ref="I4:R4"/>
    <mergeCell ref="A10:R10"/>
    <mergeCell ref="L8:O9"/>
    <mergeCell ref="P8:R8"/>
    <mergeCell ref="D9:E9"/>
    <mergeCell ref="F9:G9"/>
    <mergeCell ref="H9:I9"/>
    <mergeCell ref="J9:K9"/>
    <mergeCell ref="P9:R9"/>
    <mergeCell ref="B8:C8"/>
    <mergeCell ref="D8:E8"/>
    <mergeCell ref="F8:G8"/>
    <mergeCell ref="H8:I8"/>
    <mergeCell ref="J8:K8"/>
    <mergeCell ref="B9:C9"/>
    <mergeCell ref="F2:I2"/>
    <mergeCell ref="J2:L2"/>
    <mergeCell ref="M2:N2"/>
    <mergeCell ref="O2:P2"/>
    <mergeCell ref="Q2:R2"/>
  </mergeCells>
  <printOptions horizontalCentered="1"/>
  <pageMargins left="0.7" right="0.7" top="0.75" bottom="0.75" header="0.3" footer="0.3"/>
  <pageSetup paperSize="9" scale="88" firstPageNumber="18" orientation="portrait" r:id="rId1"/>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D3EF-ED6C-46C8-9B7F-B00CFB4D982F}">
  <sheetPr codeName="Sheet11">
    <tabColor rgb="FF00B0F0"/>
    <pageSetUpPr fitToPage="1"/>
  </sheetPr>
  <dimension ref="A1:R57"/>
  <sheetViews>
    <sheetView workbookViewId="0">
      <selection activeCell="A49" sqref="A49:V49"/>
    </sheetView>
  </sheetViews>
  <sheetFormatPr defaultColWidth="9.140625" defaultRowHeight="15"/>
  <cols>
    <col min="1" max="1" width="10.7109375" style="5" customWidth="1"/>
    <col min="2" max="22" width="5.28515625" style="5" customWidth="1"/>
    <col min="23" max="16384" width="9.140625" style="5"/>
  </cols>
  <sheetData>
    <row r="1" spans="1:18" ht="15.7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01" t="s">
        <v>216</v>
      </c>
      <c r="K2" s="101"/>
      <c r="L2" s="101"/>
      <c r="M2" s="101" t="s">
        <v>217</v>
      </c>
      <c r="N2" s="101"/>
      <c r="O2" s="222" t="s">
        <v>13</v>
      </c>
      <c r="P2" s="222"/>
      <c r="Q2" s="222" t="s">
        <v>10</v>
      </c>
      <c r="R2" s="223"/>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c r="C12" s="17"/>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c r="C13" s="17"/>
      <c r="D13" s="17">
        <v>33.4</v>
      </c>
      <c r="E13" s="17">
        <v>48.3</v>
      </c>
      <c r="F13" s="17">
        <v>60.3</v>
      </c>
      <c r="G13" s="17">
        <v>88.9</v>
      </c>
      <c r="H13" s="17">
        <v>114.3</v>
      </c>
      <c r="I13" s="17">
        <v>168.3</v>
      </c>
      <c r="J13" s="17">
        <v>219</v>
      </c>
      <c r="K13" s="17">
        <v>273.10000000000002</v>
      </c>
      <c r="L13" s="17">
        <v>323.89999999999998</v>
      </c>
      <c r="M13" s="17">
        <v>355.6</v>
      </c>
      <c r="N13" s="17">
        <v>406.4</v>
      </c>
      <c r="O13" s="17">
        <v>457</v>
      </c>
      <c r="P13" s="17">
        <v>508</v>
      </c>
      <c r="Q13" s="17">
        <v>559</v>
      </c>
      <c r="R13" s="66">
        <v>610</v>
      </c>
    </row>
    <row r="14" spans="1:18" s="3" customFormat="1">
      <c r="A14" s="70" t="s">
        <v>230</v>
      </c>
      <c r="B14" s="17"/>
      <c r="C14" s="17"/>
      <c r="D14" s="17" t="s">
        <v>308</v>
      </c>
      <c r="E14" s="17" t="s">
        <v>308</v>
      </c>
      <c r="F14" s="17" t="s">
        <v>308</v>
      </c>
      <c r="G14" s="17" t="s">
        <v>308</v>
      </c>
      <c r="H14" s="17" t="s">
        <v>308</v>
      </c>
      <c r="I14" s="17">
        <v>160</v>
      </c>
      <c r="J14" s="17">
        <v>140</v>
      </c>
      <c r="K14" s="17">
        <v>140</v>
      </c>
      <c r="L14" s="17">
        <v>140</v>
      </c>
      <c r="M14" s="17">
        <v>140</v>
      </c>
      <c r="N14" s="17">
        <v>140</v>
      </c>
      <c r="O14" s="17">
        <v>120</v>
      </c>
      <c r="P14" s="17">
        <v>120</v>
      </c>
      <c r="Q14" s="17">
        <v>120</v>
      </c>
      <c r="R14" s="66">
        <v>120</v>
      </c>
    </row>
    <row r="15" spans="1:18" s="3" customFormat="1">
      <c r="A15" s="70" t="s">
        <v>233</v>
      </c>
      <c r="B15" s="17"/>
      <c r="C15" s="17"/>
      <c r="D15" s="17">
        <v>9.09</v>
      </c>
      <c r="E15" s="17">
        <v>10.16</v>
      </c>
      <c r="F15" s="17">
        <v>11.07</v>
      </c>
      <c r="G15" s="17">
        <v>15.24</v>
      </c>
      <c r="H15" s="17">
        <v>17.12</v>
      </c>
      <c r="I15" s="17">
        <v>18.260000000000002</v>
      </c>
      <c r="J15" s="17">
        <v>20.63</v>
      </c>
      <c r="K15" s="17">
        <v>25.4</v>
      </c>
      <c r="L15" s="17">
        <v>28.57</v>
      </c>
      <c r="M15" s="17">
        <v>31.75</v>
      </c>
      <c r="N15" s="17">
        <v>36.53</v>
      </c>
      <c r="O15" s="17">
        <v>34.92</v>
      </c>
      <c r="P15" s="17">
        <v>38.1</v>
      </c>
      <c r="Q15" s="17">
        <v>41.27</v>
      </c>
      <c r="R15" s="66">
        <v>46.02</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s="1" customFormat="1" ht="13.9" customHeight="1">
      <c r="A17" s="69" t="s">
        <v>237</v>
      </c>
      <c r="B17" s="144" t="s">
        <v>238</v>
      </c>
      <c r="C17" s="145"/>
      <c r="D17" s="145"/>
      <c r="E17" s="145"/>
      <c r="F17" s="145"/>
      <c r="G17" s="145"/>
      <c r="H17" s="145"/>
      <c r="I17" s="146"/>
      <c r="J17" s="145" t="s">
        <v>295</v>
      </c>
      <c r="K17" s="145"/>
      <c r="L17" s="145"/>
      <c r="M17" s="145"/>
      <c r="N17" s="146"/>
      <c r="O17" s="151" t="s">
        <v>288</v>
      </c>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17" t="s">
        <v>242</v>
      </c>
      <c r="B19" s="109"/>
      <c r="C19" s="109"/>
      <c r="D19" s="109"/>
      <c r="E19" s="109"/>
      <c r="F19" s="109"/>
      <c r="G19" s="109"/>
      <c r="H19" s="109"/>
      <c r="I19" s="109"/>
      <c r="J19" s="109"/>
      <c r="K19" s="109"/>
      <c r="L19" s="109"/>
      <c r="M19" s="109"/>
      <c r="N19" s="109"/>
      <c r="O19" s="109"/>
      <c r="P19" s="109"/>
      <c r="Q19" s="109"/>
      <c r="R19" s="110"/>
    </row>
    <row r="20" spans="1:1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245</v>
      </c>
      <c r="C21" s="145"/>
      <c r="D21" s="145"/>
      <c r="E21" s="145"/>
      <c r="F21" s="145"/>
      <c r="G21" s="145"/>
      <c r="H21" s="145"/>
      <c r="I21" s="146"/>
      <c r="J21" s="144" t="s">
        <v>297</v>
      </c>
      <c r="K21" s="145"/>
      <c r="L21" s="145"/>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c r="L23" s="145"/>
      <c r="M23" s="145"/>
      <c r="N23" s="145"/>
      <c r="O23" s="145"/>
      <c r="P23" s="145"/>
      <c r="Q23" s="145"/>
      <c r="R23" s="147"/>
    </row>
    <row r="24" spans="1:18" ht="15" customHeight="1">
      <c r="A24" s="69" t="s">
        <v>249</v>
      </c>
      <c r="B24" s="144" t="s">
        <v>247</v>
      </c>
      <c r="C24" s="145"/>
      <c r="D24" s="145"/>
      <c r="E24" s="145"/>
      <c r="F24" s="145"/>
      <c r="G24" s="145"/>
      <c r="H24" s="145"/>
      <c r="I24" s="145"/>
      <c r="J24" s="145"/>
      <c r="K24" s="145"/>
      <c r="L24" s="145"/>
      <c r="M24" s="145"/>
      <c r="N24" s="145"/>
      <c r="O24" s="145"/>
      <c r="P24" s="145"/>
      <c r="Q24" s="145"/>
      <c r="R24" s="147"/>
    </row>
    <row r="25" spans="1:18" ht="15" customHeight="1">
      <c r="A25" s="69" t="s">
        <v>250</v>
      </c>
      <c r="B25" s="144" t="s">
        <v>247</v>
      </c>
      <c r="C25" s="145"/>
      <c r="D25" s="145"/>
      <c r="E25" s="145"/>
      <c r="F25" s="145"/>
      <c r="G25" s="145"/>
      <c r="H25" s="145"/>
      <c r="I25" s="145"/>
      <c r="J25" s="145"/>
      <c r="K25" s="145"/>
      <c r="L25" s="145"/>
      <c r="M25" s="145"/>
      <c r="N25" s="145"/>
      <c r="O25" s="145"/>
      <c r="P25" s="145"/>
      <c r="Q25" s="145"/>
      <c r="R25" s="147"/>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254</v>
      </c>
      <c r="C27" s="145"/>
      <c r="D27" s="145"/>
      <c r="E27" s="145"/>
      <c r="F27" s="145"/>
      <c r="G27" s="145"/>
      <c r="H27" s="145"/>
      <c r="I27" s="145"/>
      <c r="J27" s="145"/>
      <c r="K27" s="145"/>
      <c r="L27" s="145"/>
      <c r="M27" s="145"/>
      <c r="N27" s="145"/>
      <c r="O27" s="145" t="s">
        <v>323</v>
      </c>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256</v>
      </c>
      <c r="C29" s="145"/>
      <c r="D29" s="145"/>
      <c r="E29" s="145"/>
      <c r="F29" s="145"/>
      <c r="G29" s="145"/>
      <c r="H29" s="145"/>
      <c r="I29" s="145"/>
      <c r="J29" s="145"/>
      <c r="K29" s="145"/>
      <c r="L29" s="145"/>
      <c r="M29" s="145"/>
      <c r="N29" s="145"/>
      <c r="O29" s="145"/>
      <c r="P29" s="145"/>
      <c r="Q29" s="145"/>
      <c r="R29" s="147"/>
    </row>
    <row r="30" spans="1:18" ht="13.9" customHeight="1">
      <c r="A30" s="69" t="s">
        <v>257</v>
      </c>
      <c r="B30" s="144" t="s">
        <v>299</v>
      </c>
      <c r="C30" s="145"/>
      <c r="D30" s="145"/>
      <c r="E30" s="146"/>
      <c r="F30" s="144" t="s">
        <v>300</v>
      </c>
      <c r="G30" s="145"/>
      <c r="H30" s="145"/>
      <c r="I30" s="145"/>
      <c r="J30" s="145"/>
      <c r="K30" s="145"/>
      <c r="L30" s="145"/>
      <c r="M30" s="145"/>
      <c r="N30" s="145"/>
      <c r="O30" s="145"/>
      <c r="P30" s="145"/>
      <c r="Q30" s="145"/>
      <c r="R30" s="147"/>
    </row>
    <row r="31" spans="1:18" ht="13.9" customHeight="1">
      <c r="A31" s="69" t="s">
        <v>234</v>
      </c>
      <c r="B31" s="144" t="s">
        <v>301</v>
      </c>
      <c r="C31" s="145"/>
      <c r="D31" s="145"/>
      <c r="E31" s="145"/>
      <c r="F31" s="145"/>
      <c r="G31" s="145"/>
      <c r="H31" s="145"/>
      <c r="I31" s="145"/>
      <c r="J31" s="145"/>
      <c r="K31" s="145"/>
      <c r="L31" s="145"/>
      <c r="M31" s="145"/>
      <c r="N31" s="145"/>
      <c r="O31" s="145"/>
      <c r="P31" s="145"/>
      <c r="Q31" s="145"/>
      <c r="R31" s="147"/>
    </row>
    <row r="32" spans="1:18" s="1" customFormat="1">
      <c r="A32" s="117" t="s">
        <v>260</v>
      </c>
      <c r="B32" s="109"/>
      <c r="C32" s="109"/>
      <c r="D32" s="109"/>
      <c r="E32" s="109"/>
      <c r="F32" s="109"/>
      <c r="G32" s="109"/>
      <c r="H32" s="109"/>
      <c r="I32" s="109"/>
      <c r="J32" s="109"/>
      <c r="K32" s="109"/>
      <c r="L32" s="109"/>
      <c r="M32" s="109"/>
      <c r="N32" s="109"/>
      <c r="O32" s="109"/>
      <c r="P32" s="109"/>
      <c r="Q32" s="109"/>
      <c r="R32" s="110"/>
    </row>
    <row r="33" spans="1:18" s="1" customFormat="1">
      <c r="A33" s="69" t="s">
        <v>237</v>
      </c>
      <c r="B33" s="109" t="s">
        <v>256</v>
      </c>
      <c r="C33" s="109"/>
      <c r="D33" s="109"/>
      <c r="E33" s="109"/>
      <c r="F33" s="109"/>
      <c r="G33" s="109"/>
      <c r="H33" s="109"/>
      <c r="I33" s="109"/>
      <c r="J33" s="109"/>
      <c r="K33" s="109"/>
      <c r="L33" s="109"/>
      <c r="M33" s="109"/>
      <c r="N33" s="109"/>
      <c r="O33" s="109"/>
      <c r="P33" s="109"/>
      <c r="Q33" s="109"/>
      <c r="R33" s="110"/>
    </row>
    <row r="34" spans="1:18" s="1" customFormat="1" ht="13.9" customHeight="1">
      <c r="A34" s="69" t="s">
        <v>261</v>
      </c>
      <c r="B34" s="144" t="s">
        <v>262</v>
      </c>
      <c r="C34" s="145"/>
      <c r="D34" s="145"/>
      <c r="E34" s="145"/>
      <c r="F34" s="145"/>
      <c r="G34" s="145"/>
      <c r="H34" s="145"/>
      <c r="I34" s="145"/>
      <c r="J34" s="145"/>
      <c r="K34" s="145"/>
      <c r="L34" s="146"/>
      <c r="M34" s="101" t="s">
        <v>293</v>
      </c>
      <c r="N34" s="101"/>
      <c r="O34" s="101"/>
      <c r="P34" s="101"/>
      <c r="Q34" s="101"/>
      <c r="R34" s="102"/>
    </row>
    <row r="35" spans="1:18" ht="13.9" customHeight="1">
      <c r="A35" s="141" t="s">
        <v>264</v>
      </c>
      <c r="B35" s="142"/>
      <c r="C35" s="142"/>
      <c r="D35" s="142"/>
      <c r="E35" s="142"/>
      <c r="F35" s="142"/>
      <c r="G35" s="142"/>
      <c r="H35" s="142"/>
      <c r="I35" s="142"/>
      <c r="J35" s="142"/>
      <c r="K35" s="142"/>
      <c r="L35" s="142"/>
      <c r="M35" s="142"/>
      <c r="N35" s="142"/>
      <c r="O35" s="142"/>
      <c r="P35" s="142"/>
      <c r="Q35" s="142"/>
      <c r="R35" s="143"/>
    </row>
    <row r="36" spans="1:18" ht="13.9" customHeight="1">
      <c r="A36" s="69" t="s">
        <v>265</v>
      </c>
      <c r="B36" s="109" t="s">
        <v>266</v>
      </c>
      <c r="C36" s="109"/>
      <c r="D36" s="109"/>
      <c r="E36" s="109"/>
      <c r="F36" s="109"/>
      <c r="G36" s="109"/>
      <c r="H36" s="109"/>
      <c r="I36" s="109"/>
      <c r="J36" s="109"/>
      <c r="K36" s="109"/>
      <c r="L36" s="109"/>
      <c r="M36" s="109"/>
      <c r="N36" s="109"/>
      <c r="O36" s="109"/>
      <c r="P36" s="109"/>
      <c r="Q36" s="109"/>
      <c r="R36" s="110"/>
    </row>
    <row r="37" spans="1:18" ht="13.9" customHeight="1">
      <c r="A37" s="69" t="s">
        <v>267</v>
      </c>
      <c r="B37" s="109" t="s">
        <v>268</v>
      </c>
      <c r="C37" s="109"/>
      <c r="D37" s="109"/>
      <c r="E37" s="109"/>
      <c r="F37" s="109"/>
      <c r="G37" s="109"/>
      <c r="H37" s="109"/>
      <c r="I37" s="109"/>
      <c r="J37" s="109"/>
      <c r="K37" s="109"/>
      <c r="L37" s="109"/>
      <c r="M37" s="109"/>
      <c r="N37" s="109"/>
      <c r="O37" s="109"/>
      <c r="P37" s="109"/>
      <c r="Q37" s="109"/>
      <c r="R37" s="110"/>
    </row>
    <row r="38" spans="1:18" ht="13.9" customHeight="1">
      <c r="A38" s="69" t="s">
        <v>269</v>
      </c>
      <c r="B38" s="144" t="s">
        <v>302</v>
      </c>
      <c r="C38" s="145"/>
      <c r="D38" s="145"/>
      <c r="E38" s="145"/>
      <c r="F38" s="145"/>
      <c r="G38" s="145"/>
      <c r="H38" s="145"/>
      <c r="I38" s="145"/>
      <c r="J38" s="145"/>
      <c r="K38" s="145"/>
      <c r="L38" s="145"/>
      <c r="M38" s="145"/>
      <c r="N38" s="145"/>
      <c r="O38" s="145"/>
      <c r="P38" s="145"/>
      <c r="Q38" s="145"/>
      <c r="R38" s="147"/>
    </row>
    <row r="39" spans="1:18" ht="13.9" customHeight="1">
      <c r="A39" s="141" t="s">
        <v>271</v>
      </c>
      <c r="B39" s="142"/>
      <c r="C39" s="142"/>
      <c r="D39" s="142"/>
      <c r="E39" s="142"/>
      <c r="F39" s="142"/>
      <c r="G39" s="142"/>
      <c r="H39" s="142"/>
      <c r="I39" s="142"/>
      <c r="J39" s="142"/>
      <c r="K39" s="142"/>
      <c r="L39" s="142"/>
      <c r="M39" s="142"/>
      <c r="N39" s="142"/>
      <c r="O39" s="142"/>
      <c r="P39" s="142"/>
      <c r="Q39" s="142"/>
      <c r="R39" s="143"/>
    </row>
    <row r="40" spans="1:18" ht="13.9" customHeight="1">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18" ht="13.9"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18" ht="13.9"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18"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18"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18">
      <c r="A47" s="148" t="s">
        <v>278</v>
      </c>
      <c r="B47" s="149"/>
      <c r="C47" s="149"/>
      <c r="D47" s="149"/>
      <c r="E47" s="149"/>
      <c r="F47" s="149"/>
      <c r="G47" s="149"/>
      <c r="H47" s="149"/>
      <c r="I47" s="149"/>
      <c r="J47" s="149"/>
      <c r="K47" s="149"/>
      <c r="L47" s="149"/>
      <c r="M47" s="149"/>
      <c r="N47" s="149"/>
      <c r="O47" s="149"/>
      <c r="P47" s="149"/>
      <c r="Q47" s="149"/>
      <c r="R47" s="150"/>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324</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c r="A55" s="114" t="s">
        <v>306</v>
      </c>
      <c r="B55" s="115"/>
      <c r="C55" s="115"/>
      <c r="D55" s="115"/>
      <c r="E55" s="115"/>
      <c r="F55" s="115"/>
      <c r="G55" s="115"/>
      <c r="H55" s="115"/>
      <c r="I55" s="115"/>
      <c r="J55" s="115"/>
      <c r="K55" s="115"/>
      <c r="L55" s="115"/>
      <c r="M55" s="115"/>
      <c r="N55" s="115"/>
      <c r="O55" s="115"/>
      <c r="P55" s="115"/>
      <c r="Q55" s="115"/>
      <c r="R55" s="116"/>
    </row>
    <row r="56" spans="1:18">
      <c r="A56" s="114" t="s">
        <v>307</v>
      </c>
      <c r="B56" s="115"/>
      <c r="C56" s="115"/>
      <c r="D56" s="115"/>
      <c r="E56" s="115"/>
      <c r="F56" s="115"/>
      <c r="G56" s="115"/>
      <c r="H56" s="115"/>
      <c r="I56" s="115"/>
      <c r="J56" s="115"/>
      <c r="K56" s="115"/>
      <c r="L56" s="115"/>
      <c r="M56" s="115"/>
      <c r="N56" s="115"/>
      <c r="O56" s="115"/>
      <c r="P56" s="115"/>
      <c r="Q56" s="115"/>
      <c r="R56" s="116"/>
    </row>
    <row r="57" spans="1:18" ht="15.75" thickBot="1">
      <c r="A57" s="177"/>
      <c r="B57" s="178"/>
      <c r="C57" s="178"/>
      <c r="D57" s="178"/>
      <c r="E57" s="178"/>
      <c r="F57" s="178"/>
      <c r="G57" s="178"/>
      <c r="H57" s="178"/>
      <c r="I57" s="178"/>
      <c r="J57" s="178"/>
      <c r="K57" s="178"/>
      <c r="L57" s="178"/>
      <c r="M57" s="178"/>
      <c r="N57" s="178"/>
      <c r="O57" s="178"/>
      <c r="P57" s="178"/>
      <c r="Q57" s="178"/>
      <c r="R57" s="179"/>
    </row>
  </sheetData>
  <mergeCells count="89">
    <mergeCell ref="B45:F45"/>
    <mergeCell ref="G45:R45"/>
    <mergeCell ref="A55:R55"/>
    <mergeCell ref="A56:R56"/>
    <mergeCell ref="A57:R57"/>
    <mergeCell ref="B11:R11"/>
    <mergeCell ref="B16:N16"/>
    <mergeCell ref="O16:R16"/>
    <mergeCell ref="B17:I17"/>
    <mergeCell ref="J17:N17"/>
    <mergeCell ref="O17:R17"/>
    <mergeCell ref="B18:R18"/>
    <mergeCell ref="A19:R19"/>
    <mergeCell ref="B20:N20"/>
    <mergeCell ref="O20:R20"/>
    <mergeCell ref="B21:I21"/>
    <mergeCell ref="J21:R21"/>
    <mergeCell ref="A28:R28"/>
    <mergeCell ref="B22:R22"/>
    <mergeCell ref="B23:R23"/>
    <mergeCell ref="B24:R24"/>
    <mergeCell ref="B25:R25"/>
    <mergeCell ref="B26:E26"/>
    <mergeCell ref="F26:R26"/>
    <mergeCell ref="B27:R27"/>
    <mergeCell ref="B29:R29"/>
    <mergeCell ref="B31:R31"/>
    <mergeCell ref="A32:R32"/>
    <mergeCell ref="B33:R33"/>
    <mergeCell ref="B34:L34"/>
    <mergeCell ref="M34:R34"/>
    <mergeCell ref="B30:E30"/>
    <mergeCell ref="F30:R30"/>
    <mergeCell ref="A39:R39"/>
    <mergeCell ref="A35:R35"/>
    <mergeCell ref="B36:R36"/>
    <mergeCell ref="B37:R37"/>
    <mergeCell ref="B38:R38"/>
    <mergeCell ref="B40:R40"/>
    <mergeCell ref="A51:R51"/>
    <mergeCell ref="A52:R52"/>
    <mergeCell ref="A53:R53"/>
    <mergeCell ref="A54:R54"/>
    <mergeCell ref="A47:R47"/>
    <mergeCell ref="A48:R48"/>
    <mergeCell ref="B42:R42"/>
    <mergeCell ref="B43:R43"/>
    <mergeCell ref="B44:E44"/>
    <mergeCell ref="F44:R44"/>
    <mergeCell ref="A49:R49"/>
    <mergeCell ref="A50:R50"/>
    <mergeCell ref="B41:E41"/>
    <mergeCell ref="F41:R41"/>
    <mergeCell ref="B46:R46"/>
    <mergeCell ref="F5:G5"/>
    <mergeCell ref="H5:R5"/>
    <mergeCell ref="F6:H6"/>
    <mergeCell ref="I6:R6"/>
    <mergeCell ref="A7:R7"/>
    <mergeCell ref="A1:E6"/>
    <mergeCell ref="F1:P1"/>
    <mergeCell ref="Q1:R1"/>
    <mergeCell ref="F3:G3"/>
    <mergeCell ref="H3:I3"/>
    <mergeCell ref="J3:L3"/>
    <mergeCell ref="M3:N3"/>
    <mergeCell ref="O3:P3"/>
    <mergeCell ref="Q3:R3"/>
    <mergeCell ref="F4:H4"/>
    <mergeCell ref="I4:R4"/>
    <mergeCell ref="A10:R10"/>
    <mergeCell ref="L8:O9"/>
    <mergeCell ref="P8:R8"/>
    <mergeCell ref="D9:E9"/>
    <mergeCell ref="F9:G9"/>
    <mergeCell ref="H9:I9"/>
    <mergeCell ref="J9:K9"/>
    <mergeCell ref="P9:R9"/>
    <mergeCell ref="B8:C8"/>
    <mergeCell ref="D8:E8"/>
    <mergeCell ref="F8:G8"/>
    <mergeCell ref="H8:I8"/>
    <mergeCell ref="J8:K8"/>
    <mergeCell ref="B9:C9"/>
    <mergeCell ref="F2:I2"/>
    <mergeCell ref="J2:L2"/>
    <mergeCell ref="M2:N2"/>
    <mergeCell ref="O2:P2"/>
    <mergeCell ref="Q2:R2"/>
  </mergeCells>
  <printOptions horizontalCentered="1"/>
  <pageMargins left="0.7" right="0.7" top="0.75" bottom="0.75" header="0.3" footer="0.3"/>
  <pageSetup paperSize="9" scale="88" firstPageNumber="18" orientation="portrait" r:id="rId1"/>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61DC-A86E-4D53-A6D3-2C997DFDC69F}">
  <sheetPr codeName="Sheet12">
    <tabColor rgb="FF00B0F0"/>
    <pageSetUpPr fitToPage="1"/>
  </sheetPr>
  <dimension ref="A1:R59"/>
  <sheetViews>
    <sheetView workbookViewId="0">
      <selection activeCell="A49" sqref="A49:V49"/>
    </sheetView>
  </sheetViews>
  <sheetFormatPr defaultColWidth="9.140625" defaultRowHeight="15"/>
  <cols>
    <col min="1" max="1" width="10.7109375" style="5" customWidth="1"/>
    <col min="2" max="22" width="5.28515625" style="5" customWidth="1"/>
    <col min="23" max="16384" width="9.140625" style="5"/>
  </cols>
  <sheetData>
    <row r="1" spans="1:18" ht="15.7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01" t="s">
        <v>216</v>
      </c>
      <c r="K2" s="101"/>
      <c r="L2" s="101"/>
      <c r="M2" s="101" t="s">
        <v>217</v>
      </c>
      <c r="N2" s="101"/>
      <c r="O2" s="222" t="s">
        <v>13</v>
      </c>
      <c r="P2" s="222"/>
      <c r="Q2" s="222" t="s">
        <v>10</v>
      </c>
      <c r="R2" s="223"/>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c r="C12" s="17"/>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c r="C13" s="17"/>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5"/>
      <c r="C14" s="15"/>
      <c r="D14" s="15" t="s">
        <v>174</v>
      </c>
      <c r="E14" s="15" t="s">
        <v>174</v>
      </c>
      <c r="F14" s="15" t="s">
        <v>174</v>
      </c>
      <c r="G14" s="15" t="s">
        <v>308</v>
      </c>
      <c r="H14" s="15" t="s">
        <v>308</v>
      </c>
      <c r="I14" s="15" t="s">
        <v>308</v>
      </c>
      <c r="J14" s="15" t="s">
        <v>174</v>
      </c>
      <c r="K14" s="15" t="s">
        <v>174</v>
      </c>
      <c r="L14" s="15">
        <v>160</v>
      </c>
      <c r="M14" s="15">
        <v>160</v>
      </c>
      <c r="N14" s="15">
        <v>160</v>
      </c>
      <c r="O14" s="15">
        <v>160</v>
      </c>
      <c r="P14" s="15">
        <v>160</v>
      </c>
      <c r="Q14" s="15">
        <v>160</v>
      </c>
      <c r="R14" s="66">
        <v>160</v>
      </c>
    </row>
    <row r="15" spans="1:18" s="3" customFormat="1">
      <c r="A15" s="70" t="s">
        <v>233</v>
      </c>
      <c r="B15" s="17"/>
      <c r="C15" s="17"/>
      <c r="D15" s="17">
        <v>9.5299999999999994</v>
      </c>
      <c r="E15" s="17">
        <v>10.72</v>
      </c>
      <c r="F15" s="17">
        <v>11.68</v>
      </c>
      <c r="G15" s="17">
        <v>15.24</v>
      </c>
      <c r="H15" s="17">
        <v>17.12</v>
      </c>
      <c r="I15" s="17">
        <v>21.95</v>
      </c>
      <c r="J15" s="13">
        <v>25.4</v>
      </c>
      <c r="K15" s="13">
        <v>31.75</v>
      </c>
      <c r="L15" s="13">
        <v>33.32</v>
      </c>
      <c r="M15" s="13">
        <v>35.71</v>
      </c>
      <c r="N15" s="13">
        <v>40.49</v>
      </c>
      <c r="O15" s="13">
        <v>45.24</v>
      </c>
      <c r="P15" s="13">
        <v>50.01</v>
      </c>
      <c r="Q15" s="13">
        <v>53.97</v>
      </c>
      <c r="R15" s="66">
        <v>59.54</v>
      </c>
    </row>
    <row r="16" spans="1:18">
      <c r="A16" s="69" t="s">
        <v>234</v>
      </c>
      <c r="B16" s="144" t="s">
        <v>235</v>
      </c>
      <c r="C16" s="145"/>
      <c r="D16" s="145"/>
      <c r="E16" s="145"/>
      <c r="F16" s="145"/>
      <c r="G16" s="145"/>
      <c r="H16" s="145"/>
      <c r="I16" s="145"/>
      <c r="J16" s="145"/>
      <c r="K16" s="145"/>
      <c r="L16" s="145"/>
      <c r="M16" s="145"/>
      <c r="N16" s="146"/>
      <c r="O16" s="144" t="s">
        <v>236</v>
      </c>
      <c r="P16" s="145"/>
      <c r="Q16" s="145"/>
      <c r="R16" s="147"/>
    </row>
    <row r="17" spans="1:18" s="1" customFormat="1" ht="13.9" customHeight="1">
      <c r="A17" s="69" t="s">
        <v>237</v>
      </c>
      <c r="B17" s="144" t="s">
        <v>309</v>
      </c>
      <c r="C17" s="145"/>
      <c r="D17" s="145"/>
      <c r="E17" s="145"/>
      <c r="F17" s="145"/>
      <c r="G17" s="145"/>
      <c r="H17" s="145"/>
      <c r="I17" s="145"/>
      <c r="J17" s="145"/>
      <c r="K17" s="145"/>
      <c r="L17" s="145"/>
      <c r="M17" s="145"/>
      <c r="N17" s="145"/>
      <c r="O17" s="145"/>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48" t="s">
        <v>242</v>
      </c>
      <c r="B19" s="145"/>
      <c r="C19" s="145"/>
      <c r="D19" s="145"/>
      <c r="E19" s="145"/>
      <c r="F19" s="145"/>
      <c r="G19" s="145"/>
      <c r="H19" s="145"/>
      <c r="I19" s="145"/>
      <c r="J19" s="145"/>
      <c r="K19" s="145"/>
      <c r="L19" s="145"/>
      <c r="M19" s="145"/>
      <c r="N19" s="145"/>
      <c r="O19" s="145"/>
      <c r="P19" s="145"/>
      <c r="Q19" s="145"/>
      <c r="R19" s="147"/>
    </row>
    <row r="20" spans="1:18" ht="28.9" customHeight="1">
      <c r="A20" s="69" t="s">
        <v>234</v>
      </c>
      <c r="B20" s="144" t="s">
        <v>243</v>
      </c>
      <c r="C20" s="145"/>
      <c r="D20" s="145"/>
      <c r="E20" s="145"/>
      <c r="F20" s="145"/>
      <c r="G20" s="145"/>
      <c r="H20" s="145"/>
      <c r="I20" s="145"/>
      <c r="J20" s="145"/>
      <c r="K20" s="145"/>
      <c r="L20" s="145"/>
      <c r="M20" s="145"/>
      <c r="N20" s="146"/>
      <c r="O20" s="144" t="s">
        <v>244</v>
      </c>
      <c r="P20" s="145"/>
      <c r="Q20" s="145"/>
      <c r="R20" s="147"/>
    </row>
    <row r="21" spans="1:18" ht="15" customHeight="1">
      <c r="A21" s="69" t="s">
        <v>237</v>
      </c>
      <c r="B21" s="144" t="s">
        <v>310</v>
      </c>
      <c r="C21" s="145"/>
      <c r="D21" s="145"/>
      <c r="E21" s="145"/>
      <c r="F21" s="145"/>
      <c r="G21" s="145"/>
      <c r="H21" s="145"/>
      <c r="I21" s="145"/>
      <c r="J21" s="145"/>
      <c r="K21" s="145"/>
      <c r="L21" s="145"/>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3.9" customHeight="1">
      <c r="A23" s="69" t="s">
        <v>248</v>
      </c>
      <c r="B23" s="144" t="s">
        <v>247</v>
      </c>
      <c r="C23" s="145"/>
      <c r="D23" s="145"/>
      <c r="E23" s="145"/>
      <c r="F23" s="145"/>
      <c r="G23" s="145"/>
      <c r="H23" s="145"/>
      <c r="I23" s="145"/>
      <c r="J23" s="145"/>
      <c r="K23" s="145"/>
      <c r="L23" s="145"/>
      <c r="M23" s="145"/>
      <c r="N23" s="145"/>
      <c r="O23" s="145"/>
      <c r="P23" s="145"/>
      <c r="Q23" s="145"/>
      <c r="R23" s="147"/>
    </row>
    <row r="24" spans="1:18" ht="13.9" customHeight="1">
      <c r="A24" s="69" t="s">
        <v>249</v>
      </c>
      <c r="B24" s="144" t="s">
        <v>247</v>
      </c>
      <c r="C24" s="145"/>
      <c r="D24" s="145"/>
      <c r="E24" s="145"/>
      <c r="F24" s="145"/>
      <c r="G24" s="145"/>
      <c r="H24" s="145"/>
      <c r="I24" s="145"/>
      <c r="J24" s="145"/>
      <c r="K24" s="145"/>
      <c r="L24" s="145"/>
      <c r="M24" s="145"/>
      <c r="N24" s="145"/>
      <c r="O24" s="145"/>
      <c r="P24" s="145"/>
      <c r="Q24" s="145"/>
      <c r="R24" s="147"/>
    </row>
    <row r="25" spans="1:18" ht="13.9" customHeight="1">
      <c r="A25" s="69" t="s">
        <v>250</v>
      </c>
      <c r="B25" s="144" t="s">
        <v>247</v>
      </c>
      <c r="C25" s="145"/>
      <c r="D25" s="145"/>
      <c r="E25" s="145"/>
      <c r="F25" s="145"/>
      <c r="G25" s="145"/>
      <c r="H25" s="145"/>
      <c r="I25" s="145"/>
      <c r="J25" s="145"/>
      <c r="K25" s="145"/>
      <c r="L25" s="145"/>
      <c r="M25" s="145"/>
      <c r="N25" s="145"/>
      <c r="O25" s="145"/>
      <c r="P25" s="145"/>
      <c r="Q25" s="145"/>
      <c r="R25" s="147"/>
    </row>
    <row r="26" spans="1:18" ht="13.9"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311</v>
      </c>
      <c r="C27" s="145"/>
      <c r="D27" s="145"/>
      <c r="E27" s="145"/>
      <c r="F27" s="145"/>
      <c r="G27" s="145"/>
      <c r="H27" s="145"/>
      <c r="I27" s="145"/>
      <c r="J27" s="145"/>
      <c r="K27" s="145"/>
      <c r="L27" s="145"/>
      <c r="M27" s="145"/>
      <c r="N27" s="145"/>
      <c r="O27" s="145" t="s">
        <v>311</v>
      </c>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312</v>
      </c>
      <c r="C29" s="145"/>
      <c r="D29" s="145"/>
      <c r="E29" s="145"/>
      <c r="F29" s="145"/>
      <c r="G29" s="145"/>
      <c r="H29" s="145"/>
      <c r="I29" s="145"/>
      <c r="J29" s="145"/>
      <c r="K29" s="145"/>
      <c r="L29" s="145"/>
      <c r="M29" s="145"/>
      <c r="N29" s="145"/>
      <c r="O29" s="145"/>
      <c r="P29" s="145"/>
      <c r="Q29" s="145"/>
      <c r="R29" s="147"/>
    </row>
    <row r="30" spans="1:18" ht="13.9" customHeight="1">
      <c r="A30" s="69" t="s">
        <v>257</v>
      </c>
      <c r="B30" s="144" t="s">
        <v>299</v>
      </c>
      <c r="C30" s="145"/>
      <c r="D30" s="145"/>
      <c r="E30" s="145"/>
      <c r="F30" s="145"/>
      <c r="G30" s="145"/>
      <c r="H30" s="145"/>
      <c r="I30" s="145"/>
      <c r="J30" s="145"/>
      <c r="K30" s="145"/>
      <c r="L30" s="145"/>
      <c r="M30" s="145"/>
      <c r="N30" s="145"/>
      <c r="O30" s="145"/>
      <c r="P30" s="145"/>
      <c r="Q30" s="145"/>
      <c r="R30" s="147"/>
    </row>
    <row r="31" spans="1:18" ht="13.9" customHeight="1">
      <c r="A31" s="69" t="s">
        <v>313</v>
      </c>
      <c r="B31" s="144" t="s">
        <v>314</v>
      </c>
      <c r="C31" s="145"/>
      <c r="D31" s="145"/>
      <c r="E31" s="145"/>
      <c r="F31" s="145"/>
      <c r="G31" s="145"/>
      <c r="H31" s="145"/>
      <c r="I31" s="145"/>
      <c r="J31" s="145"/>
      <c r="K31" s="145"/>
      <c r="L31" s="145"/>
      <c r="M31" s="145"/>
      <c r="N31" s="145"/>
      <c r="O31" s="145"/>
      <c r="P31" s="145"/>
      <c r="Q31" s="145"/>
      <c r="R31" s="147"/>
    </row>
    <row r="32" spans="1:18" s="1" customFormat="1" ht="30">
      <c r="A32" s="69" t="s">
        <v>315</v>
      </c>
      <c r="B32" s="144"/>
      <c r="C32" s="145"/>
      <c r="D32" s="145"/>
      <c r="E32" s="145"/>
      <c r="F32" s="146"/>
      <c r="G32" s="144" t="s">
        <v>316</v>
      </c>
      <c r="H32" s="145"/>
      <c r="I32" s="145"/>
      <c r="J32" s="145"/>
      <c r="K32" s="145"/>
      <c r="L32" s="145"/>
      <c r="M32" s="145"/>
      <c r="N32" s="145"/>
      <c r="O32" s="145"/>
      <c r="P32" s="145"/>
      <c r="Q32" s="145"/>
      <c r="R32" s="147"/>
    </row>
    <row r="33" spans="1:18" s="1" customFormat="1" ht="42.6" customHeight="1">
      <c r="A33" s="69" t="s">
        <v>317</v>
      </c>
      <c r="B33" s="144"/>
      <c r="C33" s="145"/>
      <c r="D33" s="145"/>
      <c r="E33" s="145"/>
      <c r="F33" s="146"/>
      <c r="G33" s="144" t="s">
        <v>318</v>
      </c>
      <c r="H33" s="145"/>
      <c r="I33" s="145"/>
      <c r="J33" s="145"/>
      <c r="K33" s="145"/>
      <c r="L33" s="145"/>
      <c r="M33" s="145"/>
      <c r="N33" s="145"/>
      <c r="O33" s="145"/>
      <c r="P33" s="145"/>
      <c r="Q33" s="145"/>
      <c r="R33" s="147"/>
    </row>
    <row r="34" spans="1:18" s="1" customFormat="1" ht="14.45" customHeight="1">
      <c r="A34" s="148" t="s">
        <v>260</v>
      </c>
      <c r="B34" s="149"/>
      <c r="C34" s="149"/>
      <c r="D34" s="149"/>
      <c r="E34" s="149"/>
      <c r="F34" s="149"/>
      <c r="G34" s="149"/>
      <c r="H34" s="149"/>
      <c r="I34" s="149"/>
      <c r="J34" s="149"/>
      <c r="K34" s="149"/>
      <c r="L34" s="149"/>
      <c r="M34" s="149"/>
      <c r="N34" s="149"/>
      <c r="O34" s="149"/>
      <c r="P34" s="149"/>
      <c r="Q34" s="149"/>
      <c r="R34" s="150"/>
    </row>
    <row r="35" spans="1:18" ht="13.9" customHeight="1">
      <c r="A35" s="69" t="s">
        <v>237</v>
      </c>
      <c r="B35" s="144" t="s">
        <v>312</v>
      </c>
      <c r="C35" s="145"/>
      <c r="D35" s="145"/>
      <c r="E35" s="145"/>
      <c r="F35" s="145"/>
      <c r="G35" s="145"/>
      <c r="H35" s="145"/>
      <c r="I35" s="145"/>
      <c r="J35" s="145"/>
      <c r="K35" s="145"/>
      <c r="L35" s="145"/>
      <c r="M35" s="145"/>
      <c r="N35" s="145"/>
      <c r="O35" s="145"/>
      <c r="P35" s="145"/>
      <c r="Q35" s="145"/>
      <c r="R35" s="147"/>
    </row>
    <row r="36" spans="1:18" ht="13.9" customHeight="1">
      <c r="A36" s="69" t="s">
        <v>261</v>
      </c>
      <c r="B36" s="144" t="s">
        <v>262</v>
      </c>
      <c r="C36" s="145"/>
      <c r="D36" s="145"/>
      <c r="E36" s="145"/>
      <c r="F36" s="145"/>
      <c r="G36" s="145"/>
      <c r="H36" s="145"/>
      <c r="I36" s="145"/>
      <c r="J36" s="145"/>
      <c r="K36" s="145"/>
      <c r="L36" s="146"/>
      <c r="M36" s="101" t="s">
        <v>293</v>
      </c>
      <c r="N36" s="101"/>
      <c r="O36" s="101"/>
      <c r="P36" s="101"/>
      <c r="Q36" s="101"/>
      <c r="R36" s="102"/>
    </row>
    <row r="37" spans="1:18" ht="13.9" customHeight="1">
      <c r="A37" s="141" t="s">
        <v>264</v>
      </c>
      <c r="B37" s="142"/>
      <c r="C37" s="142"/>
      <c r="D37" s="142"/>
      <c r="E37" s="142"/>
      <c r="F37" s="142"/>
      <c r="G37" s="142"/>
      <c r="H37" s="142"/>
      <c r="I37" s="142"/>
      <c r="J37" s="142"/>
      <c r="K37" s="142"/>
      <c r="L37" s="142"/>
      <c r="M37" s="142"/>
      <c r="N37" s="142"/>
      <c r="O37" s="142"/>
      <c r="P37" s="142"/>
      <c r="Q37" s="142"/>
      <c r="R37" s="143"/>
    </row>
    <row r="38" spans="1:18" ht="13.9" customHeight="1">
      <c r="A38" s="69" t="s">
        <v>265</v>
      </c>
      <c r="B38" s="109" t="s">
        <v>266</v>
      </c>
      <c r="C38" s="109"/>
      <c r="D38" s="109"/>
      <c r="E38" s="109"/>
      <c r="F38" s="109"/>
      <c r="G38" s="109"/>
      <c r="H38" s="109"/>
      <c r="I38" s="109"/>
      <c r="J38" s="109"/>
      <c r="K38" s="109"/>
      <c r="L38" s="109"/>
      <c r="M38" s="109"/>
      <c r="N38" s="109"/>
      <c r="O38" s="109"/>
      <c r="P38" s="109"/>
      <c r="Q38" s="109"/>
      <c r="R38" s="110"/>
    </row>
    <row r="39" spans="1:18" ht="13.9" customHeight="1">
      <c r="A39" s="69" t="s">
        <v>267</v>
      </c>
      <c r="B39" s="109" t="s">
        <v>268</v>
      </c>
      <c r="C39" s="109"/>
      <c r="D39" s="109"/>
      <c r="E39" s="109"/>
      <c r="F39" s="109"/>
      <c r="G39" s="109"/>
      <c r="H39" s="109"/>
      <c r="I39" s="109"/>
      <c r="J39" s="109"/>
      <c r="K39" s="109"/>
      <c r="L39" s="109"/>
      <c r="M39" s="109"/>
      <c r="N39" s="109"/>
      <c r="O39" s="109"/>
      <c r="P39" s="109"/>
      <c r="Q39" s="109"/>
      <c r="R39" s="110"/>
    </row>
    <row r="40" spans="1:18" ht="13.9" customHeight="1">
      <c r="A40" s="69" t="s">
        <v>269</v>
      </c>
      <c r="B40" s="144" t="s">
        <v>302</v>
      </c>
      <c r="C40" s="145"/>
      <c r="D40" s="145"/>
      <c r="E40" s="145"/>
      <c r="F40" s="145"/>
      <c r="G40" s="145"/>
      <c r="H40" s="145"/>
      <c r="I40" s="145"/>
      <c r="J40" s="145"/>
      <c r="K40" s="145"/>
      <c r="L40" s="145"/>
      <c r="M40" s="145"/>
      <c r="N40" s="145"/>
      <c r="O40" s="145"/>
      <c r="P40" s="145"/>
      <c r="Q40" s="145"/>
      <c r="R40" s="147"/>
    </row>
    <row r="41" spans="1:18" ht="13.9" customHeight="1">
      <c r="A41" s="141" t="s">
        <v>271</v>
      </c>
      <c r="B41" s="142"/>
      <c r="C41" s="142"/>
      <c r="D41" s="142"/>
      <c r="E41" s="142"/>
      <c r="F41" s="142"/>
      <c r="G41" s="142"/>
      <c r="H41" s="142"/>
      <c r="I41" s="142"/>
      <c r="J41" s="142"/>
      <c r="K41" s="142"/>
      <c r="L41" s="142"/>
      <c r="M41" s="142"/>
      <c r="N41" s="142"/>
      <c r="O41" s="142"/>
      <c r="P41" s="142"/>
      <c r="Q41" s="142"/>
      <c r="R41" s="143"/>
    </row>
    <row r="42" spans="1:18" ht="13.9"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3.9"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28.15"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ht="14.45" customHeight="1">
      <c r="A49" s="148" t="s">
        <v>278</v>
      </c>
      <c r="B49" s="149"/>
      <c r="C49" s="149"/>
      <c r="D49" s="149"/>
      <c r="E49" s="149"/>
      <c r="F49" s="149"/>
      <c r="G49" s="149"/>
      <c r="H49" s="149"/>
      <c r="I49" s="149"/>
      <c r="J49" s="149"/>
      <c r="K49" s="149"/>
      <c r="L49" s="149"/>
      <c r="M49" s="149"/>
      <c r="N49" s="149"/>
      <c r="O49" s="149"/>
      <c r="P49" s="149"/>
      <c r="Q49" s="149"/>
      <c r="R49" s="150"/>
    </row>
    <row r="50" spans="1:18" ht="28.1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c r="A52" s="114" t="s">
        <v>281</v>
      </c>
      <c r="B52" s="115"/>
      <c r="C52" s="115"/>
      <c r="D52" s="115"/>
      <c r="E52" s="115"/>
      <c r="F52" s="115"/>
      <c r="G52" s="115"/>
      <c r="H52" s="115"/>
      <c r="I52" s="115"/>
      <c r="J52" s="115"/>
      <c r="K52" s="115"/>
      <c r="L52" s="115"/>
      <c r="M52" s="115"/>
      <c r="N52" s="115"/>
      <c r="O52" s="115"/>
      <c r="P52" s="115"/>
      <c r="Q52" s="115"/>
      <c r="R52" s="116"/>
    </row>
    <row r="53" spans="1:18" ht="14.45" customHeight="1">
      <c r="A53" s="114" t="s">
        <v>324</v>
      </c>
      <c r="B53" s="115"/>
      <c r="C53" s="115"/>
      <c r="D53" s="115"/>
      <c r="E53" s="115"/>
      <c r="F53" s="115"/>
      <c r="G53" s="115"/>
      <c r="H53" s="115"/>
      <c r="I53" s="115"/>
      <c r="J53" s="115"/>
      <c r="K53" s="115"/>
      <c r="L53" s="115"/>
      <c r="M53" s="115"/>
      <c r="N53" s="115"/>
      <c r="O53" s="115"/>
      <c r="P53" s="115"/>
      <c r="Q53" s="115"/>
      <c r="R53" s="116"/>
    </row>
    <row r="54" spans="1:18" ht="14.45" customHeight="1">
      <c r="A54" s="114" t="s">
        <v>283</v>
      </c>
      <c r="B54" s="115"/>
      <c r="C54" s="115"/>
      <c r="D54" s="115"/>
      <c r="E54" s="115"/>
      <c r="F54" s="115"/>
      <c r="G54" s="115"/>
      <c r="H54" s="115"/>
      <c r="I54" s="115"/>
      <c r="J54" s="115"/>
      <c r="K54" s="115"/>
      <c r="L54" s="115"/>
      <c r="M54" s="115"/>
      <c r="N54" s="115"/>
      <c r="O54" s="115"/>
      <c r="P54" s="115"/>
      <c r="Q54" s="115"/>
      <c r="R54" s="116"/>
    </row>
    <row r="55" spans="1:18" ht="14.45" customHeight="1">
      <c r="A55" s="114" t="s">
        <v>284</v>
      </c>
      <c r="B55" s="115"/>
      <c r="C55" s="115"/>
      <c r="D55" s="115"/>
      <c r="E55" s="115"/>
      <c r="F55" s="115"/>
      <c r="G55" s="115"/>
      <c r="H55" s="115"/>
      <c r="I55" s="115"/>
      <c r="J55" s="115"/>
      <c r="K55" s="115"/>
      <c r="L55" s="115"/>
      <c r="M55" s="115"/>
      <c r="N55" s="115"/>
      <c r="O55" s="115"/>
      <c r="P55" s="115"/>
      <c r="Q55" s="115"/>
      <c r="R55" s="116"/>
    </row>
    <row r="56" spans="1:18" ht="14.45" customHeight="1">
      <c r="A56" s="114" t="s">
        <v>285</v>
      </c>
      <c r="B56" s="115"/>
      <c r="C56" s="115"/>
      <c r="D56" s="115"/>
      <c r="E56" s="115"/>
      <c r="F56" s="115"/>
      <c r="G56" s="115"/>
      <c r="H56" s="115"/>
      <c r="I56" s="115"/>
      <c r="J56" s="115"/>
      <c r="K56" s="115"/>
      <c r="L56" s="115"/>
      <c r="M56" s="115"/>
      <c r="N56" s="115"/>
      <c r="O56" s="115"/>
      <c r="P56" s="115"/>
      <c r="Q56" s="115"/>
      <c r="R56" s="116"/>
    </row>
    <row r="57" spans="1:18">
      <c r="A57" s="114" t="s">
        <v>306</v>
      </c>
      <c r="B57" s="115"/>
      <c r="C57" s="115"/>
      <c r="D57" s="115"/>
      <c r="E57" s="115"/>
      <c r="F57" s="115"/>
      <c r="G57" s="115"/>
      <c r="H57" s="115"/>
      <c r="I57" s="115"/>
      <c r="J57" s="115"/>
      <c r="K57" s="115"/>
      <c r="L57" s="115"/>
      <c r="M57" s="115"/>
      <c r="N57" s="115"/>
      <c r="O57" s="115"/>
      <c r="P57" s="115"/>
      <c r="Q57" s="115"/>
      <c r="R57" s="116"/>
    </row>
    <row r="58" spans="1:18">
      <c r="A58" s="114" t="s">
        <v>307</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89">
    <mergeCell ref="B33:F33"/>
    <mergeCell ref="G33:R33"/>
    <mergeCell ref="B32:F32"/>
    <mergeCell ref="G32:R32"/>
    <mergeCell ref="B23:R23"/>
    <mergeCell ref="B24:R24"/>
    <mergeCell ref="B25:R25"/>
    <mergeCell ref="B26:E26"/>
    <mergeCell ref="F26:R26"/>
    <mergeCell ref="A28:R28"/>
    <mergeCell ref="B29:R29"/>
    <mergeCell ref="B30:R30"/>
    <mergeCell ref="B31:R31"/>
    <mergeCell ref="B27:R27"/>
    <mergeCell ref="A19:R19"/>
    <mergeCell ref="B20:N20"/>
    <mergeCell ref="O20:R20"/>
    <mergeCell ref="B21:R21"/>
    <mergeCell ref="B22:R22"/>
    <mergeCell ref="A59:R59"/>
    <mergeCell ref="B36:L36"/>
    <mergeCell ref="M36:R36"/>
    <mergeCell ref="A37:R37"/>
    <mergeCell ref="B40:R40"/>
    <mergeCell ref="B42:R42"/>
    <mergeCell ref="A41:R41"/>
    <mergeCell ref="B39:R39"/>
    <mergeCell ref="B38:R38"/>
    <mergeCell ref="A51:R51"/>
    <mergeCell ref="A56:R56"/>
    <mergeCell ref="A53:R53"/>
    <mergeCell ref="A54:R54"/>
    <mergeCell ref="A57:R57"/>
    <mergeCell ref="A58:R58"/>
    <mergeCell ref="A55:R55"/>
    <mergeCell ref="B18:R18"/>
    <mergeCell ref="B11:R11"/>
    <mergeCell ref="B16:N16"/>
    <mergeCell ref="O16:R16"/>
    <mergeCell ref="B17:R17"/>
    <mergeCell ref="A34:R34"/>
    <mergeCell ref="B35:R35"/>
    <mergeCell ref="A52:R52"/>
    <mergeCell ref="A49:R49"/>
    <mergeCell ref="B44:R44"/>
    <mergeCell ref="B45:R45"/>
    <mergeCell ref="B46:E46"/>
    <mergeCell ref="F46:R46"/>
    <mergeCell ref="A50:R50"/>
    <mergeCell ref="B43:E43"/>
    <mergeCell ref="F43:R43"/>
    <mergeCell ref="B48:R48"/>
    <mergeCell ref="B47:F47"/>
    <mergeCell ref="G47:R47"/>
    <mergeCell ref="F5:G5"/>
    <mergeCell ref="H5:R5"/>
    <mergeCell ref="F6:H6"/>
    <mergeCell ref="I6:R6"/>
    <mergeCell ref="A7:R7"/>
    <mergeCell ref="A1:E6"/>
    <mergeCell ref="F1:P1"/>
    <mergeCell ref="Q1:R1"/>
    <mergeCell ref="F3:G3"/>
    <mergeCell ref="H3:I3"/>
    <mergeCell ref="J3:L3"/>
    <mergeCell ref="M3:N3"/>
    <mergeCell ref="O3:P3"/>
    <mergeCell ref="Q3:R3"/>
    <mergeCell ref="F4:H4"/>
    <mergeCell ref="I4:R4"/>
    <mergeCell ref="A10:R10"/>
    <mergeCell ref="L8:O9"/>
    <mergeCell ref="P8:R8"/>
    <mergeCell ref="D9:E9"/>
    <mergeCell ref="F9:G9"/>
    <mergeCell ref="H9:I9"/>
    <mergeCell ref="J9:K9"/>
    <mergeCell ref="P9:R9"/>
    <mergeCell ref="B8:C8"/>
    <mergeCell ref="D8:E8"/>
    <mergeCell ref="F8:G8"/>
    <mergeCell ref="H8:I8"/>
    <mergeCell ref="J8:K8"/>
    <mergeCell ref="B9:C9"/>
    <mergeCell ref="F2:I2"/>
    <mergeCell ref="J2:L2"/>
    <mergeCell ref="M2:N2"/>
    <mergeCell ref="O2:P2"/>
    <mergeCell ref="Q2:R2"/>
  </mergeCells>
  <printOptions horizontalCentered="1"/>
  <pageMargins left="0.7" right="0.7" top="0.75" bottom="0.75" header="0.3" footer="0.3"/>
  <pageSetup paperSize="9" scale="83" firstPageNumber="18" orientation="portrait" r:id="rId1"/>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45675-427D-4357-86FD-DF720F51E593}">
  <sheetPr codeName="Sheet13">
    <tabColor rgb="FF00B0F0"/>
    <pageSetUpPr fitToPage="1"/>
  </sheetPr>
  <dimension ref="A1:AK59"/>
  <sheetViews>
    <sheetView workbookViewId="0">
      <selection activeCell="A49" sqref="A49:V49"/>
    </sheetView>
  </sheetViews>
  <sheetFormatPr defaultColWidth="9.140625" defaultRowHeight="15"/>
  <cols>
    <col min="1" max="1" width="10.7109375" style="5" customWidth="1"/>
    <col min="2" max="22" width="5.28515625" style="5" customWidth="1"/>
    <col min="23" max="16384" width="9.140625" style="5"/>
  </cols>
  <sheetData>
    <row r="1" spans="1:37" ht="15.75" customHeight="1">
      <c r="A1" s="132" t="e" vm="1">
        <v>#VALUE!</v>
      </c>
      <c r="B1" s="133"/>
      <c r="C1" s="133"/>
      <c r="D1" s="133"/>
      <c r="E1" s="134"/>
      <c r="F1" s="165" t="s">
        <v>213</v>
      </c>
      <c r="G1" s="166"/>
      <c r="H1" s="166"/>
      <c r="I1" s="166"/>
      <c r="J1" s="166"/>
      <c r="K1" s="166"/>
      <c r="L1" s="166"/>
      <c r="M1" s="166"/>
      <c r="N1" s="166"/>
      <c r="O1" s="166"/>
      <c r="P1" s="166"/>
      <c r="Q1" s="153" t="s">
        <v>214</v>
      </c>
      <c r="R1" s="154"/>
    </row>
    <row r="2" spans="1:37" ht="15.75" customHeight="1">
      <c r="A2" s="135"/>
      <c r="B2" s="136"/>
      <c r="C2" s="136"/>
      <c r="D2" s="136"/>
      <c r="E2" s="137"/>
      <c r="F2" s="127" t="s">
        <v>215</v>
      </c>
      <c r="G2" s="101"/>
      <c r="H2" s="101"/>
      <c r="I2" s="101"/>
      <c r="J2" s="101" t="s">
        <v>216</v>
      </c>
      <c r="K2" s="101"/>
      <c r="L2" s="101"/>
      <c r="M2" s="101" t="s">
        <v>217</v>
      </c>
      <c r="N2" s="101"/>
      <c r="O2" s="222" t="s">
        <v>13</v>
      </c>
      <c r="P2" s="222"/>
      <c r="Q2" s="222" t="s">
        <v>10</v>
      </c>
      <c r="R2" s="223"/>
    </row>
    <row r="3" spans="1:37">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37"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37"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37"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c r="AB6" s="3"/>
      <c r="AC6" s="3"/>
      <c r="AD6" s="3"/>
      <c r="AF6" s="3"/>
      <c r="AG6" s="3"/>
      <c r="AH6" s="3"/>
      <c r="AI6" s="3"/>
      <c r="AK6" s="1"/>
    </row>
    <row r="7" spans="1:37" ht="14.45" customHeight="1">
      <c r="A7" s="167" t="s">
        <v>221</v>
      </c>
      <c r="B7" s="168"/>
      <c r="C7" s="168"/>
      <c r="D7" s="168"/>
      <c r="E7" s="168"/>
      <c r="F7" s="169"/>
      <c r="G7" s="169"/>
      <c r="H7" s="169"/>
      <c r="I7" s="169"/>
      <c r="J7" s="169"/>
      <c r="K7" s="169"/>
      <c r="L7" s="169"/>
      <c r="M7" s="169"/>
      <c r="N7" s="169"/>
      <c r="O7" s="169"/>
      <c r="P7" s="169"/>
      <c r="Q7" s="169"/>
      <c r="R7" s="170"/>
    </row>
    <row r="8" spans="1:37"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37"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37" s="3" customFormat="1">
      <c r="A10" s="162" t="s">
        <v>225</v>
      </c>
      <c r="B10" s="163"/>
      <c r="C10" s="163"/>
      <c r="D10" s="163"/>
      <c r="E10" s="163"/>
      <c r="F10" s="163"/>
      <c r="G10" s="163"/>
      <c r="H10" s="163"/>
      <c r="I10" s="163"/>
      <c r="J10" s="163"/>
      <c r="K10" s="163"/>
      <c r="L10" s="163"/>
      <c r="M10" s="163"/>
      <c r="N10" s="163"/>
      <c r="O10" s="163"/>
      <c r="P10" s="163"/>
      <c r="Q10" s="163"/>
      <c r="R10" s="164"/>
    </row>
    <row r="11" spans="1:37">
      <c r="A11" s="69" t="s">
        <v>226</v>
      </c>
      <c r="B11" s="109" t="s">
        <v>227</v>
      </c>
      <c r="C11" s="109"/>
      <c r="D11" s="109"/>
      <c r="E11" s="109"/>
      <c r="F11" s="109"/>
      <c r="G11" s="109"/>
      <c r="H11" s="109"/>
      <c r="I11" s="109"/>
      <c r="J11" s="109"/>
      <c r="K11" s="109"/>
      <c r="L11" s="109"/>
      <c r="M11" s="109"/>
      <c r="N11" s="109"/>
      <c r="O11" s="109"/>
      <c r="P11" s="109"/>
      <c r="Q11" s="109"/>
      <c r="R11" s="110"/>
    </row>
    <row r="12" spans="1:37" s="3" customFormat="1">
      <c r="A12" s="70" t="s">
        <v>228</v>
      </c>
      <c r="B12" s="17"/>
      <c r="C12" s="17"/>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37" s="3" customFormat="1">
      <c r="A13" s="70" t="s">
        <v>229</v>
      </c>
      <c r="B13" s="17"/>
      <c r="C13" s="17"/>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37" s="3" customFormat="1">
      <c r="A14" s="70" t="s">
        <v>230</v>
      </c>
      <c r="B14" s="15"/>
      <c r="C14" s="15"/>
      <c r="D14" s="15" t="s">
        <v>174</v>
      </c>
      <c r="E14" s="15" t="s">
        <v>174</v>
      </c>
      <c r="F14" s="15" t="s">
        <v>174</v>
      </c>
      <c r="G14" s="15" t="s">
        <v>174</v>
      </c>
      <c r="H14" s="15" t="s">
        <v>174</v>
      </c>
      <c r="I14" s="15" t="s">
        <v>174</v>
      </c>
      <c r="J14" s="15" t="s">
        <v>174</v>
      </c>
      <c r="K14" s="15" t="s">
        <v>174</v>
      </c>
      <c r="L14" s="15" t="s">
        <v>174</v>
      </c>
      <c r="M14" s="15" t="s">
        <v>174</v>
      </c>
      <c r="N14" s="15" t="s">
        <v>174</v>
      </c>
      <c r="O14" s="15" t="s">
        <v>174</v>
      </c>
      <c r="P14" s="15" t="s">
        <v>174</v>
      </c>
      <c r="Q14" s="15" t="s">
        <v>174</v>
      </c>
      <c r="R14" s="66" t="s">
        <v>174</v>
      </c>
    </row>
    <row r="15" spans="1:37" s="3" customFormat="1">
      <c r="A15" s="70" t="s">
        <v>233</v>
      </c>
      <c r="B15" s="13"/>
      <c r="C15" s="13"/>
      <c r="D15" s="13">
        <v>12</v>
      </c>
      <c r="E15" s="13">
        <v>14</v>
      </c>
      <c r="F15" s="13">
        <v>15</v>
      </c>
      <c r="G15" s="13">
        <v>19</v>
      </c>
      <c r="H15" s="13">
        <v>22</v>
      </c>
      <c r="I15" s="13">
        <v>29</v>
      </c>
      <c r="J15" s="13">
        <v>35</v>
      </c>
      <c r="K15" s="13">
        <v>42</v>
      </c>
      <c r="L15" s="13">
        <v>49</v>
      </c>
      <c r="M15" s="13">
        <v>53</v>
      </c>
      <c r="N15" s="13">
        <v>60</v>
      </c>
      <c r="O15" s="13">
        <v>66</v>
      </c>
      <c r="P15" s="13">
        <v>73</v>
      </c>
      <c r="Q15" s="13">
        <v>79</v>
      </c>
      <c r="R15" s="78">
        <v>86</v>
      </c>
    </row>
    <row r="16" spans="1:37">
      <c r="A16" s="69" t="s">
        <v>234</v>
      </c>
      <c r="B16" s="144" t="s">
        <v>235</v>
      </c>
      <c r="C16" s="145"/>
      <c r="D16" s="145"/>
      <c r="E16" s="145"/>
      <c r="F16" s="145"/>
      <c r="G16" s="145"/>
      <c r="H16" s="145"/>
      <c r="I16" s="145"/>
      <c r="J16" s="145"/>
      <c r="K16" s="145"/>
      <c r="L16" s="145"/>
      <c r="M16" s="145"/>
      <c r="N16" s="146"/>
      <c r="O16" s="144" t="s">
        <v>236</v>
      </c>
      <c r="P16" s="145"/>
      <c r="Q16" s="145"/>
      <c r="R16" s="147"/>
    </row>
    <row r="17" spans="1:18" s="1" customFormat="1" ht="13.9" customHeight="1">
      <c r="A17" s="69" t="s">
        <v>237</v>
      </c>
      <c r="B17" s="144" t="s">
        <v>309</v>
      </c>
      <c r="C17" s="145"/>
      <c r="D17" s="145"/>
      <c r="E17" s="145"/>
      <c r="F17" s="145"/>
      <c r="G17" s="145"/>
      <c r="H17" s="145"/>
      <c r="I17" s="145"/>
      <c r="J17" s="145"/>
      <c r="K17" s="145"/>
      <c r="L17" s="145"/>
      <c r="M17" s="145"/>
      <c r="N17" s="145"/>
      <c r="O17" s="145"/>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48" t="s">
        <v>242</v>
      </c>
      <c r="B19" s="145"/>
      <c r="C19" s="145"/>
      <c r="D19" s="145"/>
      <c r="E19" s="145"/>
      <c r="F19" s="145"/>
      <c r="G19" s="145"/>
      <c r="H19" s="145"/>
      <c r="I19" s="145"/>
      <c r="J19" s="145"/>
      <c r="K19" s="145"/>
      <c r="L19" s="145"/>
      <c r="M19" s="145"/>
      <c r="N19" s="145"/>
      <c r="O19" s="145"/>
      <c r="P19" s="145"/>
      <c r="Q19" s="145"/>
      <c r="R19" s="147"/>
    </row>
    <row r="20" spans="1:18" ht="28.9" customHeight="1">
      <c r="A20" s="69" t="s">
        <v>234</v>
      </c>
      <c r="B20" s="144" t="s">
        <v>243</v>
      </c>
      <c r="C20" s="145"/>
      <c r="D20" s="145"/>
      <c r="E20" s="145"/>
      <c r="F20" s="145"/>
      <c r="G20" s="145"/>
      <c r="H20" s="145"/>
      <c r="I20" s="145"/>
      <c r="J20" s="145"/>
      <c r="K20" s="145"/>
      <c r="L20" s="145"/>
      <c r="M20" s="145"/>
      <c r="N20" s="146"/>
      <c r="O20" s="144" t="s">
        <v>244</v>
      </c>
      <c r="P20" s="145"/>
      <c r="Q20" s="145"/>
      <c r="R20" s="147"/>
    </row>
    <row r="21" spans="1:18" ht="15" customHeight="1">
      <c r="A21" s="69" t="s">
        <v>237</v>
      </c>
      <c r="B21" s="144" t="s">
        <v>310</v>
      </c>
      <c r="C21" s="145"/>
      <c r="D21" s="145"/>
      <c r="E21" s="145"/>
      <c r="F21" s="145"/>
      <c r="G21" s="145"/>
      <c r="H21" s="145"/>
      <c r="I21" s="145"/>
      <c r="J21" s="145"/>
      <c r="K21" s="145"/>
      <c r="L21" s="145"/>
      <c r="M21" s="145"/>
      <c r="N21" s="145"/>
      <c r="O21" s="145"/>
      <c r="P21" s="145"/>
      <c r="Q21" s="145"/>
      <c r="R21" s="147"/>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3.9" customHeight="1">
      <c r="A23" s="69" t="s">
        <v>248</v>
      </c>
      <c r="B23" s="144" t="s">
        <v>247</v>
      </c>
      <c r="C23" s="145"/>
      <c r="D23" s="145"/>
      <c r="E23" s="145"/>
      <c r="F23" s="145"/>
      <c r="G23" s="145"/>
      <c r="H23" s="145"/>
      <c r="I23" s="145"/>
      <c r="J23" s="145"/>
      <c r="K23" s="145"/>
      <c r="L23" s="145"/>
      <c r="M23" s="145"/>
      <c r="N23" s="145"/>
      <c r="O23" s="145"/>
      <c r="P23" s="145"/>
      <c r="Q23" s="145"/>
      <c r="R23" s="147"/>
    </row>
    <row r="24" spans="1:18" ht="13.9" customHeight="1">
      <c r="A24" s="69" t="s">
        <v>249</v>
      </c>
      <c r="B24" s="144" t="s">
        <v>247</v>
      </c>
      <c r="C24" s="145"/>
      <c r="D24" s="145"/>
      <c r="E24" s="145"/>
      <c r="F24" s="145"/>
      <c r="G24" s="145"/>
      <c r="H24" s="145"/>
      <c r="I24" s="145"/>
      <c r="J24" s="145"/>
      <c r="K24" s="145"/>
      <c r="L24" s="145"/>
      <c r="M24" s="145"/>
      <c r="N24" s="145"/>
      <c r="O24" s="145"/>
      <c r="P24" s="145"/>
      <c r="Q24" s="145"/>
      <c r="R24" s="147"/>
    </row>
    <row r="25" spans="1:18" ht="13.9" customHeight="1">
      <c r="A25" s="69" t="s">
        <v>250</v>
      </c>
      <c r="B25" s="144" t="s">
        <v>247</v>
      </c>
      <c r="C25" s="145"/>
      <c r="D25" s="145"/>
      <c r="E25" s="145"/>
      <c r="F25" s="145"/>
      <c r="G25" s="145"/>
      <c r="H25" s="145"/>
      <c r="I25" s="145"/>
      <c r="J25" s="145"/>
      <c r="K25" s="145"/>
      <c r="L25" s="145"/>
      <c r="M25" s="145"/>
      <c r="N25" s="145"/>
      <c r="O25" s="145"/>
      <c r="P25" s="145"/>
      <c r="Q25" s="145"/>
      <c r="R25" s="147"/>
    </row>
    <row r="26" spans="1:18" ht="13.9"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311</v>
      </c>
      <c r="C27" s="145"/>
      <c r="D27" s="145"/>
      <c r="E27" s="145"/>
      <c r="F27" s="145"/>
      <c r="G27" s="145"/>
      <c r="H27" s="145"/>
      <c r="I27" s="145"/>
      <c r="J27" s="145"/>
      <c r="K27" s="145"/>
      <c r="L27" s="145"/>
      <c r="M27" s="145"/>
      <c r="N27" s="145"/>
      <c r="O27" s="145" t="s">
        <v>311</v>
      </c>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312</v>
      </c>
      <c r="C29" s="145"/>
      <c r="D29" s="145"/>
      <c r="E29" s="145"/>
      <c r="F29" s="145"/>
      <c r="G29" s="145"/>
      <c r="H29" s="145"/>
      <c r="I29" s="145"/>
      <c r="J29" s="145"/>
      <c r="K29" s="145"/>
      <c r="L29" s="145"/>
      <c r="M29" s="145"/>
      <c r="N29" s="145"/>
      <c r="O29" s="145"/>
      <c r="P29" s="145"/>
      <c r="Q29" s="145"/>
      <c r="R29" s="147"/>
    </row>
    <row r="30" spans="1:18" ht="13.9" customHeight="1">
      <c r="A30" s="69" t="s">
        <v>257</v>
      </c>
      <c r="B30" s="144" t="s">
        <v>299</v>
      </c>
      <c r="C30" s="145"/>
      <c r="D30" s="145"/>
      <c r="E30" s="145"/>
      <c r="F30" s="145"/>
      <c r="G30" s="145"/>
      <c r="H30" s="145"/>
      <c r="I30" s="145"/>
      <c r="J30" s="145"/>
      <c r="K30" s="145"/>
      <c r="L30" s="145"/>
      <c r="M30" s="145"/>
      <c r="N30" s="145"/>
      <c r="O30" s="145"/>
      <c r="P30" s="145"/>
      <c r="Q30" s="145"/>
      <c r="R30" s="147"/>
    </row>
    <row r="31" spans="1:18" ht="13.9" customHeight="1">
      <c r="A31" s="69" t="s">
        <v>313</v>
      </c>
      <c r="B31" s="144" t="s">
        <v>314</v>
      </c>
      <c r="C31" s="145"/>
      <c r="D31" s="145"/>
      <c r="E31" s="145"/>
      <c r="F31" s="145"/>
      <c r="G31" s="145"/>
      <c r="H31" s="145"/>
      <c r="I31" s="145"/>
      <c r="J31" s="145"/>
      <c r="K31" s="145"/>
      <c r="L31" s="145"/>
      <c r="M31" s="145"/>
      <c r="N31" s="145"/>
      <c r="O31" s="145"/>
      <c r="P31" s="145"/>
      <c r="Q31" s="145"/>
      <c r="R31" s="147"/>
    </row>
    <row r="32" spans="1:18" s="1" customFormat="1" ht="30">
      <c r="A32" s="69" t="s">
        <v>315</v>
      </c>
      <c r="B32" s="144"/>
      <c r="C32" s="145"/>
      <c r="D32" s="145"/>
      <c r="E32" s="145"/>
      <c r="F32" s="146"/>
      <c r="G32" s="144" t="s">
        <v>316</v>
      </c>
      <c r="H32" s="145"/>
      <c r="I32" s="145"/>
      <c r="J32" s="145"/>
      <c r="K32" s="145"/>
      <c r="L32" s="145"/>
      <c r="M32" s="145"/>
      <c r="N32" s="145"/>
      <c r="O32" s="145"/>
      <c r="P32" s="145"/>
      <c r="Q32" s="145"/>
      <c r="R32" s="147"/>
    </row>
    <row r="33" spans="1:18" s="1" customFormat="1" ht="40.15" customHeight="1">
      <c r="A33" s="69" t="s">
        <v>317</v>
      </c>
      <c r="B33" s="144"/>
      <c r="C33" s="145"/>
      <c r="D33" s="145"/>
      <c r="E33" s="145"/>
      <c r="F33" s="146"/>
      <c r="G33" s="144" t="s">
        <v>318</v>
      </c>
      <c r="H33" s="145"/>
      <c r="I33" s="145"/>
      <c r="J33" s="145"/>
      <c r="K33" s="145"/>
      <c r="L33" s="145"/>
      <c r="M33" s="145"/>
      <c r="N33" s="145"/>
      <c r="O33" s="145"/>
      <c r="P33" s="145"/>
      <c r="Q33" s="145"/>
      <c r="R33" s="147"/>
    </row>
    <row r="34" spans="1:18" s="1" customFormat="1">
      <c r="A34" s="117" t="s">
        <v>260</v>
      </c>
      <c r="B34" s="109"/>
      <c r="C34" s="109"/>
      <c r="D34" s="109"/>
      <c r="E34" s="109"/>
      <c r="F34" s="109"/>
      <c r="G34" s="109"/>
      <c r="H34" s="109"/>
      <c r="I34" s="109"/>
      <c r="J34" s="109"/>
      <c r="K34" s="109"/>
      <c r="L34" s="109"/>
      <c r="M34" s="109"/>
      <c r="N34" s="109"/>
      <c r="O34" s="109"/>
      <c r="P34" s="109"/>
      <c r="Q34" s="109"/>
      <c r="R34" s="110"/>
    </row>
    <row r="35" spans="1:18" s="1" customFormat="1" ht="15" customHeight="1">
      <c r="A35" s="69" t="s">
        <v>237</v>
      </c>
      <c r="B35" s="109" t="s">
        <v>312</v>
      </c>
      <c r="C35" s="109"/>
      <c r="D35" s="109"/>
      <c r="E35" s="109"/>
      <c r="F35" s="109"/>
      <c r="G35" s="109"/>
      <c r="H35" s="109"/>
      <c r="I35" s="109"/>
      <c r="J35" s="109"/>
      <c r="K35" s="109"/>
      <c r="L35" s="109"/>
      <c r="M35" s="109"/>
      <c r="N35" s="109"/>
      <c r="O35" s="109"/>
      <c r="P35" s="109"/>
      <c r="Q35" s="109"/>
      <c r="R35" s="110"/>
    </row>
    <row r="36" spans="1:18" s="1" customFormat="1" ht="14.45" customHeight="1">
      <c r="A36" s="69" t="s">
        <v>261</v>
      </c>
      <c r="B36" s="144" t="s">
        <v>262</v>
      </c>
      <c r="C36" s="145"/>
      <c r="D36" s="145"/>
      <c r="E36" s="145"/>
      <c r="F36" s="145"/>
      <c r="G36" s="145"/>
      <c r="H36" s="145"/>
      <c r="I36" s="145"/>
      <c r="J36" s="145"/>
      <c r="K36" s="145"/>
      <c r="L36" s="146"/>
      <c r="M36" s="101" t="s">
        <v>293</v>
      </c>
      <c r="N36" s="101"/>
      <c r="O36" s="101"/>
      <c r="P36" s="101"/>
      <c r="Q36" s="101"/>
      <c r="R36" s="102"/>
    </row>
    <row r="37" spans="1:18" ht="13.9" customHeight="1">
      <c r="A37" s="141" t="s">
        <v>264</v>
      </c>
      <c r="B37" s="142"/>
      <c r="C37" s="142"/>
      <c r="D37" s="142"/>
      <c r="E37" s="142"/>
      <c r="F37" s="142"/>
      <c r="G37" s="142"/>
      <c r="H37" s="142"/>
      <c r="I37" s="142"/>
      <c r="J37" s="142"/>
      <c r="K37" s="142"/>
      <c r="L37" s="142"/>
      <c r="M37" s="142"/>
      <c r="N37" s="142"/>
      <c r="O37" s="142"/>
      <c r="P37" s="142"/>
      <c r="Q37" s="142"/>
      <c r="R37" s="143"/>
    </row>
    <row r="38" spans="1:18" ht="13.9" customHeight="1">
      <c r="A38" s="69" t="s">
        <v>265</v>
      </c>
      <c r="B38" s="109" t="s">
        <v>266</v>
      </c>
      <c r="C38" s="109"/>
      <c r="D38" s="109"/>
      <c r="E38" s="109"/>
      <c r="F38" s="109"/>
      <c r="G38" s="109"/>
      <c r="H38" s="109"/>
      <c r="I38" s="109"/>
      <c r="J38" s="109"/>
      <c r="K38" s="109"/>
      <c r="L38" s="109"/>
      <c r="M38" s="109"/>
      <c r="N38" s="109"/>
      <c r="O38" s="109"/>
      <c r="P38" s="109"/>
      <c r="Q38" s="109"/>
      <c r="R38" s="110"/>
    </row>
    <row r="39" spans="1:18" ht="13.9" customHeight="1">
      <c r="A39" s="69" t="s">
        <v>267</v>
      </c>
      <c r="B39" s="109" t="s">
        <v>268</v>
      </c>
      <c r="C39" s="109"/>
      <c r="D39" s="109"/>
      <c r="E39" s="109"/>
      <c r="F39" s="109"/>
      <c r="G39" s="109"/>
      <c r="H39" s="109"/>
      <c r="I39" s="109"/>
      <c r="J39" s="109"/>
      <c r="K39" s="109"/>
      <c r="L39" s="109"/>
      <c r="M39" s="109"/>
      <c r="N39" s="109"/>
      <c r="O39" s="109"/>
      <c r="P39" s="109"/>
      <c r="Q39" s="109"/>
      <c r="R39" s="110"/>
    </row>
    <row r="40" spans="1:18" ht="13.9" customHeight="1">
      <c r="A40" s="69" t="s">
        <v>269</v>
      </c>
      <c r="B40" s="144" t="s">
        <v>302</v>
      </c>
      <c r="C40" s="145"/>
      <c r="D40" s="145"/>
      <c r="E40" s="145"/>
      <c r="F40" s="145"/>
      <c r="G40" s="145"/>
      <c r="H40" s="145"/>
      <c r="I40" s="145"/>
      <c r="J40" s="145"/>
      <c r="K40" s="145"/>
      <c r="L40" s="145"/>
      <c r="M40" s="145"/>
      <c r="N40" s="145"/>
      <c r="O40" s="145"/>
      <c r="P40" s="145"/>
      <c r="Q40" s="145"/>
      <c r="R40" s="147"/>
    </row>
    <row r="41" spans="1:18" ht="13.9" customHeight="1">
      <c r="A41" s="141" t="s">
        <v>271</v>
      </c>
      <c r="B41" s="142"/>
      <c r="C41" s="142"/>
      <c r="D41" s="142"/>
      <c r="E41" s="142"/>
      <c r="F41" s="142"/>
      <c r="G41" s="142"/>
      <c r="H41" s="142"/>
      <c r="I41" s="142"/>
      <c r="J41" s="142"/>
      <c r="K41" s="142"/>
      <c r="L41" s="142"/>
      <c r="M41" s="142"/>
      <c r="N41" s="142"/>
      <c r="O41" s="142"/>
      <c r="P41" s="142"/>
      <c r="Q41" s="142"/>
      <c r="R41" s="143"/>
    </row>
    <row r="42" spans="1:18" ht="13.9"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3.9"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13.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c r="A49" s="148" t="s">
        <v>278</v>
      </c>
      <c r="B49" s="149"/>
      <c r="C49" s="149"/>
      <c r="D49" s="149"/>
      <c r="E49" s="149"/>
      <c r="F49" s="149"/>
      <c r="G49" s="149"/>
      <c r="H49" s="149"/>
      <c r="I49" s="149"/>
      <c r="J49" s="149"/>
      <c r="K49" s="149"/>
      <c r="L49" s="149"/>
      <c r="M49" s="149"/>
      <c r="N49" s="149"/>
      <c r="O49" s="149"/>
      <c r="P49" s="149"/>
      <c r="Q49" s="149"/>
      <c r="R49" s="150"/>
    </row>
    <row r="50" spans="1:18" ht="28.15" customHeight="1">
      <c r="A50" s="114" t="s">
        <v>279</v>
      </c>
      <c r="B50" s="115"/>
      <c r="C50" s="115"/>
      <c r="D50" s="115"/>
      <c r="E50" s="115"/>
      <c r="F50" s="115"/>
      <c r="G50" s="115"/>
      <c r="H50" s="115"/>
      <c r="I50" s="115"/>
      <c r="J50" s="115"/>
      <c r="K50" s="115"/>
      <c r="L50" s="115"/>
      <c r="M50" s="115"/>
      <c r="N50" s="115"/>
      <c r="O50" s="115"/>
      <c r="P50" s="115"/>
      <c r="Q50" s="115"/>
      <c r="R50" s="116"/>
    </row>
    <row r="51" spans="1:18" ht="14.45" customHeight="1">
      <c r="A51" s="114" t="s">
        <v>280</v>
      </c>
      <c r="B51" s="115"/>
      <c r="C51" s="115"/>
      <c r="D51" s="115"/>
      <c r="E51" s="115"/>
      <c r="F51" s="115"/>
      <c r="G51" s="115"/>
      <c r="H51" s="115"/>
      <c r="I51" s="115"/>
      <c r="J51" s="115"/>
      <c r="K51" s="115"/>
      <c r="L51" s="115"/>
      <c r="M51" s="115"/>
      <c r="N51" s="115"/>
      <c r="O51" s="115"/>
      <c r="P51" s="115"/>
      <c r="Q51" s="115"/>
      <c r="R51" s="116"/>
    </row>
    <row r="52" spans="1:18" ht="14.45" customHeight="1">
      <c r="A52" s="114" t="s">
        <v>281</v>
      </c>
      <c r="B52" s="115"/>
      <c r="C52" s="115"/>
      <c r="D52" s="115"/>
      <c r="E52" s="115"/>
      <c r="F52" s="115"/>
      <c r="G52" s="115"/>
      <c r="H52" s="115"/>
      <c r="I52" s="115"/>
      <c r="J52" s="115"/>
      <c r="K52" s="115"/>
      <c r="L52" s="115"/>
      <c r="M52" s="115"/>
      <c r="N52" s="115"/>
      <c r="O52" s="115"/>
      <c r="P52" s="115"/>
      <c r="Q52" s="115"/>
      <c r="R52" s="116"/>
    </row>
    <row r="53" spans="1:18" ht="28.9" customHeight="1">
      <c r="A53" s="114" t="s">
        <v>324</v>
      </c>
      <c r="B53" s="115"/>
      <c r="C53" s="115"/>
      <c r="D53" s="115"/>
      <c r="E53" s="115"/>
      <c r="F53" s="115"/>
      <c r="G53" s="115"/>
      <c r="H53" s="115"/>
      <c r="I53" s="115"/>
      <c r="J53" s="115"/>
      <c r="K53" s="115"/>
      <c r="L53" s="115"/>
      <c r="M53" s="115"/>
      <c r="N53" s="115"/>
      <c r="O53" s="115"/>
      <c r="P53" s="115"/>
      <c r="Q53" s="115"/>
      <c r="R53" s="116"/>
    </row>
    <row r="54" spans="1:18" ht="26.45" customHeight="1">
      <c r="A54" s="114" t="s">
        <v>283</v>
      </c>
      <c r="B54" s="115"/>
      <c r="C54" s="115"/>
      <c r="D54" s="115"/>
      <c r="E54" s="115"/>
      <c r="F54" s="115"/>
      <c r="G54" s="115"/>
      <c r="H54" s="115"/>
      <c r="I54" s="115"/>
      <c r="J54" s="115"/>
      <c r="K54" s="115"/>
      <c r="L54" s="115"/>
      <c r="M54" s="115"/>
      <c r="N54" s="115"/>
      <c r="O54" s="115"/>
      <c r="P54" s="115"/>
      <c r="Q54" s="115"/>
      <c r="R54" s="116"/>
    </row>
    <row r="55" spans="1:18" ht="14.45" customHeight="1">
      <c r="A55" s="114" t="s">
        <v>284</v>
      </c>
      <c r="B55" s="115"/>
      <c r="C55" s="115"/>
      <c r="D55" s="115"/>
      <c r="E55" s="115"/>
      <c r="F55" s="115"/>
      <c r="G55" s="115"/>
      <c r="H55" s="115"/>
      <c r="I55" s="115"/>
      <c r="J55" s="115"/>
      <c r="K55" s="115"/>
      <c r="L55" s="115"/>
      <c r="M55" s="115"/>
      <c r="N55" s="115"/>
      <c r="O55" s="115"/>
      <c r="P55" s="115"/>
      <c r="Q55" s="115"/>
      <c r="R55" s="116"/>
    </row>
    <row r="56" spans="1:18" ht="14.45" customHeight="1">
      <c r="A56" s="114" t="s">
        <v>285</v>
      </c>
      <c r="B56" s="115"/>
      <c r="C56" s="115"/>
      <c r="D56" s="115"/>
      <c r="E56" s="115"/>
      <c r="F56" s="115"/>
      <c r="G56" s="115"/>
      <c r="H56" s="115"/>
      <c r="I56" s="115"/>
      <c r="J56" s="115"/>
      <c r="K56" s="115"/>
      <c r="L56" s="115"/>
      <c r="M56" s="115"/>
      <c r="N56" s="115"/>
      <c r="O56" s="115"/>
      <c r="P56" s="115"/>
      <c r="Q56" s="115"/>
      <c r="R56" s="116"/>
    </row>
    <row r="57" spans="1:18" ht="14.45" customHeight="1">
      <c r="A57" s="114" t="s">
        <v>306</v>
      </c>
      <c r="B57" s="115"/>
      <c r="C57" s="115"/>
      <c r="D57" s="115"/>
      <c r="E57" s="115"/>
      <c r="F57" s="115"/>
      <c r="G57" s="115"/>
      <c r="H57" s="115"/>
      <c r="I57" s="115"/>
      <c r="J57" s="115"/>
      <c r="K57" s="115"/>
      <c r="L57" s="115"/>
      <c r="M57" s="115"/>
      <c r="N57" s="115"/>
      <c r="O57" s="115"/>
      <c r="P57" s="115"/>
      <c r="Q57" s="115"/>
      <c r="R57" s="116"/>
    </row>
    <row r="58" spans="1:18" ht="14.45" customHeight="1">
      <c r="A58" s="114" t="s">
        <v>307</v>
      </c>
      <c r="B58" s="115"/>
      <c r="C58" s="115"/>
      <c r="D58" s="115"/>
      <c r="E58" s="115"/>
      <c r="F58" s="115"/>
      <c r="G58" s="115"/>
      <c r="H58" s="115"/>
      <c r="I58" s="115"/>
      <c r="J58" s="115"/>
      <c r="K58" s="115"/>
      <c r="L58" s="115"/>
      <c r="M58" s="115"/>
      <c r="N58" s="115"/>
      <c r="O58" s="115"/>
      <c r="P58" s="115"/>
      <c r="Q58" s="115"/>
      <c r="R58" s="116"/>
    </row>
    <row r="59" spans="1:18" ht="14.45" customHeight="1" thickBot="1">
      <c r="A59" s="177"/>
      <c r="B59" s="178"/>
      <c r="C59" s="178"/>
      <c r="D59" s="178"/>
      <c r="E59" s="178"/>
      <c r="F59" s="178"/>
      <c r="G59" s="178"/>
      <c r="H59" s="178"/>
      <c r="I59" s="178"/>
      <c r="J59" s="178"/>
      <c r="K59" s="178"/>
      <c r="L59" s="178"/>
      <c r="M59" s="178"/>
      <c r="N59" s="178"/>
      <c r="O59" s="178"/>
      <c r="P59" s="178"/>
      <c r="Q59" s="178"/>
      <c r="R59" s="179"/>
    </row>
  </sheetData>
  <mergeCells count="89">
    <mergeCell ref="F5:G5"/>
    <mergeCell ref="H5:R5"/>
    <mergeCell ref="F6:H6"/>
    <mergeCell ref="I6:R6"/>
    <mergeCell ref="A7:R7"/>
    <mergeCell ref="A1:E6"/>
    <mergeCell ref="F1:P1"/>
    <mergeCell ref="Q1:R1"/>
    <mergeCell ref="J3:L3"/>
    <mergeCell ref="M3:N3"/>
    <mergeCell ref="O3:P3"/>
    <mergeCell ref="Q3:R3"/>
    <mergeCell ref="F4:H4"/>
    <mergeCell ref="I4:R4"/>
    <mergeCell ref="F3:G3"/>
    <mergeCell ref="H3:I3"/>
    <mergeCell ref="A19:R19"/>
    <mergeCell ref="B20:N20"/>
    <mergeCell ref="O20:R20"/>
    <mergeCell ref="B21:R21"/>
    <mergeCell ref="L8:O9"/>
    <mergeCell ref="P8:R8"/>
    <mergeCell ref="D9:E9"/>
    <mergeCell ref="F9:G9"/>
    <mergeCell ref="H9:I9"/>
    <mergeCell ref="J9:K9"/>
    <mergeCell ref="P9:R9"/>
    <mergeCell ref="B8:C8"/>
    <mergeCell ref="D8:E8"/>
    <mergeCell ref="F8:G8"/>
    <mergeCell ref="H8:I8"/>
    <mergeCell ref="J8:K8"/>
    <mergeCell ref="A10:R10"/>
    <mergeCell ref="B11:R11"/>
    <mergeCell ref="B16:N16"/>
    <mergeCell ref="O16:R16"/>
    <mergeCell ref="B18:R18"/>
    <mergeCell ref="B32:F32"/>
    <mergeCell ref="G32:R32"/>
    <mergeCell ref="B33:F33"/>
    <mergeCell ref="G33:R33"/>
    <mergeCell ref="B22:R22"/>
    <mergeCell ref="B23:R23"/>
    <mergeCell ref="B24:R24"/>
    <mergeCell ref="B25:R25"/>
    <mergeCell ref="B26:E26"/>
    <mergeCell ref="F26:R26"/>
    <mergeCell ref="A34:R34"/>
    <mergeCell ref="B35:R35"/>
    <mergeCell ref="B36:L36"/>
    <mergeCell ref="M36:R36"/>
    <mergeCell ref="A37:R37"/>
    <mergeCell ref="G47:R47"/>
    <mergeCell ref="B9:C9"/>
    <mergeCell ref="B17:R17"/>
    <mergeCell ref="A58:R58"/>
    <mergeCell ref="A54:R54"/>
    <mergeCell ref="A50:R50"/>
    <mergeCell ref="A51:R51"/>
    <mergeCell ref="A52:R52"/>
    <mergeCell ref="A53:R53"/>
    <mergeCell ref="B43:E43"/>
    <mergeCell ref="F43:R43"/>
    <mergeCell ref="B27:R27"/>
    <mergeCell ref="A28:R28"/>
    <mergeCell ref="B29:R29"/>
    <mergeCell ref="B30:R30"/>
    <mergeCell ref="B31:R31"/>
    <mergeCell ref="A59:R59"/>
    <mergeCell ref="B38:R38"/>
    <mergeCell ref="B39:R39"/>
    <mergeCell ref="B40:R40"/>
    <mergeCell ref="A41:R41"/>
    <mergeCell ref="B42:R42"/>
    <mergeCell ref="B44:R44"/>
    <mergeCell ref="B45:R45"/>
    <mergeCell ref="B46:E46"/>
    <mergeCell ref="F46:R46"/>
    <mergeCell ref="A49:R49"/>
    <mergeCell ref="A55:R55"/>
    <mergeCell ref="A56:R56"/>
    <mergeCell ref="A57:R57"/>
    <mergeCell ref="B48:R48"/>
    <mergeCell ref="B47:F47"/>
    <mergeCell ref="F2:I2"/>
    <mergeCell ref="J2:L2"/>
    <mergeCell ref="M2:N2"/>
    <mergeCell ref="O2:P2"/>
    <mergeCell ref="Q2:R2"/>
  </mergeCells>
  <printOptions horizontalCentered="1"/>
  <pageMargins left="0.7" right="0.7" top="0.75" bottom="0.75" header="0.3" footer="0.3"/>
  <pageSetup paperSize="9" scale="83" firstPageNumber="18" orientation="portrait" r:id="rId1"/>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98">
    <tabColor theme="5" tint="0.59999389629810485"/>
    <pageSetUpPr fitToPage="1"/>
  </sheetPr>
  <dimension ref="A1:U55"/>
  <sheetViews>
    <sheetView workbookViewId="0">
      <selection activeCell="AA25" sqref="AA25"/>
    </sheetView>
  </sheetViews>
  <sheetFormatPr defaultColWidth="9.140625" defaultRowHeight="15"/>
  <cols>
    <col min="1" max="1" width="10.7109375" style="5" customWidth="1"/>
    <col min="2" max="20" width="4.28515625" style="5" customWidth="1"/>
    <col min="21" max="21" width="4.28515625" style="1" customWidth="1"/>
    <col min="22" max="22" width="4.28515625" style="5" customWidth="1"/>
    <col min="23" max="16384" width="9.140625" style="5"/>
  </cols>
  <sheetData>
    <row r="1" spans="1:21" ht="14.45" customHeight="1">
      <c r="A1" s="132" t="e" vm="1">
        <v>#VALUE!</v>
      </c>
      <c r="B1" s="133"/>
      <c r="C1" s="133"/>
      <c r="D1" s="133"/>
      <c r="E1" s="134"/>
      <c r="F1" s="165" t="s">
        <v>213</v>
      </c>
      <c r="G1" s="166"/>
      <c r="H1" s="166"/>
      <c r="I1" s="166"/>
      <c r="J1" s="166"/>
      <c r="K1" s="166"/>
      <c r="L1" s="166"/>
      <c r="M1" s="166"/>
      <c r="N1" s="166"/>
      <c r="O1" s="166"/>
      <c r="P1" s="166"/>
      <c r="Q1" s="166"/>
      <c r="R1" s="166"/>
      <c r="S1" s="153" t="s">
        <v>214</v>
      </c>
      <c r="T1" s="153"/>
      <c r="U1" s="154"/>
    </row>
    <row r="2" spans="1:21" ht="15.75" customHeight="1">
      <c r="A2" s="135"/>
      <c r="B2" s="136"/>
      <c r="C2" s="136"/>
      <c r="D2" s="136"/>
      <c r="E2" s="137"/>
      <c r="F2" s="127" t="s">
        <v>215</v>
      </c>
      <c r="G2" s="101"/>
      <c r="H2" s="101"/>
      <c r="I2" s="101"/>
      <c r="J2" s="101" t="s">
        <v>216</v>
      </c>
      <c r="K2" s="101"/>
      <c r="L2" s="101"/>
      <c r="M2" s="101" t="s">
        <v>217</v>
      </c>
      <c r="N2" s="101"/>
      <c r="O2" s="101"/>
      <c r="P2" s="101" t="s">
        <v>13</v>
      </c>
      <c r="Q2" s="101"/>
      <c r="R2" s="101"/>
      <c r="S2" s="101" t="s">
        <v>10</v>
      </c>
      <c r="T2" s="101"/>
      <c r="U2" s="102"/>
    </row>
    <row r="3" spans="1:2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t="e">
        <f ca="1">VLOOKUP(F3,INDEX!B:J,5,0)</f>
        <v>#VALUE!</v>
      </c>
      <c r="N3" s="101"/>
      <c r="O3" s="101"/>
      <c r="P3" s="105" t="e">
        <f ca="1">VLOOKUP(F3,INDEX!B:AF,17,0)</f>
        <v>#VALUE!</v>
      </c>
      <c r="Q3" s="105"/>
      <c r="R3" s="105"/>
      <c r="S3" s="101" t="e">
        <f ca="1">VLOOKUP(F3,INDEX!B:J,9,0)</f>
        <v>#VALUE!</v>
      </c>
      <c r="T3" s="101"/>
      <c r="U3" s="102"/>
    </row>
    <row r="4" spans="1:21" ht="15" customHeight="1">
      <c r="A4" s="135"/>
      <c r="B4" s="136"/>
      <c r="C4" s="136"/>
      <c r="D4" s="136"/>
      <c r="E4" s="137"/>
      <c r="F4" s="155" t="s">
        <v>218</v>
      </c>
      <c r="G4" s="155"/>
      <c r="H4" s="155"/>
      <c r="I4" s="212" t="e">
        <f ca="1">VLOOKUP(F3,INDEX!B:AF,18,0)</f>
        <v>#VALUE!</v>
      </c>
      <c r="J4" s="212"/>
      <c r="K4" s="212"/>
      <c r="L4" s="212"/>
      <c r="M4" s="212"/>
      <c r="N4" s="212"/>
      <c r="O4" s="212"/>
      <c r="P4" s="212"/>
      <c r="Q4" s="212"/>
      <c r="R4" s="212"/>
      <c r="S4" s="212"/>
      <c r="T4" s="212"/>
      <c r="U4" s="213"/>
    </row>
    <row r="5" spans="1:21" ht="13.9" customHeight="1">
      <c r="A5" s="135"/>
      <c r="B5" s="136"/>
      <c r="C5" s="136"/>
      <c r="D5" s="136"/>
      <c r="E5" s="137"/>
      <c r="F5" s="158" t="s">
        <v>219</v>
      </c>
      <c r="G5" s="158"/>
      <c r="H5" s="158"/>
      <c r="I5" s="212" t="e">
        <f ca="1">VLOOKUP(F3,INDEX!B:J,6,0)</f>
        <v>#VALUE!</v>
      </c>
      <c r="J5" s="212"/>
      <c r="K5" s="212"/>
      <c r="L5" s="212"/>
      <c r="M5" s="212"/>
      <c r="N5" s="212"/>
      <c r="O5" s="212"/>
      <c r="P5" s="212"/>
      <c r="Q5" s="212"/>
      <c r="R5" s="212"/>
      <c r="S5" s="212"/>
      <c r="T5" s="212"/>
      <c r="U5" s="213"/>
    </row>
    <row r="6" spans="1:21" ht="14.45" customHeight="1" thickBot="1">
      <c r="A6" s="138"/>
      <c r="B6" s="139"/>
      <c r="C6" s="139"/>
      <c r="D6" s="139"/>
      <c r="E6" s="140"/>
      <c r="F6" s="155" t="s">
        <v>220</v>
      </c>
      <c r="G6" s="155"/>
      <c r="H6" s="155"/>
      <c r="I6" s="198" t="e">
        <f ca="1">VLOOKUP(F3,INDEX!B:AF,16,0)</f>
        <v>#VALUE!</v>
      </c>
      <c r="J6" s="198"/>
      <c r="K6" s="198"/>
      <c r="L6" s="198"/>
      <c r="M6" s="198"/>
      <c r="N6" s="198"/>
      <c r="O6" s="198"/>
      <c r="P6" s="198"/>
      <c r="Q6" s="198"/>
      <c r="R6" s="198"/>
      <c r="S6" s="198"/>
      <c r="T6" s="198"/>
      <c r="U6" s="199"/>
    </row>
    <row r="7" spans="1:21" ht="14.45" customHeight="1">
      <c r="A7" s="200" t="s">
        <v>221</v>
      </c>
      <c r="B7" s="201"/>
      <c r="C7" s="201"/>
      <c r="D7" s="201"/>
      <c r="E7" s="201"/>
      <c r="F7" s="224"/>
      <c r="G7" s="224"/>
      <c r="H7" s="224"/>
      <c r="I7" s="224"/>
      <c r="J7" s="224"/>
      <c r="K7" s="224"/>
      <c r="L7" s="224"/>
      <c r="M7" s="224"/>
      <c r="N7" s="224"/>
      <c r="O7" s="224"/>
      <c r="P7" s="224"/>
      <c r="Q7" s="224"/>
      <c r="R7" s="224"/>
      <c r="S7" s="224"/>
      <c r="T7" s="224"/>
      <c r="U7" s="225"/>
    </row>
    <row r="8" spans="1:21"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01" t="s">
        <v>223</v>
      </c>
      <c r="Q8" s="101"/>
      <c r="R8" s="101"/>
      <c r="S8" s="101"/>
      <c r="T8" s="101"/>
      <c r="U8" s="102"/>
    </row>
    <row r="9" spans="1:21"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01" t="e">
        <f ca="1">B8*1.5</f>
        <v>#VALUE!</v>
      </c>
      <c r="Q9" s="101"/>
      <c r="R9" s="101"/>
      <c r="S9" s="101"/>
      <c r="T9" s="101"/>
      <c r="U9" s="102"/>
    </row>
    <row r="10" spans="1:21" s="3" customFormat="1">
      <c r="A10" s="208" t="s">
        <v>225</v>
      </c>
      <c r="B10" s="209"/>
      <c r="C10" s="209"/>
      <c r="D10" s="209"/>
      <c r="E10" s="209"/>
      <c r="F10" s="209"/>
      <c r="G10" s="209"/>
      <c r="H10" s="209"/>
      <c r="I10" s="209"/>
      <c r="J10" s="209"/>
      <c r="K10" s="209"/>
      <c r="L10" s="209"/>
      <c r="M10" s="209"/>
      <c r="N10" s="209"/>
      <c r="O10" s="209"/>
      <c r="P10" s="209"/>
      <c r="Q10" s="209"/>
      <c r="R10" s="209"/>
      <c r="S10" s="209"/>
      <c r="T10" s="209"/>
      <c r="U10" s="210"/>
    </row>
    <row r="11" spans="1:21">
      <c r="A11" s="69" t="s">
        <v>226</v>
      </c>
      <c r="B11" s="109" t="s">
        <v>227</v>
      </c>
      <c r="C11" s="109"/>
      <c r="D11" s="109"/>
      <c r="E11" s="109"/>
      <c r="F11" s="109"/>
      <c r="G11" s="109"/>
      <c r="H11" s="109"/>
      <c r="I11" s="109"/>
      <c r="J11" s="109"/>
      <c r="K11" s="109"/>
      <c r="L11" s="109"/>
      <c r="M11" s="109"/>
      <c r="N11" s="109"/>
      <c r="O11" s="109"/>
      <c r="P11" s="109"/>
      <c r="Q11" s="109"/>
      <c r="R11" s="144"/>
      <c r="S11" s="20"/>
      <c r="T11" s="20"/>
      <c r="U11" s="80"/>
    </row>
    <row r="12" spans="1:21"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66">
        <v>30</v>
      </c>
    </row>
    <row r="13" spans="1:21"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66">
        <v>762</v>
      </c>
    </row>
    <row r="14" spans="1:21" s="3" customFormat="1">
      <c r="A14" s="70" t="s">
        <v>230</v>
      </c>
      <c r="B14" s="17">
        <v>160</v>
      </c>
      <c r="C14" s="17">
        <v>160</v>
      </c>
      <c r="D14" s="17">
        <v>160</v>
      </c>
      <c r="E14" s="17">
        <v>160</v>
      </c>
      <c r="F14" s="17" t="s">
        <v>232</v>
      </c>
      <c r="G14" s="17" t="s">
        <v>232</v>
      </c>
      <c r="H14" s="17" t="s">
        <v>232</v>
      </c>
      <c r="I14" s="17" t="s">
        <v>232</v>
      </c>
      <c r="J14" s="17" t="s">
        <v>232</v>
      </c>
      <c r="K14" s="17" t="s">
        <v>232</v>
      </c>
      <c r="L14" s="17" t="s">
        <v>232</v>
      </c>
      <c r="M14" s="17" t="s">
        <v>232</v>
      </c>
      <c r="N14" s="17" t="s">
        <v>232</v>
      </c>
      <c r="O14" s="17" t="s">
        <v>232</v>
      </c>
      <c r="P14" s="17" t="s">
        <v>232</v>
      </c>
      <c r="Q14" s="17" t="s">
        <v>232</v>
      </c>
      <c r="R14" s="17" t="s">
        <v>232</v>
      </c>
      <c r="S14" s="17" t="s">
        <v>232</v>
      </c>
      <c r="T14" s="17" t="s">
        <v>232</v>
      </c>
      <c r="U14" s="66">
        <v>30</v>
      </c>
    </row>
    <row r="15" spans="1:21" s="3" customFormat="1">
      <c r="A15" s="70" t="s">
        <v>233</v>
      </c>
      <c r="B15" s="17">
        <v>7.47</v>
      </c>
      <c r="C15" s="17">
        <v>5.56</v>
      </c>
      <c r="D15" s="17">
        <v>6.35</v>
      </c>
      <c r="E15" s="17">
        <v>7.14</v>
      </c>
      <c r="F15" s="17">
        <v>5.54</v>
      </c>
      <c r="G15" s="17">
        <v>7.62</v>
      </c>
      <c r="H15" s="17">
        <v>8.56</v>
      </c>
      <c r="I15" s="17">
        <v>10.97</v>
      </c>
      <c r="J15" s="17">
        <v>12.7</v>
      </c>
      <c r="K15" s="17">
        <v>12.7</v>
      </c>
      <c r="L15" s="17">
        <v>12.7</v>
      </c>
      <c r="M15" s="17">
        <v>12.7</v>
      </c>
      <c r="N15" s="17">
        <v>12.7</v>
      </c>
      <c r="O15" s="17">
        <v>12.7</v>
      </c>
      <c r="P15" s="17">
        <v>12.7</v>
      </c>
      <c r="Q15" s="17">
        <v>12.7</v>
      </c>
      <c r="R15" s="17">
        <v>12.7</v>
      </c>
      <c r="S15" s="17">
        <v>12.7</v>
      </c>
      <c r="T15" s="17">
        <v>12.7</v>
      </c>
      <c r="U15" s="66">
        <v>15.88</v>
      </c>
    </row>
    <row r="16" spans="1:21">
      <c r="A16" s="69" t="s">
        <v>234</v>
      </c>
      <c r="B16" s="144" t="s">
        <v>235</v>
      </c>
      <c r="C16" s="145"/>
      <c r="D16" s="145"/>
      <c r="E16" s="145"/>
      <c r="F16" s="145"/>
      <c r="G16" s="145"/>
      <c r="H16" s="145"/>
      <c r="I16" s="145"/>
      <c r="J16" s="145"/>
      <c r="K16" s="145"/>
      <c r="L16" s="145"/>
      <c r="M16" s="145"/>
      <c r="N16" s="145"/>
      <c r="O16" s="151" t="s">
        <v>287</v>
      </c>
      <c r="P16" s="152"/>
      <c r="Q16" s="152"/>
      <c r="R16" s="152"/>
      <c r="S16" s="152"/>
      <c r="T16" s="152"/>
      <c r="U16" s="161"/>
    </row>
    <row r="17" spans="1:21">
      <c r="A17" s="69" t="s">
        <v>237</v>
      </c>
      <c r="B17" s="144" t="s">
        <v>295</v>
      </c>
      <c r="C17" s="145"/>
      <c r="D17" s="145"/>
      <c r="E17" s="145"/>
      <c r="F17" s="145"/>
      <c r="G17" s="145"/>
      <c r="H17" s="145"/>
      <c r="I17" s="145"/>
      <c r="J17" s="145"/>
      <c r="K17" s="145"/>
      <c r="L17" s="145"/>
      <c r="M17" s="145"/>
      <c r="N17" s="145"/>
      <c r="O17" s="151" t="s">
        <v>288</v>
      </c>
      <c r="P17" s="152"/>
      <c r="Q17" s="152"/>
      <c r="R17" s="152"/>
      <c r="S17" s="152"/>
      <c r="T17" s="152"/>
      <c r="U17" s="161"/>
    </row>
    <row r="18" spans="1:21">
      <c r="A18" s="69" t="s">
        <v>240</v>
      </c>
      <c r="B18" s="109" t="s">
        <v>241</v>
      </c>
      <c r="C18" s="109"/>
      <c r="D18" s="109"/>
      <c r="E18" s="109"/>
      <c r="F18" s="109"/>
      <c r="G18" s="109"/>
      <c r="H18" s="109"/>
      <c r="I18" s="109"/>
      <c r="J18" s="109"/>
      <c r="K18" s="109"/>
      <c r="L18" s="109"/>
      <c r="M18" s="109"/>
      <c r="N18" s="109"/>
      <c r="O18" s="109"/>
      <c r="P18" s="109"/>
      <c r="Q18" s="109"/>
      <c r="R18" s="144"/>
      <c r="S18" s="20"/>
      <c r="T18" s="20"/>
      <c r="U18" s="80"/>
    </row>
    <row r="19" spans="1:21">
      <c r="A19" s="117" t="s">
        <v>242</v>
      </c>
      <c r="B19" s="109"/>
      <c r="C19" s="109"/>
      <c r="D19" s="109"/>
      <c r="E19" s="109"/>
      <c r="F19" s="109"/>
      <c r="G19" s="109"/>
      <c r="H19" s="109"/>
      <c r="I19" s="109"/>
      <c r="J19" s="109"/>
      <c r="K19" s="109"/>
      <c r="L19" s="109"/>
      <c r="M19" s="109"/>
      <c r="N19" s="109"/>
      <c r="O19" s="109"/>
      <c r="P19" s="109"/>
      <c r="Q19" s="109"/>
      <c r="R19" s="144"/>
      <c r="S19" s="20"/>
      <c r="T19" s="20"/>
      <c r="U19" s="80"/>
    </row>
    <row r="20" spans="1:21" ht="30.6" customHeight="1">
      <c r="A20" s="69" t="s">
        <v>234</v>
      </c>
      <c r="B20" s="144" t="s">
        <v>243</v>
      </c>
      <c r="C20" s="145"/>
      <c r="D20" s="145"/>
      <c r="E20" s="145"/>
      <c r="F20" s="145"/>
      <c r="G20" s="145"/>
      <c r="H20" s="145"/>
      <c r="I20" s="145"/>
      <c r="J20" s="145"/>
      <c r="K20" s="145"/>
      <c r="L20" s="145"/>
      <c r="M20" s="145"/>
      <c r="N20" s="145"/>
      <c r="O20" s="144" t="s">
        <v>244</v>
      </c>
      <c r="P20" s="145"/>
      <c r="Q20" s="145"/>
      <c r="R20" s="145"/>
      <c r="S20" s="145"/>
      <c r="T20" s="145"/>
      <c r="U20" s="147"/>
    </row>
    <row r="21" spans="1:21" ht="15" customHeight="1">
      <c r="A21" s="69" t="s">
        <v>237</v>
      </c>
      <c r="B21" s="144" t="s">
        <v>289</v>
      </c>
      <c r="C21" s="145"/>
      <c r="D21" s="145"/>
      <c r="E21" s="145"/>
      <c r="F21" s="145"/>
      <c r="G21" s="145"/>
      <c r="H21" s="145"/>
      <c r="I21" s="145"/>
      <c r="J21" s="145"/>
      <c r="K21" s="145"/>
      <c r="L21" s="145"/>
      <c r="M21" s="145"/>
      <c r="N21" s="145"/>
      <c r="O21" s="145"/>
      <c r="P21" s="145"/>
      <c r="Q21" s="145"/>
      <c r="R21" s="145"/>
      <c r="S21" s="145"/>
      <c r="T21" s="145"/>
      <c r="U21" s="147"/>
    </row>
    <row r="22" spans="1:21" ht="15" customHeight="1">
      <c r="A22" s="69" t="s">
        <v>246</v>
      </c>
      <c r="B22" s="144" t="s">
        <v>247</v>
      </c>
      <c r="C22" s="145"/>
      <c r="D22" s="145"/>
      <c r="E22" s="145"/>
      <c r="F22" s="145"/>
      <c r="G22" s="145"/>
      <c r="H22" s="145"/>
      <c r="I22" s="145"/>
      <c r="J22" s="145"/>
      <c r="K22" s="145"/>
      <c r="L22" s="145"/>
      <c r="M22" s="145"/>
      <c r="N22" s="145"/>
      <c r="O22" s="145"/>
      <c r="P22" s="145"/>
      <c r="Q22" s="145"/>
      <c r="R22" s="145"/>
      <c r="S22" s="145"/>
      <c r="T22" s="145"/>
      <c r="U22" s="147"/>
    </row>
    <row r="23" spans="1:21" ht="15" customHeight="1">
      <c r="A23" s="69" t="s">
        <v>248</v>
      </c>
      <c r="B23" s="144" t="s">
        <v>247</v>
      </c>
      <c r="C23" s="145"/>
      <c r="D23" s="145"/>
      <c r="E23" s="145"/>
      <c r="F23" s="145"/>
      <c r="G23" s="145"/>
      <c r="H23" s="145"/>
      <c r="I23" s="145"/>
      <c r="J23" s="145"/>
      <c r="K23" s="145"/>
      <c r="L23" s="145"/>
      <c r="M23" s="145"/>
      <c r="N23" s="145"/>
      <c r="O23" s="145"/>
      <c r="P23" s="145"/>
      <c r="Q23" s="145"/>
      <c r="R23" s="145"/>
      <c r="S23" s="145"/>
      <c r="T23" s="145"/>
      <c r="U23" s="147"/>
    </row>
    <row r="24" spans="1:21" ht="15" customHeight="1">
      <c r="A24" s="69" t="s">
        <v>249</v>
      </c>
      <c r="B24" s="144" t="s">
        <v>247</v>
      </c>
      <c r="C24" s="145"/>
      <c r="D24" s="145"/>
      <c r="E24" s="145"/>
      <c r="F24" s="145"/>
      <c r="G24" s="145"/>
      <c r="H24" s="145"/>
      <c r="I24" s="145"/>
      <c r="J24" s="145"/>
      <c r="K24" s="145"/>
      <c r="L24" s="145"/>
      <c r="M24" s="145"/>
      <c r="N24" s="145"/>
      <c r="O24" s="145"/>
      <c r="P24" s="145"/>
      <c r="Q24" s="145"/>
      <c r="R24" s="145"/>
      <c r="S24" s="145"/>
      <c r="T24" s="145"/>
      <c r="U24" s="147"/>
    </row>
    <row r="25" spans="1:21" ht="15" customHeight="1">
      <c r="A25" s="69" t="s">
        <v>250</v>
      </c>
      <c r="B25" s="144" t="s">
        <v>247</v>
      </c>
      <c r="C25" s="145"/>
      <c r="D25" s="145"/>
      <c r="E25" s="145"/>
      <c r="F25" s="145"/>
      <c r="G25" s="145"/>
      <c r="H25" s="145"/>
      <c r="I25" s="145"/>
      <c r="J25" s="145"/>
      <c r="K25" s="145"/>
      <c r="L25" s="145"/>
      <c r="M25" s="145"/>
      <c r="N25" s="145"/>
      <c r="O25" s="145"/>
      <c r="P25" s="145"/>
      <c r="Q25" s="145"/>
      <c r="R25" s="145"/>
      <c r="S25" s="145"/>
      <c r="T25" s="145"/>
      <c r="U25" s="147"/>
    </row>
    <row r="26" spans="1:21">
      <c r="A26" s="69" t="s">
        <v>251</v>
      </c>
      <c r="B26" s="151" t="s">
        <v>290</v>
      </c>
      <c r="C26" s="152"/>
      <c r="D26" s="152"/>
      <c r="E26" s="127"/>
      <c r="F26" s="144"/>
      <c r="G26" s="145"/>
      <c r="H26" s="145"/>
      <c r="I26" s="145"/>
      <c r="J26" s="145"/>
      <c r="K26" s="145"/>
      <c r="L26" s="145"/>
      <c r="M26" s="145"/>
      <c r="N26" s="145"/>
      <c r="O26" s="145"/>
      <c r="P26" s="145"/>
      <c r="Q26" s="145"/>
      <c r="R26" s="145"/>
      <c r="S26" s="145"/>
      <c r="T26" s="145"/>
      <c r="U26" s="147"/>
    </row>
    <row r="27" spans="1:21" ht="15" customHeight="1">
      <c r="A27" s="69" t="s">
        <v>253</v>
      </c>
      <c r="B27" s="144" t="s">
        <v>325</v>
      </c>
      <c r="C27" s="145"/>
      <c r="D27" s="145"/>
      <c r="E27" s="145"/>
      <c r="F27" s="145"/>
      <c r="G27" s="145"/>
      <c r="H27" s="145"/>
      <c r="I27" s="145"/>
      <c r="J27" s="145"/>
      <c r="K27" s="145"/>
      <c r="L27" s="145"/>
      <c r="M27" s="145"/>
      <c r="N27" s="145"/>
      <c r="O27" s="145"/>
      <c r="P27" s="145"/>
      <c r="Q27" s="145"/>
      <c r="R27" s="145"/>
      <c r="S27" s="145"/>
      <c r="T27" s="145"/>
      <c r="U27" s="147"/>
    </row>
    <row r="28" spans="1:21">
      <c r="A28" s="148" t="s">
        <v>255</v>
      </c>
      <c r="B28" s="149"/>
      <c r="C28" s="149"/>
      <c r="D28" s="149"/>
      <c r="E28" s="149"/>
      <c r="F28" s="149"/>
      <c r="G28" s="149"/>
      <c r="H28" s="149"/>
      <c r="I28" s="149"/>
      <c r="J28" s="149"/>
      <c r="K28" s="149"/>
      <c r="L28" s="149"/>
      <c r="M28" s="149"/>
      <c r="N28" s="149"/>
      <c r="O28" s="149"/>
      <c r="P28" s="149"/>
      <c r="Q28" s="149"/>
      <c r="R28" s="149"/>
      <c r="S28" s="149"/>
      <c r="T28" s="149"/>
      <c r="U28" s="150"/>
    </row>
    <row r="29" spans="1:21" ht="13.9" customHeight="1">
      <c r="A29" s="69" t="s">
        <v>237</v>
      </c>
      <c r="B29" s="144" t="s">
        <v>326</v>
      </c>
      <c r="C29" s="145"/>
      <c r="D29" s="145"/>
      <c r="E29" s="145"/>
      <c r="F29" s="145"/>
      <c r="G29" s="145"/>
      <c r="H29" s="145"/>
      <c r="I29" s="145"/>
      <c r="J29" s="145"/>
      <c r="K29" s="145"/>
      <c r="L29" s="145"/>
      <c r="M29" s="145"/>
      <c r="N29" s="145"/>
      <c r="O29" s="145"/>
      <c r="P29" s="145"/>
      <c r="Q29" s="145"/>
      <c r="R29" s="145"/>
      <c r="S29" s="145"/>
      <c r="T29" s="145"/>
      <c r="U29" s="147"/>
    </row>
    <row r="30" spans="1:21" ht="13.9" customHeight="1">
      <c r="A30" s="69" t="s">
        <v>257</v>
      </c>
      <c r="B30" s="144" t="s">
        <v>258</v>
      </c>
      <c r="C30" s="145"/>
      <c r="D30" s="145"/>
      <c r="E30" s="145"/>
      <c r="F30" s="145"/>
      <c r="G30" s="145"/>
      <c r="H30" s="145"/>
      <c r="I30" s="145"/>
      <c r="J30" s="145"/>
      <c r="K30" s="145"/>
      <c r="L30" s="145"/>
      <c r="M30" s="145"/>
      <c r="N30" s="145"/>
      <c r="O30" s="145"/>
      <c r="P30" s="145"/>
      <c r="Q30" s="145"/>
      <c r="R30" s="145"/>
      <c r="S30" s="145"/>
      <c r="T30" s="145"/>
      <c r="U30" s="147"/>
    </row>
    <row r="31" spans="1:21" s="1" customFormat="1" ht="15" customHeight="1">
      <c r="A31" s="69" t="s">
        <v>234</v>
      </c>
      <c r="B31" s="144" t="s">
        <v>259</v>
      </c>
      <c r="C31" s="145"/>
      <c r="D31" s="145"/>
      <c r="E31" s="145"/>
      <c r="F31" s="145"/>
      <c r="G31" s="145"/>
      <c r="H31" s="145"/>
      <c r="I31" s="145"/>
      <c r="J31" s="145"/>
      <c r="K31" s="145"/>
      <c r="L31" s="145"/>
      <c r="M31" s="145"/>
      <c r="N31" s="145"/>
      <c r="O31" s="145"/>
      <c r="P31" s="145"/>
      <c r="Q31" s="145"/>
      <c r="R31" s="145"/>
      <c r="S31" s="145"/>
      <c r="T31" s="145"/>
      <c r="U31" s="147"/>
    </row>
    <row r="32" spans="1:21" ht="14.45" customHeight="1">
      <c r="A32" s="148" t="s">
        <v>260</v>
      </c>
      <c r="B32" s="149"/>
      <c r="C32" s="149"/>
      <c r="D32" s="149"/>
      <c r="E32" s="149"/>
      <c r="F32" s="149"/>
      <c r="G32" s="149"/>
      <c r="H32" s="149"/>
      <c r="I32" s="149"/>
      <c r="J32" s="149"/>
      <c r="K32" s="149"/>
      <c r="L32" s="149"/>
      <c r="M32" s="149"/>
      <c r="N32" s="149"/>
      <c r="O32" s="149"/>
      <c r="P32" s="149"/>
      <c r="Q32" s="149"/>
      <c r="R32" s="149"/>
      <c r="S32" s="149"/>
      <c r="T32" s="149"/>
      <c r="U32" s="150"/>
    </row>
    <row r="33" spans="1:21" ht="14.45" customHeight="1">
      <c r="A33" s="69" t="s">
        <v>237</v>
      </c>
      <c r="B33" s="144" t="s">
        <v>326</v>
      </c>
      <c r="C33" s="145"/>
      <c r="D33" s="145"/>
      <c r="E33" s="145"/>
      <c r="F33" s="145"/>
      <c r="G33" s="145"/>
      <c r="H33" s="145"/>
      <c r="I33" s="145"/>
      <c r="J33" s="145"/>
      <c r="K33" s="145"/>
      <c r="L33" s="145"/>
      <c r="M33" s="145"/>
      <c r="N33" s="145"/>
      <c r="O33" s="145"/>
      <c r="P33" s="145"/>
      <c r="Q33" s="145"/>
      <c r="R33" s="145"/>
      <c r="S33" s="145"/>
      <c r="T33" s="145"/>
      <c r="U33" s="147"/>
    </row>
    <row r="34" spans="1:21" ht="15" customHeight="1">
      <c r="A34" s="69" t="s">
        <v>261</v>
      </c>
      <c r="B34" s="144" t="s">
        <v>262</v>
      </c>
      <c r="C34" s="145"/>
      <c r="D34" s="145"/>
      <c r="E34" s="145"/>
      <c r="F34" s="145"/>
      <c r="G34" s="145"/>
      <c r="H34" s="145"/>
      <c r="I34" s="145"/>
      <c r="J34" s="145"/>
      <c r="K34" s="145"/>
      <c r="L34" s="146"/>
      <c r="M34" s="151" t="s">
        <v>327</v>
      </c>
      <c r="N34" s="152"/>
      <c r="O34" s="152"/>
      <c r="P34" s="152"/>
      <c r="Q34" s="152"/>
      <c r="R34" s="152"/>
      <c r="S34" s="152"/>
      <c r="T34" s="152"/>
      <c r="U34" s="161"/>
    </row>
    <row r="35" spans="1:21" ht="14.45" customHeight="1">
      <c r="A35" s="148" t="s">
        <v>264</v>
      </c>
      <c r="B35" s="149"/>
      <c r="C35" s="149"/>
      <c r="D35" s="149"/>
      <c r="E35" s="149"/>
      <c r="F35" s="149"/>
      <c r="G35" s="149"/>
      <c r="H35" s="149"/>
      <c r="I35" s="149"/>
      <c r="J35" s="149"/>
      <c r="K35" s="149"/>
      <c r="L35" s="149"/>
      <c r="M35" s="149"/>
      <c r="N35" s="149"/>
      <c r="O35" s="149"/>
      <c r="P35" s="149"/>
      <c r="Q35" s="149"/>
      <c r="R35" s="149"/>
      <c r="S35" s="149"/>
      <c r="T35" s="149"/>
      <c r="U35" s="150"/>
    </row>
    <row r="36" spans="1:21" ht="14.45" customHeight="1">
      <c r="A36" s="69" t="s">
        <v>265</v>
      </c>
      <c r="B36" s="144" t="s">
        <v>328</v>
      </c>
      <c r="C36" s="145"/>
      <c r="D36" s="145"/>
      <c r="E36" s="145"/>
      <c r="F36" s="145"/>
      <c r="G36" s="145"/>
      <c r="H36" s="145"/>
      <c r="I36" s="145"/>
      <c r="J36" s="145"/>
      <c r="K36" s="145"/>
      <c r="L36" s="145"/>
      <c r="M36" s="145"/>
      <c r="N36" s="145"/>
      <c r="O36" s="145"/>
      <c r="P36" s="145"/>
      <c r="Q36" s="145"/>
      <c r="R36" s="145"/>
      <c r="S36" s="145"/>
      <c r="T36" s="145"/>
      <c r="U36" s="147"/>
    </row>
    <row r="37" spans="1:21" ht="14.45" customHeight="1">
      <c r="A37" s="69" t="s">
        <v>267</v>
      </c>
      <c r="B37" s="144" t="s">
        <v>329</v>
      </c>
      <c r="C37" s="145"/>
      <c r="D37" s="145"/>
      <c r="E37" s="145"/>
      <c r="F37" s="145"/>
      <c r="G37" s="145"/>
      <c r="H37" s="145"/>
      <c r="I37" s="145"/>
      <c r="J37" s="145"/>
      <c r="K37" s="145"/>
      <c r="L37" s="145"/>
      <c r="M37" s="145"/>
      <c r="N37" s="145"/>
      <c r="O37" s="145"/>
      <c r="P37" s="145"/>
      <c r="Q37" s="145"/>
      <c r="R37" s="145"/>
      <c r="S37" s="145"/>
      <c r="T37" s="145"/>
      <c r="U37" s="147"/>
    </row>
    <row r="38" spans="1:21" ht="14.45" customHeight="1">
      <c r="A38" s="69" t="s">
        <v>269</v>
      </c>
      <c r="B38" s="144" t="s">
        <v>330</v>
      </c>
      <c r="C38" s="145"/>
      <c r="D38" s="145"/>
      <c r="E38" s="145"/>
      <c r="F38" s="145"/>
      <c r="G38" s="145"/>
      <c r="H38" s="145"/>
      <c r="I38" s="145"/>
      <c r="J38" s="145"/>
      <c r="K38" s="145"/>
      <c r="L38" s="145"/>
      <c r="M38" s="145"/>
      <c r="N38" s="145"/>
      <c r="O38" s="145"/>
      <c r="P38" s="145"/>
      <c r="Q38" s="145"/>
      <c r="R38" s="145"/>
      <c r="S38" s="145"/>
      <c r="T38" s="145"/>
      <c r="U38" s="147"/>
    </row>
    <row r="39" spans="1:21" s="1" customFormat="1" ht="14.45" customHeight="1">
      <c r="A39" s="141" t="s">
        <v>271</v>
      </c>
      <c r="B39" s="142"/>
      <c r="C39" s="142"/>
      <c r="D39" s="142"/>
      <c r="E39" s="142"/>
      <c r="F39" s="142"/>
      <c r="G39" s="142"/>
      <c r="H39" s="142"/>
      <c r="I39" s="142"/>
      <c r="J39" s="142"/>
      <c r="K39" s="142"/>
      <c r="L39" s="142"/>
      <c r="M39" s="142"/>
      <c r="N39" s="142"/>
      <c r="O39" s="142"/>
      <c r="P39" s="142"/>
      <c r="Q39" s="142"/>
      <c r="R39" s="142"/>
      <c r="S39" s="142"/>
      <c r="T39" s="142"/>
      <c r="U39" s="143"/>
    </row>
    <row r="40" spans="1:21" s="1" customForma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10"/>
    </row>
    <row r="41" spans="1:2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10"/>
    </row>
    <row r="42" spans="1:2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10"/>
    </row>
    <row r="43" spans="1:2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10"/>
    </row>
    <row r="44" spans="1:2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7"/>
    </row>
    <row r="45" spans="1:21" ht="13.9" customHeight="1">
      <c r="A45" s="69"/>
      <c r="B45" s="109"/>
      <c r="C45" s="109"/>
      <c r="D45" s="109"/>
      <c r="E45" s="109"/>
      <c r="F45" s="109"/>
      <c r="G45" s="109"/>
      <c r="H45" s="109"/>
      <c r="I45" s="109"/>
      <c r="J45" s="109"/>
      <c r="K45" s="109"/>
      <c r="L45" s="109"/>
      <c r="M45" s="109"/>
      <c r="N45" s="109"/>
      <c r="O45" s="109"/>
      <c r="P45" s="109"/>
      <c r="Q45" s="109"/>
      <c r="R45" s="109"/>
      <c r="S45" s="109"/>
      <c r="T45" s="109"/>
      <c r="U45" s="110"/>
    </row>
    <row r="46" spans="1:21" ht="13.9" customHeight="1">
      <c r="A46" s="69"/>
      <c r="B46" s="109"/>
      <c r="C46" s="109"/>
      <c r="D46" s="109"/>
      <c r="E46" s="109"/>
      <c r="F46" s="109"/>
      <c r="G46" s="109"/>
      <c r="H46" s="109"/>
      <c r="I46" s="109"/>
      <c r="J46" s="109"/>
      <c r="K46" s="109"/>
      <c r="L46" s="109"/>
      <c r="M46" s="109"/>
      <c r="N46" s="109"/>
      <c r="O46" s="109"/>
      <c r="P46" s="109"/>
      <c r="Q46" s="109"/>
      <c r="R46" s="109"/>
      <c r="S46" s="109"/>
      <c r="T46" s="109"/>
      <c r="U46" s="110"/>
    </row>
    <row r="47" spans="1:21" ht="13.9" customHeight="1">
      <c r="A47" s="148" t="s">
        <v>278</v>
      </c>
      <c r="B47" s="149"/>
      <c r="C47" s="149"/>
      <c r="D47" s="149"/>
      <c r="E47" s="149"/>
      <c r="F47" s="149"/>
      <c r="G47" s="149"/>
      <c r="H47" s="149"/>
      <c r="I47" s="149"/>
      <c r="J47" s="149"/>
      <c r="K47" s="149"/>
      <c r="L47" s="149"/>
      <c r="M47" s="149"/>
      <c r="N47" s="149"/>
      <c r="O47" s="149"/>
      <c r="P47" s="149"/>
      <c r="Q47" s="149"/>
      <c r="R47" s="149"/>
      <c r="S47" s="149"/>
      <c r="T47" s="149"/>
      <c r="U47" s="150"/>
    </row>
    <row r="48" spans="1:21" ht="29.45" customHeight="1">
      <c r="A48" s="111" t="s">
        <v>279</v>
      </c>
      <c r="B48" s="112"/>
      <c r="C48" s="112"/>
      <c r="D48" s="112"/>
      <c r="E48" s="112"/>
      <c r="F48" s="112"/>
      <c r="G48" s="112"/>
      <c r="H48" s="112"/>
      <c r="I48" s="112"/>
      <c r="J48" s="112"/>
      <c r="K48" s="112"/>
      <c r="L48" s="112"/>
      <c r="M48" s="112"/>
      <c r="N48" s="112"/>
      <c r="O48" s="112"/>
      <c r="P48" s="112"/>
      <c r="Q48" s="112"/>
      <c r="R48" s="112"/>
      <c r="S48" s="112"/>
      <c r="T48" s="112"/>
      <c r="U48" s="113"/>
    </row>
    <row r="49" spans="1:21" ht="13.9" customHeight="1">
      <c r="A49" s="114" t="s">
        <v>280</v>
      </c>
      <c r="B49" s="115"/>
      <c r="C49" s="115"/>
      <c r="D49" s="115"/>
      <c r="E49" s="115"/>
      <c r="F49" s="115"/>
      <c r="G49" s="115"/>
      <c r="H49" s="115"/>
      <c r="I49" s="115"/>
      <c r="J49" s="115"/>
      <c r="K49" s="115"/>
      <c r="L49" s="115"/>
      <c r="M49" s="115"/>
      <c r="N49" s="115"/>
      <c r="O49" s="115"/>
      <c r="P49" s="115"/>
      <c r="Q49" s="115"/>
      <c r="R49" s="115"/>
      <c r="S49" s="115"/>
      <c r="T49" s="115"/>
      <c r="U49" s="116"/>
    </row>
    <row r="50" spans="1:21" ht="13.9" customHeight="1">
      <c r="A50" s="114" t="s">
        <v>281</v>
      </c>
      <c r="B50" s="115"/>
      <c r="C50" s="115"/>
      <c r="D50" s="115"/>
      <c r="E50" s="115"/>
      <c r="F50" s="115"/>
      <c r="G50" s="115"/>
      <c r="H50" s="115"/>
      <c r="I50" s="115"/>
      <c r="J50" s="115"/>
      <c r="K50" s="115"/>
      <c r="L50" s="115"/>
      <c r="M50" s="115"/>
      <c r="N50" s="115"/>
      <c r="O50" s="115"/>
      <c r="P50" s="115"/>
      <c r="Q50" s="115"/>
      <c r="R50" s="115"/>
      <c r="S50" s="115"/>
      <c r="T50" s="115"/>
      <c r="U50" s="116"/>
    </row>
    <row r="51" spans="1:21" ht="30.6" customHeight="1">
      <c r="A51" s="114" t="s">
        <v>282</v>
      </c>
      <c r="B51" s="115"/>
      <c r="C51" s="115"/>
      <c r="D51" s="115"/>
      <c r="E51" s="115"/>
      <c r="F51" s="115"/>
      <c r="G51" s="115"/>
      <c r="H51" s="115"/>
      <c r="I51" s="115"/>
      <c r="J51" s="115"/>
      <c r="K51" s="115"/>
      <c r="L51" s="115"/>
      <c r="M51" s="115"/>
      <c r="N51" s="115"/>
      <c r="O51" s="115"/>
      <c r="P51" s="115"/>
      <c r="Q51" s="115"/>
      <c r="R51" s="115"/>
      <c r="S51" s="115"/>
      <c r="T51" s="115"/>
      <c r="U51" s="116"/>
    </row>
    <row r="52" spans="1:21" s="1" customFormat="1" ht="30" customHeight="1">
      <c r="A52" s="114" t="s">
        <v>283</v>
      </c>
      <c r="B52" s="115"/>
      <c r="C52" s="115"/>
      <c r="D52" s="115"/>
      <c r="E52" s="115"/>
      <c r="F52" s="115"/>
      <c r="G52" s="115"/>
      <c r="H52" s="115"/>
      <c r="I52" s="115"/>
      <c r="J52" s="115"/>
      <c r="K52" s="115"/>
      <c r="L52" s="115"/>
      <c r="M52" s="115"/>
      <c r="N52" s="115"/>
      <c r="O52" s="115"/>
      <c r="P52" s="115"/>
      <c r="Q52" s="115"/>
      <c r="R52" s="115"/>
      <c r="S52" s="115"/>
      <c r="T52" s="115"/>
      <c r="U52" s="116"/>
    </row>
    <row r="53" spans="1:21" s="1" customFormat="1"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6"/>
    </row>
    <row r="54" spans="1:21" s="1" customFormat="1"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6"/>
    </row>
    <row r="55" spans="1:21" s="1" customFormat="1" ht="15.75" thickBot="1">
      <c r="A55" s="177"/>
      <c r="B55" s="178"/>
      <c r="C55" s="178"/>
      <c r="D55" s="178"/>
      <c r="E55" s="178"/>
      <c r="F55" s="178"/>
      <c r="G55" s="178"/>
      <c r="H55" s="178"/>
      <c r="I55" s="178"/>
      <c r="J55" s="178"/>
      <c r="K55" s="178"/>
      <c r="L55" s="178"/>
      <c r="M55" s="178"/>
      <c r="N55" s="178"/>
      <c r="O55" s="178"/>
      <c r="P55" s="178"/>
      <c r="Q55" s="178"/>
      <c r="R55" s="178"/>
      <c r="S55" s="72"/>
      <c r="T55" s="72"/>
      <c r="U55" s="83"/>
    </row>
  </sheetData>
  <mergeCells count="82">
    <mergeCell ref="P9:U9"/>
    <mergeCell ref="A10:U10"/>
    <mergeCell ref="S1:U1"/>
    <mergeCell ref="S2:U2"/>
    <mergeCell ref="S3:U3"/>
    <mergeCell ref="F1:R1"/>
    <mergeCell ref="P2:R2"/>
    <mergeCell ref="P3:R3"/>
    <mergeCell ref="M2:O2"/>
    <mergeCell ref="M3:O3"/>
    <mergeCell ref="I5:U5"/>
    <mergeCell ref="I6:U6"/>
    <mergeCell ref="F5:H5"/>
    <mergeCell ref="A7:U7"/>
    <mergeCell ref="P8:U8"/>
    <mergeCell ref="F4:H4"/>
    <mergeCell ref="B44:E44"/>
    <mergeCell ref="F44:U44"/>
    <mergeCell ref="B45:U45"/>
    <mergeCell ref="A55:R55"/>
    <mergeCell ref="A47:U47"/>
    <mergeCell ref="B46:U46"/>
    <mergeCell ref="A48:U48"/>
    <mergeCell ref="A49:U49"/>
    <mergeCell ref="A50:U50"/>
    <mergeCell ref="A51:U51"/>
    <mergeCell ref="A52:U52"/>
    <mergeCell ref="A53:U53"/>
    <mergeCell ref="A54:U54"/>
    <mergeCell ref="A39:U39"/>
    <mergeCell ref="B40:U40"/>
    <mergeCell ref="B41:U41"/>
    <mergeCell ref="B42:U42"/>
    <mergeCell ref="B43:U43"/>
    <mergeCell ref="B37:U37"/>
    <mergeCell ref="B38:U38"/>
    <mergeCell ref="M34:U34"/>
    <mergeCell ref="B34:L34"/>
    <mergeCell ref="B31:U31"/>
    <mergeCell ref="A32:U32"/>
    <mergeCell ref="B33:U33"/>
    <mergeCell ref="A35:U35"/>
    <mergeCell ref="O16:U16"/>
    <mergeCell ref="O17:U17"/>
    <mergeCell ref="B16:N16"/>
    <mergeCell ref="B36:U36"/>
    <mergeCell ref="O20:U20"/>
    <mergeCell ref="B26:E26"/>
    <mergeCell ref="B21:U21"/>
    <mergeCell ref="B22:U22"/>
    <mergeCell ref="B23:U23"/>
    <mergeCell ref="B24:U24"/>
    <mergeCell ref="B25:U25"/>
    <mergeCell ref="F26:U26"/>
    <mergeCell ref="B27:U27"/>
    <mergeCell ref="A28:U28"/>
    <mergeCell ref="B29:U29"/>
    <mergeCell ref="B30:U30"/>
    <mergeCell ref="I4:U4"/>
    <mergeCell ref="F6:H6"/>
    <mergeCell ref="A1:E6"/>
    <mergeCell ref="F2:I2"/>
    <mergeCell ref="J2:L2"/>
    <mergeCell ref="F3:G3"/>
    <mergeCell ref="H3:I3"/>
    <mergeCell ref="J3:L3"/>
    <mergeCell ref="B9:C9"/>
    <mergeCell ref="B11:R11"/>
    <mergeCell ref="B20:N20"/>
    <mergeCell ref="L8:O9"/>
    <mergeCell ref="D9:E9"/>
    <mergeCell ref="F9:G9"/>
    <mergeCell ref="H9:I9"/>
    <mergeCell ref="J9:K9"/>
    <mergeCell ref="B8:C8"/>
    <mergeCell ref="D8:E8"/>
    <mergeCell ref="F8:G8"/>
    <mergeCell ref="H8:I8"/>
    <mergeCell ref="J8:K8"/>
    <mergeCell ref="B17:N17"/>
    <mergeCell ref="B18:R18"/>
    <mergeCell ref="A19:R19"/>
  </mergeCells>
  <printOptions horizontalCentered="1"/>
  <pageMargins left="0.7" right="0.7" top="0.75" bottom="0.75" header="0.3" footer="0.3"/>
  <pageSetup paperSize="9" scale="91" firstPageNumber="18" orientation="portrait" r:id="rId1"/>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0">
    <tabColor theme="5" tint="0.59999389629810485"/>
    <pageSetUpPr fitToPage="1"/>
  </sheetPr>
  <dimension ref="A1:R55"/>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12" customFormat="1">
      <c r="A12" s="70" t="s">
        <v>331</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332</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t="s">
        <v>232</v>
      </c>
      <c r="G14" s="17" t="s">
        <v>232</v>
      </c>
      <c r="H14" s="17" t="s">
        <v>232</v>
      </c>
      <c r="I14" s="17" t="s">
        <v>232</v>
      </c>
      <c r="J14" s="17">
        <v>40</v>
      </c>
      <c r="K14" s="17">
        <v>40</v>
      </c>
      <c r="L14" s="17">
        <v>40</v>
      </c>
      <c r="M14" s="17">
        <v>40</v>
      </c>
      <c r="N14" s="17">
        <v>40</v>
      </c>
      <c r="O14" s="17">
        <v>40</v>
      </c>
      <c r="P14" s="17">
        <v>40</v>
      </c>
      <c r="Q14" s="17" t="s">
        <v>174</v>
      </c>
      <c r="R14" s="66">
        <v>40</v>
      </c>
    </row>
    <row r="15" spans="1:18" s="12" customFormat="1">
      <c r="A15" s="70" t="s">
        <v>333</v>
      </c>
      <c r="B15" s="17">
        <v>7.47</v>
      </c>
      <c r="C15" s="17">
        <v>5.56</v>
      </c>
      <c r="D15" s="17">
        <v>6.35</v>
      </c>
      <c r="E15" s="17">
        <v>7.14</v>
      </c>
      <c r="F15" s="17">
        <v>5.54</v>
      </c>
      <c r="G15" s="17">
        <v>7.62</v>
      </c>
      <c r="H15" s="17">
        <v>8.56</v>
      </c>
      <c r="I15" s="17">
        <v>10.97</v>
      </c>
      <c r="J15" s="17">
        <v>8.18</v>
      </c>
      <c r="K15" s="17">
        <v>9.27</v>
      </c>
      <c r="L15" s="17">
        <v>10.31</v>
      </c>
      <c r="M15" s="17">
        <v>11.13</v>
      </c>
      <c r="N15" s="17">
        <v>12.7</v>
      </c>
      <c r="O15" s="17">
        <v>14.27</v>
      </c>
      <c r="P15" s="17">
        <v>15.09</v>
      </c>
      <c r="Q15" s="17">
        <v>17.48</v>
      </c>
      <c r="R15" s="66">
        <v>17.48</v>
      </c>
    </row>
    <row r="16" spans="1:18">
      <c r="A16" s="69" t="s">
        <v>234</v>
      </c>
      <c r="B16" s="144" t="s">
        <v>235</v>
      </c>
      <c r="C16" s="145"/>
      <c r="D16" s="145"/>
      <c r="E16" s="145"/>
      <c r="F16" s="145"/>
      <c r="G16" s="145"/>
      <c r="H16" s="145"/>
      <c r="I16" s="145"/>
      <c r="J16" s="145"/>
      <c r="K16" s="145"/>
      <c r="L16" s="145"/>
      <c r="M16" s="145"/>
      <c r="N16" s="145"/>
      <c r="O16" s="109" t="s">
        <v>287</v>
      </c>
      <c r="P16" s="109"/>
      <c r="Q16" s="109"/>
      <c r="R16" s="110"/>
    </row>
    <row r="17" spans="1:18" ht="14.45" customHeight="1">
      <c r="A17" s="69" t="s">
        <v>237</v>
      </c>
      <c r="B17" s="144" t="s">
        <v>295</v>
      </c>
      <c r="C17" s="145"/>
      <c r="D17" s="145"/>
      <c r="E17" s="145"/>
      <c r="F17" s="145"/>
      <c r="G17" s="145"/>
      <c r="H17" s="145"/>
      <c r="I17" s="145"/>
      <c r="J17" s="145"/>
      <c r="K17" s="145"/>
      <c r="L17" s="145"/>
      <c r="M17" s="145"/>
      <c r="N17" s="145"/>
      <c r="O17" s="101" t="s">
        <v>288</v>
      </c>
      <c r="P17" s="101"/>
      <c r="Q17" s="101"/>
      <c r="R17" s="102"/>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18"/>
      <c r="C19" s="118"/>
      <c r="D19" s="118"/>
      <c r="E19" s="118"/>
      <c r="F19" s="118"/>
      <c r="G19" s="118"/>
      <c r="H19" s="118"/>
      <c r="I19" s="118"/>
      <c r="J19" s="118"/>
      <c r="K19" s="118"/>
      <c r="L19" s="118"/>
      <c r="M19" s="118"/>
      <c r="N19" s="118"/>
      <c r="O19" s="118"/>
      <c r="P19" s="118"/>
      <c r="Q19" s="118"/>
      <c r="R19" s="119"/>
    </row>
    <row r="20" spans="1:18" ht="31.1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289</v>
      </c>
      <c r="C21" s="145"/>
      <c r="D21" s="145"/>
      <c r="E21" s="145"/>
      <c r="F21" s="145"/>
      <c r="G21" s="145"/>
      <c r="H21" s="145"/>
      <c r="I21" s="145"/>
      <c r="J21" s="145"/>
      <c r="K21" s="145"/>
      <c r="L21" s="145"/>
      <c r="M21" s="145"/>
      <c r="N21" s="145"/>
      <c r="O21" s="145"/>
      <c r="P21" s="145"/>
      <c r="Q21" s="145"/>
      <c r="R21" s="147"/>
    </row>
    <row r="22" spans="1:18" ht="15" customHeight="1">
      <c r="A22" s="69" t="s">
        <v>246</v>
      </c>
      <c r="B22" s="144" t="s">
        <v>247</v>
      </c>
      <c r="C22" s="145"/>
      <c r="D22" s="145"/>
      <c r="E22" s="145"/>
      <c r="F22" s="145" t="s">
        <v>334</v>
      </c>
      <c r="G22" s="145"/>
      <c r="H22" s="145"/>
      <c r="I22" s="145"/>
      <c r="J22" s="145"/>
      <c r="K22" s="145"/>
      <c r="L22" s="145"/>
      <c r="M22" s="145"/>
      <c r="N22" s="145"/>
      <c r="O22" s="145"/>
      <c r="P22" s="145"/>
      <c r="Q22" s="145"/>
      <c r="R22" s="147"/>
    </row>
    <row r="23" spans="1:18" ht="15" customHeight="1">
      <c r="A23" s="69" t="s">
        <v>248</v>
      </c>
      <c r="B23" s="144" t="s">
        <v>247</v>
      </c>
      <c r="C23" s="145"/>
      <c r="D23" s="145"/>
      <c r="E23" s="145"/>
      <c r="F23" s="145" t="s">
        <v>334</v>
      </c>
      <c r="G23" s="145"/>
      <c r="H23" s="145"/>
      <c r="I23" s="145"/>
      <c r="J23" s="145"/>
      <c r="K23" s="145"/>
      <c r="L23" s="145"/>
      <c r="M23" s="145"/>
      <c r="N23" s="145"/>
      <c r="O23" s="145"/>
      <c r="P23" s="145"/>
      <c r="Q23" s="145"/>
      <c r="R23" s="147"/>
    </row>
    <row r="24" spans="1:18" ht="15" customHeight="1">
      <c r="A24" s="69" t="s">
        <v>249</v>
      </c>
      <c r="B24" s="144" t="s">
        <v>247</v>
      </c>
      <c r="C24" s="145"/>
      <c r="D24" s="145"/>
      <c r="E24" s="145"/>
      <c r="F24" s="145" t="s">
        <v>334</v>
      </c>
      <c r="G24" s="145"/>
      <c r="H24" s="145"/>
      <c r="I24" s="145"/>
      <c r="J24" s="145"/>
      <c r="K24" s="145"/>
      <c r="L24" s="145"/>
      <c r="M24" s="145"/>
      <c r="N24" s="145"/>
      <c r="O24" s="145"/>
      <c r="P24" s="145"/>
      <c r="Q24" s="145"/>
      <c r="R24" s="147"/>
    </row>
    <row r="25" spans="1:18" ht="15" customHeight="1">
      <c r="A25" s="69" t="s">
        <v>250</v>
      </c>
      <c r="B25" s="144" t="s">
        <v>247</v>
      </c>
      <c r="C25" s="145"/>
      <c r="D25" s="145"/>
      <c r="E25" s="145"/>
      <c r="F25" s="145" t="s">
        <v>334</v>
      </c>
      <c r="G25" s="145"/>
      <c r="H25" s="145"/>
      <c r="I25" s="145"/>
      <c r="J25" s="145"/>
      <c r="K25" s="145"/>
      <c r="L25" s="145"/>
      <c r="M25" s="145"/>
      <c r="N25" s="145"/>
      <c r="O25" s="145"/>
      <c r="P25" s="145"/>
      <c r="Q25" s="145"/>
      <c r="R25" s="147"/>
    </row>
    <row r="26" spans="1:18">
      <c r="A26" s="69" t="s">
        <v>251</v>
      </c>
      <c r="B26" s="151" t="s">
        <v>335</v>
      </c>
      <c r="C26" s="152"/>
      <c r="D26" s="152"/>
      <c r="E26" s="127"/>
      <c r="F26" s="144"/>
      <c r="G26" s="145"/>
      <c r="H26" s="145"/>
      <c r="I26" s="145"/>
      <c r="J26" s="145"/>
      <c r="K26" s="145"/>
      <c r="L26" s="145"/>
      <c r="M26" s="145"/>
      <c r="N26" s="145"/>
      <c r="O26" s="145"/>
      <c r="P26" s="145"/>
      <c r="Q26" s="145"/>
      <c r="R26" s="147"/>
    </row>
    <row r="27" spans="1:18" ht="13.9" customHeight="1">
      <c r="A27" s="69" t="s">
        <v>253</v>
      </c>
      <c r="B27" s="144" t="s">
        <v>325</v>
      </c>
      <c r="C27" s="145"/>
      <c r="D27" s="145"/>
      <c r="E27" s="145"/>
      <c r="F27" s="145"/>
      <c r="G27" s="145"/>
      <c r="H27" s="145"/>
      <c r="I27" s="145"/>
      <c r="J27" s="145"/>
      <c r="K27" s="145"/>
      <c r="L27" s="145"/>
      <c r="M27" s="145"/>
      <c r="N27" s="145"/>
      <c r="O27" s="145"/>
      <c r="P27" s="145"/>
      <c r="Q27" s="145"/>
      <c r="R27" s="147"/>
    </row>
    <row r="28" spans="1:18" s="5" customFormat="1">
      <c r="A28" s="117" t="s">
        <v>255</v>
      </c>
      <c r="B28" s="109"/>
      <c r="C28" s="109"/>
      <c r="D28" s="109"/>
      <c r="E28" s="109"/>
      <c r="F28" s="109"/>
      <c r="G28" s="109"/>
      <c r="H28" s="109"/>
      <c r="I28" s="109"/>
      <c r="J28" s="109"/>
      <c r="K28" s="109"/>
      <c r="L28" s="109"/>
      <c r="M28" s="109"/>
      <c r="N28" s="109"/>
      <c r="O28" s="109"/>
      <c r="P28" s="109"/>
      <c r="Q28" s="109"/>
      <c r="R28" s="110"/>
    </row>
    <row r="29" spans="1:18" s="5" customFormat="1" ht="13.9" customHeight="1">
      <c r="A29" s="69" t="s">
        <v>237</v>
      </c>
      <c r="B29" s="205" t="s">
        <v>326</v>
      </c>
      <c r="C29" s="206"/>
      <c r="D29" s="206"/>
      <c r="E29" s="206"/>
      <c r="F29" s="206"/>
      <c r="G29" s="206"/>
      <c r="H29" s="206"/>
      <c r="I29" s="206"/>
      <c r="J29" s="206"/>
      <c r="K29" s="206"/>
      <c r="L29" s="206"/>
      <c r="M29" s="206"/>
      <c r="N29" s="206"/>
      <c r="O29" s="206"/>
      <c r="P29" s="206"/>
      <c r="Q29" s="206"/>
      <c r="R29" s="207"/>
    </row>
    <row r="30" spans="1:18" s="5" customFormat="1" ht="13.9" customHeight="1">
      <c r="A30" s="69" t="s">
        <v>257</v>
      </c>
      <c r="B30" s="205" t="s">
        <v>291</v>
      </c>
      <c r="C30" s="206"/>
      <c r="D30" s="206"/>
      <c r="E30" s="206"/>
      <c r="F30" s="206"/>
      <c r="G30" s="206"/>
      <c r="H30" s="206"/>
      <c r="I30" s="206"/>
      <c r="J30" s="206"/>
      <c r="K30" s="206"/>
      <c r="L30" s="206"/>
      <c r="M30" s="206"/>
      <c r="N30" s="206"/>
      <c r="O30" s="206"/>
      <c r="P30" s="206"/>
      <c r="Q30" s="206"/>
      <c r="R30" s="207"/>
    </row>
    <row r="31" spans="1:18" ht="15" customHeight="1">
      <c r="A31" s="69" t="s">
        <v>234</v>
      </c>
      <c r="B31" s="205" t="s">
        <v>259</v>
      </c>
      <c r="C31" s="206"/>
      <c r="D31" s="206"/>
      <c r="E31" s="206"/>
      <c r="F31" s="206"/>
      <c r="G31" s="206"/>
      <c r="H31" s="206"/>
      <c r="I31" s="206"/>
      <c r="J31" s="206"/>
      <c r="K31" s="206"/>
      <c r="L31" s="206"/>
      <c r="M31" s="206"/>
      <c r="N31" s="206"/>
      <c r="O31" s="206"/>
      <c r="P31" s="206"/>
      <c r="Q31" s="206"/>
      <c r="R31" s="207"/>
    </row>
    <row r="32" spans="1:18" s="5" customFormat="1">
      <c r="A32" s="117" t="s">
        <v>260</v>
      </c>
      <c r="B32" s="109"/>
      <c r="C32" s="109"/>
      <c r="D32" s="109"/>
      <c r="E32" s="109"/>
      <c r="F32" s="109"/>
      <c r="G32" s="109"/>
      <c r="H32" s="109"/>
      <c r="I32" s="109"/>
      <c r="J32" s="109"/>
      <c r="K32" s="109"/>
      <c r="L32" s="109"/>
      <c r="M32" s="109"/>
      <c r="N32" s="109"/>
      <c r="O32" s="109"/>
      <c r="P32" s="109"/>
      <c r="Q32" s="109"/>
      <c r="R32" s="110"/>
    </row>
    <row r="33" spans="1:18" s="5" customFormat="1">
      <c r="A33" s="69" t="s">
        <v>237</v>
      </c>
      <c r="B33" s="109" t="s">
        <v>326</v>
      </c>
      <c r="C33" s="109"/>
      <c r="D33" s="109"/>
      <c r="E33" s="109"/>
      <c r="F33" s="109"/>
      <c r="G33" s="109"/>
      <c r="H33" s="109"/>
      <c r="I33" s="109"/>
      <c r="J33" s="109"/>
      <c r="K33" s="109"/>
      <c r="L33" s="109"/>
      <c r="M33" s="109"/>
      <c r="N33" s="109"/>
      <c r="O33" s="109"/>
      <c r="P33" s="109"/>
      <c r="Q33" s="109"/>
      <c r="R33" s="110"/>
    </row>
    <row r="34" spans="1:18" s="5" customFormat="1" ht="15" customHeight="1">
      <c r="A34" s="69" t="s">
        <v>261</v>
      </c>
      <c r="B34" s="144" t="s">
        <v>262</v>
      </c>
      <c r="C34" s="145"/>
      <c r="D34" s="145"/>
      <c r="E34" s="145"/>
      <c r="F34" s="145"/>
      <c r="G34" s="145"/>
      <c r="H34" s="145"/>
      <c r="I34" s="145"/>
      <c r="J34" s="145"/>
      <c r="K34" s="145"/>
      <c r="L34" s="146"/>
      <c r="M34" s="151" t="s">
        <v>327</v>
      </c>
      <c r="N34" s="152"/>
      <c r="O34" s="152"/>
      <c r="P34" s="152"/>
      <c r="Q34" s="152"/>
      <c r="R34" s="161"/>
    </row>
    <row r="35" spans="1:18" s="5" customFormat="1">
      <c r="A35" s="117" t="s">
        <v>264</v>
      </c>
      <c r="B35" s="109"/>
      <c r="C35" s="109"/>
      <c r="D35" s="109"/>
      <c r="E35" s="109"/>
      <c r="F35" s="109"/>
      <c r="G35" s="109"/>
      <c r="H35" s="109"/>
      <c r="I35" s="109"/>
      <c r="J35" s="109"/>
      <c r="K35" s="109"/>
      <c r="L35" s="109"/>
      <c r="M35" s="109"/>
      <c r="N35" s="109"/>
      <c r="O35" s="109"/>
      <c r="P35" s="109"/>
      <c r="Q35" s="109"/>
      <c r="R35" s="110"/>
    </row>
    <row r="36" spans="1:18" s="5" customFormat="1">
      <c r="A36" s="69" t="s">
        <v>265</v>
      </c>
      <c r="B36" s="144" t="s">
        <v>328</v>
      </c>
      <c r="C36" s="145"/>
      <c r="D36" s="145"/>
      <c r="E36" s="145"/>
      <c r="F36" s="145"/>
      <c r="G36" s="145"/>
      <c r="H36" s="145"/>
      <c r="I36" s="145"/>
      <c r="J36" s="145"/>
      <c r="K36" s="145"/>
      <c r="L36" s="145"/>
      <c r="M36" s="145"/>
      <c r="N36" s="145"/>
      <c r="O36" s="145"/>
      <c r="P36" s="145"/>
      <c r="Q36" s="145"/>
      <c r="R36" s="147"/>
    </row>
    <row r="37" spans="1:18" s="5" customFormat="1">
      <c r="A37" s="69" t="s">
        <v>267</v>
      </c>
      <c r="B37" s="144" t="s">
        <v>329</v>
      </c>
      <c r="C37" s="145"/>
      <c r="D37" s="145"/>
      <c r="E37" s="145"/>
      <c r="F37" s="145"/>
      <c r="G37" s="145"/>
      <c r="H37" s="145"/>
      <c r="I37" s="145"/>
      <c r="J37" s="145"/>
      <c r="K37" s="145"/>
      <c r="L37" s="145"/>
      <c r="M37" s="145"/>
      <c r="N37" s="145"/>
      <c r="O37" s="145"/>
      <c r="P37" s="145"/>
      <c r="Q37" s="145"/>
      <c r="R37" s="147"/>
    </row>
    <row r="38" spans="1:18" s="5" customFormat="1">
      <c r="A38" s="69" t="s">
        <v>269</v>
      </c>
      <c r="B38" s="144" t="s">
        <v>330</v>
      </c>
      <c r="C38" s="149"/>
      <c r="D38" s="149"/>
      <c r="E38" s="149"/>
      <c r="F38" s="149"/>
      <c r="G38" s="149"/>
      <c r="H38" s="149"/>
      <c r="I38" s="149"/>
      <c r="J38" s="149"/>
      <c r="K38" s="149"/>
      <c r="L38" s="149"/>
      <c r="M38" s="149"/>
      <c r="N38" s="149"/>
      <c r="O38" s="149"/>
      <c r="P38" s="149"/>
      <c r="Q38" s="149"/>
      <c r="R38" s="150"/>
    </row>
    <row r="39" spans="1:18" ht="14.45" customHeight="1">
      <c r="A39" s="141" t="s">
        <v>271</v>
      </c>
      <c r="B39" s="142"/>
      <c r="C39" s="142"/>
      <c r="D39" s="142"/>
      <c r="E39" s="142"/>
      <c r="F39" s="142"/>
      <c r="G39" s="142"/>
      <c r="H39" s="142"/>
      <c r="I39" s="142"/>
      <c r="J39" s="142"/>
      <c r="K39" s="142"/>
      <c r="L39" s="142"/>
      <c r="M39" s="142"/>
      <c r="N39" s="142"/>
      <c r="O39" s="142"/>
      <c r="P39" s="142"/>
      <c r="Q39" s="142"/>
      <c r="R39" s="143"/>
    </row>
    <row r="40" spans="1:18">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s="5" customFormat="1" ht="13.9" customHeight="1">
      <c r="A45" s="69"/>
      <c r="B45" s="109"/>
      <c r="C45" s="109"/>
      <c r="D45" s="109"/>
      <c r="E45" s="109"/>
      <c r="F45" s="109"/>
      <c r="G45" s="109"/>
      <c r="H45" s="109"/>
      <c r="I45" s="109"/>
      <c r="J45" s="109"/>
      <c r="K45" s="109"/>
      <c r="L45" s="109"/>
      <c r="M45" s="109"/>
      <c r="N45" s="109"/>
      <c r="O45" s="109"/>
      <c r="P45" s="109"/>
      <c r="Q45" s="109"/>
      <c r="R45" s="110"/>
    </row>
    <row r="46" spans="1:18" s="5" customFormat="1" ht="13.9" customHeight="1">
      <c r="A46" s="69"/>
      <c r="B46" s="109"/>
      <c r="C46" s="109"/>
      <c r="D46" s="109"/>
      <c r="E46" s="109"/>
      <c r="F46" s="109"/>
      <c r="G46" s="109"/>
      <c r="H46" s="109"/>
      <c r="I46" s="109"/>
      <c r="J46" s="109"/>
      <c r="K46" s="109"/>
      <c r="L46" s="109"/>
      <c r="M46" s="109"/>
      <c r="N46" s="109"/>
      <c r="O46" s="109"/>
      <c r="P46" s="109"/>
      <c r="Q46" s="109"/>
      <c r="R46" s="110"/>
    </row>
    <row r="47" spans="1:18" s="5" customFormat="1" ht="13.9" customHeight="1">
      <c r="A47" s="148" t="s">
        <v>278</v>
      </c>
      <c r="B47" s="149"/>
      <c r="C47" s="149"/>
      <c r="D47" s="149"/>
      <c r="E47" s="149"/>
      <c r="F47" s="149"/>
      <c r="G47" s="149"/>
      <c r="H47" s="149"/>
      <c r="I47" s="149"/>
      <c r="J47" s="149"/>
      <c r="K47" s="149"/>
      <c r="L47" s="149"/>
      <c r="M47" s="149"/>
      <c r="N47" s="149"/>
      <c r="O47" s="149"/>
      <c r="P47" s="149"/>
      <c r="Q47" s="149"/>
      <c r="R47" s="150"/>
    </row>
    <row r="48" spans="1:18" s="5" customFormat="1" ht="29.4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ht="13.9" customHeight="1">
      <c r="A49" s="114" t="s">
        <v>280</v>
      </c>
      <c r="B49" s="115"/>
      <c r="C49" s="115"/>
      <c r="D49" s="115"/>
      <c r="E49" s="115"/>
      <c r="F49" s="115"/>
      <c r="G49" s="115"/>
      <c r="H49" s="115"/>
      <c r="I49" s="115"/>
      <c r="J49" s="115"/>
      <c r="K49" s="115"/>
      <c r="L49" s="115"/>
      <c r="M49" s="115"/>
      <c r="N49" s="115"/>
      <c r="O49" s="115"/>
      <c r="P49" s="115"/>
      <c r="Q49" s="115"/>
      <c r="R49" s="116"/>
    </row>
    <row r="50" spans="1:18" s="5" customFormat="1" ht="13.9" customHeight="1">
      <c r="A50" s="114" t="s">
        <v>281</v>
      </c>
      <c r="B50" s="115"/>
      <c r="C50" s="115"/>
      <c r="D50" s="115"/>
      <c r="E50" s="115"/>
      <c r="F50" s="115"/>
      <c r="G50" s="115"/>
      <c r="H50" s="115"/>
      <c r="I50" s="115"/>
      <c r="J50" s="115"/>
      <c r="K50" s="115"/>
      <c r="L50" s="115"/>
      <c r="M50" s="115"/>
      <c r="N50" s="115"/>
      <c r="O50" s="115"/>
      <c r="P50" s="115"/>
      <c r="Q50" s="115"/>
      <c r="R50" s="116"/>
    </row>
    <row r="51" spans="1:18" s="5" customFormat="1" ht="29.45" customHeight="1">
      <c r="A51" s="114" t="s">
        <v>282</v>
      </c>
      <c r="B51" s="115"/>
      <c r="C51" s="115"/>
      <c r="D51" s="115"/>
      <c r="E51" s="115"/>
      <c r="F51" s="115"/>
      <c r="G51" s="115"/>
      <c r="H51" s="115"/>
      <c r="I51" s="115"/>
      <c r="J51" s="115"/>
      <c r="K51" s="115"/>
      <c r="L51" s="115"/>
      <c r="M51" s="115"/>
      <c r="N51" s="115"/>
      <c r="O51" s="115"/>
      <c r="P51" s="115"/>
      <c r="Q51" s="115"/>
      <c r="R51" s="116"/>
    </row>
    <row r="52" spans="1:18" ht="30" customHeight="1">
      <c r="A52" s="114" t="s">
        <v>283</v>
      </c>
      <c r="B52" s="115"/>
      <c r="C52" s="115"/>
      <c r="D52" s="115"/>
      <c r="E52" s="115"/>
      <c r="F52" s="115"/>
      <c r="G52" s="115"/>
      <c r="H52" s="115"/>
      <c r="I52" s="115"/>
      <c r="J52" s="115"/>
      <c r="K52" s="115"/>
      <c r="L52" s="115"/>
      <c r="M52" s="115"/>
      <c r="N52" s="115"/>
      <c r="O52" s="115"/>
      <c r="P52" s="115"/>
      <c r="Q52" s="115"/>
      <c r="R52" s="116"/>
    </row>
    <row r="53" spans="1:18" ht="14.45" customHeight="1">
      <c r="A53" s="114" t="s">
        <v>284</v>
      </c>
      <c r="B53" s="115"/>
      <c r="C53" s="115"/>
      <c r="D53" s="115"/>
      <c r="E53" s="115"/>
      <c r="F53" s="115"/>
      <c r="G53" s="115"/>
      <c r="H53" s="115"/>
      <c r="I53" s="115"/>
      <c r="J53" s="115"/>
      <c r="K53" s="115"/>
      <c r="L53" s="115"/>
      <c r="M53" s="115"/>
      <c r="N53" s="115"/>
      <c r="O53" s="115"/>
      <c r="P53" s="115"/>
      <c r="Q53" s="115"/>
      <c r="R53" s="116"/>
    </row>
    <row r="54" spans="1:18" ht="14.45" customHeight="1">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2">
    <mergeCell ref="A51:R51"/>
    <mergeCell ref="A52:R52"/>
    <mergeCell ref="A53:R53"/>
    <mergeCell ref="A54:R54"/>
    <mergeCell ref="A55:R55"/>
    <mergeCell ref="A48:R48"/>
    <mergeCell ref="A49:R49"/>
    <mergeCell ref="A50:R50"/>
    <mergeCell ref="A47:R47"/>
    <mergeCell ref="B41:R41"/>
    <mergeCell ref="B42:R42"/>
    <mergeCell ref="B43:R43"/>
    <mergeCell ref="B44:E44"/>
    <mergeCell ref="F44:R44"/>
    <mergeCell ref="B45:R45"/>
    <mergeCell ref="B46:R46"/>
    <mergeCell ref="B40:R40"/>
    <mergeCell ref="A35:R35"/>
    <mergeCell ref="B36:R36"/>
    <mergeCell ref="B37:R37"/>
    <mergeCell ref="A39:R39"/>
    <mergeCell ref="B30:R30"/>
    <mergeCell ref="B38:R38"/>
    <mergeCell ref="A32:R32"/>
    <mergeCell ref="B33:R33"/>
    <mergeCell ref="B34:L34"/>
    <mergeCell ref="M34:R34"/>
    <mergeCell ref="A19:R19"/>
    <mergeCell ref="B26:E26"/>
    <mergeCell ref="F26:R26"/>
    <mergeCell ref="A28:R28"/>
    <mergeCell ref="B29:R29"/>
    <mergeCell ref="O20:R20"/>
    <mergeCell ref="B27:R27"/>
    <mergeCell ref="B21:R21"/>
    <mergeCell ref="B22:R22"/>
    <mergeCell ref="B23:R23"/>
    <mergeCell ref="B24:R24"/>
    <mergeCell ref="B25:R25"/>
    <mergeCell ref="B20:N20"/>
    <mergeCell ref="B16:N16"/>
    <mergeCell ref="O16:R16"/>
    <mergeCell ref="B17:N17"/>
    <mergeCell ref="O17:R17"/>
    <mergeCell ref="B18:R18"/>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B9:C9"/>
    <mergeCell ref="A10:R10"/>
    <mergeCell ref="B31:R31"/>
    <mergeCell ref="L8:O9"/>
    <mergeCell ref="P8:R8"/>
    <mergeCell ref="D9:E9"/>
    <mergeCell ref="F9:G9"/>
    <mergeCell ref="H9:I9"/>
    <mergeCell ref="J9:K9"/>
    <mergeCell ref="P9:R9"/>
    <mergeCell ref="B8:C8"/>
    <mergeCell ref="D8:E8"/>
    <mergeCell ref="F8:G8"/>
    <mergeCell ref="H8:I8"/>
    <mergeCell ref="J8:K8"/>
    <mergeCell ref="B11:R11"/>
  </mergeCells>
  <printOptions horizontalCentered="1"/>
  <pageMargins left="0.7" right="0.7" top="0.75" bottom="0.75" header="0.3" footer="0.3"/>
  <pageSetup paperSize="9" scale="88" firstPageNumber="18" orientation="portrait" r:id="rId1"/>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2">
    <tabColor theme="5" tint="0.59999389629810485"/>
    <pageSetUpPr fitToPage="1"/>
  </sheetPr>
  <dimension ref="A1:V55"/>
  <sheetViews>
    <sheetView workbookViewId="0">
      <selection activeCell="A49" sqref="A49:V49"/>
    </sheetView>
  </sheetViews>
  <sheetFormatPr defaultColWidth="9.140625" defaultRowHeight="15"/>
  <cols>
    <col min="1" max="1" width="10.7109375" style="1" customWidth="1"/>
    <col min="2" max="19" width="5.28515625" style="1" customWidth="1"/>
    <col min="20" max="21" width="5.28515625" style="6" customWidth="1"/>
    <col min="22" max="22" width="5.28515625" style="1" customWidth="1"/>
    <col min="23" max="16384" width="9.140625" style="1"/>
  </cols>
  <sheetData>
    <row r="1" spans="1:22" s="5" customFormat="1" ht="14.45" customHeight="1">
      <c r="A1" s="132" t="e" vm="1">
        <v>#VALUE!</v>
      </c>
      <c r="B1" s="133"/>
      <c r="C1" s="133"/>
      <c r="D1" s="133"/>
      <c r="E1" s="134"/>
      <c r="F1" s="165" t="s">
        <v>213</v>
      </c>
      <c r="G1" s="166"/>
      <c r="H1" s="166"/>
      <c r="I1" s="166"/>
      <c r="J1" s="166"/>
      <c r="K1" s="166"/>
      <c r="L1" s="166"/>
      <c r="M1" s="166"/>
      <c r="N1" s="166"/>
      <c r="O1" s="166"/>
      <c r="P1" s="166"/>
      <c r="Q1" s="153" t="s">
        <v>214</v>
      </c>
      <c r="R1" s="154"/>
      <c r="T1" s="6"/>
      <c r="U1" s="6"/>
    </row>
    <row r="2" spans="1:22"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c r="T2" s="6"/>
      <c r="U2" s="6"/>
    </row>
    <row r="3" spans="1:22"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c r="T3" s="6"/>
      <c r="U3" s="6"/>
    </row>
    <row r="4" spans="1:22"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c r="T4" s="6"/>
      <c r="U4" s="6"/>
    </row>
    <row r="5" spans="1:22"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c r="T5" s="6"/>
      <c r="U5" s="6"/>
    </row>
    <row r="6" spans="1:22"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c r="T6" s="6"/>
      <c r="U6" s="6"/>
    </row>
    <row r="7" spans="1:22" s="5" customFormat="1" ht="14.45" customHeight="1">
      <c r="A7" s="167" t="s">
        <v>221</v>
      </c>
      <c r="B7" s="168"/>
      <c r="C7" s="168"/>
      <c r="D7" s="168"/>
      <c r="E7" s="168"/>
      <c r="F7" s="169"/>
      <c r="G7" s="169"/>
      <c r="H7" s="169"/>
      <c r="I7" s="169"/>
      <c r="J7" s="169"/>
      <c r="K7" s="169"/>
      <c r="L7" s="169"/>
      <c r="M7" s="169"/>
      <c r="N7" s="169"/>
      <c r="O7" s="169"/>
      <c r="P7" s="169"/>
      <c r="Q7" s="169"/>
      <c r="R7" s="170"/>
      <c r="T7" s="6"/>
      <c r="U7" s="6"/>
    </row>
    <row r="8" spans="1:22"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c r="T8" s="31"/>
      <c r="U8" s="31"/>
    </row>
    <row r="9" spans="1:22"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c r="T9" s="31"/>
      <c r="U9" s="31"/>
    </row>
    <row r="10" spans="1:22" s="3" customFormat="1">
      <c r="A10" s="162" t="s">
        <v>225</v>
      </c>
      <c r="B10" s="163"/>
      <c r="C10" s="163"/>
      <c r="D10" s="163"/>
      <c r="E10" s="163"/>
      <c r="F10" s="163"/>
      <c r="G10" s="163"/>
      <c r="H10" s="163"/>
      <c r="I10" s="163"/>
      <c r="J10" s="163"/>
      <c r="K10" s="163"/>
      <c r="L10" s="163"/>
      <c r="M10" s="163"/>
      <c r="N10" s="163"/>
      <c r="O10" s="163"/>
      <c r="P10" s="163"/>
      <c r="Q10" s="163"/>
      <c r="R10" s="164"/>
      <c r="T10" s="31"/>
      <c r="U10" s="31"/>
    </row>
    <row r="11" spans="1:22" ht="13.9" customHeight="1">
      <c r="A11" s="69" t="s">
        <v>226</v>
      </c>
      <c r="B11" s="144" t="s">
        <v>227</v>
      </c>
      <c r="C11" s="145"/>
      <c r="D11" s="145"/>
      <c r="E11" s="145"/>
      <c r="F11" s="145"/>
      <c r="G11" s="145"/>
      <c r="H11" s="145"/>
      <c r="I11" s="145"/>
      <c r="J11" s="145"/>
      <c r="K11" s="145"/>
      <c r="L11" s="145"/>
      <c r="M11" s="145"/>
      <c r="N11" s="145"/>
      <c r="O11" s="145"/>
      <c r="P11" s="145"/>
      <c r="Q11" s="145"/>
      <c r="R11" s="147"/>
    </row>
    <row r="12" spans="1:22" s="12" customFormat="1">
      <c r="A12" s="70" t="s">
        <v>331</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c r="T12" s="31"/>
      <c r="U12" s="31"/>
    </row>
    <row r="13" spans="1:22" s="12" customFormat="1">
      <c r="A13" s="70" t="s">
        <v>332</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c r="T13" s="31"/>
      <c r="U13" s="31"/>
    </row>
    <row r="14" spans="1:22" s="12" customFormat="1">
      <c r="A14" s="70" t="s">
        <v>230</v>
      </c>
      <c r="B14" s="17">
        <v>160</v>
      </c>
      <c r="C14" s="17">
        <v>160</v>
      </c>
      <c r="D14" s="17">
        <v>160</v>
      </c>
      <c r="E14" s="17">
        <v>160</v>
      </c>
      <c r="F14" s="17">
        <v>160</v>
      </c>
      <c r="G14" s="17" t="s">
        <v>232</v>
      </c>
      <c r="H14" s="17" t="s">
        <v>232</v>
      </c>
      <c r="I14" s="17" t="s">
        <v>232</v>
      </c>
      <c r="J14" s="17" t="s">
        <v>232</v>
      </c>
      <c r="K14" s="17">
        <v>80</v>
      </c>
      <c r="L14" s="17">
        <v>80</v>
      </c>
      <c r="M14" s="17">
        <v>80</v>
      </c>
      <c r="N14" s="17">
        <v>80</v>
      </c>
      <c r="O14" s="17">
        <v>80</v>
      </c>
      <c r="P14" s="17">
        <v>80</v>
      </c>
      <c r="Q14" s="17">
        <v>80</v>
      </c>
      <c r="R14" s="66">
        <v>80</v>
      </c>
      <c r="T14" s="31"/>
      <c r="U14" s="31"/>
      <c r="V14" s="1"/>
    </row>
    <row r="15" spans="1:22" s="12" customFormat="1">
      <c r="A15" s="70" t="s">
        <v>333</v>
      </c>
      <c r="B15" s="17">
        <v>4.78</v>
      </c>
      <c r="C15" s="17">
        <v>5.56</v>
      </c>
      <c r="D15" s="17">
        <v>6.35</v>
      </c>
      <c r="E15" s="17">
        <v>7.14</v>
      </c>
      <c r="F15" s="17">
        <v>8.74</v>
      </c>
      <c r="G15" s="17">
        <v>7.62</v>
      </c>
      <c r="H15" s="17">
        <v>8.56</v>
      </c>
      <c r="I15" s="17">
        <v>10.97</v>
      </c>
      <c r="J15" s="17">
        <v>12.7</v>
      </c>
      <c r="K15" s="17">
        <v>15.09</v>
      </c>
      <c r="L15" s="17">
        <v>17.48</v>
      </c>
      <c r="M15" s="17">
        <v>19.05</v>
      </c>
      <c r="N15" s="17">
        <v>21.44</v>
      </c>
      <c r="O15" s="17">
        <v>23.83</v>
      </c>
      <c r="P15" s="17">
        <v>26.19</v>
      </c>
      <c r="Q15" s="17">
        <v>28.58</v>
      </c>
      <c r="R15" s="66">
        <v>30.96</v>
      </c>
      <c r="T15" s="31"/>
      <c r="U15" s="31"/>
    </row>
    <row r="16" spans="1:22">
      <c r="A16" s="69" t="s">
        <v>234</v>
      </c>
      <c r="B16" s="144" t="s">
        <v>235</v>
      </c>
      <c r="C16" s="145"/>
      <c r="D16" s="145"/>
      <c r="E16" s="145"/>
      <c r="F16" s="145"/>
      <c r="G16" s="145"/>
      <c r="H16" s="145"/>
      <c r="I16" s="145"/>
      <c r="J16" s="145"/>
      <c r="K16" s="145"/>
      <c r="L16" s="145"/>
      <c r="M16" s="145"/>
      <c r="N16" s="145"/>
      <c r="O16" s="109" t="s">
        <v>287</v>
      </c>
      <c r="P16" s="109"/>
      <c r="Q16" s="109"/>
      <c r="R16" s="110"/>
    </row>
    <row r="17" spans="1:21" ht="15" customHeight="1">
      <c r="A17" s="69" t="s">
        <v>237</v>
      </c>
      <c r="B17" s="144" t="s">
        <v>295</v>
      </c>
      <c r="C17" s="145"/>
      <c r="D17" s="145"/>
      <c r="E17" s="145"/>
      <c r="F17" s="145"/>
      <c r="G17" s="145"/>
      <c r="H17" s="145"/>
      <c r="I17" s="145"/>
      <c r="J17" s="145"/>
      <c r="K17" s="145"/>
      <c r="L17" s="145"/>
      <c r="M17" s="145"/>
      <c r="N17" s="145"/>
      <c r="O17" s="101" t="s">
        <v>288</v>
      </c>
      <c r="P17" s="109"/>
      <c r="Q17" s="109"/>
      <c r="R17" s="110"/>
    </row>
    <row r="18" spans="1:21">
      <c r="A18" s="69" t="s">
        <v>240</v>
      </c>
      <c r="B18" s="144" t="s">
        <v>241</v>
      </c>
      <c r="C18" s="145"/>
      <c r="D18" s="145"/>
      <c r="E18" s="145"/>
      <c r="F18" s="145"/>
      <c r="G18" s="145"/>
      <c r="H18" s="145"/>
      <c r="I18" s="145"/>
      <c r="J18" s="145"/>
      <c r="K18" s="145"/>
      <c r="L18" s="145"/>
      <c r="M18" s="145"/>
      <c r="N18" s="145"/>
      <c r="O18" s="145"/>
      <c r="P18" s="145"/>
      <c r="Q18" s="145"/>
      <c r="R18" s="147"/>
    </row>
    <row r="19" spans="1:21">
      <c r="A19" s="117" t="s">
        <v>242</v>
      </c>
      <c r="B19" s="118"/>
      <c r="C19" s="118"/>
      <c r="D19" s="118"/>
      <c r="E19" s="118"/>
      <c r="F19" s="118"/>
      <c r="G19" s="118"/>
      <c r="H19" s="118"/>
      <c r="I19" s="118"/>
      <c r="J19" s="118"/>
      <c r="K19" s="118"/>
      <c r="L19" s="118"/>
      <c r="M19" s="118"/>
      <c r="N19" s="118"/>
      <c r="O19" s="118"/>
      <c r="P19" s="118"/>
      <c r="Q19" s="118"/>
      <c r="R19" s="119"/>
    </row>
    <row r="20" spans="1:21" ht="31.1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21" ht="13.9" customHeight="1">
      <c r="A21" s="69" t="s">
        <v>237</v>
      </c>
      <c r="B21" s="144" t="s">
        <v>289</v>
      </c>
      <c r="C21" s="145"/>
      <c r="D21" s="145"/>
      <c r="E21" s="145"/>
      <c r="F21" s="145"/>
      <c r="G21" s="145"/>
      <c r="H21" s="145"/>
      <c r="I21" s="145"/>
      <c r="J21" s="145"/>
      <c r="K21" s="145"/>
      <c r="L21" s="145"/>
      <c r="M21" s="145"/>
      <c r="N21" s="145"/>
      <c r="O21" s="145"/>
      <c r="P21" s="145"/>
      <c r="Q21" s="145"/>
      <c r="R21" s="147"/>
    </row>
    <row r="22" spans="1:21" ht="13.9" customHeight="1">
      <c r="A22" s="69" t="s">
        <v>246</v>
      </c>
      <c r="B22" s="144" t="s">
        <v>334</v>
      </c>
      <c r="C22" s="145"/>
      <c r="D22" s="145"/>
      <c r="E22" s="145"/>
      <c r="F22" s="145"/>
      <c r="G22" s="145"/>
      <c r="H22" s="145"/>
      <c r="I22" s="145"/>
      <c r="J22" s="145"/>
      <c r="K22" s="145"/>
      <c r="L22" s="145"/>
      <c r="M22" s="145"/>
      <c r="N22" s="145"/>
      <c r="O22" s="145"/>
      <c r="P22" s="145"/>
      <c r="Q22" s="145"/>
      <c r="R22" s="147"/>
    </row>
    <row r="23" spans="1:21" ht="13.9" customHeight="1">
      <c r="A23" s="69" t="s">
        <v>248</v>
      </c>
      <c r="B23" s="144" t="s">
        <v>334</v>
      </c>
      <c r="C23" s="145"/>
      <c r="D23" s="145"/>
      <c r="E23" s="145"/>
      <c r="F23" s="145"/>
      <c r="G23" s="145"/>
      <c r="H23" s="145"/>
      <c r="I23" s="145"/>
      <c r="J23" s="145"/>
      <c r="K23" s="145"/>
      <c r="L23" s="145"/>
      <c r="M23" s="145"/>
      <c r="N23" s="145"/>
      <c r="O23" s="145"/>
      <c r="P23" s="145"/>
      <c r="Q23" s="145"/>
      <c r="R23" s="147"/>
    </row>
    <row r="24" spans="1:21" ht="13.9" customHeight="1">
      <c r="A24" s="69" t="s">
        <v>249</v>
      </c>
      <c r="B24" s="144" t="s">
        <v>334</v>
      </c>
      <c r="C24" s="145"/>
      <c r="D24" s="145"/>
      <c r="E24" s="145"/>
      <c r="F24" s="145"/>
      <c r="G24" s="145"/>
      <c r="H24" s="145"/>
      <c r="I24" s="145"/>
      <c r="J24" s="145"/>
      <c r="K24" s="145"/>
      <c r="L24" s="145"/>
      <c r="M24" s="145"/>
      <c r="N24" s="145"/>
      <c r="O24" s="145"/>
      <c r="P24" s="145"/>
      <c r="Q24" s="145"/>
      <c r="R24" s="147"/>
    </row>
    <row r="25" spans="1:21" ht="13.9" customHeight="1">
      <c r="A25" s="69" t="s">
        <v>250</v>
      </c>
      <c r="B25" s="144" t="s">
        <v>334</v>
      </c>
      <c r="C25" s="145"/>
      <c r="D25" s="145"/>
      <c r="E25" s="145"/>
      <c r="F25" s="145"/>
      <c r="G25" s="145"/>
      <c r="H25" s="145"/>
      <c r="I25" s="145"/>
      <c r="J25" s="145"/>
      <c r="K25" s="145"/>
      <c r="L25" s="145"/>
      <c r="M25" s="145"/>
      <c r="N25" s="145"/>
      <c r="O25" s="145"/>
      <c r="P25" s="145"/>
      <c r="Q25" s="145"/>
      <c r="R25" s="147"/>
    </row>
    <row r="26" spans="1:21" ht="13.9" customHeight="1">
      <c r="A26" s="69" t="s">
        <v>251</v>
      </c>
      <c r="B26" s="151" t="s">
        <v>290</v>
      </c>
      <c r="C26" s="145"/>
      <c r="D26" s="145"/>
      <c r="E26" s="146"/>
      <c r="F26" s="144"/>
      <c r="G26" s="145"/>
      <c r="H26" s="145"/>
      <c r="I26" s="145"/>
      <c r="J26" s="145"/>
      <c r="K26" s="145"/>
      <c r="L26" s="145"/>
      <c r="M26" s="145"/>
      <c r="N26" s="145"/>
      <c r="O26" s="145"/>
      <c r="P26" s="145"/>
      <c r="Q26" s="145"/>
      <c r="R26" s="147"/>
    </row>
    <row r="27" spans="1:21" ht="13.9" customHeight="1">
      <c r="A27" s="69" t="s">
        <v>253</v>
      </c>
      <c r="B27" s="144" t="s">
        <v>325</v>
      </c>
      <c r="C27" s="145"/>
      <c r="D27" s="145"/>
      <c r="E27" s="145"/>
      <c r="F27" s="145"/>
      <c r="G27" s="145"/>
      <c r="H27" s="145"/>
      <c r="I27" s="145"/>
      <c r="J27" s="145"/>
      <c r="K27" s="145"/>
      <c r="L27" s="145"/>
      <c r="M27" s="145"/>
      <c r="N27" s="145"/>
      <c r="O27" s="145"/>
      <c r="P27" s="145"/>
      <c r="Q27" s="145"/>
      <c r="R27" s="147"/>
    </row>
    <row r="28" spans="1:21" s="5" customFormat="1">
      <c r="A28" s="117" t="s">
        <v>255</v>
      </c>
      <c r="B28" s="109"/>
      <c r="C28" s="109"/>
      <c r="D28" s="109"/>
      <c r="E28" s="109"/>
      <c r="F28" s="109"/>
      <c r="G28" s="109"/>
      <c r="H28" s="109"/>
      <c r="I28" s="109"/>
      <c r="J28" s="109"/>
      <c r="K28" s="109"/>
      <c r="L28" s="109"/>
      <c r="M28" s="109"/>
      <c r="N28" s="109"/>
      <c r="O28" s="109"/>
      <c r="P28" s="109"/>
      <c r="Q28" s="109"/>
      <c r="R28" s="110"/>
    </row>
    <row r="29" spans="1:21" s="5" customFormat="1" ht="13.9" customHeight="1">
      <c r="A29" s="69" t="s">
        <v>237</v>
      </c>
      <c r="B29" s="205" t="s">
        <v>326</v>
      </c>
      <c r="C29" s="206"/>
      <c r="D29" s="206"/>
      <c r="E29" s="206"/>
      <c r="F29" s="206"/>
      <c r="G29" s="206"/>
      <c r="H29" s="206"/>
      <c r="I29" s="206"/>
      <c r="J29" s="206"/>
      <c r="K29" s="206"/>
      <c r="L29" s="206"/>
      <c r="M29" s="206"/>
      <c r="N29" s="206"/>
      <c r="O29" s="206"/>
      <c r="P29" s="206"/>
      <c r="Q29" s="206"/>
      <c r="R29" s="207"/>
    </row>
    <row r="30" spans="1:21" s="5" customFormat="1" ht="13.9" customHeight="1">
      <c r="A30" s="69" t="s">
        <v>257</v>
      </c>
      <c r="B30" s="205" t="s">
        <v>298</v>
      </c>
      <c r="C30" s="206"/>
      <c r="D30" s="206"/>
      <c r="E30" s="206"/>
      <c r="F30" s="206"/>
      <c r="G30" s="206"/>
      <c r="H30" s="206"/>
      <c r="I30" s="206"/>
      <c r="J30" s="206"/>
      <c r="K30" s="206"/>
      <c r="L30" s="206"/>
      <c r="M30" s="206"/>
      <c r="N30" s="206"/>
      <c r="O30" s="206"/>
      <c r="P30" s="206"/>
      <c r="Q30" s="206"/>
      <c r="R30" s="207"/>
    </row>
    <row r="31" spans="1:21" ht="15" customHeight="1">
      <c r="A31" s="69" t="s">
        <v>234</v>
      </c>
      <c r="B31" s="205" t="s">
        <v>259</v>
      </c>
      <c r="C31" s="206"/>
      <c r="D31" s="206"/>
      <c r="E31" s="206"/>
      <c r="F31" s="206"/>
      <c r="G31" s="206"/>
      <c r="H31" s="206"/>
      <c r="I31" s="206"/>
      <c r="J31" s="206"/>
      <c r="K31" s="206"/>
      <c r="L31" s="206"/>
      <c r="M31" s="206"/>
      <c r="N31" s="206"/>
      <c r="O31" s="206"/>
      <c r="P31" s="206"/>
      <c r="Q31" s="206"/>
      <c r="R31" s="207"/>
      <c r="T31" s="1"/>
      <c r="U31" s="1"/>
    </row>
    <row r="32" spans="1:21" s="5" customFormat="1">
      <c r="A32" s="117" t="s">
        <v>260</v>
      </c>
      <c r="B32" s="109"/>
      <c r="C32" s="109"/>
      <c r="D32" s="109"/>
      <c r="E32" s="109"/>
      <c r="F32" s="109"/>
      <c r="G32" s="109"/>
      <c r="H32" s="109"/>
      <c r="I32" s="109"/>
      <c r="J32" s="109"/>
      <c r="K32" s="109"/>
      <c r="L32" s="109"/>
      <c r="M32" s="109"/>
      <c r="N32" s="109"/>
      <c r="O32" s="109"/>
      <c r="P32" s="109"/>
      <c r="Q32" s="109"/>
      <c r="R32" s="110"/>
    </row>
    <row r="33" spans="1:21" s="5" customFormat="1">
      <c r="A33" s="69" t="s">
        <v>237</v>
      </c>
      <c r="B33" s="109" t="s">
        <v>326</v>
      </c>
      <c r="C33" s="109"/>
      <c r="D33" s="109"/>
      <c r="E33" s="109"/>
      <c r="F33" s="109"/>
      <c r="G33" s="109"/>
      <c r="H33" s="109"/>
      <c r="I33" s="109"/>
      <c r="J33" s="109"/>
      <c r="K33" s="109"/>
      <c r="L33" s="109"/>
      <c r="M33" s="109"/>
      <c r="N33" s="109"/>
      <c r="O33" s="109"/>
      <c r="P33" s="109"/>
      <c r="Q33" s="109"/>
      <c r="R33" s="110"/>
    </row>
    <row r="34" spans="1:21" s="5" customFormat="1" ht="15" customHeight="1">
      <c r="A34" s="69" t="s">
        <v>261</v>
      </c>
      <c r="B34" s="144" t="s">
        <v>262</v>
      </c>
      <c r="C34" s="145"/>
      <c r="D34" s="145"/>
      <c r="E34" s="145"/>
      <c r="F34" s="145"/>
      <c r="G34" s="145"/>
      <c r="H34" s="145"/>
      <c r="I34" s="145"/>
      <c r="J34" s="145"/>
      <c r="K34" s="145"/>
      <c r="L34" s="146"/>
      <c r="M34" s="151" t="s">
        <v>327</v>
      </c>
      <c r="N34" s="152"/>
      <c r="O34" s="152"/>
      <c r="P34" s="152"/>
      <c r="Q34" s="152"/>
      <c r="R34" s="161"/>
    </row>
    <row r="35" spans="1:21" s="5" customFormat="1">
      <c r="A35" s="117" t="s">
        <v>264</v>
      </c>
      <c r="B35" s="109"/>
      <c r="C35" s="109"/>
      <c r="D35" s="109"/>
      <c r="E35" s="109"/>
      <c r="F35" s="109"/>
      <c r="G35" s="109"/>
      <c r="H35" s="109"/>
      <c r="I35" s="109"/>
      <c r="J35" s="109"/>
      <c r="K35" s="109"/>
      <c r="L35" s="109"/>
      <c r="M35" s="109"/>
      <c r="N35" s="109"/>
      <c r="O35" s="109"/>
      <c r="P35" s="109"/>
      <c r="Q35" s="109"/>
      <c r="R35" s="110"/>
    </row>
    <row r="36" spans="1:21" s="5" customFormat="1">
      <c r="A36" s="69" t="s">
        <v>265</v>
      </c>
      <c r="B36" s="144" t="s">
        <v>328</v>
      </c>
      <c r="C36" s="145"/>
      <c r="D36" s="145"/>
      <c r="E36" s="145"/>
      <c r="F36" s="145"/>
      <c r="G36" s="145"/>
      <c r="H36" s="145"/>
      <c r="I36" s="145"/>
      <c r="J36" s="145"/>
      <c r="K36" s="145"/>
      <c r="L36" s="145"/>
      <c r="M36" s="145"/>
      <c r="N36" s="145"/>
      <c r="O36" s="145"/>
      <c r="P36" s="145"/>
      <c r="Q36" s="145"/>
      <c r="R36" s="147"/>
    </row>
    <row r="37" spans="1:21" s="5" customFormat="1">
      <c r="A37" s="69" t="s">
        <v>267</v>
      </c>
      <c r="B37" s="144" t="s">
        <v>329</v>
      </c>
      <c r="C37" s="145"/>
      <c r="D37" s="145"/>
      <c r="E37" s="145"/>
      <c r="F37" s="145"/>
      <c r="G37" s="145"/>
      <c r="H37" s="145"/>
      <c r="I37" s="145"/>
      <c r="J37" s="145"/>
      <c r="K37" s="145"/>
      <c r="L37" s="145"/>
      <c r="M37" s="145"/>
      <c r="N37" s="145"/>
      <c r="O37" s="145"/>
      <c r="P37" s="145"/>
      <c r="Q37" s="145"/>
      <c r="R37" s="147"/>
    </row>
    <row r="38" spans="1:21" s="5" customFormat="1">
      <c r="A38" s="69" t="s">
        <v>269</v>
      </c>
      <c r="B38" s="144" t="s">
        <v>330</v>
      </c>
      <c r="C38" s="149"/>
      <c r="D38" s="149"/>
      <c r="E38" s="149"/>
      <c r="F38" s="149"/>
      <c r="G38" s="149"/>
      <c r="H38" s="149"/>
      <c r="I38" s="149"/>
      <c r="J38" s="149"/>
      <c r="K38" s="149"/>
      <c r="L38" s="149"/>
      <c r="M38" s="149"/>
      <c r="N38" s="149"/>
      <c r="O38" s="149"/>
      <c r="P38" s="149"/>
      <c r="Q38" s="149"/>
      <c r="R38" s="150"/>
    </row>
    <row r="39" spans="1:21" ht="14.45" customHeight="1">
      <c r="A39" s="141" t="s">
        <v>271</v>
      </c>
      <c r="B39" s="142"/>
      <c r="C39" s="142"/>
      <c r="D39" s="142"/>
      <c r="E39" s="142"/>
      <c r="F39" s="142"/>
      <c r="G39" s="142"/>
      <c r="H39" s="142"/>
      <c r="I39" s="142"/>
      <c r="J39" s="142"/>
      <c r="K39" s="142"/>
      <c r="L39" s="142"/>
      <c r="M39" s="142"/>
      <c r="N39" s="142"/>
      <c r="O39" s="142"/>
      <c r="P39" s="142"/>
      <c r="Q39" s="142"/>
      <c r="R39" s="143"/>
      <c r="T39" s="1"/>
      <c r="U39" s="1"/>
    </row>
    <row r="40" spans="1:21">
      <c r="A40" s="69" t="s">
        <v>272</v>
      </c>
      <c r="B40" s="109" t="e">
        <f ca="1">VLOOKUP(F3,INDEX!B:J,2,0)&amp;", RF"</f>
        <v>#VALUE!</v>
      </c>
      <c r="C40" s="109"/>
      <c r="D40" s="109"/>
      <c r="E40" s="109"/>
      <c r="F40" s="109"/>
      <c r="G40" s="109"/>
      <c r="H40" s="109"/>
      <c r="I40" s="109"/>
      <c r="J40" s="109"/>
      <c r="K40" s="109"/>
      <c r="L40" s="109"/>
      <c r="M40" s="109"/>
      <c r="N40" s="109"/>
      <c r="O40" s="109"/>
      <c r="P40" s="109"/>
      <c r="Q40" s="109"/>
      <c r="R40" s="110"/>
      <c r="T40" s="1"/>
      <c r="U40" s="1"/>
    </row>
    <row r="41" spans="1:21"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21"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21"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21"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21" s="5" customFormat="1" ht="13.9" customHeight="1">
      <c r="A45" s="69"/>
      <c r="B45" s="109"/>
      <c r="C45" s="109"/>
      <c r="D45" s="109"/>
      <c r="E45" s="109"/>
      <c r="F45" s="109"/>
      <c r="G45" s="109"/>
      <c r="H45" s="109"/>
      <c r="I45" s="109"/>
      <c r="J45" s="109"/>
      <c r="K45" s="109"/>
      <c r="L45" s="109"/>
      <c r="M45" s="109"/>
      <c r="N45" s="109"/>
      <c r="O45" s="109"/>
      <c r="P45" s="109"/>
      <c r="Q45" s="109"/>
      <c r="R45" s="110"/>
    </row>
    <row r="46" spans="1:21" s="5" customFormat="1" ht="13.9" customHeight="1">
      <c r="A46" s="69"/>
      <c r="B46" s="109"/>
      <c r="C46" s="109"/>
      <c r="D46" s="109"/>
      <c r="E46" s="109"/>
      <c r="F46" s="109"/>
      <c r="G46" s="109"/>
      <c r="H46" s="109"/>
      <c r="I46" s="109"/>
      <c r="J46" s="109"/>
      <c r="K46" s="109"/>
      <c r="L46" s="109"/>
      <c r="M46" s="109"/>
      <c r="N46" s="109"/>
      <c r="O46" s="109"/>
      <c r="P46" s="109"/>
      <c r="Q46" s="109"/>
      <c r="R46" s="110"/>
    </row>
    <row r="47" spans="1:21" s="5" customFormat="1" ht="13.9" customHeight="1">
      <c r="A47" s="148" t="s">
        <v>278</v>
      </c>
      <c r="B47" s="149"/>
      <c r="C47" s="149"/>
      <c r="D47" s="149"/>
      <c r="E47" s="149"/>
      <c r="F47" s="149"/>
      <c r="G47" s="149"/>
      <c r="H47" s="149"/>
      <c r="I47" s="149"/>
      <c r="J47" s="149"/>
      <c r="K47" s="149"/>
      <c r="L47" s="149"/>
      <c r="M47" s="149"/>
      <c r="N47" s="149"/>
      <c r="O47" s="149"/>
      <c r="P47" s="149"/>
      <c r="Q47" s="149"/>
      <c r="R47" s="150"/>
    </row>
    <row r="48" spans="1:21" s="5" customFormat="1" ht="29.45" customHeight="1">
      <c r="A48" s="114" t="s">
        <v>279</v>
      </c>
      <c r="B48" s="115"/>
      <c r="C48" s="115"/>
      <c r="D48" s="115"/>
      <c r="E48" s="115"/>
      <c r="F48" s="115"/>
      <c r="G48" s="115"/>
      <c r="H48" s="115"/>
      <c r="I48" s="115"/>
      <c r="J48" s="115"/>
      <c r="K48" s="115"/>
      <c r="L48" s="115"/>
      <c r="M48" s="115"/>
      <c r="N48" s="115"/>
      <c r="O48" s="115"/>
      <c r="P48" s="115"/>
      <c r="Q48" s="115"/>
      <c r="R48" s="116"/>
    </row>
    <row r="49" spans="1:21" s="5" customFormat="1" ht="13.9" customHeight="1">
      <c r="A49" s="114" t="s">
        <v>280</v>
      </c>
      <c r="B49" s="115"/>
      <c r="C49" s="115"/>
      <c r="D49" s="115"/>
      <c r="E49" s="115"/>
      <c r="F49" s="115"/>
      <c r="G49" s="115"/>
      <c r="H49" s="115"/>
      <c r="I49" s="115"/>
      <c r="J49" s="115"/>
      <c r="K49" s="115"/>
      <c r="L49" s="115"/>
      <c r="M49" s="115"/>
      <c r="N49" s="115"/>
      <c r="O49" s="115"/>
      <c r="P49" s="115"/>
      <c r="Q49" s="115"/>
      <c r="R49" s="116"/>
    </row>
    <row r="50" spans="1:21" s="5" customFormat="1" ht="13.9" customHeight="1">
      <c r="A50" s="114" t="s">
        <v>281</v>
      </c>
      <c r="B50" s="115"/>
      <c r="C50" s="115"/>
      <c r="D50" s="115"/>
      <c r="E50" s="115"/>
      <c r="F50" s="115"/>
      <c r="G50" s="115"/>
      <c r="H50" s="115"/>
      <c r="I50" s="115"/>
      <c r="J50" s="115"/>
      <c r="K50" s="115"/>
      <c r="L50" s="115"/>
      <c r="M50" s="115"/>
      <c r="N50" s="115"/>
      <c r="O50" s="115"/>
      <c r="P50" s="115"/>
      <c r="Q50" s="115"/>
      <c r="R50" s="116"/>
    </row>
    <row r="51" spans="1:21" s="5" customFormat="1" ht="29.45" customHeight="1">
      <c r="A51" s="114" t="s">
        <v>282</v>
      </c>
      <c r="B51" s="115"/>
      <c r="C51" s="115"/>
      <c r="D51" s="115"/>
      <c r="E51" s="115"/>
      <c r="F51" s="115"/>
      <c r="G51" s="115"/>
      <c r="H51" s="115"/>
      <c r="I51" s="115"/>
      <c r="J51" s="115"/>
      <c r="K51" s="115"/>
      <c r="L51" s="115"/>
      <c r="M51" s="115"/>
      <c r="N51" s="115"/>
      <c r="O51" s="115"/>
      <c r="P51" s="115"/>
      <c r="Q51" s="115"/>
      <c r="R51" s="116"/>
    </row>
    <row r="52" spans="1:21" ht="30" customHeight="1">
      <c r="A52" s="114" t="s">
        <v>283</v>
      </c>
      <c r="B52" s="115"/>
      <c r="C52" s="115"/>
      <c r="D52" s="115"/>
      <c r="E52" s="115"/>
      <c r="F52" s="115"/>
      <c r="G52" s="115"/>
      <c r="H52" s="115"/>
      <c r="I52" s="115"/>
      <c r="J52" s="115"/>
      <c r="K52" s="115"/>
      <c r="L52" s="115"/>
      <c r="M52" s="115"/>
      <c r="N52" s="115"/>
      <c r="O52" s="115"/>
      <c r="P52" s="115"/>
      <c r="Q52" s="115"/>
      <c r="R52" s="116"/>
      <c r="T52" s="1"/>
      <c r="U52" s="1"/>
    </row>
    <row r="53" spans="1:21" ht="14.45" customHeight="1">
      <c r="A53" s="114" t="s">
        <v>284</v>
      </c>
      <c r="B53" s="115"/>
      <c r="C53" s="115"/>
      <c r="D53" s="115"/>
      <c r="E53" s="115"/>
      <c r="F53" s="115"/>
      <c r="G53" s="115"/>
      <c r="H53" s="115"/>
      <c r="I53" s="115"/>
      <c r="J53" s="115"/>
      <c r="K53" s="115"/>
      <c r="L53" s="115"/>
      <c r="M53" s="115"/>
      <c r="N53" s="115"/>
      <c r="O53" s="115"/>
      <c r="P53" s="115"/>
      <c r="Q53" s="115"/>
      <c r="R53" s="116"/>
      <c r="T53" s="1"/>
      <c r="U53" s="1"/>
    </row>
    <row r="54" spans="1:21" ht="14.45" customHeight="1">
      <c r="A54" s="114" t="s">
        <v>285</v>
      </c>
      <c r="B54" s="115"/>
      <c r="C54" s="115"/>
      <c r="D54" s="115"/>
      <c r="E54" s="115"/>
      <c r="F54" s="115"/>
      <c r="G54" s="115"/>
      <c r="H54" s="115"/>
      <c r="I54" s="115"/>
      <c r="J54" s="115"/>
      <c r="K54" s="115"/>
      <c r="L54" s="115"/>
      <c r="M54" s="115"/>
      <c r="N54" s="115"/>
      <c r="O54" s="115"/>
      <c r="P54" s="115"/>
      <c r="Q54" s="115"/>
      <c r="R54" s="116"/>
      <c r="T54" s="1"/>
      <c r="U54" s="1"/>
    </row>
    <row r="55" spans="1:21" ht="15.75" thickBot="1">
      <c r="A55" s="177"/>
      <c r="B55" s="178"/>
      <c r="C55" s="178"/>
      <c r="D55" s="178"/>
      <c r="E55" s="178"/>
      <c r="F55" s="178"/>
      <c r="G55" s="178"/>
      <c r="H55" s="178"/>
      <c r="I55" s="178"/>
      <c r="J55" s="178"/>
      <c r="K55" s="178"/>
      <c r="L55" s="178"/>
      <c r="M55" s="178"/>
      <c r="N55" s="178"/>
      <c r="O55" s="178"/>
      <c r="P55" s="178"/>
      <c r="Q55" s="178"/>
      <c r="R55" s="179"/>
      <c r="T55" s="1"/>
      <c r="U55" s="1"/>
    </row>
  </sheetData>
  <mergeCells count="82">
    <mergeCell ref="A54:R54"/>
    <mergeCell ref="A55:R55"/>
    <mergeCell ref="B45:R45"/>
    <mergeCell ref="A50:R50"/>
    <mergeCell ref="A51:R51"/>
    <mergeCell ref="A52:R52"/>
    <mergeCell ref="A53:R53"/>
    <mergeCell ref="B46:R46"/>
    <mergeCell ref="B33:R33"/>
    <mergeCell ref="B34:L34"/>
    <mergeCell ref="M34:R34"/>
    <mergeCell ref="A35:R35"/>
    <mergeCell ref="B36:R36"/>
    <mergeCell ref="B27:R27"/>
    <mergeCell ref="B29:R29"/>
    <mergeCell ref="B30:R30"/>
    <mergeCell ref="B31:R31"/>
    <mergeCell ref="A32:R32"/>
    <mergeCell ref="B21:R21"/>
    <mergeCell ref="B22:R22"/>
    <mergeCell ref="B23:R23"/>
    <mergeCell ref="B24:R24"/>
    <mergeCell ref="B25:R25"/>
    <mergeCell ref="B18:R18"/>
    <mergeCell ref="B26:E26"/>
    <mergeCell ref="F26:R26"/>
    <mergeCell ref="A48:R48"/>
    <mergeCell ref="A49:R49"/>
    <mergeCell ref="B20:N20"/>
    <mergeCell ref="O20:R20"/>
    <mergeCell ref="A28:R28"/>
    <mergeCell ref="B37:R37"/>
    <mergeCell ref="B38:R38"/>
    <mergeCell ref="A39:R39"/>
    <mergeCell ref="B40:R40"/>
    <mergeCell ref="B41:R41"/>
    <mergeCell ref="B42:R42"/>
    <mergeCell ref="B43:R43"/>
    <mergeCell ref="B44:E44"/>
    <mergeCell ref="F44:R44"/>
    <mergeCell ref="A47:R47"/>
    <mergeCell ref="F5:G5"/>
    <mergeCell ref="H5:R5"/>
    <mergeCell ref="F6:H6"/>
    <mergeCell ref="I6:R6"/>
    <mergeCell ref="B16:N16"/>
    <mergeCell ref="O16:R16"/>
    <mergeCell ref="B17:N17"/>
    <mergeCell ref="O17:R17"/>
    <mergeCell ref="A19:R19"/>
    <mergeCell ref="B11:R11"/>
    <mergeCell ref="A1:E6"/>
    <mergeCell ref="F1:P1"/>
    <mergeCell ref="Q1:R1"/>
    <mergeCell ref="F2:I2"/>
    <mergeCell ref="F3:G3"/>
    <mergeCell ref="H3:I3"/>
    <mergeCell ref="J3:L3"/>
    <mergeCell ref="M3:N3"/>
    <mergeCell ref="O3:P3"/>
    <mergeCell ref="P9:R9"/>
    <mergeCell ref="J2:L2"/>
    <mergeCell ref="M2:N2"/>
    <mergeCell ref="O2:P2"/>
    <mergeCell ref="Q2:R2"/>
    <mergeCell ref="Q3:R3"/>
    <mergeCell ref="B9:C9"/>
    <mergeCell ref="F4:H4"/>
    <mergeCell ref="I4:R4"/>
    <mergeCell ref="A10:R10"/>
    <mergeCell ref="A7:R7"/>
    <mergeCell ref="B8:C8"/>
    <mergeCell ref="D8:E8"/>
    <mergeCell ref="F8:G8"/>
    <mergeCell ref="H8:I8"/>
    <mergeCell ref="J8:K8"/>
    <mergeCell ref="L8:O9"/>
    <mergeCell ref="P8:R8"/>
    <mergeCell ref="D9:E9"/>
    <mergeCell ref="F9:G9"/>
    <mergeCell ref="H9:I9"/>
    <mergeCell ref="J9:K9"/>
  </mergeCells>
  <printOptions horizontalCentered="1"/>
  <pageMargins left="0.7" right="0.7" top="0.75" bottom="0.75" header="0.3" footer="0.3"/>
  <pageSetup paperSize="9" scale="88" firstPageNumber="18" orientation="portrait" r:id="rId1"/>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4">
    <tabColor theme="5" tint="0.59999389629810485"/>
    <pageSetUpPr fitToPage="1"/>
  </sheetPr>
  <dimension ref="A1:Y57"/>
  <sheetViews>
    <sheetView workbookViewId="0">
      <selection activeCell="A49" sqref="A49:V49"/>
    </sheetView>
  </sheetViews>
  <sheetFormatPr defaultColWidth="9.140625" defaultRowHeight="15"/>
  <cols>
    <col min="1" max="1" width="10.7109375" style="5" customWidth="1"/>
    <col min="2" max="22" width="5.28515625" style="5" customWidth="1"/>
    <col min="23" max="16384" width="9.140625" style="5"/>
  </cols>
  <sheetData>
    <row r="1" spans="1:25" ht="14.45" customHeight="1">
      <c r="A1" s="132" t="e" vm="1">
        <v>#VALUE!</v>
      </c>
      <c r="B1" s="133"/>
      <c r="C1" s="133"/>
      <c r="D1" s="133"/>
      <c r="E1" s="134"/>
      <c r="F1" s="165" t="s">
        <v>213</v>
      </c>
      <c r="G1" s="166"/>
      <c r="H1" s="166"/>
      <c r="I1" s="166"/>
      <c r="J1" s="166"/>
      <c r="K1" s="166"/>
      <c r="L1" s="166"/>
      <c r="M1" s="166"/>
      <c r="N1" s="166"/>
      <c r="O1" s="166"/>
      <c r="P1" s="166"/>
      <c r="Q1" s="153" t="s">
        <v>214</v>
      </c>
      <c r="R1" s="154"/>
    </row>
    <row r="2" spans="1:25"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25">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25"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25"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25"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25" ht="14.45" customHeight="1">
      <c r="A7" s="167" t="s">
        <v>221</v>
      </c>
      <c r="B7" s="168"/>
      <c r="C7" s="168"/>
      <c r="D7" s="168"/>
      <c r="E7" s="168"/>
      <c r="F7" s="169"/>
      <c r="G7" s="169"/>
      <c r="H7" s="169"/>
      <c r="I7" s="169"/>
      <c r="J7" s="169"/>
      <c r="K7" s="169"/>
      <c r="L7" s="169"/>
      <c r="M7" s="169"/>
      <c r="N7" s="169"/>
      <c r="O7" s="169"/>
      <c r="P7" s="169"/>
      <c r="Q7" s="169"/>
      <c r="R7" s="170"/>
    </row>
    <row r="8" spans="1:25"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25"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25" s="3" customFormat="1">
      <c r="A10" s="162" t="s">
        <v>225</v>
      </c>
      <c r="B10" s="163"/>
      <c r="C10" s="163"/>
      <c r="D10" s="163"/>
      <c r="E10" s="163"/>
      <c r="F10" s="163"/>
      <c r="G10" s="163"/>
      <c r="H10" s="163"/>
      <c r="I10" s="163"/>
      <c r="J10" s="163"/>
      <c r="K10" s="163"/>
      <c r="L10" s="163"/>
      <c r="M10" s="163"/>
      <c r="N10" s="163"/>
      <c r="O10" s="163"/>
      <c r="P10" s="163"/>
      <c r="Q10" s="163"/>
      <c r="R10" s="164"/>
    </row>
    <row r="11" spans="1:25" ht="16.5" customHeight="1">
      <c r="A11" s="69" t="s">
        <v>226</v>
      </c>
      <c r="B11" s="109" t="s">
        <v>227</v>
      </c>
      <c r="C11" s="109"/>
      <c r="D11" s="109"/>
      <c r="E11" s="109"/>
      <c r="F11" s="109"/>
      <c r="G11" s="109"/>
      <c r="H11" s="109"/>
      <c r="I11" s="109"/>
      <c r="J11" s="109"/>
      <c r="K11" s="109"/>
      <c r="L11" s="109"/>
      <c r="M11" s="109"/>
      <c r="N11" s="109"/>
      <c r="O11" s="109"/>
      <c r="P11" s="109"/>
      <c r="Q11" s="109"/>
      <c r="R11" s="110"/>
      <c r="W11" s="3"/>
      <c r="X11" s="3"/>
      <c r="Y11" s="3"/>
    </row>
    <row r="12" spans="1:25" s="3" customFormat="1">
      <c r="A12" s="70" t="s">
        <v>331</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25" s="3" customFormat="1">
      <c r="A13" s="70" t="s">
        <v>332</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25" s="3" customFormat="1">
      <c r="A14" s="70" t="s">
        <v>230</v>
      </c>
      <c r="B14" s="17" t="s">
        <v>308</v>
      </c>
      <c r="C14" s="17" t="s">
        <v>308</v>
      </c>
      <c r="D14" s="17" t="s">
        <v>308</v>
      </c>
      <c r="E14" s="17" t="s">
        <v>308</v>
      </c>
      <c r="F14" s="17">
        <v>160</v>
      </c>
      <c r="G14" s="17">
        <v>160</v>
      </c>
      <c r="H14" s="17">
        <v>120</v>
      </c>
      <c r="I14" s="17">
        <v>120</v>
      </c>
      <c r="J14" s="17">
        <v>120</v>
      </c>
      <c r="K14" s="17">
        <v>120</v>
      </c>
      <c r="L14" s="17">
        <v>120</v>
      </c>
      <c r="M14" s="17">
        <v>120</v>
      </c>
      <c r="N14" s="17">
        <v>120</v>
      </c>
      <c r="O14" s="17">
        <v>120</v>
      </c>
      <c r="P14" s="17">
        <v>120</v>
      </c>
      <c r="Q14" s="17">
        <v>120</v>
      </c>
      <c r="R14" s="66">
        <v>120</v>
      </c>
    </row>
    <row r="15" spans="1:25" s="3" customFormat="1">
      <c r="A15" s="70" t="s">
        <v>333</v>
      </c>
      <c r="B15" s="17">
        <v>7.47</v>
      </c>
      <c r="C15" s="17">
        <v>7.82</v>
      </c>
      <c r="D15" s="17">
        <v>9.09</v>
      </c>
      <c r="E15" s="17">
        <v>10.15</v>
      </c>
      <c r="F15" s="17">
        <v>8.74</v>
      </c>
      <c r="G15" s="17">
        <v>11.13</v>
      </c>
      <c r="H15" s="17">
        <v>11.13</v>
      </c>
      <c r="I15" s="17">
        <v>14.27</v>
      </c>
      <c r="J15" s="17">
        <v>18.260000000000002</v>
      </c>
      <c r="K15" s="17">
        <v>21.44</v>
      </c>
      <c r="L15" s="17">
        <v>25.4</v>
      </c>
      <c r="M15" s="17">
        <v>27.79</v>
      </c>
      <c r="N15" s="17">
        <v>30.96</v>
      </c>
      <c r="O15" s="17">
        <v>34.93</v>
      </c>
      <c r="P15" s="17">
        <v>38.1</v>
      </c>
      <c r="Q15" s="17">
        <v>41.28</v>
      </c>
      <c r="R15" s="66">
        <v>46.02</v>
      </c>
    </row>
    <row r="16" spans="1:25">
      <c r="A16" s="69" t="s">
        <v>234</v>
      </c>
      <c r="B16" s="109" t="s">
        <v>235</v>
      </c>
      <c r="C16" s="109"/>
      <c r="D16" s="109"/>
      <c r="E16" s="109"/>
      <c r="F16" s="109"/>
      <c r="G16" s="109"/>
      <c r="H16" s="109"/>
      <c r="I16" s="109"/>
      <c r="J16" s="109"/>
      <c r="K16" s="109"/>
      <c r="L16" s="109"/>
      <c r="M16" s="109"/>
      <c r="N16" s="109"/>
      <c r="O16" s="109" t="s">
        <v>287</v>
      </c>
      <c r="P16" s="109"/>
      <c r="Q16" s="109"/>
      <c r="R16" s="110"/>
    </row>
    <row r="17" spans="1:23">
      <c r="A17" s="69" t="s">
        <v>237</v>
      </c>
      <c r="B17" s="109" t="s">
        <v>336</v>
      </c>
      <c r="C17" s="109"/>
      <c r="D17" s="109"/>
      <c r="E17" s="109"/>
      <c r="F17" s="109"/>
      <c r="G17" s="109"/>
      <c r="H17" s="109"/>
      <c r="I17" s="109"/>
      <c r="J17" s="109"/>
      <c r="K17" s="109"/>
      <c r="L17" s="109"/>
      <c r="M17" s="109"/>
      <c r="N17" s="109"/>
      <c r="O17" s="101" t="s">
        <v>288</v>
      </c>
      <c r="P17" s="109"/>
      <c r="Q17" s="109"/>
      <c r="R17" s="110"/>
      <c r="U17" s="3"/>
      <c r="V17" s="3"/>
      <c r="W17" s="3"/>
    </row>
    <row r="18" spans="1:23">
      <c r="A18" s="69" t="s">
        <v>240</v>
      </c>
      <c r="B18" s="144" t="s">
        <v>241</v>
      </c>
      <c r="C18" s="145"/>
      <c r="D18" s="145"/>
      <c r="E18" s="145"/>
      <c r="F18" s="145"/>
      <c r="G18" s="145"/>
      <c r="H18" s="145"/>
      <c r="I18" s="145"/>
      <c r="J18" s="145"/>
      <c r="K18" s="145"/>
      <c r="L18" s="145"/>
      <c r="M18" s="145"/>
      <c r="N18" s="145"/>
      <c r="O18" s="145"/>
      <c r="P18" s="145"/>
      <c r="Q18" s="145"/>
      <c r="R18" s="147"/>
    </row>
    <row r="19" spans="1:23">
      <c r="A19" s="117" t="s">
        <v>242</v>
      </c>
      <c r="B19" s="118"/>
      <c r="C19" s="118"/>
      <c r="D19" s="118"/>
      <c r="E19" s="118"/>
      <c r="F19" s="118"/>
      <c r="G19" s="118"/>
      <c r="H19" s="118"/>
      <c r="I19" s="118"/>
      <c r="J19" s="118"/>
      <c r="K19" s="118"/>
      <c r="L19" s="118"/>
      <c r="M19" s="118"/>
      <c r="N19" s="118"/>
      <c r="O19" s="118"/>
      <c r="P19" s="118"/>
      <c r="Q19" s="118"/>
      <c r="R19" s="119"/>
    </row>
    <row r="20" spans="1:23"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23" ht="13.9" customHeight="1">
      <c r="A21" s="69" t="s">
        <v>237</v>
      </c>
      <c r="B21" s="205" t="s">
        <v>289</v>
      </c>
      <c r="C21" s="206"/>
      <c r="D21" s="206"/>
      <c r="E21" s="206"/>
      <c r="F21" s="206"/>
      <c r="G21" s="206"/>
      <c r="H21" s="206"/>
      <c r="I21" s="206"/>
      <c r="J21" s="206"/>
      <c r="K21" s="206"/>
      <c r="L21" s="206"/>
      <c r="M21" s="206"/>
      <c r="N21" s="226"/>
      <c r="O21" s="109"/>
      <c r="P21" s="109"/>
      <c r="Q21" s="109"/>
      <c r="R21" s="147"/>
    </row>
    <row r="22" spans="1:23" ht="13.9" customHeight="1">
      <c r="A22" s="69" t="s">
        <v>246</v>
      </c>
      <c r="B22" s="144" t="s">
        <v>334</v>
      </c>
      <c r="C22" s="145"/>
      <c r="D22" s="145"/>
      <c r="E22" s="145"/>
      <c r="F22" s="145"/>
      <c r="G22" s="145"/>
      <c r="H22" s="145"/>
      <c r="I22" s="145"/>
      <c r="J22" s="145"/>
      <c r="K22" s="145"/>
      <c r="L22" s="145"/>
      <c r="M22" s="145"/>
      <c r="N22" s="145"/>
      <c r="O22" s="145"/>
      <c r="P22" s="145"/>
      <c r="Q22" s="145"/>
      <c r="R22" s="147"/>
    </row>
    <row r="23" spans="1:23" ht="13.9" customHeight="1">
      <c r="A23" s="69" t="s">
        <v>248</v>
      </c>
      <c r="B23" s="144" t="s">
        <v>334</v>
      </c>
      <c r="C23" s="145"/>
      <c r="D23" s="145"/>
      <c r="E23" s="145"/>
      <c r="F23" s="145"/>
      <c r="G23" s="145"/>
      <c r="H23" s="145"/>
      <c r="I23" s="145"/>
      <c r="J23" s="145"/>
      <c r="K23" s="145"/>
      <c r="L23" s="145"/>
      <c r="M23" s="145"/>
      <c r="N23" s="145"/>
      <c r="O23" s="145"/>
      <c r="P23" s="145"/>
      <c r="Q23" s="145"/>
      <c r="R23" s="147"/>
    </row>
    <row r="24" spans="1:23" ht="13.9" customHeight="1">
      <c r="A24" s="69" t="s">
        <v>249</v>
      </c>
      <c r="B24" s="144" t="s">
        <v>334</v>
      </c>
      <c r="C24" s="145"/>
      <c r="D24" s="145"/>
      <c r="E24" s="145"/>
      <c r="F24" s="145"/>
      <c r="G24" s="145"/>
      <c r="H24" s="145"/>
      <c r="I24" s="145"/>
      <c r="J24" s="145"/>
      <c r="K24" s="145"/>
      <c r="L24" s="145"/>
      <c r="M24" s="145"/>
      <c r="N24" s="145"/>
      <c r="O24" s="145"/>
      <c r="P24" s="145"/>
      <c r="Q24" s="145"/>
      <c r="R24" s="147"/>
    </row>
    <row r="25" spans="1:23" ht="13.9" customHeight="1">
      <c r="A25" s="69" t="s">
        <v>250</v>
      </c>
      <c r="B25" s="144" t="s">
        <v>334</v>
      </c>
      <c r="C25" s="145"/>
      <c r="D25" s="145"/>
      <c r="E25" s="145"/>
      <c r="F25" s="145"/>
      <c r="G25" s="145"/>
      <c r="H25" s="145"/>
      <c r="I25" s="145"/>
      <c r="J25" s="145"/>
      <c r="K25" s="145"/>
      <c r="L25" s="145"/>
      <c r="M25" s="145"/>
      <c r="N25" s="145"/>
      <c r="O25" s="145"/>
      <c r="P25" s="145"/>
      <c r="Q25" s="145"/>
      <c r="R25" s="147"/>
    </row>
    <row r="26" spans="1:23" ht="13.9" customHeight="1">
      <c r="A26" s="69" t="s">
        <v>251</v>
      </c>
      <c r="B26" s="151" t="s">
        <v>290</v>
      </c>
      <c r="C26" s="152"/>
      <c r="D26" s="152"/>
      <c r="E26" s="127"/>
      <c r="F26" s="144"/>
      <c r="G26" s="145"/>
      <c r="H26" s="145"/>
      <c r="I26" s="145"/>
      <c r="J26" s="145"/>
      <c r="K26" s="145"/>
      <c r="L26" s="145"/>
      <c r="M26" s="145"/>
      <c r="N26" s="145"/>
      <c r="O26" s="145"/>
      <c r="P26" s="145"/>
      <c r="Q26" s="145"/>
      <c r="R26" s="147"/>
    </row>
    <row r="27" spans="1:23" ht="13.9" customHeight="1">
      <c r="A27" s="69" t="s">
        <v>253</v>
      </c>
      <c r="B27" s="144" t="s">
        <v>325</v>
      </c>
      <c r="C27" s="145"/>
      <c r="D27" s="145"/>
      <c r="E27" s="145"/>
      <c r="F27" s="145"/>
      <c r="G27" s="145"/>
      <c r="H27" s="145"/>
      <c r="I27" s="145"/>
      <c r="J27" s="145"/>
      <c r="K27" s="145"/>
      <c r="L27" s="145"/>
      <c r="M27" s="145"/>
      <c r="N27" s="145"/>
      <c r="O27" s="145"/>
      <c r="P27" s="145"/>
      <c r="Q27" s="145"/>
      <c r="R27" s="147"/>
    </row>
    <row r="28" spans="1:23">
      <c r="A28" s="117" t="s">
        <v>255</v>
      </c>
      <c r="B28" s="109"/>
      <c r="C28" s="109"/>
      <c r="D28" s="109"/>
      <c r="E28" s="109"/>
      <c r="F28" s="109"/>
      <c r="G28" s="109"/>
      <c r="H28" s="109"/>
      <c r="I28" s="109"/>
      <c r="J28" s="109"/>
      <c r="K28" s="109"/>
      <c r="L28" s="109"/>
      <c r="M28" s="109"/>
      <c r="N28" s="109"/>
      <c r="O28" s="109"/>
      <c r="P28" s="109"/>
      <c r="Q28" s="109"/>
      <c r="R28" s="110"/>
    </row>
    <row r="29" spans="1:23" ht="13.9" customHeight="1">
      <c r="A29" s="69" t="s">
        <v>237</v>
      </c>
      <c r="B29" s="205" t="s">
        <v>326</v>
      </c>
      <c r="C29" s="206"/>
      <c r="D29" s="206"/>
      <c r="E29" s="206"/>
      <c r="F29" s="206"/>
      <c r="G29" s="206"/>
      <c r="H29" s="206"/>
      <c r="I29" s="206"/>
      <c r="J29" s="206"/>
      <c r="K29" s="206"/>
      <c r="L29" s="206"/>
      <c r="M29" s="206"/>
      <c r="N29" s="206"/>
      <c r="O29" s="206"/>
      <c r="P29" s="206"/>
      <c r="Q29" s="206"/>
      <c r="R29" s="207"/>
    </row>
    <row r="30" spans="1:23" ht="13.9" customHeight="1">
      <c r="A30" s="69" t="s">
        <v>272</v>
      </c>
      <c r="B30" s="144" t="s">
        <v>299</v>
      </c>
      <c r="C30" s="145"/>
      <c r="D30" s="145"/>
      <c r="E30" s="146"/>
      <c r="F30" s="144" t="s">
        <v>300</v>
      </c>
      <c r="G30" s="145"/>
      <c r="H30" s="145"/>
      <c r="I30" s="145"/>
      <c r="J30" s="145"/>
      <c r="K30" s="145"/>
      <c r="L30" s="145"/>
      <c r="M30" s="145"/>
      <c r="N30" s="145"/>
      <c r="O30" s="145"/>
      <c r="P30" s="145"/>
      <c r="Q30" s="145"/>
      <c r="R30" s="147"/>
    </row>
    <row r="31" spans="1:23" s="1" customFormat="1" ht="15" customHeight="1">
      <c r="A31" s="69" t="s">
        <v>234</v>
      </c>
      <c r="B31" s="144" t="s">
        <v>314</v>
      </c>
      <c r="C31" s="145"/>
      <c r="D31" s="145"/>
      <c r="E31" s="145"/>
      <c r="F31" s="145"/>
      <c r="G31" s="145"/>
      <c r="H31" s="145"/>
      <c r="I31" s="145"/>
      <c r="J31" s="145"/>
      <c r="K31" s="145"/>
      <c r="L31" s="145"/>
      <c r="M31" s="145"/>
      <c r="N31" s="145"/>
      <c r="O31" s="145"/>
      <c r="P31" s="145"/>
      <c r="Q31" s="145"/>
      <c r="R31" s="147"/>
    </row>
    <row r="32" spans="1:23">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326</v>
      </c>
      <c r="C33" s="109"/>
      <c r="D33" s="109"/>
      <c r="E33" s="109"/>
      <c r="F33" s="109"/>
      <c r="G33" s="109"/>
      <c r="H33" s="109"/>
      <c r="I33" s="109"/>
      <c r="J33" s="109"/>
      <c r="K33" s="109"/>
      <c r="L33" s="109"/>
      <c r="M33" s="109"/>
      <c r="N33" s="109"/>
      <c r="O33" s="109"/>
      <c r="P33" s="109"/>
      <c r="Q33" s="109"/>
      <c r="R33" s="110"/>
    </row>
    <row r="34" spans="1:18" ht="15" customHeight="1">
      <c r="A34" s="69" t="s">
        <v>261</v>
      </c>
      <c r="B34" s="144" t="s">
        <v>262</v>
      </c>
      <c r="C34" s="145"/>
      <c r="D34" s="145"/>
      <c r="E34" s="145"/>
      <c r="F34" s="145"/>
      <c r="G34" s="145"/>
      <c r="H34" s="145"/>
      <c r="I34" s="145"/>
      <c r="J34" s="145"/>
      <c r="K34" s="145"/>
      <c r="L34" s="146"/>
      <c r="M34" s="151" t="s">
        <v>327</v>
      </c>
      <c r="N34" s="152"/>
      <c r="O34" s="152"/>
      <c r="P34" s="152"/>
      <c r="Q34" s="152"/>
      <c r="R34" s="161"/>
    </row>
    <row r="35" spans="1:18">
      <c r="A35" s="117" t="s">
        <v>264</v>
      </c>
      <c r="B35" s="109"/>
      <c r="C35" s="109"/>
      <c r="D35" s="109"/>
      <c r="E35" s="109"/>
      <c r="F35" s="109"/>
      <c r="G35" s="109"/>
      <c r="H35" s="109"/>
      <c r="I35" s="109"/>
      <c r="J35" s="109"/>
      <c r="K35" s="109"/>
      <c r="L35" s="109"/>
      <c r="M35" s="109"/>
      <c r="N35" s="109"/>
      <c r="O35" s="109"/>
      <c r="P35" s="109"/>
      <c r="Q35" s="109"/>
      <c r="R35" s="110"/>
    </row>
    <row r="36" spans="1:18">
      <c r="A36" s="69" t="s">
        <v>265</v>
      </c>
      <c r="B36" s="144" t="s">
        <v>328</v>
      </c>
      <c r="C36" s="145"/>
      <c r="D36" s="145"/>
      <c r="E36" s="145"/>
      <c r="F36" s="145"/>
      <c r="G36" s="145"/>
      <c r="H36" s="145"/>
      <c r="I36" s="145"/>
      <c r="J36" s="145"/>
      <c r="K36" s="145"/>
      <c r="L36" s="145"/>
      <c r="M36" s="145"/>
      <c r="N36" s="145"/>
      <c r="O36" s="145"/>
      <c r="P36" s="145"/>
      <c r="Q36" s="145"/>
      <c r="R36" s="147"/>
    </row>
    <row r="37" spans="1:18">
      <c r="A37" s="69" t="s">
        <v>267</v>
      </c>
      <c r="B37" s="144" t="s">
        <v>329</v>
      </c>
      <c r="C37" s="145"/>
      <c r="D37" s="145"/>
      <c r="E37" s="145"/>
      <c r="F37" s="145"/>
      <c r="G37" s="145"/>
      <c r="H37" s="145"/>
      <c r="I37" s="145"/>
      <c r="J37" s="145"/>
      <c r="K37" s="145"/>
      <c r="L37" s="145"/>
      <c r="M37" s="145"/>
      <c r="N37" s="145"/>
      <c r="O37" s="145"/>
      <c r="P37" s="145"/>
      <c r="Q37" s="145"/>
      <c r="R37" s="147"/>
    </row>
    <row r="38" spans="1:18" ht="14.45" customHeight="1">
      <c r="A38" s="69" t="s">
        <v>269</v>
      </c>
      <c r="B38" s="144" t="s">
        <v>337</v>
      </c>
      <c r="C38" s="145"/>
      <c r="D38" s="145"/>
      <c r="E38" s="145"/>
      <c r="F38" s="145"/>
      <c r="G38" s="145"/>
      <c r="H38" s="145"/>
      <c r="I38" s="145"/>
      <c r="J38" s="145"/>
      <c r="K38" s="145"/>
      <c r="L38" s="145"/>
      <c r="M38" s="145"/>
      <c r="N38" s="145"/>
      <c r="O38" s="145"/>
      <c r="P38" s="145"/>
      <c r="Q38" s="145"/>
      <c r="R38" s="147"/>
    </row>
    <row r="39" spans="1:18" s="1" customFormat="1" ht="14.45" customHeight="1">
      <c r="A39" s="141" t="s">
        <v>271</v>
      </c>
      <c r="B39" s="142"/>
      <c r="C39" s="142"/>
      <c r="D39" s="142"/>
      <c r="E39" s="142"/>
      <c r="F39" s="142"/>
      <c r="G39" s="142"/>
      <c r="H39" s="142"/>
      <c r="I39" s="142"/>
      <c r="J39" s="142"/>
      <c r="K39" s="142"/>
      <c r="L39" s="142"/>
      <c r="M39" s="142"/>
      <c r="N39" s="142"/>
      <c r="O39" s="142"/>
      <c r="P39" s="142"/>
      <c r="Q39" s="142"/>
      <c r="R39" s="143"/>
    </row>
    <row r="40" spans="1:18" s="1" customFormat="1" ht="14.45" customHeight="1">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18" ht="13.9"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18" ht="13.9"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18"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18"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18">
      <c r="A47" s="148" t="s">
        <v>278</v>
      </c>
      <c r="B47" s="149"/>
      <c r="C47" s="149"/>
      <c r="D47" s="149"/>
      <c r="E47" s="149"/>
      <c r="F47" s="149"/>
      <c r="G47" s="149"/>
      <c r="H47" s="149"/>
      <c r="I47" s="149"/>
      <c r="J47" s="149"/>
      <c r="K47" s="149"/>
      <c r="L47" s="149"/>
      <c r="M47" s="149"/>
      <c r="N47" s="149"/>
      <c r="O47" s="149"/>
      <c r="P47" s="149"/>
      <c r="Q47" s="149"/>
      <c r="R47" s="150"/>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324</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c r="A55" s="114" t="s">
        <v>306</v>
      </c>
      <c r="B55" s="115"/>
      <c r="C55" s="115"/>
      <c r="D55" s="115"/>
      <c r="E55" s="115"/>
      <c r="F55" s="115"/>
      <c r="G55" s="115"/>
      <c r="H55" s="115"/>
      <c r="I55" s="115"/>
      <c r="J55" s="115"/>
      <c r="K55" s="115"/>
      <c r="L55" s="115"/>
      <c r="M55" s="115"/>
      <c r="N55" s="115"/>
      <c r="O55" s="115"/>
      <c r="P55" s="115"/>
      <c r="Q55" s="115"/>
      <c r="R55" s="116"/>
    </row>
    <row r="56" spans="1:18">
      <c r="A56" s="114" t="s">
        <v>307</v>
      </c>
      <c r="B56" s="115"/>
      <c r="C56" s="115"/>
      <c r="D56" s="115"/>
      <c r="E56" s="115"/>
      <c r="F56" s="115"/>
      <c r="G56" s="115"/>
      <c r="H56" s="115"/>
      <c r="I56" s="115"/>
      <c r="J56" s="115"/>
      <c r="K56" s="115"/>
      <c r="L56" s="115"/>
      <c r="M56" s="115"/>
      <c r="N56" s="115"/>
      <c r="O56" s="115"/>
      <c r="P56" s="115"/>
      <c r="Q56" s="115"/>
      <c r="R56" s="116"/>
    </row>
    <row r="57" spans="1:18" ht="15.75" thickBot="1">
      <c r="A57" s="177"/>
      <c r="B57" s="178"/>
      <c r="C57" s="178"/>
      <c r="D57" s="178"/>
      <c r="E57" s="178"/>
      <c r="F57" s="178"/>
      <c r="G57" s="178"/>
      <c r="H57" s="178"/>
      <c r="I57" s="178"/>
      <c r="J57" s="178"/>
      <c r="K57" s="178"/>
      <c r="L57" s="178"/>
      <c r="M57" s="178"/>
      <c r="N57" s="178"/>
      <c r="O57" s="178"/>
      <c r="P57" s="178"/>
      <c r="Q57" s="178"/>
      <c r="R57" s="179"/>
    </row>
  </sheetData>
  <mergeCells count="88">
    <mergeCell ref="B46:R46"/>
    <mergeCell ref="B45:F45"/>
    <mergeCell ref="G45:R45"/>
    <mergeCell ref="B41:E41"/>
    <mergeCell ref="A55:R55"/>
    <mergeCell ref="A50:R50"/>
    <mergeCell ref="B42:R42"/>
    <mergeCell ref="B43:R43"/>
    <mergeCell ref="B44:E44"/>
    <mergeCell ref="F44:R44"/>
    <mergeCell ref="A47:R47"/>
    <mergeCell ref="A48:R48"/>
    <mergeCell ref="A49:R49"/>
    <mergeCell ref="A56:R56"/>
    <mergeCell ref="A57:R57"/>
    <mergeCell ref="A51:R51"/>
    <mergeCell ref="A52:R52"/>
    <mergeCell ref="A53:R53"/>
    <mergeCell ref="A54:R54"/>
    <mergeCell ref="B37:R37"/>
    <mergeCell ref="B38:R38"/>
    <mergeCell ref="A39:R39"/>
    <mergeCell ref="B40:R40"/>
    <mergeCell ref="B33:R33"/>
    <mergeCell ref="B34:L34"/>
    <mergeCell ref="M34:R34"/>
    <mergeCell ref="A35:R35"/>
    <mergeCell ref="B36:R36"/>
    <mergeCell ref="B11:R11"/>
    <mergeCell ref="B16:N16"/>
    <mergeCell ref="B20:N20"/>
    <mergeCell ref="O20:R20"/>
    <mergeCell ref="B26:E26"/>
    <mergeCell ref="O16:R16"/>
    <mergeCell ref="B17:N17"/>
    <mergeCell ref="O17:R17"/>
    <mergeCell ref="B18:R18"/>
    <mergeCell ref="F26:R26"/>
    <mergeCell ref="B25:R25"/>
    <mergeCell ref="B21:N21"/>
    <mergeCell ref="O21:R21"/>
    <mergeCell ref="B22:R22"/>
    <mergeCell ref="B23:R23"/>
    <mergeCell ref="B24:R24"/>
    <mergeCell ref="A28:R28"/>
    <mergeCell ref="B29:R29"/>
    <mergeCell ref="B31:R31"/>
    <mergeCell ref="A32:R32"/>
    <mergeCell ref="B30:E30"/>
    <mergeCell ref="F30:R30"/>
    <mergeCell ref="B27:R27"/>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B9:C9"/>
    <mergeCell ref="F41:R41"/>
    <mergeCell ref="A10:R10"/>
    <mergeCell ref="L8:O9"/>
    <mergeCell ref="P8:R8"/>
    <mergeCell ref="D9:E9"/>
    <mergeCell ref="F9:G9"/>
    <mergeCell ref="H9:I9"/>
    <mergeCell ref="J9:K9"/>
    <mergeCell ref="P9:R9"/>
    <mergeCell ref="B8:C8"/>
    <mergeCell ref="D8:E8"/>
    <mergeCell ref="F8:G8"/>
    <mergeCell ref="H8:I8"/>
    <mergeCell ref="J8:K8"/>
    <mergeCell ref="A19:R19"/>
  </mergeCells>
  <printOptions horizontalCentered="1"/>
  <pageMargins left="0.7" right="0.7" top="0.75" bottom="0.75" header="0.3" footer="0.3"/>
  <pageSetup paperSize="9" scale="88" firstPageNumber="18" orientation="portrait" r:id="rId1"/>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6">
    <tabColor theme="5" tint="0.59999389629810485"/>
    <pageSetUpPr fitToPage="1"/>
  </sheetPr>
  <dimension ref="A1:W59"/>
  <sheetViews>
    <sheetView workbookViewId="0">
      <selection activeCell="A49" sqref="A49:V49"/>
    </sheetView>
  </sheetViews>
  <sheetFormatPr defaultColWidth="9.140625" defaultRowHeight="15"/>
  <cols>
    <col min="1" max="1" width="10.7109375" style="5" customWidth="1"/>
    <col min="2" max="21" width="5.28515625" style="5" customWidth="1"/>
    <col min="22" max="16384" width="9.140625" style="5"/>
  </cols>
  <sheetData>
    <row r="1" spans="1:23" ht="14.45" customHeight="1">
      <c r="A1" s="132" t="e" vm="1">
        <v>#VALUE!</v>
      </c>
      <c r="B1" s="133"/>
      <c r="C1" s="133"/>
      <c r="D1" s="133"/>
      <c r="E1" s="134"/>
      <c r="F1" s="165" t="s">
        <v>213</v>
      </c>
      <c r="G1" s="166"/>
      <c r="H1" s="166"/>
      <c r="I1" s="166"/>
      <c r="J1" s="166"/>
      <c r="K1" s="166"/>
      <c r="L1" s="166"/>
      <c r="M1" s="166"/>
      <c r="N1" s="166"/>
      <c r="O1" s="166"/>
      <c r="P1" s="166"/>
      <c r="Q1" s="153" t="s">
        <v>214</v>
      </c>
      <c r="R1" s="154"/>
    </row>
    <row r="2" spans="1:23"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23">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23" ht="15" customHeight="1">
      <c r="A4" s="135"/>
      <c r="B4" s="136"/>
      <c r="C4" s="136"/>
      <c r="D4" s="136"/>
      <c r="E4" s="137"/>
      <c r="F4" s="155" t="s">
        <v>218</v>
      </c>
      <c r="G4" s="155"/>
      <c r="H4" s="155"/>
      <c r="I4" s="159" t="e">
        <f ca="1">VLOOKUP(F3,INDEX!B:AF,18,0)</f>
        <v>#VALUE!</v>
      </c>
      <c r="J4" s="159"/>
      <c r="K4" s="159"/>
      <c r="L4" s="159"/>
      <c r="M4" s="159"/>
      <c r="N4" s="159"/>
      <c r="O4" s="159"/>
      <c r="P4" s="159"/>
      <c r="Q4" s="159"/>
      <c r="R4" s="160"/>
      <c r="V4" s="3"/>
      <c r="W4" s="3"/>
    </row>
    <row r="5" spans="1:23"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23"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23" ht="14.45" customHeight="1">
      <c r="A7" s="167" t="s">
        <v>221</v>
      </c>
      <c r="B7" s="168"/>
      <c r="C7" s="168"/>
      <c r="D7" s="168"/>
      <c r="E7" s="168"/>
      <c r="F7" s="169"/>
      <c r="G7" s="169"/>
      <c r="H7" s="169"/>
      <c r="I7" s="169"/>
      <c r="J7" s="169"/>
      <c r="K7" s="169"/>
      <c r="L7" s="169"/>
      <c r="M7" s="169"/>
      <c r="N7" s="169"/>
      <c r="O7" s="169"/>
      <c r="P7" s="169"/>
      <c r="Q7" s="169"/>
      <c r="R7" s="170"/>
    </row>
    <row r="8" spans="1:23"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23"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23" s="3" customFormat="1">
      <c r="A10" s="162" t="s">
        <v>225</v>
      </c>
      <c r="B10" s="163"/>
      <c r="C10" s="163"/>
      <c r="D10" s="163"/>
      <c r="E10" s="163"/>
      <c r="F10" s="163"/>
      <c r="G10" s="163"/>
      <c r="H10" s="163"/>
      <c r="I10" s="163"/>
      <c r="J10" s="163"/>
      <c r="K10" s="163"/>
      <c r="L10" s="163"/>
      <c r="M10" s="163"/>
      <c r="N10" s="163"/>
      <c r="O10" s="163"/>
      <c r="P10" s="163"/>
      <c r="Q10" s="163"/>
      <c r="R10" s="164"/>
    </row>
    <row r="11" spans="1:23">
      <c r="A11" s="69" t="s">
        <v>226</v>
      </c>
      <c r="B11" s="109" t="s">
        <v>227</v>
      </c>
      <c r="C11" s="109"/>
      <c r="D11" s="109"/>
      <c r="E11" s="109"/>
      <c r="F11" s="109"/>
      <c r="G11" s="109"/>
      <c r="H11" s="109"/>
      <c r="I11" s="109"/>
      <c r="J11" s="109"/>
      <c r="K11" s="109"/>
      <c r="L11" s="109"/>
      <c r="M11" s="109"/>
      <c r="N11" s="109"/>
      <c r="O11" s="109"/>
      <c r="P11" s="109"/>
      <c r="Q11" s="109"/>
      <c r="R11" s="147"/>
    </row>
    <row r="12" spans="1:23" s="3" customFormat="1">
      <c r="A12" s="70" t="s">
        <v>331</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23" s="3" customFormat="1">
      <c r="A13" s="70" t="s">
        <v>332</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23" s="3" customFormat="1">
      <c r="A14" s="70" t="s">
        <v>230</v>
      </c>
      <c r="B14" s="17" t="s">
        <v>308</v>
      </c>
      <c r="C14" s="17" t="s">
        <v>308</v>
      </c>
      <c r="D14" s="17" t="s">
        <v>308</v>
      </c>
      <c r="E14" s="17" t="s">
        <v>308</v>
      </c>
      <c r="F14" s="17" t="s">
        <v>308</v>
      </c>
      <c r="G14" s="17" t="s">
        <v>308</v>
      </c>
      <c r="H14" s="17" t="s">
        <v>308</v>
      </c>
      <c r="I14" s="17" t="s">
        <v>308</v>
      </c>
      <c r="J14" s="17" t="s">
        <v>174</v>
      </c>
      <c r="K14" s="17" t="s">
        <v>174</v>
      </c>
      <c r="L14" s="17" t="s">
        <v>174</v>
      </c>
      <c r="M14" s="17" t="s">
        <v>174</v>
      </c>
      <c r="N14" s="17" t="s">
        <v>174</v>
      </c>
      <c r="O14" s="17" t="s">
        <v>174</v>
      </c>
      <c r="P14" s="17" t="s">
        <v>174</v>
      </c>
      <c r="Q14" s="17" t="s">
        <v>174</v>
      </c>
      <c r="R14" s="66" t="s">
        <v>174</v>
      </c>
    </row>
    <row r="15" spans="1:23" s="3" customFormat="1">
      <c r="A15" s="70" t="s">
        <v>333</v>
      </c>
      <c r="B15" s="17">
        <v>7.47</v>
      </c>
      <c r="C15" s="17">
        <v>7.82</v>
      </c>
      <c r="D15" s="17">
        <v>9.09</v>
      </c>
      <c r="E15" s="17">
        <v>10.15</v>
      </c>
      <c r="F15" s="17">
        <v>11.07</v>
      </c>
      <c r="G15" s="17">
        <v>15.24</v>
      </c>
      <c r="H15" s="17">
        <v>17.12</v>
      </c>
      <c r="I15" s="17">
        <v>21.95</v>
      </c>
      <c r="J15" s="13">
        <v>25.4</v>
      </c>
      <c r="K15" s="13">
        <v>30.34</v>
      </c>
      <c r="L15" s="13">
        <v>35.35</v>
      </c>
      <c r="M15" s="13">
        <v>38.480000000000004</v>
      </c>
      <c r="N15" s="13">
        <v>43.480000000000004</v>
      </c>
      <c r="O15" s="17">
        <v>48.47</v>
      </c>
      <c r="P15" s="17">
        <v>53.49</v>
      </c>
      <c r="Q15" s="17">
        <v>58.5</v>
      </c>
      <c r="R15" s="68">
        <v>63.54</v>
      </c>
    </row>
    <row r="16" spans="1:23">
      <c r="A16" s="69" t="s">
        <v>234</v>
      </c>
      <c r="B16" s="109" t="s">
        <v>235</v>
      </c>
      <c r="C16" s="109"/>
      <c r="D16" s="109"/>
      <c r="E16" s="109"/>
      <c r="F16" s="109"/>
      <c r="G16" s="109"/>
      <c r="H16" s="109"/>
      <c r="I16" s="109"/>
      <c r="J16" s="109"/>
      <c r="K16" s="109"/>
      <c r="L16" s="109"/>
      <c r="M16" s="109"/>
      <c r="N16" s="109"/>
      <c r="O16" s="109" t="s">
        <v>287</v>
      </c>
      <c r="P16" s="109"/>
      <c r="Q16" s="109"/>
      <c r="R16" s="110"/>
    </row>
    <row r="17" spans="1:18">
      <c r="A17" s="69" t="s">
        <v>237</v>
      </c>
      <c r="B17" s="109" t="s">
        <v>336</v>
      </c>
      <c r="C17" s="109"/>
      <c r="D17" s="109"/>
      <c r="E17" s="109"/>
      <c r="F17" s="109"/>
      <c r="G17" s="109"/>
      <c r="H17" s="109"/>
      <c r="I17" s="109"/>
      <c r="J17" s="109"/>
      <c r="K17" s="109"/>
      <c r="L17" s="109"/>
      <c r="M17" s="109"/>
      <c r="N17" s="109"/>
      <c r="O17" s="101" t="s">
        <v>288</v>
      </c>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18"/>
      <c r="C19" s="118"/>
      <c r="D19" s="118"/>
      <c r="E19" s="118"/>
      <c r="F19" s="118"/>
      <c r="G19" s="118"/>
      <c r="H19" s="118"/>
      <c r="I19" s="118"/>
      <c r="J19" s="118"/>
      <c r="K19" s="118"/>
      <c r="L19" s="118"/>
      <c r="M19" s="118"/>
      <c r="N19" s="118"/>
      <c r="O19" s="118"/>
      <c r="P19" s="118"/>
      <c r="Q19" s="118"/>
      <c r="R19" s="150"/>
    </row>
    <row r="20" spans="1:1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3.9" customHeight="1">
      <c r="A21" s="69" t="s">
        <v>237</v>
      </c>
      <c r="B21" s="205" t="s">
        <v>289</v>
      </c>
      <c r="C21" s="206"/>
      <c r="D21" s="206"/>
      <c r="E21" s="206"/>
      <c r="F21" s="206"/>
      <c r="G21" s="206"/>
      <c r="H21" s="206"/>
      <c r="I21" s="206"/>
      <c r="J21" s="206"/>
      <c r="K21" s="206"/>
      <c r="L21" s="206"/>
      <c r="M21" s="206"/>
      <c r="N21" s="226"/>
      <c r="O21" s="109"/>
      <c r="P21" s="109"/>
      <c r="Q21" s="109"/>
      <c r="R21" s="147"/>
    </row>
    <row r="22" spans="1:18" ht="13.9" customHeight="1">
      <c r="A22" s="69" t="s">
        <v>246</v>
      </c>
      <c r="B22" s="205" t="s">
        <v>334</v>
      </c>
      <c r="C22" s="206"/>
      <c r="D22" s="206"/>
      <c r="E22" s="206"/>
      <c r="F22" s="206"/>
      <c r="G22" s="206"/>
      <c r="H22" s="206"/>
      <c r="I22" s="206"/>
      <c r="J22" s="206"/>
      <c r="K22" s="206"/>
      <c r="L22" s="206"/>
      <c r="M22" s="206"/>
      <c r="N22" s="226"/>
      <c r="O22" s="109"/>
      <c r="P22" s="109"/>
      <c r="Q22" s="109"/>
      <c r="R22" s="147"/>
    </row>
    <row r="23" spans="1:18" ht="13.9" customHeight="1">
      <c r="A23" s="69" t="s">
        <v>248</v>
      </c>
      <c r="B23" s="205" t="s">
        <v>334</v>
      </c>
      <c r="C23" s="206"/>
      <c r="D23" s="206"/>
      <c r="E23" s="206"/>
      <c r="F23" s="206"/>
      <c r="G23" s="206"/>
      <c r="H23" s="206"/>
      <c r="I23" s="206"/>
      <c r="J23" s="206"/>
      <c r="K23" s="206"/>
      <c r="L23" s="206"/>
      <c r="M23" s="206"/>
      <c r="N23" s="226"/>
      <c r="O23" s="109"/>
      <c r="P23" s="109"/>
      <c r="Q23" s="109"/>
      <c r="R23" s="147"/>
    </row>
    <row r="24" spans="1:18" ht="13.9" customHeight="1">
      <c r="A24" s="69" t="s">
        <v>249</v>
      </c>
      <c r="B24" s="205" t="s">
        <v>334</v>
      </c>
      <c r="C24" s="206"/>
      <c r="D24" s="206"/>
      <c r="E24" s="206"/>
      <c r="F24" s="206"/>
      <c r="G24" s="206"/>
      <c r="H24" s="206"/>
      <c r="I24" s="206"/>
      <c r="J24" s="206"/>
      <c r="K24" s="206"/>
      <c r="L24" s="206"/>
      <c r="M24" s="206"/>
      <c r="N24" s="226"/>
      <c r="O24" s="109"/>
      <c r="P24" s="109"/>
      <c r="Q24" s="109"/>
      <c r="R24" s="147"/>
    </row>
    <row r="25" spans="1:18" ht="13.9" customHeight="1">
      <c r="A25" s="69" t="s">
        <v>250</v>
      </c>
      <c r="B25" s="205" t="s">
        <v>334</v>
      </c>
      <c r="C25" s="206"/>
      <c r="D25" s="206"/>
      <c r="E25" s="206"/>
      <c r="F25" s="206"/>
      <c r="G25" s="206"/>
      <c r="H25" s="206"/>
      <c r="I25" s="206"/>
      <c r="J25" s="206"/>
      <c r="K25" s="206"/>
      <c r="L25" s="206"/>
      <c r="M25" s="206"/>
      <c r="N25" s="226"/>
      <c r="O25" s="109"/>
      <c r="P25" s="109"/>
      <c r="Q25" s="109"/>
      <c r="R25" s="147"/>
    </row>
    <row r="26" spans="1:18" ht="13.9" customHeight="1">
      <c r="A26" s="69" t="s">
        <v>251</v>
      </c>
      <c r="B26" s="151" t="s">
        <v>290</v>
      </c>
      <c r="C26" s="145"/>
      <c r="D26" s="145"/>
      <c r="E26" s="146"/>
      <c r="F26" s="144"/>
      <c r="G26" s="145"/>
      <c r="H26" s="145"/>
      <c r="I26" s="145"/>
      <c r="J26" s="145"/>
      <c r="K26" s="145"/>
      <c r="L26" s="145"/>
      <c r="M26" s="145"/>
      <c r="N26" s="146"/>
      <c r="O26" s="109"/>
      <c r="P26" s="109"/>
      <c r="Q26" s="109"/>
      <c r="R26" s="147"/>
    </row>
    <row r="27" spans="1:18" ht="13.9" customHeight="1">
      <c r="A27" s="69" t="s">
        <v>253</v>
      </c>
      <c r="B27" s="205" t="s">
        <v>325</v>
      </c>
      <c r="C27" s="206"/>
      <c r="D27" s="206"/>
      <c r="E27" s="206"/>
      <c r="F27" s="206"/>
      <c r="G27" s="206"/>
      <c r="H27" s="206"/>
      <c r="I27" s="206"/>
      <c r="J27" s="206"/>
      <c r="K27" s="206"/>
      <c r="L27" s="206"/>
      <c r="M27" s="206"/>
      <c r="N27" s="226"/>
      <c r="O27" s="109"/>
      <c r="P27" s="109"/>
      <c r="Q27" s="109"/>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205" t="s">
        <v>326</v>
      </c>
      <c r="C29" s="206"/>
      <c r="D29" s="206"/>
      <c r="E29" s="206"/>
      <c r="F29" s="206"/>
      <c r="G29" s="206"/>
      <c r="H29" s="206"/>
      <c r="I29" s="206"/>
      <c r="J29" s="206"/>
      <c r="K29" s="206"/>
      <c r="L29" s="206"/>
      <c r="M29" s="206"/>
      <c r="N29" s="206"/>
      <c r="O29" s="206"/>
      <c r="P29" s="206"/>
      <c r="Q29" s="206"/>
      <c r="R29" s="207"/>
    </row>
    <row r="30" spans="1:18" ht="13.9" customHeight="1">
      <c r="A30" s="69" t="s">
        <v>272</v>
      </c>
      <c r="B30" s="144" t="s">
        <v>299</v>
      </c>
      <c r="C30" s="145"/>
      <c r="D30" s="145"/>
      <c r="E30" s="145"/>
      <c r="F30" s="145"/>
      <c r="G30" s="145"/>
      <c r="H30" s="145"/>
      <c r="I30" s="145"/>
      <c r="J30" s="145"/>
      <c r="K30" s="145"/>
      <c r="L30" s="145"/>
      <c r="M30" s="145"/>
      <c r="N30" s="145"/>
      <c r="O30" s="145"/>
      <c r="P30" s="145"/>
      <c r="Q30" s="145"/>
      <c r="R30" s="147"/>
    </row>
    <row r="31" spans="1:18" s="1" customFormat="1" ht="15" customHeight="1">
      <c r="A31" s="69" t="s">
        <v>234</v>
      </c>
      <c r="B31" s="144" t="s">
        <v>314</v>
      </c>
      <c r="C31" s="145"/>
      <c r="D31" s="145"/>
      <c r="E31" s="145"/>
      <c r="F31" s="145"/>
      <c r="G31" s="145"/>
      <c r="H31" s="145"/>
      <c r="I31" s="145"/>
      <c r="J31" s="145"/>
      <c r="K31" s="145"/>
      <c r="L31" s="145"/>
      <c r="M31" s="145"/>
      <c r="N31" s="145"/>
      <c r="O31" s="145"/>
      <c r="P31" s="145"/>
      <c r="Q31" s="145"/>
      <c r="R31" s="147"/>
    </row>
    <row r="32" spans="1:18" ht="30">
      <c r="A32" s="69" t="s">
        <v>315</v>
      </c>
      <c r="B32" s="144"/>
      <c r="C32" s="145"/>
      <c r="D32" s="145"/>
      <c r="E32" s="145"/>
      <c r="F32" s="146"/>
      <c r="G32" s="144" t="s">
        <v>316</v>
      </c>
      <c r="H32" s="145"/>
      <c r="I32" s="145"/>
      <c r="J32" s="145"/>
      <c r="K32" s="145"/>
      <c r="L32" s="145"/>
      <c r="M32" s="145"/>
      <c r="N32" s="145"/>
      <c r="O32" s="145"/>
      <c r="P32" s="145"/>
      <c r="Q32" s="145"/>
      <c r="R32" s="147"/>
    </row>
    <row r="33" spans="1:18" ht="41.45" customHeight="1">
      <c r="A33" s="69" t="s">
        <v>317</v>
      </c>
      <c r="B33" s="144"/>
      <c r="C33" s="145"/>
      <c r="D33" s="145"/>
      <c r="E33" s="145"/>
      <c r="F33" s="146"/>
      <c r="G33" s="144" t="s">
        <v>338</v>
      </c>
      <c r="H33" s="145"/>
      <c r="I33" s="145"/>
      <c r="J33" s="145"/>
      <c r="K33" s="145"/>
      <c r="L33" s="145"/>
      <c r="M33" s="145"/>
      <c r="N33" s="145"/>
      <c r="O33" s="145"/>
      <c r="P33" s="145"/>
      <c r="Q33" s="145"/>
      <c r="R33" s="147"/>
    </row>
    <row r="34" spans="1:18" ht="15" customHeight="1">
      <c r="A34" s="117" t="s">
        <v>260</v>
      </c>
      <c r="B34" s="109"/>
      <c r="C34" s="109"/>
      <c r="D34" s="109"/>
      <c r="E34" s="109"/>
      <c r="F34" s="109"/>
      <c r="G34" s="109"/>
      <c r="H34" s="109"/>
      <c r="I34" s="109"/>
      <c r="J34" s="109"/>
      <c r="K34" s="109"/>
      <c r="L34" s="109"/>
      <c r="M34" s="109"/>
      <c r="N34" s="109"/>
      <c r="O34" s="109"/>
      <c r="P34" s="109"/>
      <c r="Q34" s="109"/>
      <c r="R34" s="110"/>
    </row>
    <row r="35" spans="1:18">
      <c r="A35" s="69" t="s">
        <v>237</v>
      </c>
      <c r="B35" s="109" t="s">
        <v>326</v>
      </c>
      <c r="C35" s="109"/>
      <c r="D35" s="109"/>
      <c r="E35" s="109"/>
      <c r="F35" s="109"/>
      <c r="G35" s="109"/>
      <c r="H35" s="109"/>
      <c r="I35" s="109"/>
      <c r="J35" s="109"/>
      <c r="K35" s="109"/>
      <c r="L35" s="109"/>
      <c r="M35" s="109"/>
      <c r="N35" s="109"/>
      <c r="O35" s="109"/>
      <c r="P35" s="109"/>
      <c r="Q35" s="109"/>
      <c r="R35" s="110"/>
    </row>
    <row r="36" spans="1:18">
      <c r="A36" s="69" t="s">
        <v>261</v>
      </c>
      <c r="B36" s="144" t="s">
        <v>262</v>
      </c>
      <c r="C36" s="145"/>
      <c r="D36" s="145"/>
      <c r="E36" s="145"/>
      <c r="F36" s="145"/>
      <c r="G36" s="145"/>
      <c r="H36" s="145"/>
      <c r="I36" s="145"/>
      <c r="J36" s="145"/>
      <c r="K36" s="145"/>
      <c r="L36" s="146"/>
      <c r="M36" s="151" t="s">
        <v>327</v>
      </c>
      <c r="N36" s="152"/>
      <c r="O36" s="152"/>
      <c r="P36" s="152"/>
      <c r="Q36" s="152"/>
      <c r="R36" s="161"/>
    </row>
    <row r="37" spans="1:18">
      <c r="A37" s="117" t="s">
        <v>264</v>
      </c>
      <c r="B37" s="109"/>
      <c r="C37" s="109"/>
      <c r="D37" s="109"/>
      <c r="E37" s="109"/>
      <c r="F37" s="109"/>
      <c r="G37" s="109"/>
      <c r="H37" s="109"/>
      <c r="I37" s="109"/>
      <c r="J37" s="109"/>
      <c r="K37" s="109"/>
      <c r="L37" s="109"/>
      <c r="M37" s="109"/>
      <c r="N37" s="109"/>
      <c r="O37" s="109"/>
      <c r="P37" s="109"/>
      <c r="Q37" s="109"/>
      <c r="R37" s="110"/>
    </row>
    <row r="38" spans="1:18" ht="14.45" customHeight="1">
      <c r="A38" s="69" t="s">
        <v>265</v>
      </c>
      <c r="B38" s="144" t="s">
        <v>328</v>
      </c>
      <c r="C38" s="145"/>
      <c r="D38" s="145"/>
      <c r="E38" s="145"/>
      <c r="F38" s="145"/>
      <c r="G38" s="145"/>
      <c r="H38" s="145"/>
      <c r="I38" s="145"/>
      <c r="J38" s="145"/>
      <c r="K38" s="145"/>
      <c r="L38" s="145"/>
      <c r="M38" s="145"/>
      <c r="N38" s="145"/>
      <c r="O38" s="145"/>
      <c r="P38" s="145"/>
      <c r="Q38" s="145"/>
      <c r="R38" s="147"/>
    </row>
    <row r="39" spans="1:18" s="1" customFormat="1" ht="14.45" customHeight="1">
      <c r="A39" s="69" t="s">
        <v>267</v>
      </c>
      <c r="B39" s="144" t="s">
        <v>329</v>
      </c>
      <c r="C39" s="145"/>
      <c r="D39" s="145"/>
      <c r="E39" s="145"/>
      <c r="F39" s="145"/>
      <c r="G39" s="145"/>
      <c r="H39" s="145"/>
      <c r="I39" s="145"/>
      <c r="J39" s="145"/>
      <c r="K39" s="145"/>
      <c r="L39" s="145"/>
      <c r="M39" s="145"/>
      <c r="N39" s="145"/>
      <c r="O39" s="145"/>
      <c r="P39" s="145"/>
      <c r="Q39" s="145"/>
      <c r="R39" s="147"/>
    </row>
    <row r="40" spans="1:18" s="1" customFormat="1" ht="14.45" customHeight="1">
      <c r="A40" s="69" t="s">
        <v>269</v>
      </c>
      <c r="B40" s="144" t="s">
        <v>337</v>
      </c>
      <c r="C40" s="145"/>
      <c r="D40" s="145"/>
      <c r="E40" s="145"/>
      <c r="F40" s="145"/>
      <c r="G40" s="145"/>
      <c r="H40" s="145"/>
      <c r="I40" s="145"/>
      <c r="J40" s="145"/>
      <c r="K40" s="145"/>
      <c r="L40" s="145"/>
      <c r="M40" s="145"/>
      <c r="N40" s="145"/>
      <c r="O40" s="145"/>
      <c r="P40" s="145"/>
      <c r="Q40" s="145"/>
      <c r="R40" s="147"/>
    </row>
    <row r="41" spans="1:18" ht="13.9" customHeight="1">
      <c r="A41" s="141" t="s">
        <v>271</v>
      </c>
      <c r="B41" s="142"/>
      <c r="C41" s="142"/>
      <c r="D41" s="142"/>
      <c r="E41" s="142"/>
      <c r="F41" s="142"/>
      <c r="G41" s="142"/>
      <c r="H41" s="142"/>
      <c r="I41" s="142"/>
      <c r="J41" s="142"/>
      <c r="K41" s="142"/>
      <c r="L41" s="142"/>
      <c r="M41" s="142"/>
      <c r="N41" s="142"/>
      <c r="O41" s="142"/>
      <c r="P41" s="142"/>
      <c r="Q41" s="142"/>
      <c r="R41" s="143"/>
    </row>
    <row r="42" spans="1:18" ht="13.9"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3.9"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28.15"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c r="A49" s="148" t="s">
        <v>278</v>
      </c>
      <c r="B49" s="149"/>
      <c r="C49" s="149"/>
      <c r="D49" s="149"/>
      <c r="E49" s="149"/>
      <c r="F49" s="149"/>
      <c r="G49" s="149"/>
      <c r="H49" s="149"/>
      <c r="I49" s="149"/>
      <c r="J49" s="149"/>
      <c r="K49" s="149"/>
      <c r="L49" s="149"/>
      <c r="M49" s="149"/>
      <c r="N49" s="149"/>
      <c r="O49" s="149"/>
      <c r="P49" s="149"/>
      <c r="Q49" s="149"/>
      <c r="R49" s="150"/>
    </row>
    <row r="50" spans="1:18" ht="28.1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c r="A54" s="114" t="s">
        <v>283</v>
      </c>
      <c r="B54" s="115"/>
      <c r="C54" s="115"/>
      <c r="D54" s="115"/>
      <c r="E54" s="115"/>
      <c r="F54" s="115"/>
      <c r="G54" s="115"/>
      <c r="H54" s="115"/>
      <c r="I54" s="115"/>
      <c r="J54" s="115"/>
      <c r="K54" s="115"/>
      <c r="L54" s="115"/>
      <c r="M54" s="115"/>
      <c r="N54" s="115"/>
      <c r="O54" s="115"/>
      <c r="P54" s="115"/>
      <c r="Q54" s="115"/>
      <c r="R54" s="116"/>
    </row>
    <row r="55" spans="1:18">
      <c r="A55" s="114" t="s">
        <v>284</v>
      </c>
      <c r="B55" s="115"/>
      <c r="C55" s="115"/>
      <c r="D55" s="115"/>
      <c r="E55" s="115"/>
      <c r="F55" s="115"/>
      <c r="G55" s="115"/>
      <c r="H55" s="115"/>
      <c r="I55" s="115"/>
      <c r="J55" s="115"/>
      <c r="K55" s="115"/>
      <c r="L55" s="115"/>
      <c r="M55" s="115"/>
      <c r="N55" s="115"/>
      <c r="O55" s="115"/>
      <c r="P55" s="115"/>
      <c r="Q55" s="115"/>
      <c r="R55" s="116"/>
    </row>
    <row r="56" spans="1:18">
      <c r="A56" s="114" t="s">
        <v>285</v>
      </c>
      <c r="B56" s="115"/>
      <c r="C56" s="115"/>
      <c r="D56" s="115"/>
      <c r="E56" s="115"/>
      <c r="F56" s="115"/>
      <c r="G56" s="115"/>
      <c r="H56" s="115"/>
      <c r="I56" s="115"/>
      <c r="J56" s="115"/>
      <c r="K56" s="115"/>
      <c r="L56" s="115"/>
      <c r="M56" s="115"/>
      <c r="N56" s="115"/>
      <c r="O56" s="115"/>
      <c r="P56" s="115"/>
      <c r="Q56" s="115"/>
      <c r="R56" s="116"/>
    </row>
    <row r="57" spans="1:18">
      <c r="A57" s="114" t="s">
        <v>306</v>
      </c>
      <c r="B57" s="115"/>
      <c r="C57" s="115"/>
      <c r="D57" s="115"/>
      <c r="E57" s="115"/>
      <c r="F57" s="115"/>
      <c r="G57" s="115"/>
      <c r="H57" s="115"/>
      <c r="I57" s="115"/>
      <c r="J57" s="115"/>
      <c r="K57" s="115"/>
      <c r="L57" s="115"/>
      <c r="M57" s="115"/>
      <c r="N57" s="115"/>
      <c r="O57" s="115"/>
      <c r="P57" s="115"/>
      <c r="Q57" s="115"/>
      <c r="R57" s="116"/>
    </row>
    <row r="58" spans="1:18">
      <c r="A58" s="114" t="s">
        <v>307</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7">
    <mergeCell ref="G32:R32"/>
    <mergeCell ref="B33:F33"/>
    <mergeCell ref="G33:R33"/>
    <mergeCell ref="A56:R56"/>
    <mergeCell ref="A57:R57"/>
    <mergeCell ref="B40:R40"/>
    <mergeCell ref="B42:R42"/>
    <mergeCell ref="B44:R44"/>
    <mergeCell ref="B45:R45"/>
    <mergeCell ref="A41:R41"/>
    <mergeCell ref="B43:E43"/>
    <mergeCell ref="F43:R43"/>
    <mergeCell ref="B39:R39"/>
    <mergeCell ref="B36:L36"/>
    <mergeCell ref="M36:R36"/>
    <mergeCell ref="A37:R37"/>
    <mergeCell ref="O24:R24"/>
    <mergeCell ref="B32:F32"/>
    <mergeCell ref="A58:R58"/>
    <mergeCell ref="A59:R59"/>
    <mergeCell ref="F46:R46"/>
    <mergeCell ref="A49:R49"/>
    <mergeCell ref="A50:R50"/>
    <mergeCell ref="A55:R55"/>
    <mergeCell ref="A54:R54"/>
    <mergeCell ref="A53:R53"/>
    <mergeCell ref="A52:R52"/>
    <mergeCell ref="B46:E46"/>
    <mergeCell ref="A51:R51"/>
    <mergeCell ref="B48:R48"/>
    <mergeCell ref="B47:F47"/>
    <mergeCell ref="G47:R47"/>
    <mergeCell ref="O27:R27"/>
    <mergeCell ref="O26:R26"/>
    <mergeCell ref="O25:R25"/>
    <mergeCell ref="F26:N26"/>
    <mergeCell ref="B27:N27"/>
    <mergeCell ref="B38:R38"/>
    <mergeCell ref="O21:R21"/>
    <mergeCell ref="O23:R23"/>
    <mergeCell ref="O22:R22"/>
    <mergeCell ref="B21:N21"/>
    <mergeCell ref="B22:N22"/>
    <mergeCell ref="B23:N23"/>
    <mergeCell ref="B24:N24"/>
    <mergeCell ref="B26:E26"/>
    <mergeCell ref="B35:R35"/>
    <mergeCell ref="A28:R28"/>
    <mergeCell ref="B29:R29"/>
    <mergeCell ref="B31:R31"/>
    <mergeCell ref="B30:R30"/>
    <mergeCell ref="B25:N25"/>
    <mergeCell ref="A34:R34"/>
    <mergeCell ref="F5:G5"/>
    <mergeCell ref="H5:R5"/>
    <mergeCell ref="A19:R19"/>
    <mergeCell ref="B16:N16"/>
    <mergeCell ref="A10:R10"/>
    <mergeCell ref="A7:R7"/>
    <mergeCell ref="B8:C8"/>
    <mergeCell ref="D8:E8"/>
    <mergeCell ref="F8:G8"/>
    <mergeCell ref="H8:I8"/>
    <mergeCell ref="J8:K8"/>
    <mergeCell ref="L8:O9"/>
    <mergeCell ref="B18:R18"/>
    <mergeCell ref="H3:I3"/>
    <mergeCell ref="J3:L3"/>
    <mergeCell ref="M3:N3"/>
    <mergeCell ref="O3:P3"/>
    <mergeCell ref="Q3:R3"/>
    <mergeCell ref="F4:H4"/>
    <mergeCell ref="I4:R4"/>
    <mergeCell ref="B11:R11"/>
    <mergeCell ref="F6:H6"/>
    <mergeCell ref="I6:R6"/>
    <mergeCell ref="A1:E6"/>
    <mergeCell ref="F1:P1"/>
    <mergeCell ref="Q1:R1"/>
    <mergeCell ref="F2:I2"/>
    <mergeCell ref="J2:L2"/>
    <mergeCell ref="M2:N2"/>
    <mergeCell ref="O2:P2"/>
    <mergeCell ref="Q2:R2"/>
    <mergeCell ref="F3:G3"/>
    <mergeCell ref="J9:K9"/>
    <mergeCell ref="P9:R9"/>
    <mergeCell ref="B20:N20"/>
    <mergeCell ref="O20:R20"/>
    <mergeCell ref="B9:C9"/>
    <mergeCell ref="P8:R8"/>
    <mergeCell ref="D9:E9"/>
    <mergeCell ref="O16:R16"/>
    <mergeCell ref="B17:N17"/>
    <mergeCell ref="O17:R17"/>
    <mergeCell ref="F9:G9"/>
    <mergeCell ref="H9:I9"/>
  </mergeCells>
  <printOptions horizontalCentered="1"/>
  <pageMargins left="0.7" right="0.7" top="0.75" bottom="0.75" header="0.3" footer="0.3"/>
  <pageSetup paperSize="9" scale="83" firstPageNumber="18" orientation="portrait" r:id="rId1"/>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08">
    <tabColor theme="5" tint="0.59999389629810485"/>
    <pageSetUpPr fitToPage="1"/>
  </sheetPr>
  <dimension ref="A1:AL59"/>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v>369.70000000000005</v>
      </c>
      <c r="C8" s="127"/>
      <c r="D8" s="151">
        <v>362.90000000000003</v>
      </c>
      <c r="E8" s="127"/>
      <c r="F8" s="151">
        <v>345</v>
      </c>
      <c r="G8" s="127"/>
      <c r="H8" s="151">
        <v>337.40000000000003</v>
      </c>
      <c r="I8" s="127"/>
      <c r="J8" s="151">
        <v>326.3</v>
      </c>
      <c r="K8" s="127"/>
      <c r="L8" s="151">
        <v>317.10000000000002</v>
      </c>
      <c r="M8" s="127"/>
      <c r="N8" s="151"/>
      <c r="O8" s="127"/>
      <c r="P8" s="151" t="s">
        <v>223</v>
      </c>
      <c r="Q8" s="152"/>
      <c r="R8" s="161"/>
    </row>
    <row r="9" spans="1:18" s="3" customFormat="1">
      <c r="A9" s="67" t="s">
        <v>224</v>
      </c>
      <c r="B9" s="151" t="e">
        <f ca="1">VLOOKUP(F3,INDEX!B:Z,19,0)&amp;" to 38"</f>
        <v>#VALUE!</v>
      </c>
      <c r="C9" s="127"/>
      <c r="D9" s="151">
        <v>50</v>
      </c>
      <c r="E9" s="127"/>
      <c r="F9" s="151">
        <v>85</v>
      </c>
      <c r="G9" s="127"/>
      <c r="H9" s="151">
        <v>100</v>
      </c>
      <c r="I9" s="127"/>
      <c r="J9" s="151">
        <v>150</v>
      </c>
      <c r="K9" s="127"/>
      <c r="L9" s="151">
        <v>200</v>
      </c>
      <c r="M9" s="127"/>
      <c r="N9" s="151"/>
      <c r="O9" s="127"/>
      <c r="P9" s="151">
        <f>B8*1.5</f>
        <v>554.55000000000007</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12" customFormat="1">
      <c r="A12" s="70" t="s">
        <v>331</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332</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t="s">
        <v>308</v>
      </c>
      <c r="C14" s="17" t="s">
        <v>308</v>
      </c>
      <c r="D14" s="17" t="s">
        <v>308</v>
      </c>
      <c r="E14" s="14" t="s">
        <v>174</v>
      </c>
      <c r="F14" s="17" t="s">
        <v>174</v>
      </c>
      <c r="G14" s="17" t="s">
        <v>174</v>
      </c>
      <c r="H14" s="17" t="s">
        <v>174</v>
      </c>
      <c r="I14" s="17" t="s">
        <v>174</v>
      </c>
      <c r="J14" s="17" t="s">
        <v>174</v>
      </c>
      <c r="K14" s="17" t="s">
        <v>174</v>
      </c>
      <c r="L14" s="17" t="s">
        <v>174</v>
      </c>
      <c r="M14" s="10" t="s">
        <v>174</v>
      </c>
      <c r="N14" s="10" t="s">
        <v>174</v>
      </c>
      <c r="O14" s="10" t="s">
        <v>174</v>
      </c>
      <c r="P14" s="17" t="s">
        <v>174</v>
      </c>
      <c r="Q14" s="17" t="s">
        <v>174</v>
      </c>
      <c r="R14" s="66" t="s">
        <v>174</v>
      </c>
    </row>
    <row r="15" spans="1:18" s="12" customFormat="1">
      <c r="A15" s="70" t="s">
        <v>333</v>
      </c>
      <c r="B15" s="17">
        <v>7.47</v>
      </c>
      <c r="C15" s="17">
        <v>7.82</v>
      </c>
      <c r="D15" s="17">
        <v>9.09</v>
      </c>
      <c r="E15" s="13">
        <v>9.73</v>
      </c>
      <c r="F15" s="13">
        <v>11.3</v>
      </c>
      <c r="G15" s="13">
        <v>15.03</v>
      </c>
      <c r="H15" s="13">
        <v>18.350000000000001</v>
      </c>
      <c r="I15" s="13">
        <v>25.39</v>
      </c>
      <c r="J15" s="13">
        <v>32.1</v>
      </c>
      <c r="K15" s="13">
        <v>39.1</v>
      </c>
      <c r="L15" s="13">
        <v>45.7</v>
      </c>
      <c r="M15" s="23">
        <v>49.9</v>
      </c>
      <c r="N15" s="23">
        <v>56.5</v>
      </c>
      <c r="O15" s="23">
        <v>62.8</v>
      </c>
      <c r="P15" s="13">
        <v>69.5</v>
      </c>
      <c r="Q15" s="13">
        <v>76.099999999999994</v>
      </c>
      <c r="R15" s="78">
        <v>82.7</v>
      </c>
    </row>
    <row r="16" spans="1:18">
      <c r="A16" s="69" t="s">
        <v>234</v>
      </c>
      <c r="B16" s="144" t="s">
        <v>235</v>
      </c>
      <c r="C16" s="145"/>
      <c r="D16" s="145"/>
      <c r="E16" s="145"/>
      <c r="F16" s="145"/>
      <c r="G16" s="145"/>
      <c r="H16" s="145"/>
      <c r="I16" s="145"/>
      <c r="J16" s="145"/>
      <c r="K16" s="145"/>
      <c r="L16" s="145"/>
      <c r="M16" s="145"/>
      <c r="N16" s="145"/>
      <c r="O16" s="101" t="s">
        <v>287</v>
      </c>
      <c r="P16" s="101"/>
      <c r="Q16" s="101"/>
      <c r="R16" s="102"/>
    </row>
    <row r="17" spans="1:38">
      <c r="A17" s="69" t="s">
        <v>237</v>
      </c>
      <c r="B17" s="144" t="s">
        <v>295</v>
      </c>
      <c r="C17" s="145"/>
      <c r="D17" s="145"/>
      <c r="E17" s="145"/>
      <c r="F17" s="145"/>
      <c r="G17" s="145"/>
      <c r="H17" s="145"/>
      <c r="I17" s="145"/>
      <c r="J17" s="145"/>
      <c r="K17" s="145"/>
      <c r="L17" s="145"/>
      <c r="M17" s="145"/>
      <c r="N17" s="145"/>
      <c r="O17" s="101" t="s">
        <v>288</v>
      </c>
      <c r="P17" s="109"/>
      <c r="Q17" s="109"/>
      <c r="R17" s="110"/>
    </row>
    <row r="18" spans="1:38">
      <c r="A18" s="69" t="s">
        <v>240</v>
      </c>
      <c r="B18" s="144" t="s">
        <v>241</v>
      </c>
      <c r="C18" s="145"/>
      <c r="D18" s="145"/>
      <c r="E18" s="145"/>
      <c r="F18" s="145"/>
      <c r="G18" s="145"/>
      <c r="H18" s="145"/>
      <c r="I18" s="145"/>
      <c r="J18" s="145"/>
      <c r="K18" s="145"/>
      <c r="L18" s="145"/>
      <c r="M18" s="145"/>
      <c r="N18" s="145"/>
      <c r="O18" s="146"/>
      <c r="P18" s="109"/>
      <c r="Q18" s="109"/>
      <c r="R18" s="110"/>
    </row>
    <row r="19" spans="1:38">
      <c r="A19" s="117" t="s">
        <v>242</v>
      </c>
      <c r="B19" s="118"/>
      <c r="C19" s="118"/>
      <c r="D19" s="118"/>
      <c r="E19" s="118"/>
      <c r="F19" s="118"/>
      <c r="G19" s="118"/>
      <c r="H19" s="118"/>
      <c r="I19" s="118"/>
      <c r="J19" s="118"/>
      <c r="K19" s="118"/>
      <c r="L19" s="118"/>
      <c r="M19" s="118"/>
      <c r="N19" s="118"/>
      <c r="O19" s="118"/>
      <c r="P19" s="118"/>
      <c r="Q19" s="118"/>
      <c r="R19" s="119"/>
    </row>
    <row r="20" spans="1:3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38" ht="13.9" customHeight="1">
      <c r="A21" s="69" t="s">
        <v>237</v>
      </c>
      <c r="B21" s="144" t="s">
        <v>289</v>
      </c>
      <c r="C21" s="145"/>
      <c r="D21" s="145"/>
      <c r="E21" s="145"/>
      <c r="F21" s="145"/>
      <c r="G21" s="145"/>
      <c r="H21" s="145"/>
      <c r="I21" s="145"/>
      <c r="J21" s="145"/>
      <c r="K21" s="145"/>
      <c r="L21" s="145"/>
      <c r="M21" s="145"/>
      <c r="N21" s="145"/>
      <c r="O21" s="145"/>
      <c r="P21" s="145"/>
      <c r="Q21" s="145"/>
      <c r="R21" s="147"/>
    </row>
    <row r="22" spans="1:38" ht="13.9" customHeight="1">
      <c r="A22" s="69" t="s">
        <v>246</v>
      </c>
      <c r="B22" s="144" t="s">
        <v>334</v>
      </c>
      <c r="C22" s="145"/>
      <c r="D22" s="145"/>
      <c r="E22" s="145"/>
      <c r="F22" s="145"/>
      <c r="G22" s="145"/>
      <c r="H22" s="145"/>
      <c r="I22" s="145"/>
      <c r="J22" s="145"/>
      <c r="K22" s="145"/>
      <c r="L22" s="145"/>
      <c r="M22" s="145"/>
      <c r="N22" s="145"/>
      <c r="O22" s="145"/>
      <c r="P22" s="145"/>
      <c r="Q22" s="145"/>
      <c r="R22" s="147"/>
    </row>
    <row r="23" spans="1:38" ht="13.9" customHeight="1">
      <c r="A23" s="69" t="s">
        <v>248</v>
      </c>
      <c r="B23" s="144" t="s">
        <v>334</v>
      </c>
      <c r="C23" s="145"/>
      <c r="D23" s="145"/>
      <c r="E23" s="145"/>
      <c r="F23" s="145"/>
      <c r="G23" s="145"/>
      <c r="H23" s="145"/>
      <c r="I23" s="145"/>
      <c r="J23" s="145"/>
      <c r="K23" s="145"/>
      <c r="L23" s="145"/>
      <c r="M23" s="145"/>
      <c r="N23" s="145"/>
      <c r="O23" s="145"/>
      <c r="P23" s="145"/>
      <c r="Q23" s="145"/>
      <c r="R23" s="147"/>
    </row>
    <row r="24" spans="1:38" ht="13.9" customHeight="1">
      <c r="A24" s="69" t="s">
        <v>249</v>
      </c>
      <c r="B24" s="144" t="s">
        <v>334</v>
      </c>
      <c r="C24" s="145"/>
      <c r="D24" s="145"/>
      <c r="E24" s="145"/>
      <c r="F24" s="145"/>
      <c r="G24" s="145"/>
      <c r="H24" s="145"/>
      <c r="I24" s="145"/>
      <c r="J24" s="145"/>
      <c r="K24" s="145"/>
      <c r="L24" s="145"/>
      <c r="M24" s="145"/>
      <c r="N24" s="145"/>
      <c r="O24" s="145"/>
      <c r="P24" s="145"/>
      <c r="Q24" s="145"/>
      <c r="R24" s="147"/>
    </row>
    <row r="25" spans="1:38" ht="13.9" customHeight="1">
      <c r="A25" s="69" t="s">
        <v>250</v>
      </c>
      <c r="B25" s="144" t="s">
        <v>334</v>
      </c>
      <c r="C25" s="145"/>
      <c r="D25" s="145"/>
      <c r="E25" s="145"/>
      <c r="F25" s="145"/>
      <c r="G25" s="145"/>
      <c r="H25" s="145"/>
      <c r="I25" s="145"/>
      <c r="J25" s="145"/>
      <c r="K25" s="145"/>
      <c r="L25" s="145"/>
      <c r="M25" s="145"/>
      <c r="N25" s="145"/>
      <c r="O25" s="145"/>
      <c r="P25" s="145"/>
      <c r="Q25" s="145"/>
      <c r="R25" s="147"/>
    </row>
    <row r="26" spans="1:38" ht="13.9" customHeight="1">
      <c r="A26" s="69" t="s">
        <v>251</v>
      </c>
      <c r="B26" s="151" t="s">
        <v>290</v>
      </c>
      <c r="C26" s="152"/>
      <c r="D26" s="152"/>
      <c r="E26" s="127"/>
      <c r="F26" s="144"/>
      <c r="G26" s="145"/>
      <c r="H26" s="145"/>
      <c r="I26" s="145"/>
      <c r="J26" s="145"/>
      <c r="K26" s="145"/>
      <c r="L26" s="145"/>
      <c r="M26" s="145"/>
      <c r="N26" s="145"/>
      <c r="O26" s="145"/>
      <c r="P26" s="145"/>
      <c r="Q26" s="145"/>
      <c r="R26" s="147"/>
    </row>
    <row r="27" spans="1:38" ht="14.45" customHeight="1">
      <c r="A27" s="69" t="s">
        <v>253</v>
      </c>
      <c r="B27" s="144" t="s">
        <v>325</v>
      </c>
      <c r="C27" s="145"/>
      <c r="D27" s="145"/>
      <c r="E27" s="145"/>
      <c r="F27" s="145"/>
      <c r="G27" s="145"/>
      <c r="H27" s="145"/>
      <c r="I27" s="145"/>
      <c r="J27" s="145"/>
      <c r="K27" s="145"/>
      <c r="L27" s="145"/>
      <c r="M27" s="145"/>
      <c r="N27" s="145"/>
      <c r="O27" s="145"/>
      <c r="P27" s="145"/>
      <c r="Q27" s="145"/>
      <c r="R27" s="147"/>
    </row>
    <row r="28" spans="1:38" s="5" customFormat="1">
      <c r="A28" s="117" t="s">
        <v>255</v>
      </c>
      <c r="B28" s="109"/>
      <c r="C28" s="109"/>
      <c r="D28" s="109"/>
      <c r="E28" s="109"/>
      <c r="F28" s="109"/>
      <c r="G28" s="109"/>
      <c r="H28" s="109"/>
      <c r="I28" s="109"/>
      <c r="J28" s="109"/>
      <c r="K28" s="109"/>
      <c r="L28" s="109"/>
      <c r="M28" s="109"/>
      <c r="N28" s="109"/>
      <c r="O28" s="109"/>
      <c r="P28" s="109"/>
      <c r="Q28" s="109"/>
      <c r="R28" s="110"/>
    </row>
    <row r="29" spans="1:38" s="5" customFormat="1" ht="13.9" customHeight="1">
      <c r="A29" s="69" t="s">
        <v>237</v>
      </c>
      <c r="B29" s="205" t="s">
        <v>326</v>
      </c>
      <c r="C29" s="206"/>
      <c r="D29" s="206"/>
      <c r="E29" s="206"/>
      <c r="F29" s="206"/>
      <c r="G29" s="206"/>
      <c r="H29" s="206"/>
      <c r="I29" s="206"/>
      <c r="J29" s="206"/>
      <c r="K29" s="206"/>
      <c r="L29" s="206"/>
      <c r="M29" s="206"/>
      <c r="N29" s="206"/>
      <c r="O29" s="206"/>
      <c r="P29" s="206"/>
      <c r="Q29" s="206"/>
      <c r="R29" s="207"/>
      <c r="V29" s="3"/>
      <c r="W29" s="3"/>
      <c r="X29" s="3"/>
      <c r="Y29" s="1"/>
      <c r="Z29" s="12"/>
      <c r="AA29" s="12"/>
      <c r="AB29" s="12"/>
      <c r="AC29" s="12"/>
      <c r="AD29" s="1"/>
      <c r="AE29" s="1"/>
      <c r="AF29" s="1"/>
      <c r="AG29" s="1"/>
      <c r="AH29" s="1"/>
      <c r="AI29" s="1"/>
      <c r="AJ29" s="1"/>
      <c r="AK29" s="1"/>
      <c r="AL29" s="1"/>
    </row>
    <row r="30" spans="1:38" s="5" customFormat="1" ht="13.9" customHeight="1">
      <c r="A30" s="69" t="s">
        <v>272</v>
      </c>
      <c r="B30" s="144" t="s">
        <v>339</v>
      </c>
      <c r="C30" s="145"/>
      <c r="D30" s="145"/>
      <c r="E30" s="145"/>
      <c r="F30" s="145"/>
      <c r="G30" s="145"/>
      <c r="H30" s="145"/>
      <c r="I30" s="145"/>
      <c r="J30" s="145"/>
      <c r="K30" s="145"/>
      <c r="L30" s="145"/>
      <c r="M30" s="145"/>
      <c r="N30" s="145"/>
      <c r="O30" s="145"/>
      <c r="P30" s="145"/>
      <c r="Q30" s="145"/>
      <c r="R30" s="147"/>
    </row>
    <row r="31" spans="1:38" ht="15" customHeight="1">
      <c r="A31" s="69" t="s">
        <v>234</v>
      </c>
      <c r="B31" s="144" t="s">
        <v>314</v>
      </c>
      <c r="C31" s="145"/>
      <c r="D31" s="145"/>
      <c r="E31" s="145"/>
      <c r="F31" s="145"/>
      <c r="G31" s="145"/>
      <c r="H31" s="145"/>
      <c r="I31" s="145"/>
      <c r="J31" s="145"/>
      <c r="K31" s="145"/>
      <c r="L31" s="145"/>
      <c r="M31" s="145"/>
      <c r="N31" s="145"/>
      <c r="O31" s="145"/>
      <c r="P31" s="145"/>
      <c r="Q31" s="145"/>
      <c r="R31" s="147"/>
    </row>
    <row r="32" spans="1:38" ht="30">
      <c r="A32" s="69" t="s">
        <v>315</v>
      </c>
      <c r="B32" s="144"/>
      <c r="C32" s="145"/>
      <c r="D32" s="145"/>
      <c r="E32" s="145"/>
      <c r="F32" s="146"/>
      <c r="G32" s="144" t="s">
        <v>316</v>
      </c>
      <c r="H32" s="145"/>
      <c r="I32" s="145"/>
      <c r="J32" s="145"/>
      <c r="K32" s="145"/>
      <c r="L32" s="145"/>
      <c r="M32" s="145"/>
      <c r="N32" s="145"/>
      <c r="O32" s="145"/>
      <c r="P32" s="145"/>
      <c r="Q32" s="145"/>
      <c r="R32" s="147"/>
    </row>
    <row r="33" spans="1:18" ht="40.9" customHeight="1">
      <c r="A33" s="69" t="s">
        <v>317</v>
      </c>
      <c r="B33" s="144"/>
      <c r="C33" s="145"/>
      <c r="D33" s="145"/>
      <c r="E33" s="145"/>
      <c r="F33" s="146"/>
      <c r="G33" s="144" t="s">
        <v>338</v>
      </c>
      <c r="H33" s="145"/>
      <c r="I33" s="145"/>
      <c r="J33" s="145"/>
      <c r="K33" s="145"/>
      <c r="L33" s="145"/>
      <c r="M33" s="145"/>
      <c r="N33" s="145"/>
      <c r="O33" s="145"/>
      <c r="P33" s="145"/>
      <c r="Q33" s="145"/>
      <c r="R33" s="147"/>
    </row>
    <row r="34" spans="1:18" s="5" customFormat="1">
      <c r="A34" s="117" t="s">
        <v>260</v>
      </c>
      <c r="B34" s="109"/>
      <c r="C34" s="109"/>
      <c r="D34" s="109"/>
      <c r="E34" s="109"/>
      <c r="F34" s="109"/>
      <c r="G34" s="109"/>
      <c r="H34" s="109"/>
      <c r="I34" s="109"/>
      <c r="J34" s="109"/>
      <c r="K34" s="109"/>
      <c r="L34" s="109"/>
      <c r="M34" s="109"/>
      <c r="N34" s="109"/>
      <c r="O34" s="109"/>
      <c r="P34" s="109"/>
      <c r="Q34" s="109"/>
      <c r="R34" s="110"/>
    </row>
    <row r="35" spans="1:18" s="5" customFormat="1">
      <c r="A35" s="69" t="s">
        <v>237</v>
      </c>
      <c r="B35" s="109" t="s">
        <v>326</v>
      </c>
      <c r="C35" s="109"/>
      <c r="D35" s="109"/>
      <c r="E35" s="109"/>
      <c r="F35" s="109"/>
      <c r="G35" s="109"/>
      <c r="H35" s="109"/>
      <c r="I35" s="109"/>
      <c r="J35" s="109"/>
      <c r="K35" s="109"/>
      <c r="L35" s="109"/>
      <c r="M35" s="109"/>
      <c r="N35" s="109"/>
      <c r="O35" s="109"/>
      <c r="P35" s="109"/>
      <c r="Q35" s="109"/>
      <c r="R35" s="110"/>
    </row>
    <row r="36" spans="1:18" s="5" customFormat="1" ht="15" customHeight="1">
      <c r="A36" s="69" t="s">
        <v>261</v>
      </c>
      <c r="B36" s="144" t="s">
        <v>262</v>
      </c>
      <c r="C36" s="145"/>
      <c r="D36" s="145"/>
      <c r="E36" s="145"/>
      <c r="F36" s="145"/>
      <c r="G36" s="145"/>
      <c r="H36" s="145"/>
      <c r="I36" s="145"/>
      <c r="J36" s="145"/>
      <c r="K36" s="145"/>
      <c r="L36" s="146"/>
      <c r="M36" s="151" t="s">
        <v>327</v>
      </c>
      <c r="N36" s="152"/>
      <c r="O36" s="152"/>
      <c r="P36" s="152"/>
      <c r="Q36" s="152"/>
      <c r="R36" s="161"/>
    </row>
    <row r="37" spans="1:18" s="5" customFormat="1">
      <c r="A37" s="117" t="s">
        <v>264</v>
      </c>
      <c r="B37" s="109"/>
      <c r="C37" s="109"/>
      <c r="D37" s="109"/>
      <c r="E37" s="109"/>
      <c r="F37" s="109"/>
      <c r="G37" s="109"/>
      <c r="H37" s="109"/>
      <c r="I37" s="109"/>
      <c r="J37" s="109"/>
      <c r="K37" s="109"/>
      <c r="L37" s="109"/>
      <c r="M37" s="109"/>
      <c r="N37" s="109"/>
      <c r="O37" s="109"/>
      <c r="P37" s="109"/>
      <c r="Q37" s="109"/>
      <c r="R37" s="110"/>
    </row>
    <row r="38" spans="1:18" s="5" customFormat="1">
      <c r="A38" s="69" t="s">
        <v>265</v>
      </c>
      <c r="B38" s="144" t="s">
        <v>328</v>
      </c>
      <c r="C38" s="145"/>
      <c r="D38" s="145"/>
      <c r="E38" s="145"/>
      <c r="F38" s="145"/>
      <c r="G38" s="145"/>
      <c r="H38" s="145"/>
      <c r="I38" s="145"/>
      <c r="J38" s="145"/>
      <c r="K38" s="145"/>
      <c r="L38" s="145"/>
      <c r="M38" s="145"/>
      <c r="N38" s="145"/>
      <c r="O38" s="145"/>
      <c r="P38" s="145"/>
      <c r="Q38" s="145"/>
      <c r="R38" s="147"/>
    </row>
    <row r="39" spans="1:18" s="5" customFormat="1">
      <c r="A39" s="69" t="s">
        <v>267</v>
      </c>
      <c r="B39" s="144" t="s">
        <v>329</v>
      </c>
      <c r="C39" s="145"/>
      <c r="D39" s="145"/>
      <c r="E39" s="145"/>
      <c r="F39" s="145"/>
      <c r="G39" s="145"/>
      <c r="H39" s="145"/>
      <c r="I39" s="145"/>
      <c r="J39" s="145"/>
      <c r="K39" s="145"/>
      <c r="L39" s="145"/>
      <c r="M39" s="145"/>
      <c r="N39" s="145"/>
      <c r="O39" s="145"/>
      <c r="P39" s="145"/>
      <c r="Q39" s="145"/>
      <c r="R39" s="147"/>
    </row>
    <row r="40" spans="1:18" s="5" customFormat="1" ht="14.45" customHeight="1">
      <c r="A40" s="69" t="s">
        <v>269</v>
      </c>
      <c r="B40" s="144" t="s">
        <v>337</v>
      </c>
      <c r="C40" s="145"/>
      <c r="D40" s="145"/>
      <c r="E40" s="145"/>
      <c r="F40" s="145"/>
      <c r="G40" s="145"/>
      <c r="H40" s="145"/>
      <c r="I40" s="145"/>
      <c r="J40" s="145"/>
      <c r="K40" s="145"/>
      <c r="L40" s="145"/>
      <c r="M40" s="145"/>
      <c r="N40" s="145"/>
      <c r="O40" s="145"/>
      <c r="P40" s="145"/>
      <c r="Q40" s="145"/>
      <c r="R40" s="147"/>
    </row>
    <row r="41" spans="1:18" ht="14.45" customHeight="1">
      <c r="A41" s="141" t="s">
        <v>271</v>
      </c>
      <c r="B41" s="142"/>
      <c r="C41" s="142"/>
      <c r="D41" s="142"/>
      <c r="E41" s="142"/>
      <c r="F41" s="142"/>
      <c r="G41" s="142"/>
      <c r="H41" s="142"/>
      <c r="I41" s="142"/>
      <c r="J41" s="142"/>
      <c r="K41" s="142"/>
      <c r="L41" s="142"/>
      <c r="M41" s="142"/>
      <c r="N41" s="142"/>
      <c r="O41" s="142"/>
      <c r="P41" s="142"/>
      <c r="Q41" s="142"/>
      <c r="R41" s="143"/>
    </row>
    <row r="42" spans="1:18"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s="5" customFormat="1" ht="13.9" customHeight="1">
      <c r="A43" s="69" t="s">
        <v>273</v>
      </c>
      <c r="B43" s="144" t="s">
        <v>303</v>
      </c>
      <c r="C43" s="145"/>
      <c r="D43" s="145"/>
      <c r="E43" s="146"/>
      <c r="F43" s="144" t="e">
        <f ca="1">"BSR"&amp;VLOOKUP(F3,INDEX!B:AH,33,0)&amp;"J"&amp;", BSF"&amp;VLOOKUP(F3,INDEX!B:AH,33,0)&amp;"J"&amp;", BSRM"&amp;VLOOKUP(F3,INDEX!B:AH,33,0)&amp;"J"&amp;", BSFM"&amp;VLOOKUP(F3,INDEX!B:AH,33,0)&amp;"J"</f>
        <v>#VALUE!</v>
      </c>
      <c r="G43" s="145"/>
      <c r="H43" s="145"/>
      <c r="I43" s="145"/>
      <c r="J43" s="145"/>
      <c r="K43" s="145"/>
      <c r="L43" s="145"/>
      <c r="M43" s="145"/>
      <c r="N43" s="145"/>
      <c r="O43" s="145"/>
      <c r="P43" s="145"/>
      <c r="Q43" s="145"/>
      <c r="R43" s="147"/>
    </row>
    <row r="44" spans="1:18" s="5" customFormat="1"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s="5" customFormat="1"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s="5" customFormat="1"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s="5" customFormat="1"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s="5" customFormat="1" ht="13.9" customHeight="1">
      <c r="A48" s="69" t="s">
        <v>305</v>
      </c>
      <c r="B48" s="144" t="e">
        <f ca="1">"DSR"&amp;VLOOKUP(F3,INDEX!B:AH,33,0)&amp;"J"&amp;", DSRM"&amp;VLOOKUP(F3,INDEX!B:AH,33,0)&amp;"J"</f>
        <v>#VALUE!</v>
      </c>
      <c r="C48" s="145"/>
      <c r="D48" s="145"/>
      <c r="E48" s="145"/>
      <c r="F48" s="145"/>
      <c r="G48" s="145"/>
      <c r="H48" s="145"/>
      <c r="I48" s="145"/>
      <c r="J48" s="145"/>
      <c r="K48" s="145"/>
      <c r="L48" s="145"/>
      <c r="M48" s="145"/>
      <c r="N48" s="145"/>
      <c r="O48" s="145"/>
      <c r="P48" s="145"/>
      <c r="Q48" s="145"/>
      <c r="R48" s="147"/>
    </row>
    <row r="49" spans="1:18" s="5" customFormat="1">
      <c r="A49" s="148" t="s">
        <v>278</v>
      </c>
      <c r="B49" s="149"/>
      <c r="C49" s="149"/>
      <c r="D49" s="149"/>
      <c r="E49" s="149"/>
      <c r="F49" s="149"/>
      <c r="G49" s="149"/>
      <c r="H49" s="149"/>
      <c r="I49" s="149"/>
      <c r="J49" s="149"/>
      <c r="K49" s="149"/>
      <c r="L49" s="149"/>
      <c r="M49" s="149"/>
      <c r="N49" s="149"/>
      <c r="O49" s="149"/>
      <c r="P49" s="149"/>
      <c r="Q49" s="149"/>
      <c r="R49" s="150"/>
    </row>
    <row r="50" spans="1:18" s="5" customFormat="1" ht="28.15" customHeight="1">
      <c r="A50" s="114" t="s">
        <v>279</v>
      </c>
      <c r="B50" s="115"/>
      <c r="C50" s="115"/>
      <c r="D50" s="115"/>
      <c r="E50" s="115"/>
      <c r="F50" s="115"/>
      <c r="G50" s="115"/>
      <c r="H50" s="115"/>
      <c r="I50" s="115"/>
      <c r="J50" s="115"/>
      <c r="K50" s="115"/>
      <c r="L50" s="115"/>
      <c r="M50" s="115"/>
      <c r="N50" s="115"/>
      <c r="O50" s="115"/>
      <c r="P50" s="115"/>
      <c r="Q50" s="115"/>
      <c r="R50" s="116"/>
    </row>
    <row r="51" spans="1:18" s="5" customFormat="1">
      <c r="A51" s="114" t="s">
        <v>280</v>
      </c>
      <c r="B51" s="115"/>
      <c r="C51" s="115"/>
      <c r="D51" s="115"/>
      <c r="E51" s="115"/>
      <c r="F51" s="115"/>
      <c r="G51" s="115"/>
      <c r="H51" s="115"/>
      <c r="I51" s="115"/>
      <c r="J51" s="115"/>
      <c r="K51" s="115"/>
      <c r="L51" s="115"/>
      <c r="M51" s="115"/>
      <c r="N51" s="115"/>
      <c r="O51" s="115"/>
      <c r="P51" s="115"/>
      <c r="Q51" s="115"/>
      <c r="R51" s="116"/>
    </row>
    <row r="52" spans="1:18" s="5" customFormat="1">
      <c r="A52" s="114" t="s">
        <v>281</v>
      </c>
      <c r="B52" s="115"/>
      <c r="C52" s="115"/>
      <c r="D52" s="115"/>
      <c r="E52" s="115"/>
      <c r="F52" s="115"/>
      <c r="G52" s="115"/>
      <c r="H52" s="115"/>
      <c r="I52" s="115"/>
      <c r="J52" s="115"/>
      <c r="K52" s="115"/>
      <c r="L52" s="115"/>
      <c r="M52" s="115"/>
      <c r="N52" s="115"/>
      <c r="O52" s="115"/>
      <c r="P52" s="115"/>
      <c r="Q52" s="115"/>
      <c r="R52" s="116"/>
    </row>
    <row r="53" spans="1:18" s="5" customFormat="1" ht="28.9" customHeight="1">
      <c r="A53" s="114" t="s">
        <v>324</v>
      </c>
      <c r="B53" s="115"/>
      <c r="C53" s="115"/>
      <c r="D53" s="115"/>
      <c r="E53" s="115"/>
      <c r="F53" s="115"/>
      <c r="G53" s="115"/>
      <c r="H53" s="115"/>
      <c r="I53" s="115"/>
      <c r="J53" s="115"/>
      <c r="K53" s="115"/>
      <c r="L53" s="115"/>
      <c r="M53" s="115"/>
      <c r="N53" s="115"/>
      <c r="O53" s="115"/>
      <c r="P53" s="115"/>
      <c r="Q53" s="115"/>
      <c r="R53" s="116"/>
    </row>
    <row r="54" spans="1:18" s="5" customFormat="1" ht="26.45" customHeight="1">
      <c r="A54" s="114" t="s">
        <v>283</v>
      </c>
      <c r="B54" s="115"/>
      <c r="C54" s="115"/>
      <c r="D54" s="115"/>
      <c r="E54" s="115"/>
      <c r="F54" s="115"/>
      <c r="G54" s="115"/>
      <c r="H54" s="115"/>
      <c r="I54" s="115"/>
      <c r="J54" s="115"/>
      <c r="K54" s="115"/>
      <c r="L54" s="115"/>
      <c r="M54" s="115"/>
      <c r="N54" s="115"/>
      <c r="O54" s="115"/>
      <c r="P54" s="115"/>
      <c r="Q54" s="115"/>
      <c r="R54" s="116"/>
    </row>
    <row r="55" spans="1:18" s="5" customFormat="1">
      <c r="A55" s="114" t="s">
        <v>284</v>
      </c>
      <c r="B55" s="115"/>
      <c r="C55" s="115"/>
      <c r="D55" s="115"/>
      <c r="E55" s="115"/>
      <c r="F55" s="115"/>
      <c r="G55" s="115"/>
      <c r="H55" s="115"/>
      <c r="I55" s="115"/>
      <c r="J55" s="115"/>
      <c r="K55" s="115"/>
      <c r="L55" s="115"/>
      <c r="M55" s="115"/>
      <c r="N55" s="115"/>
      <c r="O55" s="115"/>
      <c r="P55" s="115"/>
      <c r="Q55" s="115"/>
      <c r="R55" s="116"/>
    </row>
    <row r="56" spans="1:18" s="5" customFormat="1">
      <c r="A56" s="114" t="s">
        <v>285</v>
      </c>
      <c r="B56" s="115"/>
      <c r="C56" s="115"/>
      <c r="D56" s="115"/>
      <c r="E56" s="115"/>
      <c r="F56" s="115"/>
      <c r="G56" s="115"/>
      <c r="H56" s="115"/>
      <c r="I56" s="115"/>
      <c r="J56" s="115"/>
      <c r="K56" s="115"/>
      <c r="L56" s="115"/>
      <c r="M56" s="115"/>
      <c r="N56" s="115"/>
      <c r="O56" s="115"/>
      <c r="P56" s="115"/>
      <c r="Q56" s="115"/>
      <c r="R56" s="116"/>
    </row>
    <row r="57" spans="1:18" s="5" customFormat="1">
      <c r="A57" s="114" t="s">
        <v>306</v>
      </c>
      <c r="B57" s="115"/>
      <c r="C57" s="115"/>
      <c r="D57" s="115"/>
      <c r="E57" s="115"/>
      <c r="F57" s="115"/>
      <c r="G57" s="115"/>
      <c r="H57" s="115"/>
      <c r="I57" s="115"/>
      <c r="J57" s="115"/>
      <c r="K57" s="115"/>
      <c r="L57" s="115"/>
      <c r="M57" s="115"/>
      <c r="N57" s="115"/>
      <c r="O57" s="115"/>
      <c r="P57" s="115"/>
      <c r="Q57" s="115"/>
      <c r="R57" s="116"/>
    </row>
    <row r="58" spans="1:18" s="5" customFormat="1">
      <c r="A58" s="114" t="s">
        <v>307</v>
      </c>
      <c r="B58" s="115"/>
      <c r="C58" s="115"/>
      <c r="D58" s="115"/>
      <c r="E58" s="115"/>
      <c r="F58" s="115"/>
      <c r="G58" s="115"/>
      <c r="H58" s="115"/>
      <c r="I58" s="115"/>
      <c r="J58" s="115"/>
      <c r="K58" s="115"/>
      <c r="L58" s="115"/>
      <c r="M58" s="115"/>
      <c r="N58" s="115"/>
      <c r="O58" s="115"/>
      <c r="P58" s="115"/>
      <c r="Q58" s="115"/>
      <c r="R58" s="116"/>
    </row>
    <row r="59" spans="1:18" s="5" customFormat="1" ht="15.75" thickBot="1">
      <c r="A59" s="177"/>
      <c r="B59" s="178"/>
      <c r="C59" s="178"/>
      <c r="D59" s="178"/>
      <c r="E59" s="178"/>
      <c r="F59" s="178"/>
      <c r="G59" s="178"/>
      <c r="H59" s="178"/>
      <c r="I59" s="178"/>
      <c r="J59" s="178"/>
      <c r="K59" s="178"/>
      <c r="L59" s="178"/>
      <c r="M59" s="178"/>
      <c r="N59" s="178"/>
      <c r="O59" s="178"/>
      <c r="P59" s="178"/>
      <c r="Q59" s="178"/>
      <c r="R59" s="179"/>
    </row>
  </sheetData>
  <mergeCells count="94">
    <mergeCell ref="A59:R59"/>
    <mergeCell ref="A56:R56"/>
    <mergeCell ref="A57:R57"/>
    <mergeCell ref="A58:R58"/>
    <mergeCell ref="A52:R52"/>
    <mergeCell ref="A54:R54"/>
    <mergeCell ref="A55:R55"/>
    <mergeCell ref="B36:L36"/>
    <mergeCell ref="M36:R36"/>
    <mergeCell ref="A37:R37"/>
    <mergeCell ref="A53:R53"/>
    <mergeCell ref="A28:R28"/>
    <mergeCell ref="B44:R44"/>
    <mergeCell ref="B45:R45"/>
    <mergeCell ref="B42:R42"/>
    <mergeCell ref="B30:R30"/>
    <mergeCell ref="B31:R31"/>
    <mergeCell ref="A34:R34"/>
    <mergeCell ref="B35:R35"/>
    <mergeCell ref="B43:E43"/>
    <mergeCell ref="F43:R43"/>
    <mergeCell ref="A41:R41"/>
    <mergeCell ref="A49:R49"/>
    <mergeCell ref="F26:R26"/>
    <mergeCell ref="B27:R27"/>
    <mergeCell ref="B21:R21"/>
    <mergeCell ref="B22:R22"/>
    <mergeCell ref="B23:R23"/>
    <mergeCell ref="B24:R24"/>
    <mergeCell ref="B25:R25"/>
    <mergeCell ref="B26:E26"/>
    <mergeCell ref="B16:N16"/>
    <mergeCell ref="O16:R16"/>
    <mergeCell ref="B17:N17"/>
    <mergeCell ref="O17:R17"/>
    <mergeCell ref="A19:R19"/>
    <mergeCell ref="B18:N18"/>
    <mergeCell ref="O18:R18"/>
    <mergeCell ref="A50:R50"/>
    <mergeCell ref="A51:R51"/>
    <mergeCell ref="B46:E46"/>
    <mergeCell ref="F46:R46"/>
    <mergeCell ref="B48:R48"/>
    <mergeCell ref="B47:F47"/>
    <mergeCell ref="G47:R47"/>
    <mergeCell ref="B38:R38"/>
    <mergeCell ref="B39:R39"/>
    <mergeCell ref="B40:R40"/>
    <mergeCell ref="F5:G5"/>
    <mergeCell ref="H5:R5"/>
    <mergeCell ref="F6:H6"/>
    <mergeCell ref="I6:R6"/>
    <mergeCell ref="B29:R29"/>
    <mergeCell ref="A1:E6"/>
    <mergeCell ref="F1:P1"/>
    <mergeCell ref="Q1:R1"/>
    <mergeCell ref="F2:I2"/>
    <mergeCell ref="J2:L2"/>
    <mergeCell ref="M2:N2"/>
    <mergeCell ref="O2:P2"/>
    <mergeCell ref="Q2:R2"/>
    <mergeCell ref="A7:R7"/>
    <mergeCell ref="B8:C8"/>
    <mergeCell ref="D8:E8"/>
    <mergeCell ref="F8:G8"/>
    <mergeCell ref="H8:I8"/>
    <mergeCell ref="J8:K8"/>
    <mergeCell ref="P8:R8"/>
    <mergeCell ref="L8:M8"/>
    <mergeCell ref="N8:O8"/>
    <mergeCell ref="Q3:R3"/>
    <mergeCell ref="F4:H4"/>
    <mergeCell ref="I4:R4"/>
    <mergeCell ref="F3:G3"/>
    <mergeCell ref="H3:I3"/>
    <mergeCell ref="J3:L3"/>
    <mergeCell ref="M3:N3"/>
    <mergeCell ref="O3:P3"/>
    <mergeCell ref="B32:F32"/>
    <mergeCell ref="G32:R32"/>
    <mergeCell ref="B33:F33"/>
    <mergeCell ref="G33:R33"/>
    <mergeCell ref="L9:M9"/>
    <mergeCell ref="N9:O9"/>
    <mergeCell ref="A10:R10"/>
    <mergeCell ref="D9:E9"/>
    <mergeCell ref="F9:G9"/>
    <mergeCell ref="H9:I9"/>
    <mergeCell ref="J9:K9"/>
    <mergeCell ref="B9:C9"/>
    <mergeCell ref="P9:R9"/>
    <mergeCell ref="B20:N20"/>
    <mergeCell ref="O20:R20"/>
    <mergeCell ref="B11:R11"/>
  </mergeCells>
  <printOptions horizontalCentered="1"/>
  <pageMargins left="0.7" right="0.7" top="0.75" bottom="0.75" header="0.3" footer="0.3"/>
  <pageSetup paperSize="9" scale="83" firstPageNumber="18" orientation="portrait" r:id="rId1"/>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8295-E886-4624-A25E-C72DF7DD0EC6}">
  <sheetPr codeName="Sheet14">
    <tabColor rgb="FF00B050"/>
    <pageSetUpPr fitToPage="1"/>
  </sheetPr>
  <dimension ref="A1:U55"/>
  <sheetViews>
    <sheetView workbookViewId="0">
      <selection activeCell="Y21" sqref="Y21"/>
    </sheetView>
  </sheetViews>
  <sheetFormatPr defaultColWidth="9.140625" defaultRowHeight="15"/>
  <cols>
    <col min="1" max="1" width="10.7109375" style="5" customWidth="1"/>
    <col min="2" max="20" width="4.28515625" style="5" customWidth="1"/>
    <col min="21" max="21" width="4.28515625" style="1" customWidth="1"/>
    <col min="22" max="22" width="4.28515625" style="5" customWidth="1"/>
    <col min="23" max="16384" width="9.140625" style="5"/>
  </cols>
  <sheetData>
    <row r="1" spans="1:21" ht="14.45" customHeight="1">
      <c r="A1" s="132" t="e" vm="1">
        <v>#VALUE!</v>
      </c>
      <c r="B1" s="133"/>
      <c r="C1" s="133"/>
      <c r="D1" s="133"/>
      <c r="E1" s="134"/>
      <c r="F1" s="165" t="s">
        <v>213</v>
      </c>
      <c r="G1" s="166"/>
      <c r="H1" s="166"/>
      <c r="I1" s="166"/>
      <c r="J1" s="166"/>
      <c r="K1" s="166"/>
      <c r="L1" s="166"/>
      <c r="M1" s="166"/>
      <c r="N1" s="166"/>
      <c r="O1" s="166"/>
      <c r="P1" s="166"/>
      <c r="Q1" s="166"/>
      <c r="R1" s="166"/>
      <c r="S1" s="153" t="s">
        <v>214</v>
      </c>
      <c r="T1" s="153"/>
      <c r="U1" s="154"/>
    </row>
    <row r="2" spans="1:21" ht="15.75" customHeight="1">
      <c r="A2" s="135"/>
      <c r="B2" s="136"/>
      <c r="C2" s="136"/>
      <c r="D2" s="136"/>
      <c r="E2" s="137"/>
      <c r="F2" s="127" t="s">
        <v>215</v>
      </c>
      <c r="G2" s="101"/>
      <c r="H2" s="101"/>
      <c r="I2" s="101"/>
      <c r="J2" s="101" t="s">
        <v>216</v>
      </c>
      <c r="K2" s="101"/>
      <c r="L2" s="101"/>
      <c r="M2" s="101" t="s">
        <v>217</v>
      </c>
      <c r="N2" s="101"/>
      <c r="O2" s="101"/>
      <c r="P2" s="101" t="s">
        <v>13</v>
      </c>
      <c r="Q2" s="101"/>
      <c r="R2" s="101"/>
      <c r="S2" s="101" t="s">
        <v>10</v>
      </c>
      <c r="T2" s="101"/>
      <c r="U2" s="102"/>
    </row>
    <row r="3" spans="1:2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t="e">
        <f ca="1">VLOOKUP(F3,INDEX!B:J,5,0)</f>
        <v>#VALUE!</v>
      </c>
      <c r="N3" s="101"/>
      <c r="O3" s="101"/>
      <c r="P3" s="105" t="e">
        <f ca="1">VLOOKUP(F3,INDEX!B:AF,17,0)</f>
        <v>#VALUE!</v>
      </c>
      <c r="Q3" s="105"/>
      <c r="R3" s="105"/>
      <c r="S3" s="101" t="e">
        <f ca="1">VLOOKUP(F3,INDEX!B:J,9,0)</f>
        <v>#VALUE!</v>
      </c>
      <c r="T3" s="101"/>
      <c r="U3" s="102"/>
    </row>
    <row r="4" spans="1:21" ht="15" customHeight="1">
      <c r="A4" s="135"/>
      <c r="B4" s="136"/>
      <c r="C4" s="136"/>
      <c r="D4" s="136"/>
      <c r="E4" s="137"/>
      <c r="F4" s="130" t="s">
        <v>218</v>
      </c>
      <c r="G4" s="131"/>
      <c r="H4" s="131"/>
      <c r="I4" s="212" t="e">
        <f ca="1">VLOOKUP(F3,INDEX!B:AF,18,0)</f>
        <v>#VALUE!</v>
      </c>
      <c r="J4" s="212"/>
      <c r="K4" s="212"/>
      <c r="L4" s="212"/>
      <c r="M4" s="212"/>
      <c r="N4" s="212"/>
      <c r="O4" s="212"/>
      <c r="P4" s="212"/>
      <c r="Q4" s="212"/>
      <c r="R4" s="212"/>
      <c r="S4" s="212"/>
      <c r="T4" s="212"/>
      <c r="U4" s="213"/>
    </row>
    <row r="5" spans="1:21" ht="13.9" customHeight="1">
      <c r="A5" s="135"/>
      <c r="B5" s="136"/>
      <c r="C5" s="136"/>
      <c r="D5" s="136"/>
      <c r="E5" s="137"/>
      <c r="F5" s="128" t="s">
        <v>219</v>
      </c>
      <c r="G5" s="129"/>
      <c r="H5" s="129"/>
      <c r="I5" s="212" t="e">
        <f ca="1">VLOOKUP(F3,INDEX!B:J,6,0)</f>
        <v>#VALUE!</v>
      </c>
      <c r="J5" s="212"/>
      <c r="K5" s="212"/>
      <c r="L5" s="212"/>
      <c r="M5" s="212"/>
      <c r="N5" s="212"/>
      <c r="O5" s="212"/>
      <c r="P5" s="212"/>
      <c r="Q5" s="212"/>
      <c r="R5" s="212"/>
      <c r="S5" s="212"/>
      <c r="T5" s="212"/>
      <c r="U5" s="213"/>
    </row>
    <row r="6" spans="1:21" ht="14.45" customHeight="1" thickBot="1">
      <c r="A6" s="138"/>
      <c r="B6" s="139"/>
      <c r="C6" s="139"/>
      <c r="D6" s="139"/>
      <c r="E6" s="140"/>
      <c r="F6" s="130" t="s">
        <v>220</v>
      </c>
      <c r="G6" s="131"/>
      <c r="H6" s="131"/>
      <c r="I6" s="198" t="e">
        <f ca="1">VLOOKUP(F3,INDEX!B:AF,16,0)</f>
        <v>#VALUE!</v>
      </c>
      <c r="J6" s="198"/>
      <c r="K6" s="198"/>
      <c r="L6" s="198"/>
      <c r="M6" s="198"/>
      <c r="N6" s="198"/>
      <c r="O6" s="198"/>
      <c r="P6" s="198"/>
      <c r="Q6" s="198"/>
      <c r="R6" s="198"/>
      <c r="S6" s="198"/>
      <c r="T6" s="198"/>
      <c r="U6" s="199"/>
    </row>
    <row r="7" spans="1:21" ht="14.45" customHeight="1">
      <c r="A7" s="200" t="s">
        <v>221</v>
      </c>
      <c r="B7" s="201"/>
      <c r="C7" s="201"/>
      <c r="D7" s="201"/>
      <c r="E7" s="201"/>
      <c r="F7" s="201"/>
      <c r="G7" s="201"/>
      <c r="H7" s="201"/>
      <c r="I7" s="201"/>
      <c r="J7" s="201"/>
      <c r="K7" s="201"/>
      <c r="L7" s="201"/>
      <c r="M7" s="201"/>
      <c r="N7" s="201"/>
      <c r="O7" s="201"/>
      <c r="P7" s="201"/>
      <c r="Q7" s="201"/>
      <c r="R7" s="201"/>
      <c r="S7" s="201"/>
      <c r="T7" s="201"/>
      <c r="U7" s="202"/>
    </row>
    <row r="8" spans="1:21"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01" t="s">
        <v>223</v>
      </c>
      <c r="Q8" s="101"/>
      <c r="R8" s="101"/>
      <c r="S8" s="101"/>
      <c r="T8" s="101"/>
      <c r="U8" s="102"/>
    </row>
    <row r="9" spans="1:21"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01" t="e">
        <f ca="1">B8*1.5</f>
        <v>#VALUE!</v>
      </c>
      <c r="Q9" s="101"/>
      <c r="R9" s="101"/>
      <c r="S9" s="101"/>
      <c r="T9" s="101"/>
      <c r="U9" s="102"/>
    </row>
    <row r="10" spans="1:21" s="3" customFormat="1">
      <c r="A10" s="208" t="s">
        <v>225</v>
      </c>
      <c r="B10" s="209"/>
      <c r="C10" s="209"/>
      <c r="D10" s="209"/>
      <c r="E10" s="209"/>
      <c r="F10" s="209"/>
      <c r="G10" s="209"/>
      <c r="H10" s="209"/>
      <c r="I10" s="209"/>
      <c r="J10" s="209"/>
      <c r="K10" s="209"/>
      <c r="L10" s="209"/>
      <c r="M10" s="209"/>
      <c r="N10" s="209"/>
      <c r="O10" s="209"/>
      <c r="P10" s="209"/>
      <c r="Q10" s="209"/>
      <c r="R10" s="209"/>
      <c r="S10" s="209"/>
      <c r="T10" s="209"/>
      <c r="U10" s="210"/>
    </row>
    <row r="11" spans="1:21">
      <c r="A11" s="69" t="s">
        <v>226</v>
      </c>
      <c r="B11" s="109" t="s">
        <v>227</v>
      </c>
      <c r="C11" s="109"/>
      <c r="D11" s="109"/>
      <c r="E11" s="109"/>
      <c r="F11" s="109"/>
      <c r="G11" s="109"/>
      <c r="H11" s="109"/>
      <c r="I11" s="109"/>
      <c r="J11" s="109"/>
      <c r="K11" s="109"/>
      <c r="L11" s="109"/>
      <c r="M11" s="109"/>
      <c r="N11" s="109"/>
      <c r="O11" s="109"/>
      <c r="P11" s="109"/>
      <c r="Q11" s="109"/>
      <c r="R11" s="144"/>
      <c r="S11" s="20"/>
      <c r="T11" s="20"/>
      <c r="U11" s="80"/>
    </row>
    <row r="12" spans="1:21"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66">
        <v>30</v>
      </c>
    </row>
    <row r="13" spans="1:21"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66">
        <v>762</v>
      </c>
    </row>
    <row r="14" spans="1:21" s="3" customFormat="1">
      <c r="A14" s="70" t="s">
        <v>230</v>
      </c>
      <c r="B14" s="17" t="s">
        <v>308</v>
      </c>
      <c r="C14" s="17" t="s">
        <v>308</v>
      </c>
      <c r="D14" s="17" t="s">
        <v>308</v>
      </c>
      <c r="E14" s="17" t="s">
        <v>308</v>
      </c>
      <c r="F14" s="17">
        <v>160</v>
      </c>
      <c r="G14" s="17" t="s">
        <v>232</v>
      </c>
      <c r="H14" s="17" t="s">
        <v>232</v>
      </c>
      <c r="I14" s="17" t="s">
        <v>232</v>
      </c>
      <c r="J14" s="17" t="s">
        <v>232</v>
      </c>
      <c r="K14" s="17" t="s">
        <v>232</v>
      </c>
      <c r="L14" s="17" t="s">
        <v>232</v>
      </c>
      <c r="M14" s="17" t="s">
        <v>232</v>
      </c>
      <c r="N14" s="17" t="s">
        <v>232</v>
      </c>
      <c r="O14" s="17" t="s">
        <v>232</v>
      </c>
      <c r="P14" s="17" t="s">
        <v>232</v>
      </c>
      <c r="Q14" s="17" t="s">
        <v>232</v>
      </c>
      <c r="R14" s="17" t="s">
        <v>232</v>
      </c>
      <c r="S14" s="17" t="s">
        <v>232</v>
      </c>
      <c r="T14" s="17" t="s">
        <v>232</v>
      </c>
      <c r="U14" s="66">
        <v>30</v>
      </c>
    </row>
    <row r="15" spans="1:21" s="3" customFormat="1">
      <c r="A15" s="70" t="s">
        <v>233</v>
      </c>
      <c r="B15" s="17">
        <v>7.47</v>
      </c>
      <c r="C15" s="17">
        <v>7.82</v>
      </c>
      <c r="D15" s="17">
        <v>9.09</v>
      </c>
      <c r="E15" s="17">
        <v>10.15</v>
      </c>
      <c r="F15" s="17">
        <v>8.74</v>
      </c>
      <c r="G15" s="17">
        <v>7.62</v>
      </c>
      <c r="H15" s="17">
        <v>8.56</v>
      </c>
      <c r="I15" s="17">
        <v>10.97</v>
      </c>
      <c r="J15" s="17">
        <v>12.7</v>
      </c>
      <c r="K15" s="17">
        <v>12.7</v>
      </c>
      <c r="L15" s="17">
        <v>12.7</v>
      </c>
      <c r="M15" s="17">
        <v>12.7</v>
      </c>
      <c r="N15" s="17">
        <v>12.7</v>
      </c>
      <c r="O15" s="17">
        <v>12.7</v>
      </c>
      <c r="P15" s="17">
        <v>12.7</v>
      </c>
      <c r="Q15" s="17">
        <v>12.7</v>
      </c>
      <c r="R15" s="17">
        <v>12.7</v>
      </c>
      <c r="S15" s="17">
        <v>12.7</v>
      </c>
      <c r="T15" s="17">
        <v>12.7</v>
      </c>
      <c r="U15" s="66">
        <v>15.88</v>
      </c>
    </row>
    <row r="16" spans="1:21">
      <c r="A16" s="69" t="s">
        <v>234</v>
      </c>
      <c r="B16" s="144" t="s">
        <v>235</v>
      </c>
      <c r="C16" s="145"/>
      <c r="D16" s="145"/>
      <c r="E16" s="145"/>
      <c r="F16" s="145"/>
      <c r="G16" s="145"/>
      <c r="H16" s="145"/>
      <c r="I16" s="145"/>
      <c r="J16" s="145"/>
      <c r="K16" s="145"/>
      <c r="L16" s="145"/>
      <c r="M16" s="145"/>
      <c r="N16" s="145"/>
      <c r="O16" s="151" t="s">
        <v>287</v>
      </c>
      <c r="P16" s="152"/>
      <c r="Q16" s="152"/>
      <c r="R16" s="152"/>
      <c r="S16" s="152"/>
      <c r="T16" s="152"/>
      <c r="U16" s="161"/>
    </row>
    <row r="17" spans="1:21">
      <c r="A17" s="69" t="s">
        <v>237</v>
      </c>
      <c r="B17" s="144" t="s">
        <v>295</v>
      </c>
      <c r="C17" s="145"/>
      <c r="D17" s="145"/>
      <c r="E17" s="145"/>
      <c r="F17" s="145"/>
      <c r="G17" s="145"/>
      <c r="H17" s="145"/>
      <c r="I17" s="145"/>
      <c r="J17" s="145"/>
      <c r="K17" s="145"/>
      <c r="L17" s="145"/>
      <c r="M17" s="145"/>
      <c r="N17" s="145"/>
      <c r="O17" s="151" t="s">
        <v>288</v>
      </c>
      <c r="P17" s="152"/>
      <c r="Q17" s="152"/>
      <c r="R17" s="152"/>
      <c r="S17" s="152"/>
      <c r="T17" s="152"/>
      <c r="U17" s="161"/>
    </row>
    <row r="18" spans="1:21">
      <c r="A18" s="69" t="s">
        <v>240</v>
      </c>
      <c r="B18" s="109" t="s">
        <v>241</v>
      </c>
      <c r="C18" s="109"/>
      <c r="D18" s="109"/>
      <c r="E18" s="109"/>
      <c r="F18" s="109"/>
      <c r="G18" s="109"/>
      <c r="H18" s="109"/>
      <c r="I18" s="109"/>
      <c r="J18" s="109"/>
      <c r="K18" s="109"/>
      <c r="L18" s="109"/>
      <c r="M18" s="109"/>
      <c r="N18" s="109"/>
      <c r="O18" s="109"/>
      <c r="P18" s="109"/>
      <c r="Q18" s="109"/>
      <c r="R18" s="144"/>
      <c r="S18" s="20"/>
      <c r="T18" s="20"/>
      <c r="U18" s="80"/>
    </row>
    <row r="19" spans="1:21">
      <c r="A19" s="117" t="s">
        <v>242</v>
      </c>
      <c r="B19" s="109"/>
      <c r="C19" s="109"/>
      <c r="D19" s="109"/>
      <c r="E19" s="109"/>
      <c r="F19" s="109"/>
      <c r="G19" s="109"/>
      <c r="H19" s="109"/>
      <c r="I19" s="109"/>
      <c r="J19" s="109"/>
      <c r="K19" s="109"/>
      <c r="L19" s="109"/>
      <c r="M19" s="109"/>
      <c r="N19" s="109"/>
      <c r="O19" s="109"/>
      <c r="P19" s="109"/>
      <c r="Q19" s="109"/>
      <c r="R19" s="144"/>
      <c r="S19" s="20"/>
      <c r="T19" s="20"/>
      <c r="U19" s="80"/>
    </row>
    <row r="20" spans="1:21" ht="30.6" customHeight="1">
      <c r="A20" s="69" t="s">
        <v>234</v>
      </c>
      <c r="B20" s="144" t="s">
        <v>243</v>
      </c>
      <c r="C20" s="145"/>
      <c r="D20" s="145"/>
      <c r="E20" s="145"/>
      <c r="F20" s="145"/>
      <c r="G20" s="145"/>
      <c r="H20" s="145"/>
      <c r="I20" s="145"/>
      <c r="J20" s="145"/>
      <c r="K20" s="145"/>
      <c r="L20" s="145"/>
      <c r="M20" s="145"/>
      <c r="N20" s="145"/>
      <c r="O20" s="144" t="s">
        <v>244</v>
      </c>
      <c r="P20" s="145"/>
      <c r="Q20" s="145"/>
      <c r="R20" s="145"/>
      <c r="S20" s="145"/>
      <c r="T20" s="145"/>
      <c r="U20" s="147"/>
    </row>
    <row r="21" spans="1:21" ht="15" customHeight="1">
      <c r="A21" s="69" t="s">
        <v>237</v>
      </c>
      <c r="B21" s="144" t="s">
        <v>289</v>
      </c>
      <c r="C21" s="145"/>
      <c r="D21" s="145"/>
      <c r="E21" s="145"/>
      <c r="F21" s="145"/>
      <c r="G21" s="145"/>
      <c r="H21" s="145"/>
      <c r="I21" s="145"/>
      <c r="J21" s="145"/>
      <c r="K21" s="145"/>
      <c r="L21" s="145"/>
      <c r="M21" s="145"/>
      <c r="N21" s="145"/>
      <c r="O21" s="145"/>
      <c r="P21" s="145"/>
      <c r="Q21" s="145"/>
      <c r="R21" s="145"/>
      <c r="S21" s="20"/>
      <c r="T21" s="20"/>
      <c r="U21" s="81"/>
    </row>
    <row r="22" spans="1:21" ht="15" customHeight="1">
      <c r="A22" s="69" t="s">
        <v>246</v>
      </c>
      <c r="B22" s="144" t="s">
        <v>247</v>
      </c>
      <c r="C22" s="145"/>
      <c r="D22" s="145"/>
      <c r="E22" s="145"/>
      <c r="F22" s="145"/>
      <c r="G22" s="145"/>
      <c r="H22" s="145"/>
      <c r="I22" s="145"/>
      <c r="J22" s="145"/>
      <c r="K22" s="145"/>
      <c r="L22" s="145"/>
      <c r="M22" s="145"/>
      <c r="N22" s="145"/>
      <c r="O22" s="145"/>
      <c r="P22" s="145"/>
      <c r="Q22" s="145"/>
      <c r="R22" s="145"/>
      <c r="S22" s="20"/>
      <c r="T22" s="20"/>
      <c r="U22" s="80"/>
    </row>
    <row r="23" spans="1:21" ht="15" customHeight="1">
      <c r="A23" s="69" t="s">
        <v>248</v>
      </c>
      <c r="B23" s="144" t="s">
        <v>247</v>
      </c>
      <c r="C23" s="145"/>
      <c r="D23" s="145"/>
      <c r="E23" s="145"/>
      <c r="F23" s="145"/>
      <c r="G23" s="145"/>
      <c r="H23" s="145"/>
      <c r="I23" s="145"/>
      <c r="J23" s="145"/>
      <c r="K23" s="145"/>
      <c r="L23" s="145"/>
      <c r="M23" s="145"/>
      <c r="N23" s="145"/>
      <c r="O23" s="145"/>
      <c r="P23" s="145"/>
      <c r="Q23" s="145"/>
      <c r="R23" s="145"/>
      <c r="S23" s="20"/>
      <c r="T23" s="20"/>
      <c r="U23" s="80"/>
    </row>
    <row r="24" spans="1:21" ht="15" customHeight="1">
      <c r="A24" s="69" t="s">
        <v>249</v>
      </c>
      <c r="B24" s="144" t="s">
        <v>247</v>
      </c>
      <c r="C24" s="145"/>
      <c r="D24" s="145"/>
      <c r="E24" s="145"/>
      <c r="F24" s="145"/>
      <c r="G24" s="145"/>
      <c r="H24" s="145"/>
      <c r="I24" s="145"/>
      <c r="J24" s="145"/>
      <c r="K24" s="145"/>
      <c r="L24" s="145"/>
      <c r="M24" s="145"/>
      <c r="N24" s="145"/>
      <c r="O24" s="145"/>
      <c r="P24" s="145"/>
      <c r="Q24" s="145"/>
      <c r="R24" s="145"/>
      <c r="S24" s="20"/>
      <c r="T24" s="20"/>
      <c r="U24" s="80"/>
    </row>
    <row r="25" spans="1:21" ht="15" customHeight="1">
      <c r="A25" s="69" t="s">
        <v>250</v>
      </c>
      <c r="B25" s="144" t="s">
        <v>247</v>
      </c>
      <c r="C25" s="145"/>
      <c r="D25" s="145"/>
      <c r="E25" s="145"/>
      <c r="F25" s="145"/>
      <c r="G25" s="145"/>
      <c r="H25" s="145"/>
      <c r="I25" s="145"/>
      <c r="J25" s="145"/>
      <c r="K25" s="145"/>
      <c r="L25" s="145"/>
      <c r="M25" s="145"/>
      <c r="N25" s="145"/>
      <c r="O25" s="145"/>
      <c r="P25" s="145"/>
      <c r="Q25" s="145"/>
      <c r="R25" s="145"/>
      <c r="S25" s="20"/>
      <c r="T25" s="20"/>
      <c r="U25" s="80"/>
    </row>
    <row r="26" spans="1:21">
      <c r="A26" s="69" t="s">
        <v>251</v>
      </c>
      <c r="B26" s="151" t="s">
        <v>290</v>
      </c>
      <c r="C26" s="152"/>
      <c r="D26" s="152"/>
      <c r="E26" s="127"/>
      <c r="F26" s="144"/>
      <c r="G26" s="145"/>
      <c r="H26" s="145"/>
      <c r="I26" s="145"/>
      <c r="J26" s="145"/>
      <c r="K26" s="145"/>
      <c r="L26" s="145"/>
      <c r="M26" s="145"/>
      <c r="N26" s="145"/>
      <c r="O26" s="145"/>
      <c r="P26" s="145"/>
      <c r="Q26" s="145"/>
      <c r="R26" s="145"/>
      <c r="S26" s="20"/>
      <c r="T26" s="20"/>
      <c r="U26" s="80"/>
    </row>
    <row r="27" spans="1:21" ht="15" customHeight="1">
      <c r="A27" s="69" t="s">
        <v>253</v>
      </c>
      <c r="B27" s="144" t="s">
        <v>325</v>
      </c>
      <c r="C27" s="145"/>
      <c r="D27" s="145"/>
      <c r="E27" s="145"/>
      <c r="F27" s="145"/>
      <c r="G27" s="145"/>
      <c r="H27" s="145"/>
      <c r="I27" s="145"/>
      <c r="J27" s="145"/>
      <c r="K27" s="145"/>
      <c r="L27" s="145"/>
      <c r="M27" s="145"/>
      <c r="N27" s="145"/>
      <c r="O27" s="145"/>
      <c r="P27" s="145"/>
      <c r="Q27" s="145"/>
      <c r="R27" s="145"/>
      <c r="S27" s="20"/>
      <c r="T27" s="20"/>
      <c r="U27" s="80"/>
    </row>
    <row r="28" spans="1:21">
      <c r="A28" s="117" t="s">
        <v>255</v>
      </c>
      <c r="B28" s="109"/>
      <c r="C28" s="109"/>
      <c r="D28" s="109"/>
      <c r="E28" s="109"/>
      <c r="F28" s="109"/>
      <c r="G28" s="109"/>
      <c r="H28" s="109"/>
      <c r="I28" s="109"/>
      <c r="J28" s="109"/>
      <c r="K28" s="109"/>
      <c r="L28" s="109"/>
      <c r="M28" s="109"/>
      <c r="N28" s="109"/>
      <c r="O28" s="109"/>
      <c r="P28" s="109"/>
      <c r="Q28" s="109"/>
      <c r="R28" s="144"/>
      <c r="S28" s="20"/>
      <c r="T28" s="20"/>
      <c r="U28" s="80"/>
    </row>
    <row r="29" spans="1:21" ht="13.9" customHeight="1">
      <c r="A29" s="69" t="s">
        <v>237</v>
      </c>
      <c r="B29" s="205" t="s">
        <v>326</v>
      </c>
      <c r="C29" s="206"/>
      <c r="D29" s="206"/>
      <c r="E29" s="206"/>
      <c r="F29" s="206"/>
      <c r="G29" s="206"/>
      <c r="H29" s="206"/>
      <c r="I29" s="206"/>
      <c r="J29" s="206"/>
      <c r="K29" s="206"/>
      <c r="L29" s="206"/>
      <c r="M29" s="206"/>
      <c r="N29" s="206"/>
      <c r="O29" s="206"/>
      <c r="P29" s="206"/>
      <c r="Q29" s="206"/>
      <c r="R29" s="206"/>
      <c r="S29" s="34"/>
      <c r="T29" s="34"/>
      <c r="U29" s="80"/>
    </row>
    <row r="30" spans="1:21" ht="13.9" customHeight="1">
      <c r="A30" s="69" t="s">
        <v>257</v>
      </c>
      <c r="B30" s="205" t="s">
        <v>258</v>
      </c>
      <c r="C30" s="206"/>
      <c r="D30" s="206"/>
      <c r="E30" s="206"/>
      <c r="F30" s="206"/>
      <c r="G30" s="206"/>
      <c r="H30" s="206"/>
      <c r="I30" s="206"/>
      <c r="J30" s="206"/>
      <c r="K30" s="206"/>
      <c r="L30" s="206"/>
      <c r="M30" s="206"/>
      <c r="N30" s="206"/>
      <c r="O30" s="206"/>
      <c r="P30" s="206"/>
      <c r="Q30" s="206"/>
      <c r="R30" s="206"/>
      <c r="S30" s="34"/>
      <c r="T30" s="34"/>
      <c r="U30" s="80"/>
    </row>
    <row r="31" spans="1:21" s="1" customFormat="1" ht="15" customHeight="1">
      <c r="A31" s="69" t="s">
        <v>234</v>
      </c>
      <c r="B31" s="205" t="s">
        <v>259</v>
      </c>
      <c r="C31" s="206"/>
      <c r="D31" s="206"/>
      <c r="E31" s="206"/>
      <c r="F31" s="206"/>
      <c r="G31" s="206"/>
      <c r="H31" s="206"/>
      <c r="I31" s="206"/>
      <c r="J31" s="206"/>
      <c r="K31" s="206"/>
      <c r="L31" s="206"/>
      <c r="M31" s="206"/>
      <c r="N31" s="206"/>
      <c r="O31" s="206"/>
      <c r="P31" s="206"/>
      <c r="Q31" s="206"/>
      <c r="R31" s="206"/>
      <c r="S31" s="34"/>
      <c r="T31" s="34"/>
      <c r="U31" s="80"/>
    </row>
    <row r="32" spans="1:21">
      <c r="A32" s="117" t="s">
        <v>260</v>
      </c>
      <c r="B32" s="109"/>
      <c r="C32" s="109"/>
      <c r="D32" s="109"/>
      <c r="E32" s="109"/>
      <c r="F32" s="109"/>
      <c r="G32" s="109"/>
      <c r="H32" s="109"/>
      <c r="I32" s="109"/>
      <c r="J32" s="109"/>
      <c r="K32" s="109"/>
      <c r="L32" s="109"/>
      <c r="M32" s="109"/>
      <c r="N32" s="109"/>
      <c r="O32" s="109"/>
      <c r="P32" s="109"/>
      <c r="Q32" s="109"/>
      <c r="R32" s="144"/>
      <c r="S32" s="34"/>
      <c r="T32" s="34"/>
      <c r="U32" s="82"/>
    </row>
    <row r="33" spans="1:21">
      <c r="A33" s="69" t="s">
        <v>237</v>
      </c>
      <c r="B33" s="109" t="s">
        <v>326</v>
      </c>
      <c r="C33" s="109"/>
      <c r="D33" s="109"/>
      <c r="E33" s="109"/>
      <c r="F33" s="109"/>
      <c r="G33" s="109"/>
      <c r="H33" s="109"/>
      <c r="I33" s="109"/>
      <c r="J33" s="109"/>
      <c r="K33" s="109"/>
      <c r="L33" s="109"/>
      <c r="M33" s="109"/>
      <c r="N33" s="109"/>
      <c r="O33" s="109"/>
      <c r="P33" s="109"/>
      <c r="Q33" s="109"/>
      <c r="R33" s="144"/>
      <c r="S33" s="34"/>
      <c r="T33" s="34"/>
      <c r="U33" s="80"/>
    </row>
    <row r="34" spans="1:21" ht="15" customHeight="1">
      <c r="A34" s="69" t="s">
        <v>261</v>
      </c>
      <c r="B34" s="144" t="s">
        <v>262</v>
      </c>
      <c r="C34" s="145"/>
      <c r="D34" s="145"/>
      <c r="E34" s="145"/>
      <c r="F34" s="145"/>
      <c r="G34" s="145"/>
      <c r="H34" s="145"/>
      <c r="I34" s="145"/>
      <c r="J34" s="145"/>
      <c r="K34" s="145"/>
      <c r="L34" s="146"/>
      <c r="M34" s="151" t="s">
        <v>327</v>
      </c>
      <c r="N34" s="152"/>
      <c r="O34" s="152"/>
      <c r="P34" s="152"/>
      <c r="Q34" s="152"/>
      <c r="R34" s="152"/>
      <c r="S34" s="33"/>
      <c r="T34" s="33"/>
      <c r="U34" s="81"/>
    </row>
    <row r="35" spans="1:21">
      <c r="A35" s="117" t="s">
        <v>264</v>
      </c>
      <c r="B35" s="109"/>
      <c r="C35" s="109"/>
      <c r="D35" s="109"/>
      <c r="E35" s="109"/>
      <c r="F35" s="109"/>
      <c r="G35" s="109"/>
      <c r="H35" s="109"/>
      <c r="I35" s="109"/>
      <c r="J35" s="109"/>
      <c r="K35" s="109"/>
      <c r="L35" s="109"/>
      <c r="M35" s="109"/>
      <c r="N35" s="109"/>
      <c r="O35" s="109"/>
      <c r="P35" s="109"/>
      <c r="Q35" s="109"/>
      <c r="R35" s="144"/>
      <c r="S35" s="20"/>
      <c r="T35" s="20"/>
      <c r="U35" s="80"/>
    </row>
    <row r="36" spans="1:21">
      <c r="A36" s="69" t="s">
        <v>265</v>
      </c>
      <c r="B36" s="144" t="s">
        <v>328</v>
      </c>
      <c r="C36" s="145"/>
      <c r="D36" s="145"/>
      <c r="E36" s="145"/>
      <c r="F36" s="145"/>
      <c r="G36" s="145"/>
      <c r="H36" s="145"/>
      <c r="I36" s="145"/>
      <c r="J36" s="145"/>
      <c r="K36" s="145"/>
      <c r="L36" s="145"/>
      <c r="M36" s="145"/>
      <c r="N36" s="145"/>
      <c r="O36" s="145"/>
      <c r="P36" s="145"/>
      <c r="Q36" s="145"/>
      <c r="R36" s="145"/>
      <c r="S36" s="20"/>
      <c r="T36" s="20"/>
      <c r="U36" s="80"/>
    </row>
    <row r="37" spans="1:21">
      <c r="A37" s="69" t="s">
        <v>267</v>
      </c>
      <c r="B37" s="144" t="s">
        <v>329</v>
      </c>
      <c r="C37" s="145"/>
      <c r="D37" s="145"/>
      <c r="E37" s="145"/>
      <c r="F37" s="145"/>
      <c r="G37" s="145"/>
      <c r="H37" s="145"/>
      <c r="I37" s="145"/>
      <c r="J37" s="145"/>
      <c r="K37" s="145"/>
      <c r="L37" s="145"/>
      <c r="M37" s="145"/>
      <c r="N37" s="145"/>
      <c r="O37" s="145"/>
      <c r="P37" s="145"/>
      <c r="Q37" s="145"/>
      <c r="R37" s="145"/>
      <c r="S37" s="20"/>
      <c r="T37" s="20"/>
      <c r="U37" s="80"/>
    </row>
    <row r="38" spans="1:21">
      <c r="A38" s="69" t="s">
        <v>269</v>
      </c>
      <c r="B38" s="144" t="s">
        <v>330</v>
      </c>
      <c r="C38" s="149"/>
      <c r="D38" s="149"/>
      <c r="E38" s="149"/>
      <c r="F38" s="149"/>
      <c r="G38" s="149"/>
      <c r="H38" s="149"/>
      <c r="I38" s="149"/>
      <c r="J38" s="149"/>
      <c r="K38" s="149"/>
      <c r="L38" s="149"/>
      <c r="M38" s="149"/>
      <c r="N38" s="149"/>
      <c r="O38" s="149"/>
      <c r="P38" s="149"/>
      <c r="Q38" s="149"/>
      <c r="R38" s="149"/>
      <c r="S38" s="32"/>
      <c r="T38" s="32"/>
      <c r="U38" s="80"/>
    </row>
    <row r="39" spans="1:21" s="1" customFormat="1" ht="14.45" customHeight="1">
      <c r="A39" s="141" t="s">
        <v>271</v>
      </c>
      <c r="B39" s="142"/>
      <c r="C39" s="142"/>
      <c r="D39" s="142"/>
      <c r="E39" s="142"/>
      <c r="F39" s="142"/>
      <c r="G39" s="142"/>
      <c r="H39" s="142"/>
      <c r="I39" s="142"/>
      <c r="J39" s="142"/>
      <c r="K39" s="142"/>
      <c r="L39" s="142"/>
      <c r="M39" s="142"/>
      <c r="N39" s="142"/>
      <c r="O39" s="142"/>
      <c r="P39" s="142"/>
      <c r="Q39" s="142"/>
      <c r="R39" s="142"/>
      <c r="S39" s="142"/>
      <c r="T39" s="142"/>
      <c r="U39" s="143"/>
    </row>
    <row r="40" spans="1:21" s="1" customForma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10"/>
    </row>
    <row r="41" spans="1:2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10"/>
    </row>
    <row r="42" spans="1:2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10"/>
    </row>
    <row r="43" spans="1:2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10"/>
    </row>
    <row r="44" spans="1:2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7"/>
    </row>
    <row r="45" spans="1:21" ht="13.9" customHeight="1">
      <c r="A45" s="69"/>
      <c r="B45" s="109"/>
      <c r="C45" s="109"/>
      <c r="D45" s="109"/>
      <c r="E45" s="109"/>
      <c r="F45" s="109"/>
      <c r="G45" s="109"/>
      <c r="H45" s="109"/>
      <c r="I45" s="109"/>
      <c r="J45" s="109"/>
      <c r="K45" s="109"/>
      <c r="L45" s="109"/>
      <c r="M45" s="109"/>
      <c r="N45" s="109"/>
      <c r="O45" s="109"/>
      <c r="P45" s="109"/>
      <c r="Q45" s="109"/>
      <c r="R45" s="109"/>
      <c r="S45" s="109"/>
      <c r="T45" s="109"/>
      <c r="U45" s="110"/>
    </row>
    <row r="46" spans="1:21" ht="13.9" customHeight="1">
      <c r="A46" s="69"/>
      <c r="B46" s="109"/>
      <c r="C46" s="109"/>
      <c r="D46" s="109"/>
      <c r="E46" s="109"/>
      <c r="F46" s="109"/>
      <c r="G46" s="109"/>
      <c r="H46" s="109"/>
      <c r="I46" s="109"/>
      <c r="J46" s="109"/>
      <c r="K46" s="109"/>
      <c r="L46" s="109"/>
      <c r="M46" s="109"/>
      <c r="N46" s="109"/>
      <c r="O46" s="109"/>
      <c r="P46" s="109"/>
      <c r="Q46" s="109"/>
      <c r="R46" s="109"/>
      <c r="S46" s="109"/>
      <c r="T46" s="109"/>
      <c r="U46" s="110"/>
    </row>
    <row r="47" spans="1:21" ht="13.9" customHeight="1">
      <c r="A47" s="148" t="s">
        <v>278</v>
      </c>
      <c r="B47" s="149"/>
      <c r="C47" s="149"/>
      <c r="D47" s="149"/>
      <c r="E47" s="149"/>
      <c r="F47" s="149"/>
      <c r="G47" s="149"/>
      <c r="H47" s="149"/>
      <c r="I47" s="149"/>
      <c r="J47" s="149"/>
      <c r="K47" s="149"/>
      <c r="L47" s="149"/>
      <c r="M47" s="149"/>
      <c r="N47" s="149"/>
      <c r="O47" s="149"/>
      <c r="P47" s="149"/>
      <c r="Q47" s="149"/>
      <c r="R47" s="149"/>
      <c r="S47" s="149"/>
      <c r="T47" s="149"/>
      <c r="U47" s="150"/>
    </row>
    <row r="48" spans="1:21" ht="29.45" customHeight="1">
      <c r="A48" s="111" t="s">
        <v>279</v>
      </c>
      <c r="B48" s="112"/>
      <c r="C48" s="112"/>
      <c r="D48" s="112"/>
      <c r="E48" s="112"/>
      <c r="F48" s="112"/>
      <c r="G48" s="112"/>
      <c r="H48" s="112"/>
      <c r="I48" s="112"/>
      <c r="J48" s="112"/>
      <c r="K48" s="112"/>
      <c r="L48" s="112"/>
      <c r="M48" s="112"/>
      <c r="N48" s="112"/>
      <c r="O48" s="112"/>
      <c r="P48" s="112"/>
      <c r="Q48" s="112"/>
      <c r="R48" s="112"/>
      <c r="S48" s="112"/>
      <c r="T48" s="112"/>
      <c r="U48" s="113"/>
    </row>
    <row r="49" spans="1:21" ht="13.9" customHeight="1">
      <c r="A49" s="114" t="s">
        <v>280</v>
      </c>
      <c r="B49" s="115"/>
      <c r="C49" s="115"/>
      <c r="D49" s="115"/>
      <c r="E49" s="115"/>
      <c r="F49" s="115"/>
      <c r="G49" s="115"/>
      <c r="H49" s="115"/>
      <c r="I49" s="115"/>
      <c r="J49" s="115"/>
      <c r="K49" s="115"/>
      <c r="L49" s="115"/>
      <c r="M49" s="115"/>
      <c r="N49" s="115"/>
      <c r="O49" s="115"/>
      <c r="P49" s="115"/>
      <c r="Q49" s="115"/>
      <c r="R49" s="115"/>
      <c r="S49" s="115"/>
      <c r="T49" s="115"/>
      <c r="U49" s="116"/>
    </row>
    <row r="50" spans="1:21" ht="13.9" customHeight="1">
      <c r="A50" s="114" t="s">
        <v>281</v>
      </c>
      <c r="B50" s="115"/>
      <c r="C50" s="115"/>
      <c r="D50" s="115"/>
      <c r="E50" s="115"/>
      <c r="F50" s="115"/>
      <c r="G50" s="115"/>
      <c r="H50" s="115"/>
      <c r="I50" s="115"/>
      <c r="J50" s="115"/>
      <c r="K50" s="115"/>
      <c r="L50" s="115"/>
      <c r="M50" s="115"/>
      <c r="N50" s="115"/>
      <c r="O50" s="115"/>
      <c r="P50" s="115"/>
      <c r="Q50" s="115"/>
      <c r="R50" s="115"/>
      <c r="S50" s="115"/>
      <c r="T50" s="115"/>
      <c r="U50" s="116"/>
    </row>
    <row r="51" spans="1:21" ht="30.6" customHeight="1">
      <c r="A51" s="114" t="s">
        <v>282</v>
      </c>
      <c r="B51" s="115"/>
      <c r="C51" s="115"/>
      <c r="D51" s="115"/>
      <c r="E51" s="115"/>
      <c r="F51" s="115"/>
      <c r="G51" s="115"/>
      <c r="H51" s="115"/>
      <c r="I51" s="115"/>
      <c r="J51" s="115"/>
      <c r="K51" s="115"/>
      <c r="L51" s="115"/>
      <c r="M51" s="115"/>
      <c r="N51" s="115"/>
      <c r="O51" s="115"/>
      <c r="P51" s="115"/>
      <c r="Q51" s="115"/>
      <c r="R51" s="115"/>
      <c r="S51" s="115"/>
      <c r="T51" s="115"/>
      <c r="U51" s="116"/>
    </row>
    <row r="52" spans="1:21" s="1" customFormat="1" ht="30" customHeight="1">
      <c r="A52" s="114" t="s">
        <v>283</v>
      </c>
      <c r="B52" s="115"/>
      <c r="C52" s="115"/>
      <c r="D52" s="115"/>
      <c r="E52" s="115"/>
      <c r="F52" s="115"/>
      <c r="G52" s="115"/>
      <c r="H52" s="115"/>
      <c r="I52" s="115"/>
      <c r="J52" s="115"/>
      <c r="K52" s="115"/>
      <c r="L52" s="115"/>
      <c r="M52" s="115"/>
      <c r="N52" s="115"/>
      <c r="O52" s="115"/>
      <c r="P52" s="115"/>
      <c r="Q52" s="115"/>
      <c r="R52" s="115"/>
      <c r="S52" s="115"/>
      <c r="T52" s="115"/>
      <c r="U52" s="116"/>
    </row>
    <row r="53" spans="1:21" s="1" customFormat="1"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6"/>
    </row>
    <row r="54" spans="1:21" s="1" customFormat="1"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6"/>
    </row>
    <row r="55" spans="1:21" s="1" customFormat="1" ht="15.75" thickBot="1">
      <c r="A55" s="106"/>
      <c r="B55" s="107"/>
      <c r="C55" s="107"/>
      <c r="D55" s="107"/>
      <c r="E55" s="107"/>
      <c r="F55" s="107"/>
      <c r="G55" s="107"/>
      <c r="H55" s="107"/>
      <c r="I55" s="107"/>
      <c r="J55" s="107"/>
      <c r="K55" s="107"/>
      <c r="L55" s="107"/>
      <c r="M55" s="107"/>
      <c r="N55" s="107"/>
      <c r="O55" s="107"/>
      <c r="P55" s="107"/>
      <c r="Q55" s="107"/>
      <c r="R55" s="107"/>
      <c r="S55" s="107"/>
      <c r="T55" s="107"/>
      <c r="U55" s="108"/>
    </row>
  </sheetData>
  <mergeCells count="82">
    <mergeCell ref="S3:U3"/>
    <mergeCell ref="P2:R2"/>
    <mergeCell ref="P3:R3"/>
    <mergeCell ref="F3:G3"/>
    <mergeCell ref="H3:I3"/>
    <mergeCell ref="A7:U7"/>
    <mergeCell ref="I6:U6"/>
    <mergeCell ref="I4:U4"/>
    <mergeCell ref="I5:U5"/>
    <mergeCell ref="F5:H5"/>
    <mergeCell ref="F4:H4"/>
    <mergeCell ref="F6:H6"/>
    <mergeCell ref="A1:E6"/>
    <mergeCell ref="F2:I2"/>
    <mergeCell ref="J2:L2"/>
    <mergeCell ref="J3:L3"/>
    <mergeCell ref="M2:O2"/>
    <mergeCell ref="M3:O3"/>
    <mergeCell ref="F1:R1"/>
    <mergeCell ref="S1:U1"/>
    <mergeCell ref="S2:U2"/>
    <mergeCell ref="A52:U52"/>
    <mergeCell ref="A53:U53"/>
    <mergeCell ref="A54:U54"/>
    <mergeCell ref="A55:U55"/>
    <mergeCell ref="B46:U46"/>
    <mergeCell ref="A48:U48"/>
    <mergeCell ref="A49:U49"/>
    <mergeCell ref="A50:U50"/>
    <mergeCell ref="A51:U51"/>
    <mergeCell ref="D9:E9"/>
    <mergeCell ref="F9:G9"/>
    <mergeCell ref="H9:I9"/>
    <mergeCell ref="J9:K9"/>
    <mergeCell ref="B8:C8"/>
    <mergeCell ref="D8:E8"/>
    <mergeCell ref="F8:G8"/>
    <mergeCell ref="H8:I8"/>
    <mergeCell ref="J8:K8"/>
    <mergeCell ref="P8:U8"/>
    <mergeCell ref="P9:U9"/>
    <mergeCell ref="B22:R22"/>
    <mergeCell ref="B11:R11"/>
    <mergeCell ref="B16:N16"/>
    <mergeCell ref="O16:U16"/>
    <mergeCell ref="B17:N17"/>
    <mergeCell ref="O17:U17"/>
    <mergeCell ref="B18:R18"/>
    <mergeCell ref="A19:R19"/>
    <mergeCell ref="B20:N20"/>
    <mergeCell ref="O20:U20"/>
    <mergeCell ref="B21:R21"/>
    <mergeCell ref="A10:U10"/>
    <mergeCell ref="B9:C9"/>
    <mergeCell ref="L8:O9"/>
    <mergeCell ref="B33:R33"/>
    <mergeCell ref="B23:R23"/>
    <mergeCell ref="B24:R24"/>
    <mergeCell ref="B25:R25"/>
    <mergeCell ref="B26:E26"/>
    <mergeCell ref="F26:R26"/>
    <mergeCell ref="B27:R27"/>
    <mergeCell ref="A28:R28"/>
    <mergeCell ref="B29:R29"/>
    <mergeCell ref="B30:R30"/>
    <mergeCell ref="B31:R31"/>
    <mergeCell ref="A32:R32"/>
    <mergeCell ref="B45:U45"/>
    <mergeCell ref="A47:U47"/>
    <mergeCell ref="A39:U39"/>
    <mergeCell ref="B40:U40"/>
    <mergeCell ref="B41:U41"/>
    <mergeCell ref="B42:U42"/>
    <mergeCell ref="B43:U43"/>
    <mergeCell ref="B44:E44"/>
    <mergeCell ref="F44:U44"/>
    <mergeCell ref="B38:R38"/>
    <mergeCell ref="B34:L34"/>
    <mergeCell ref="M34:R34"/>
    <mergeCell ref="A35:R35"/>
    <mergeCell ref="B36:R36"/>
    <mergeCell ref="B37:R37"/>
  </mergeCells>
  <printOptions horizontalCentered="1"/>
  <pageMargins left="0.7" right="0.7" top="0.75" bottom="0.75" header="0.3" footer="0.3"/>
  <pageSetup paperSize="9" scale="91" firstPageNumber="18" orientation="portrait" r:id="rId1"/>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AB08-586C-4172-B76A-C5975309B3D4}">
  <sheetPr codeName="Sheet15">
    <tabColor rgb="FF00B050"/>
    <pageSetUpPr fitToPage="1"/>
  </sheetPr>
  <dimension ref="A1:AR55"/>
  <sheetViews>
    <sheetView workbookViewId="0">
      <selection activeCell="Z17" sqref="Z17"/>
    </sheetView>
  </sheetViews>
  <sheetFormatPr defaultColWidth="9.140625" defaultRowHeight="15"/>
  <cols>
    <col min="1" max="1" width="10.7109375" style="1" customWidth="1"/>
    <col min="2" max="22" width="5.28515625" style="1" customWidth="1"/>
    <col min="23" max="16384" width="9.140625" style="1"/>
  </cols>
  <sheetData>
    <row r="1" spans="1:44"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44"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c r="Z2" s="3"/>
      <c r="AA2" s="3"/>
      <c r="AB2" s="3"/>
      <c r="AC2" s="1"/>
      <c r="AD2" s="12"/>
      <c r="AE2" s="12"/>
      <c r="AF2" s="12"/>
      <c r="AG2" s="12"/>
      <c r="AH2" s="1"/>
      <c r="AI2" s="1"/>
      <c r="AJ2" s="1"/>
      <c r="AK2" s="1"/>
      <c r="AL2" s="1"/>
      <c r="AM2" s="1"/>
      <c r="AN2" s="1"/>
      <c r="AO2" s="1"/>
      <c r="AP2" s="1"/>
      <c r="AQ2" s="1"/>
      <c r="AR2" s="1"/>
    </row>
    <row r="3" spans="1:44"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c r="Z3" s="3"/>
      <c r="AA3" s="3"/>
      <c r="AB3" s="3"/>
      <c r="AC3" s="1"/>
      <c r="AD3" s="12"/>
      <c r="AE3" s="12"/>
      <c r="AF3" s="12"/>
      <c r="AG3" s="12"/>
      <c r="AH3" s="1"/>
      <c r="AI3" s="1"/>
      <c r="AJ3" s="1"/>
      <c r="AK3" s="1"/>
      <c r="AL3" s="1"/>
      <c r="AM3" s="1"/>
      <c r="AN3" s="1"/>
      <c r="AO3" s="1"/>
      <c r="AP3" s="1"/>
      <c r="AQ3" s="1"/>
      <c r="AR3" s="1"/>
    </row>
    <row r="4" spans="1:44"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44"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44"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44" s="5" customFormat="1" ht="14.45" customHeight="1">
      <c r="A7" s="167" t="s">
        <v>221</v>
      </c>
      <c r="B7" s="168"/>
      <c r="C7" s="168"/>
      <c r="D7" s="168"/>
      <c r="E7" s="168"/>
      <c r="F7" s="169"/>
      <c r="G7" s="169"/>
      <c r="H7" s="169"/>
      <c r="I7" s="169"/>
      <c r="J7" s="169"/>
      <c r="K7" s="169"/>
      <c r="L7" s="169"/>
      <c r="M7" s="169"/>
      <c r="N7" s="169"/>
      <c r="O7" s="169"/>
      <c r="P7" s="169"/>
      <c r="Q7" s="169"/>
      <c r="R7" s="170"/>
    </row>
    <row r="8" spans="1:44"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44"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44" s="3" customFormat="1">
      <c r="A10" s="162" t="s">
        <v>225</v>
      </c>
      <c r="B10" s="163"/>
      <c r="C10" s="163"/>
      <c r="D10" s="163"/>
      <c r="E10" s="163"/>
      <c r="F10" s="163"/>
      <c r="G10" s="163"/>
      <c r="H10" s="163"/>
      <c r="I10" s="163"/>
      <c r="J10" s="163"/>
      <c r="K10" s="163"/>
      <c r="L10" s="163"/>
      <c r="M10" s="163"/>
      <c r="N10" s="163"/>
      <c r="O10" s="163"/>
      <c r="P10" s="163"/>
      <c r="Q10" s="163"/>
      <c r="R10" s="164"/>
    </row>
    <row r="11" spans="1:44">
      <c r="A11" s="69" t="s">
        <v>226</v>
      </c>
      <c r="B11" s="109" t="s">
        <v>227</v>
      </c>
      <c r="C11" s="109"/>
      <c r="D11" s="109"/>
      <c r="E11" s="109"/>
      <c r="F11" s="109"/>
      <c r="G11" s="109"/>
      <c r="H11" s="109"/>
      <c r="I11" s="109"/>
      <c r="J11" s="109"/>
      <c r="K11" s="109"/>
      <c r="L11" s="109"/>
      <c r="M11" s="109"/>
      <c r="N11" s="109"/>
      <c r="O11" s="109"/>
      <c r="P11" s="109"/>
      <c r="Q11" s="109"/>
      <c r="R11" s="110"/>
    </row>
    <row r="12" spans="1:44" s="12" customFormat="1">
      <c r="A12" s="70" t="s">
        <v>331</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44" s="12" customFormat="1">
      <c r="A13" s="70" t="s">
        <v>332</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44" s="12" customFormat="1">
      <c r="A14" s="70" t="s">
        <v>230</v>
      </c>
      <c r="B14" s="17" t="s">
        <v>308</v>
      </c>
      <c r="C14" s="17" t="s">
        <v>308</v>
      </c>
      <c r="D14" s="17" t="s">
        <v>308</v>
      </c>
      <c r="E14" s="17" t="s">
        <v>308</v>
      </c>
      <c r="F14" s="17">
        <v>160</v>
      </c>
      <c r="G14" s="17">
        <v>160</v>
      </c>
      <c r="H14" s="17">
        <v>120</v>
      </c>
      <c r="I14" s="17" t="s">
        <v>232</v>
      </c>
      <c r="J14" s="17" t="s">
        <v>232</v>
      </c>
      <c r="K14" s="17" t="s">
        <v>232</v>
      </c>
      <c r="L14" s="17">
        <v>60</v>
      </c>
      <c r="M14" s="17">
        <v>60</v>
      </c>
      <c r="N14" s="17">
        <v>60</v>
      </c>
      <c r="O14" s="17">
        <v>60</v>
      </c>
      <c r="P14" s="17">
        <v>60</v>
      </c>
      <c r="Q14" s="17">
        <v>60</v>
      </c>
      <c r="R14" s="66">
        <v>60</v>
      </c>
    </row>
    <row r="15" spans="1:44" s="12" customFormat="1">
      <c r="A15" s="70" t="s">
        <v>333</v>
      </c>
      <c r="B15" s="17">
        <v>7.47</v>
      </c>
      <c r="C15" s="17">
        <v>7.82</v>
      </c>
      <c r="D15" s="17">
        <v>9.09</v>
      </c>
      <c r="E15" s="17">
        <v>10.15</v>
      </c>
      <c r="F15" s="17">
        <v>8.74</v>
      </c>
      <c r="G15" s="17">
        <v>11.13</v>
      </c>
      <c r="H15" s="17">
        <v>11.13</v>
      </c>
      <c r="I15" s="17">
        <v>10.97</v>
      </c>
      <c r="J15" s="17">
        <v>12.7</v>
      </c>
      <c r="K15" s="17">
        <v>12.7</v>
      </c>
      <c r="L15" s="17">
        <v>14.27</v>
      </c>
      <c r="M15" s="17">
        <v>15.09</v>
      </c>
      <c r="N15" s="17">
        <v>16.66</v>
      </c>
      <c r="O15" s="17">
        <v>19.05</v>
      </c>
      <c r="P15" s="17">
        <v>20.62</v>
      </c>
      <c r="Q15" s="17">
        <v>22.23</v>
      </c>
      <c r="R15" s="66">
        <v>24.61</v>
      </c>
    </row>
    <row r="16" spans="1:44">
      <c r="A16" s="69" t="s">
        <v>234</v>
      </c>
      <c r="B16" s="144" t="s">
        <v>235</v>
      </c>
      <c r="C16" s="145"/>
      <c r="D16" s="145"/>
      <c r="E16" s="145"/>
      <c r="F16" s="145"/>
      <c r="G16" s="145"/>
      <c r="H16" s="145"/>
      <c r="I16" s="145"/>
      <c r="J16" s="145"/>
      <c r="K16" s="145"/>
      <c r="L16" s="145"/>
      <c r="M16" s="145"/>
      <c r="N16" s="145"/>
      <c r="O16" s="109" t="s">
        <v>287</v>
      </c>
      <c r="P16" s="109"/>
      <c r="Q16" s="109"/>
      <c r="R16" s="110"/>
    </row>
    <row r="17" spans="1:18" ht="14.45" customHeight="1">
      <c r="A17" s="69" t="s">
        <v>237</v>
      </c>
      <c r="B17" s="144" t="s">
        <v>295</v>
      </c>
      <c r="C17" s="145"/>
      <c r="D17" s="145"/>
      <c r="E17" s="145"/>
      <c r="F17" s="145"/>
      <c r="G17" s="145"/>
      <c r="H17" s="145"/>
      <c r="I17" s="145"/>
      <c r="J17" s="145"/>
      <c r="K17" s="145"/>
      <c r="L17" s="145"/>
      <c r="M17" s="145"/>
      <c r="N17" s="145"/>
      <c r="O17" s="101" t="s">
        <v>288</v>
      </c>
      <c r="P17" s="101"/>
      <c r="Q17" s="101"/>
      <c r="R17" s="102"/>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18"/>
      <c r="C19" s="118"/>
      <c r="D19" s="118"/>
      <c r="E19" s="118"/>
      <c r="F19" s="118"/>
      <c r="G19" s="118"/>
      <c r="H19" s="118"/>
      <c r="I19" s="118"/>
      <c r="J19" s="118"/>
      <c r="K19" s="118"/>
      <c r="L19" s="118"/>
      <c r="M19" s="118"/>
      <c r="N19" s="118"/>
      <c r="O19" s="118"/>
      <c r="P19" s="118"/>
      <c r="Q19" s="118"/>
      <c r="R19" s="119"/>
    </row>
    <row r="20" spans="1:18" ht="31.1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5" customHeight="1">
      <c r="A21" s="69" t="s">
        <v>237</v>
      </c>
      <c r="B21" s="144" t="s">
        <v>289</v>
      </c>
      <c r="C21" s="145"/>
      <c r="D21" s="145"/>
      <c r="E21" s="145"/>
      <c r="F21" s="145"/>
      <c r="G21" s="145"/>
      <c r="H21" s="145"/>
      <c r="I21" s="145"/>
      <c r="J21" s="145"/>
      <c r="K21" s="145"/>
      <c r="L21" s="145"/>
      <c r="M21" s="145"/>
      <c r="N21" s="145"/>
      <c r="O21" s="145"/>
      <c r="P21" s="145"/>
      <c r="Q21" s="145"/>
      <c r="R21" s="147"/>
    </row>
    <row r="22" spans="1:18" ht="15" customHeight="1">
      <c r="A22" s="69" t="s">
        <v>246</v>
      </c>
      <c r="B22" s="144" t="s">
        <v>247</v>
      </c>
      <c r="C22" s="145"/>
      <c r="D22" s="145"/>
      <c r="E22" s="145"/>
      <c r="F22" s="145" t="s">
        <v>334</v>
      </c>
      <c r="G22" s="145"/>
      <c r="H22" s="145"/>
      <c r="I22" s="145"/>
      <c r="J22" s="145"/>
      <c r="K22" s="145"/>
      <c r="L22" s="145"/>
      <c r="M22" s="145"/>
      <c r="N22" s="145"/>
      <c r="O22" s="145"/>
      <c r="P22" s="145"/>
      <c r="Q22" s="145"/>
      <c r="R22" s="147"/>
    </row>
    <row r="23" spans="1:18" ht="15" customHeight="1">
      <c r="A23" s="69" t="s">
        <v>248</v>
      </c>
      <c r="B23" s="144" t="s">
        <v>247</v>
      </c>
      <c r="C23" s="145"/>
      <c r="D23" s="145"/>
      <c r="E23" s="145"/>
      <c r="F23" s="145" t="s">
        <v>334</v>
      </c>
      <c r="G23" s="145"/>
      <c r="H23" s="145"/>
      <c r="I23" s="145"/>
      <c r="J23" s="145"/>
      <c r="K23" s="145"/>
      <c r="L23" s="145"/>
      <c r="M23" s="145"/>
      <c r="N23" s="145"/>
      <c r="O23" s="145"/>
      <c r="P23" s="145"/>
      <c r="Q23" s="145"/>
      <c r="R23" s="147"/>
    </row>
    <row r="24" spans="1:18" ht="15" customHeight="1">
      <c r="A24" s="69" t="s">
        <v>249</v>
      </c>
      <c r="B24" s="144" t="s">
        <v>247</v>
      </c>
      <c r="C24" s="145"/>
      <c r="D24" s="145"/>
      <c r="E24" s="145"/>
      <c r="F24" s="145" t="s">
        <v>334</v>
      </c>
      <c r="G24" s="145"/>
      <c r="H24" s="145"/>
      <c r="I24" s="145"/>
      <c r="J24" s="145"/>
      <c r="K24" s="145"/>
      <c r="L24" s="145"/>
      <c r="M24" s="145"/>
      <c r="N24" s="145"/>
      <c r="O24" s="145"/>
      <c r="P24" s="145"/>
      <c r="Q24" s="145"/>
      <c r="R24" s="147"/>
    </row>
    <row r="25" spans="1:18" ht="15" customHeight="1">
      <c r="A25" s="69" t="s">
        <v>250</v>
      </c>
      <c r="B25" s="144" t="s">
        <v>247</v>
      </c>
      <c r="C25" s="145"/>
      <c r="D25" s="145"/>
      <c r="E25" s="145"/>
      <c r="F25" s="145" t="s">
        <v>334</v>
      </c>
      <c r="G25" s="145"/>
      <c r="H25" s="145"/>
      <c r="I25" s="145"/>
      <c r="J25" s="145"/>
      <c r="K25" s="145"/>
      <c r="L25" s="145"/>
      <c r="M25" s="145"/>
      <c r="N25" s="145"/>
      <c r="O25" s="145"/>
      <c r="P25" s="145"/>
      <c r="Q25" s="145"/>
      <c r="R25" s="147"/>
    </row>
    <row r="26" spans="1:18">
      <c r="A26" s="69" t="s">
        <v>251</v>
      </c>
      <c r="B26" s="151" t="s">
        <v>335</v>
      </c>
      <c r="C26" s="152"/>
      <c r="D26" s="152"/>
      <c r="E26" s="127"/>
      <c r="F26" s="144"/>
      <c r="G26" s="145"/>
      <c r="H26" s="145"/>
      <c r="I26" s="145"/>
      <c r="J26" s="145"/>
      <c r="K26" s="145"/>
      <c r="L26" s="145"/>
      <c r="M26" s="145"/>
      <c r="N26" s="145"/>
      <c r="O26" s="145"/>
      <c r="P26" s="145"/>
      <c r="Q26" s="145"/>
      <c r="R26" s="147"/>
    </row>
    <row r="27" spans="1:18" ht="13.9" customHeight="1">
      <c r="A27" s="69" t="s">
        <v>253</v>
      </c>
      <c r="B27" s="144" t="s">
        <v>325</v>
      </c>
      <c r="C27" s="145"/>
      <c r="D27" s="145"/>
      <c r="E27" s="145"/>
      <c r="F27" s="145"/>
      <c r="G27" s="145"/>
      <c r="H27" s="145"/>
      <c r="I27" s="145"/>
      <c r="J27" s="145"/>
      <c r="K27" s="145"/>
      <c r="L27" s="145"/>
      <c r="M27" s="145"/>
      <c r="N27" s="145"/>
      <c r="O27" s="145"/>
      <c r="P27" s="145"/>
      <c r="Q27" s="145"/>
      <c r="R27" s="147"/>
    </row>
    <row r="28" spans="1:18" s="5" customFormat="1">
      <c r="A28" s="117" t="s">
        <v>255</v>
      </c>
      <c r="B28" s="109"/>
      <c r="C28" s="109"/>
      <c r="D28" s="109"/>
      <c r="E28" s="109"/>
      <c r="F28" s="109"/>
      <c r="G28" s="109"/>
      <c r="H28" s="109"/>
      <c r="I28" s="109"/>
      <c r="J28" s="109"/>
      <c r="K28" s="109"/>
      <c r="L28" s="109"/>
      <c r="M28" s="109"/>
      <c r="N28" s="109"/>
      <c r="O28" s="109"/>
      <c r="P28" s="109"/>
      <c r="Q28" s="109"/>
      <c r="R28" s="110"/>
    </row>
    <row r="29" spans="1:18" s="5" customFormat="1" ht="13.9" customHeight="1">
      <c r="A29" s="69" t="s">
        <v>237</v>
      </c>
      <c r="B29" s="205" t="s">
        <v>326</v>
      </c>
      <c r="C29" s="206"/>
      <c r="D29" s="206"/>
      <c r="E29" s="206"/>
      <c r="F29" s="206"/>
      <c r="G29" s="206"/>
      <c r="H29" s="206"/>
      <c r="I29" s="206"/>
      <c r="J29" s="206"/>
      <c r="K29" s="206"/>
      <c r="L29" s="206"/>
      <c r="M29" s="206"/>
      <c r="N29" s="206"/>
      <c r="O29" s="206"/>
      <c r="P29" s="206"/>
      <c r="Q29" s="206"/>
      <c r="R29" s="207"/>
    </row>
    <row r="30" spans="1:18" s="5" customFormat="1" ht="13.9" customHeight="1">
      <c r="A30" s="69" t="s">
        <v>257</v>
      </c>
      <c r="B30" s="205" t="s">
        <v>291</v>
      </c>
      <c r="C30" s="206"/>
      <c r="D30" s="206"/>
      <c r="E30" s="206"/>
      <c r="F30" s="206"/>
      <c r="G30" s="206"/>
      <c r="H30" s="206"/>
      <c r="I30" s="206"/>
      <c r="J30" s="206"/>
      <c r="K30" s="206"/>
      <c r="L30" s="206"/>
      <c r="M30" s="206"/>
      <c r="N30" s="206"/>
      <c r="O30" s="206"/>
      <c r="P30" s="206"/>
      <c r="Q30" s="206"/>
      <c r="R30" s="207"/>
    </row>
    <row r="31" spans="1:18" ht="15" customHeight="1">
      <c r="A31" s="69" t="s">
        <v>234</v>
      </c>
      <c r="B31" s="205" t="s">
        <v>259</v>
      </c>
      <c r="C31" s="206"/>
      <c r="D31" s="206"/>
      <c r="E31" s="206"/>
      <c r="F31" s="206"/>
      <c r="G31" s="206"/>
      <c r="H31" s="206"/>
      <c r="I31" s="206"/>
      <c r="J31" s="206"/>
      <c r="K31" s="206"/>
      <c r="L31" s="206"/>
      <c r="M31" s="206"/>
      <c r="N31" s="206"/>
      <c r="O31" s="206"/>
      <c r="P31" s="206"/>
      <c r="Q31" s="206"/>
      <c r="R31" s="207"/>
    </row>
    <row r="32" spans="1:18" s="5" customFormat="1">
      <c r="A32" s="117" t="s">
        <v>260</v>
      </c>
      <c r="B32" s="109"/>
      <c r="C32" s="109"/>
      <c r="D32" s="109"/>
      <c r="E32" s="109"/>
      <c r="F32" s="109"/>
      <c r="G32" s="109"/>
      <c r="H32" s="109"/>
      <c r="I32" s="109"/>
      <c r="J32" s="109"/>
      <c r="K32" s="109"/>
      <c r="L32" s="109"/>
      <c r="M32" s="109"/>
      <c r="N32" s="109"/>
      <c r="O32" s="109"/>
      <c r="P32" s="109"/>
      <c r="Q32" s="109"/>
      <c r="R32" s="110"/>
    </row>
    <row r="33" spans="1:18" s="5" customFormat="1">
      <c r="A33" s="69" t="s">
        <v>237</v>
      </c>
      <c r="B33" s="109" t="s">
        <v>326</v>
      </c>
      <c r="C33" s="109"/>
      <c r="D33" s="109"/>
      <c r="E33" s="109"/>
      <c r="F33" s="109"/>
      <c r="G33" s="109"/>
      <c r="H33" s="109"/>
      <c r="I33" s="109"/>
      <c r="J33" s="109"/>
      <c r="K33" s="109"/>
      <c r="L33" s="109"/>
      <c r="M33" s="109"/>
      <c r="N33" s="109"/>
      <c r="O33" s="109"/>
      <c r="P33" s="109"/>
      <c r="Q33" s="109"/>
      <c r="R33" s="110"/>
    </row>
    <row r="34" spans="1:18" s="5" customFormat="1" ht="15" customHeight="1">
      <c r="A34" s="69" t="s">
        <v>261</v>
      </c>
      <c r="B34" s="144" t="s">
        <v>262</v>
      </c>
      <c r="C34" s="145"/>
      <c r="D34" s="145"/>
      <c r="E34" s="145"/>
      <c r="F34" s="145"/>
      <c r="G34" s="145"/>
      <c r="H34" s="145"/>
      <c r="I34" s="145"/>
      <c r="J34" s="145"/>
      <c r="K34" s="145"/>
      <c r="L34" s="146"/>
      <c r="M34" s="151" t="s">
        <v>327</v>
      </c>
      <c r="N34" s="152"/>
      <c r="O34" s="152"/>
      <c r="P34" s="152"/>
      <c r="Q34" s="152"/>
      <c r="R34" s="161"/>
    </row>
    <row r="35" spans="1:18" s="5" customFormat="1">
      <c r="A35" s="117" t="s">
        <v>264</v>
      </c>
      <c r="B35" s="109"/>
      <c r="C35" s="109"/>
      <c r="D35" s="109"/>
      <c r="E35" s="109"/>
      <c r="F35" s="109"/>
      <c r="G35" s="109"/>
      <c r="H35" s="109"/>
      <c r="I35" s="109"/>
      <c r="J35" s="109"/>
      <c r="K35" s="109"/>
      <c r="L35" s="109"/>
      <c r="M35" s="109"/>
      <c r="N35" s="109"/>
      <c r="O35" s="109"/>
      <c r="P35" s="109"/>
      <c r="Q35" s="109"/>
      <c r="R35" s="110"/>
    </row>
    <row r="36" spans="1:18" s="5" customFormat="1">
      <c r="A36" s="69" t="s">
        <v>265</v>
      </c>
      <c r="B36" s="144" t="s">
        <v>328</v>
      </c>
      <c r="C36" s="145"/>
      <c r="D36" s="145"/>
      <c r="E36" s="145"/>
      <c r="F36" s="145"/>
      <c r="G36" s="145"/>
      <c r="H36" s="145"/>
      <c r="I36" s="145"/>
      <c r="J36" s="145"/>
      <c r="K36" s="145"/>
      <c r="L36" s="145"/>
      <c r="M36" s="145"/>
      <c r="N36" s="145"/>
      <c r="O36" s="145"/>
      <c r="P36" s="145"/>
      <c r="Q36" s="145"/>
      <c r="R36" s="147"/>
    </row>
    <row r="37" spans="1:18" s="5" customFormat="1">
      <c r="A37" s="69" t="s">
        <v>267</v>
      </c>
      <c r="B37" s="144" t="s">
        <v>329</v>
      </c>
      <c r="C37" s="145"/>
      <c r="D37" s="145"/>
      <c r="E37" s="145"/>
      <c r="F37" s="145"/>
      <c r="G37" s="145"/>
      <c r="H37" s="145"/>
      <c r="I37" s="145"/>
      <c r="J37" s="145"/>
      <c r="K37" s="145"/>
      <c r="L37" s="145"/>
      <c r="M37" s="145"/>
      <c r="N37" s="145"/>
      <c r="O37" s="145"/>
      <c r="P37" s="145"/>
      <c r="Q37" s="145"/>
      <c r="R37" s="147"/>
    </row>
    <row r="38" spans="1:18" s="5" customFormat="1">
      <c r="A38" s="69" t="s">
        <v>269</v>
      </c>
      <c r="B38" s="144" t="s">
        <v>330</v>
      </c>
      <c r="C38" s="149"/>
      <c r="D38" s="149"/>
      <c r="E38" s="149"/>
      <c r="F38" s="149"/>
      <c r="G38" s="149"/>
      <c r="H38" s="149"/>
      <c r="I38" s="149"/>
      <c r="J38" s="149"/>
      <c r="K38" s="149"/>
      <c r="L38" s="149"/>
      <c r="M38" s="149"/>
      <c r="N38" s="149"/>
      <c r="O38" s="149"/>
      <c r="P38" s="149"/>
      <c r="Q38" s="149"/>
      <c r="R38" s="150"/>
    </row>
    <row r="39" spans="1:18" ht="14.45" customHeight="1">
      <c r="A39" s="141" t="s">
        <v>271</v>
      </c>
      <c r="B39" s="142"/>
      <c r="C39" s="142"/>
      <c r="D39" s="142"/>
      <c r="E39" s="142"/>
      <c r="F39" s="142"/>
      <c r="G39" s="142"/>
      <c r="H39" s="142"/>
      <c r="I39" s="142"/>
      <c r="J39" s="142"/>
      <c r="K39" s="142"/>
      <c r="L39" s="142"/>
      <c r="M39" s="142"/>
      <c r="N39" s="142"/>
      <c r="O39" s="142"/>
      <c r="P39" s="142"/>
      <c r="Q39" s="142"/>
      <c r="R39" s="143"/>
    </row>
    <row r="40" spans="1:18">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s="5" customFormat="1" ht="13.9" customHeight="1">
      <c r="A45" s="69"/>
      <c r="B45" s="109"/>
      <c r="C45" s="109"/>
      <c r="D45" s="109"/>
      <c r="E45" s="109"/>
      <c r="F45" s="109"/>
      <c r="G45" s="109"/>
      <c r="H45" s="109"/>
      <c r="I45" s="109"/>
      <c r="J45" s="109"/>
      <c r="K45" s="109"/>
      <c r="L45" s="109"/>
      <c r="M45" s="109"/>
      <c r="N45" s="109"/>
      <c r="O45" s="109"/>
      <c r="P45" s="109"/>
      <c r="Q45" s="109"/>
      <c r="R45" s="110"/>
    </row>
    <row r="46" spans="1:18" s="5" customFormat="1" ht="13.9" customHeight="1">
      <c r="A46" s="69"/>
      <c r="B46" s="109"/>
      <c r="C46" s="109"/>
      <c r="D46" s="109"/>
      <c r="E46" s="109"/>
      <c r="F46" s="109"/>
      <c r="G46" s="109"/>
      <c r="H46" s="109"/>
      <c r="I46" s="109"/>
      <c r="J46" s="109"/>
      <c r="K46" s="109"/>
      <c r="L46" s="109"/>
      <c r="M46" s="109"/>
      <c r="N46" s="109"/>
      <c r="O46" s="109"/>
      <c r="P46" s="109"/>
      <c r="Q46" s="109"/>
      <c r="R46" s="110"/>
    </row>
    <row r="47" spans="1:18" s="5" customFormat="1" ht="13.9" customHeight="1">
      <c r="A47" s="148" t="s">
        <v>278</v>
      </c>
      <c r="B47" s="149"/>
      <c r="C47" s="149"/>
      <c r="D47" s="149"/>
      <c r="E47" s="149"/>
      <c r="F47" s="149"/>
      <c r="G47" s="149"/>
      <c r="H47" s="149"/>
      <c r="I47" s="149"/>
      <c r="J47" s="149"/>
      <c r="K47" s="149"/>
      <c r="L47" s="149"/>
      <c r="M47" s="149"/>
      <c r="N47" s="149"/>
      <c r="O47" s="149"/>
      <c r="P47" s="149"/>
      <c r="Q47" s="149"/>
      <c r="R47" s="150"/>
    </row>
    <row r="48" spans="1:18" s="5" customFormat="1" ht="29.4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ht="13.9" customHeight="1">
      <c r="A49" s="114" t="s">
        <v>280</v>
      </c>
      <c r="B49" s="115"/>
      <c r="C49" s="115"/>
      <c r="D49" s="115"/>
      <c r="E49" s="115"/>
      <c r="F49" s="115"/>
      <c r="G49" s="115"/>
      <c r="H49" s="115"/>
      <c r="I49" s="115"/>
      <c r="J49" s="115"/>
      <c r="K49" s="115"/>
      <c r="L49" s="115"/>
      <c r="M49" s="115"/>
      <c r="N49" s="115"/>
      <c r="O49" s="115"/>
      <c r="P49" s="115"/>
      <c r="Q49" s="115"/>
      <c r="R49" s="116"/>
    </row>
    <row r="50" spans="1:18" s="5" customFormat="1" ht="13.9" customHeight="1">
      <c r="A50" s="114" t="s">
        <v>281</v>
      </c>
      <c r="B50" s="115"/>
      <c r="C50" s="115"/>
      <c r="D50" s="115"/>
      <c r="E50" s="115"/>
      <c r="F50" s="115"/>
      <c r="G50" s="115"/>
      <c r="H50" s="115"/>
      <c r="I50" s="115"/>
      <c r="J50" s="115"/>
      <c r="K50" s="115"/>
      <c r="L50" s="115"/>
      <c r="M50" s="115"/>
      <c r="N50" s="115"/>
      <c r="O50" s="115"/>
      <c r="P50" s="115"/>
      <c r="Q50" s="115"/>
      <c r="R50" s="116"/>
    </row>
    <row r="51" spans="1:18" s="5" customFormat="1" ht="29.45" customHeight="1">
      <c r="A51" s="114" t="s">
        <v>282</v>
      </c>
      <c r="B51" s="115"/>
      <c r="C51" s="115"/>
      <c r="D51" s="115"/>
      <c r="E51" s="115"/>
      <c r="F51" s="115"/>
      <c r="G51" s="115"/>
      <c r="H51" s="115"/>
      <c r="I51" s="115"/>
      <c r="J51" s="115"/>
      <c r="K51" s="115"/>
      <c r="L51" s="115"/>
      <c r="M51" s="115"/>
      <c r="N51" s="115"/>
      <c r="O51" s="115"/>
      <c r="P51" s="115"/>
      <c r="Q51" s="115"/>
      <c r="R51" s="116"/>
    </row>
    <row r="52" spans="1:18" ht="30" customHeight="1">
      <c r="A52" s="114" t="s">
        <v>283</v>
      </c>
      <c r="B52" s="115"/>
      <c r="C52" s="115"/>
      <c r="D52" s="115"/>
      <c r="E52" s="115"/>
      <c r="F52" s="115"/>
      <c r="G52" s="115"/>
      <c r="H52" s="115"/>
      <c r="I52" s="115"/>
      <c r="J52" s="115"/>
      <c r="K52" s="115"/>
      <c r="L52" s="115"/>
      <c r="M52" s="115"/>
      <c r="N52" s="115"/>
      <c r="O52" s="115"/>
      <c r="P52" s="115"/>
      <c r="Q52" s="115"/>
      <c r="R52" s="116"/>
    </row>
    <row r="53" spans="1:18" ht="14.45" customHeight="1">
      <c r="A53" s="114" t="s">
        <v>284</v>
      </c>
      <c r="B53" s="115"/>
      <c r="C53" s="115"/>
      <c r="D53" s="115"/>
      <c r="E53" s="115"/>
      <c r="F53" s="115"/>
      <c r="G53" s="115"/>
      <c r="H53" s="115"/>
      <c r="I53" s="115"/>
      <c r="J53" s="115"/>
      <c r="K53" s="115"/>
      <c r="L53" s="115"/>
      <c r="M53" s="115"/>
      <c r="N53" s="115"/>
      <c r="O53" s="115"/>
      <c r="P53" s="115"/>
      <c r="Q53" s="115"/>
      <c r="R53" s="116"/>
    </row>
    <row r="54" spans="1:18" ht="14.45" customHeight="1">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2">
    <mergeCell ref="B46:R46"/>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B22:R22"/>
    <mergeCell ref="A10:R10"/>
    <mergeCell ref="B11:R11"/>
    <mergeCell ref="B16:N16"/>
    <mergeCell ref="O16:R16"/>
    <mergeCell ref="B17:N17"/>
    <mergeCell ref="O17:R17"/>
    <mergeCell ref="B18:R18"/>
    <mergeCell ref="A19:R19"/>
    <mergeCell ref="B20:N20"/>
    <mergeCell ref="O20:R20"/>
    <mergeCell ref="B21:R21"/>
    <mergeCell ref="B33:R33"/>
    <mergeCell ref="B23:R23"/>
    <mergeCell ref="B24:R24"/>
    <mergeCell ref="B25:R25"/>
    <mergeCell ref="B26:E26"/>
    <mergeCell ref="F26:R26"/>
    <mergeCell ref="B27:R27"/>
    <mergeCell ref="A28:R28"/>
    <mergeCell ref="B29:R29"/>
    <mergeCell ref="B30:R30"/>
    <mergeCell ref="B31:R31"/>
    <mergeCell ref="A32:R32"/>
    <mergeCell ref="B44:E44"/>
    <mergeCell ref="F44:R44"/>
    <mergeCell ref="B34:L34"/>
    <mergeCell ref="M34:R34"/>
    <mergeCell ref="A35:R35"/>
    <mergeCell ref="B36:R36"/>
    <mergeCell ref="B37:R37"/>
    <mergeCell ref="B38:R38"/>
    <mergeCell ref="A52:R52"/>
    <mergeCell ref="A53:R53"/>
    <mergeCell ref="A54:R54"/>
    <mergeCell ref="A55:R55"/>
    <mergeCell ref="B9:C9"/>
    <mergeCell ref="B45:R45"/>
    <mergeCell ref="A47:R47"/>
    <mergeCell ref="A48:R48"/>
    <mergeCell ref="A49:R49"/>
    <mergeCell ref="A50:R50"/>
    <mergeCell ref="A51:R51"/>
    <mergeCell ref="A39:R39"/>
    <mergeCell ref="B40:R40"/>
    <mergeCell ref="B41:R41"/>
    <mergeCell ref="B42:R42"/>
    <mergeCell ref="B43:R43"/>
  </mergeCells>
  <printOptions horizontalCentered="1"/>
  <pageMargins left="0.7" right="0.7" top="0.75" bottom="0.75" header="0.3" footer="0.3"/>
  <pageSetup paperSize="9" scale="88" firstPageNumber="18" orientation="portrait" r:id="rId1"/>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20CB0-BBAC-4575-80FD-A0B8FA427697}">
  <sheetPr codeName="Sheet16">
    <tabColor rgb="FF00B050"/>
    <pageSetUpPr fitToPage="1"/>
  </sheetPr>
  <dimension ref="A1:AM55"/>
  <sheetViews>
    <sheetView workbookViewId="0">
      <selection activeCell="Z17" sqref="Z17"/>
    </sheetView>
  </sheetViews>
  <sheetFormatPr defaultColWidth="9.140625" defaultRowHeight="15"/>
  <cols>
    <col min="1" max="1" width="10.7109375" style="1" customWidth="1"/>
    <col min="2" max="19" width="5.28515625" style="1" customWidth="1"/>
    <col min="20" max="21" width="5.28515625" style="6" customWidth="1"/>
    <col min="22" max="22" width="5.28515625" style="1" customWidth="1"/>
    <col min="23" max="16384" width="9.140625" style="1"/>
  </cols>
  <sheetData>
    <row r="1" spans="1:39" s="5" customFormat="1" ht="14.45" customHeight="1">
      <c r="A1" s="132" t="e" vm="1">
        <v>#VALUE!</v>
      </c>
      <c r="B1" s="133"/>
      <c r="C1" s="133"/>
      <c r="D1" s="133"/>
      <c r="E1" s="134"/>
      <c r="F1" s="165" t="s">
        <v>213</v>
      </c>
      <c r="G1" s="166"/>
      <c r="H1" s="166"/>
      <c r="I1" s="166"/>
      <c r="J1" s="166"/>
      <c r="K1" s="166"/>
      <c r="L1" s="166"/>
      <c r="M1" s="166"/>
      <c r="N1" s="166"/>
      <c r="O1" s="166"/>
      <c r="P1" s="166"/>
      <c r="Q1" s="153" t="s">
        <v>214</v>
      </c>
      <c r="R1" s="154"/>
      <c r="T1" s="6"/>
      <c r="U1" s="6"/>
    </row>
    <row r="2" spans="1:39"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c r="T2" s="6"/>
      <c r="U2" s="6"/>
    </row>
    <row r="3" spans="1:39"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c r="T3" s="6"/>
      <c r="U3" s="6"/>
    </row>
    <row r="4" spans="1:39"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c r="T4" s="6"/>
      <c r="U4" s="6"/>
    </row>
    <row r="5" spans="1:39"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c r="T5" s="6"/>
      <c r="U5" s="6"/>
    </row>
    <row r="6" spans="1:39"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c r="T6" s="6"/>
      <c r="U6" s="6"/>
    </row>
    <row r="7" spans="1:39" s="5" customFormat="1" ht="14.45" customHeight="1">
      <c r="A7" s="167" t="s">
        <v>221</v>
      </c>
      <c r="B7" s="168"/>
      <c r="C7" s="168"/>
      <c r="D7" s="168"/>
      <c r="E7" s="168"/>
      <c r="F7" s="169"/>
      <c r="G7" s="169"/>
      <c r="H7" s="169"/>
      <c r="I7" s="169"/>
      <c r="J7" s="169"/>
      <c r="K7" s="169"/>
      <c r="L7" s="169"/>
      <c r="M7" s="169"/>
      <c r="N7" s="169"/>
      <c r="O7" s="169"/>
      <c r="P7" s="169"/>
      <c r="Q7" s="169"/>
      <c r="R7" s="170"/>
      <c r="T7" s="6"/>
      <c r="U7" s="6"/>
    </row>
    <row r="8" spans="1:39"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c r="T8" s="31"/>
      <c r="U8" s="31"/>
    </row>
    <row r="9" spans="1:39"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c r="T9" s="31"/>
      <c r="U9" s="31"/>
      <c r="W9" s="31"/>
      <c r="X9" s="31"/>
      <c r="Y9" s="31"/>
      <c r="Z9" s="6"/>
      <c r="AA9" s="6"/>
      <c r="AB9" s="6"/>
      <c r="AC9" s="6"/>
      <c r="AD9" s="6"/>
      <c r="AE9" s="6"/>
      <c r="AF9" s="6"/>
      <c r="AG9" s="6"/>
      <c r="AH9" s="6"/>
      <c r="AI9" s="6"/>
      <c r="AJ9" s="6"/>
      <c r="AK9" s="6"/>
      <c r="AL9" s="5"/>
      <c r="AM9" s="5"/>
    </row>
    <row r="10" spans="1:39" s="3" customFormat="1">
      <c r="A10" s="162" t="s">
        <v>225</v>
      </c>
      <c r="B10" s="163"/>
      <c r="C10" s="163"/>
      <c r="D10" s="163"/>
      <c r="E10" s="163"/>
      <c r="F10" s="163"/>
      <c r="G10" s="163"/>
      <c r="H10" s="163"/>
      <c r="I10" s="163"/>
      <c r="J10" s="163"/>
      <c r="K10" s="163"/>
      <c r="L10" s="163"/>
      <c r="M10" s="163"/>
      <c r="N10" s="163"/>
      <c r="O10" s="163"/>
      <c r="P10" s="163"/>
      <c r="Q10" s="163"/>
      <c r="R10" s="164"/>
      <c r="T10" s="31"/>
      <c r="U10" s="31"/>
      <c r="W10" s="31"/>
      <c r="X10" s="31"/>
      <c r="Y10" s="31"/>
      <c r="Z10" s="6"/>
      <c r="AA10" s="6"/>
      <c r="AB10" s="6"/>
      <c r="AC10" s="6"/>
      <c r="AD10" s="6"/>
      <c r="AE10" s="6"/>
      <c r="AF10" s="6"/>
      <c r="AG10" s="6"/>
      <c r="AH10" s="6"/>
      <c r="AI10" s="6"/>
      <c r="AJ10" s="6"/>
      <c r="AK10" s="6"/>
      <c r="AL10" s="5"/>
      <c r="AM10" s="5"/>
    </row>
    <row r="11" spans="1:39" ht="13.9" customHeight="1">
      <c r="A11" s="69" t="s">
        <v>226</v>
      </c>
      <c r="B11" s="144" t="s">
        <v>227</v>
      </c>
      <c r="C11" s="145"/>
      <c r="D11" s="145"/>
      <c r="E11" s="145"/>
      <c r="F11" s="145"/>
      <c r="G11" s="145"/>
      <c r="H11" s="145"/>
      <c r="I11" s="145"/>
      <c r="J11" s="145"/>
      <c r="K11" s="145"/>
      <c r="L11" s="145"/>
      <c r="M11" s="145"/>
      <c r="N11" s="145"/>
      <c r="O11" s="145"/>
      <c r="P11" s="145"/>
      <c r="Q11" s="145"/>
      <c r="R11" s="147"/>
      <c r="W11" s="31"/>
      <c r="X11" s="31"/>
      <c r="Y11" s="31"/>
      <c r="Z11" s="6"/>
      <c r="AA11" s="6"/>
      <c r="AB11" s="6"/>
      <c r="AC11" s="6"/>
      <c r="AD11" s="6"/>
      <c r="AE11" s="6"/>
      <c r="AF11" s="6"/>
      <c r="AG11" s="6"/>
      <c r="AH11" s="6"/>
      <c r="AI11" s="6"/>
      <c r="AJ11" s="6"/>
      <c r="AK11" s="6"/>
      <c r="AL11" s="5"/>
      <c r="AM11" s="5"/>
    </row>
    <row r="12" spans="1:39" s="12" customFormat="1">
      <c r="A12" s="70" t="s">
        <v>331</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c r="T12" s="31"/>
      <c r="U12" s="31"/>
    </row>
    <row r="13" spans="1:39" s="12" customFormat="1">
      <c r="A13" s="70" t="s">
        <v>332</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c r="T13" s="31"/>
      <c r="U13" s="31"/>
    </row>
    <row r="14" spans="1:39" s="12" customFormat="1">
      <c r="A14" s="70" t="s">
        <v>230</v>
      </c>
      <c r="B14" s="17" t="s">
        <v>174</v>
      </c>
      <c r="C14" s="17" t="s">
        <v>174</v>
      </c>
      <c r="D14" s="17" t="s">
        <v>308</v>
      </c>
      <c r="E14" s="17" t="s">
        <v>308</v>
      </c>
      <c r="F14" s="17" t="s">
        <v>308</v>
      </c>
      <c r="G14" s="17">
        <v>160</v>
      </c>
      <c r="H14" s="17">
        <v>160</v>
      </c>
      <c r="I14" s="17">
        <v>120</v>
      </c>
      <c r="J14" s="17">
        <v>120</v>
      </c>
      <c r="K14" s="17">
        <v>100</v>
      </c>
      <c r="L14" s="17">
        <v>100</v>
      </c>
      <c r="M14" s="17">
        <v>100</v>
      </c>
      <c r="N14" s="17">
        <v>100</v>
      </c>
      <c r="O14" s="17">
        <v>100</v>
      </c>
      <c r="P14" s="17">
        <v>100</v>
      </c>
      <c r="Q14" s="17">
        <v>100</v>
      </c>
      <c r="R14" s="66">
        <v>100</v>
      </c>
      <c r="T14" s="31"/>
      <c r="U14" s="31"/>
      <c r="V14" s="1"/>
    </row>
    <row r="15" spans="1:39" s="12" customFormat="1">
      <c r="A15" s="70" t="s">
        <v>333</v>
      </c>
      <c r="B15" s="17">
        <v>7.8</v>
      </c>
      <c r="C15" s="17">
        <v>8</v>
      </c>
      <c r="D15" s="17">
        <v>9.09</v>
      </c>
      <c r="E15" s="17">
        <v>10.15</v>
      </c>
      <c r="F15" s="17">
        <v>11.07</v>
      </c>
      <c r="G15" s="17">
        <v>11.13</v>
      </c>
      <c r="H15" s="17">
        <v>13.49</v>
      </c>
      <c r="I15" s="17">
        <v>14.27</v>
      </c>
      <c r="J15" s="17">
        <v>18.260000000000002</v>
      </c>
      <c r="K15" s="17">
        <v>18.260000000000002</v>
      </c>
      <c r="L15" s="17">
        <v>21.44</v>
      </c>
      <c r="M15" s="17">
        <v>23.83</v>
      </c>
      <c r="N15" s="17">
        <v>26.19</v>
      </c>
      <c r="O15" s="17">
        <v>29.36</v>
      </c>
      <c r="P15" s="17">
        <v>32.54</v>
      </c>
      <c r="Q15" s="17">
        <v>34.93</v>
      </c>
      <c r="R15" s="66">
        <v>38.89</v>
      </c>
      <c r="T15" s="31"/>
      <c r="U15" s="31"/>
    </row>
    <row r="16" spans="1:39">
      <c r="A16" s="69" t="s">
        <v>234</v>
      </c>
      <c r="B16" s="144" t="s">
        <v>235</v>
      </c>
      <c r="C16" s="145"/>
      <c r="D16" s="145"/>
      <c r="E16" s="145"/>
      <c r="F16" s="145"/>
      <c r="G16" s="145"/>
      <c r="H16" s="145"/>
      <c r="I16" s="145"/>
      <c r="J16" s="145"/>
      <c r="K16" s="145"/>
      <c r="L16" s="145"/>
      <c r="M16" s="145"/>
      <c r="N16" s="145"/>
      <c r="O16" s="109" t="s">
        <v>287</v>
      </c>
      <c r="P16" s="109"/>
      <c r="Q16" s="109"/>
      <c r="R16" s="110"/>
    </row>
    <row r="17" spans="1:21" ht="15" customHeight="1">
      <c r="A17" s="69" t="s">
        <v>237</v>
      </c>
      <c r="B17" s="144" t="s">
        <v>295</v>
      </c>
      <c r="C17" s="145"/>
      <c r="D17" s="145"/>
      <c r="E17" s="145"/>
      <c r="F17" s="145"/>
      <c r="G17" s="145"/>
      <c r="H17" s="145"/>
      <c r="I17" s="145"/>
      <c r="J17" s="145"/>
      <c r="K17" s="145"/>
      <c r="L17" s="145"/>
      <c r="M17" s="145"/>
      <c r="N17" s="145"/>
      <c r="O17" s="101" t="s">
        <v>288</v>
      </c>
      <c r="P17" s="109"/>
      <c r="Q17" s="109"/>
      <c r="R17" s="110"/>
    </row>
    <row r="18" spans="1:21">
      <c r="A18" s="69" t="s">
        <v>240</v>
      </c>
      <c r="B18" s="144" t="s">
        <v>241</v>
      </c>
      <c r="C18" s="145"/>
      <c r="D18" s="145"/>
      <c r="E18" s="145"/>
      <c r="F18" s="145"/>
      <c r="G18" s="145"/>
      <c r="H18" s="145"/>
      <c r="I18" s="145"/>
      <c r="J18" s="145"/>
      <c r="K18" s="145"/>
      <c r="L18" s="145"/>
      <c r="M18" s="145"/>
      <c r="N18" s="145"/>
      <c r="O18" s="145"/>
      <c r="P18" s="145"/>
      <c r="Q18" s="145"/>
      <c r="R18" s="147"/>
    </row>
    <row r="19" spans="1:21">
      <c r="A19" s="117" t="s">
        <v>242</v>
      </c>
      <c r="B19" s="118"/>
      <c r="C19" s="118"/>
      <c r="D19" s="118"/>
      <c r="E19" s="118"/>
      <c r="F19" s="118"/>
      <c r="G19" s="118"/>
      <c r="H19" s="118"/>
      <c r="I19" s="118"/>
      <c r="J19" s="118"/>
      <c r="K19" s="118"/>
      <c r="L19" s="118"/>
      <c r="M19" s="118"/>
      <c r="N19" s="118"/>
      <c r="O19" s="118"/>
      <c r="P19" s="118"/>
      <c r="Q19" s="118"/>
      <c r="R19" s="119"/>
    </row>
    <row r="20" spans="1:21" ht="31.1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21" ht="13.9" customHeight="1">
      <c r="A21" s="69" t="s">
        <v>237</v>
      </c>
      <c r="B21" s="144" t="s">
        <v>289</v>
      </c>
      <c r="C21" s="145"/>
      <c r="D21" s="145"/>
      <c r="E21" s="145"/>
      <c r="F21" s="145"/>
      <c r="G21" s="145"/>
      <c r="H21" s="145"/>
      <c r="I21" s="145"/>
      <c r="J21" s="145"/>
      <c r="K21" s="145"/>
      <c r="L21" s="145"/>
      <c r="M21" s="145"/>
      <c r="N21" s="145"/>
      <c r="O21" s="145"/>
      <c r="P21" s="145"/>
      <c r="Q21" s="145"/>
      <c r="R21" s="147"/>
    </row>
    <row r="22" spans="1:21" ht="13.9" customHeight="1">
      <c r="A22" s="69" t="s">
        <v>246</v>
      </c>
      <c r="B22" s="144" t="s">
        <v>334</v>
      </c>
      <c r="C22" s="145"/>
      <c r="D22" s="145"/>
      <c r="E22" s="145"/>
      <c r="F22" s="145"/>
      <c r="G22" s="145"/>
      <c r="H22" s="145"/>
      <c r="I22" s="145"/>
      <c r="J22" s="145"/>
      <c r="K22" s="145"/>
      <c r="L22" s="145"/>
      <c r="M22" s="145"/>
      <c r="N22" s="145"/>
      <c r="O22" s="145"/>
      <c r="P22" s="145"/>
      <c r="Q22" s="145"/>
      <c r="R22" s="147"/>
    </row>
    <row r="23" spans="1:21" ht="13.9" customHeight="1">
      <c r="A23" s="69" t="s">
        <v>248</v>
      </c>
      <c r="B23" s="144" t="s">
        <v>334</v>
      </c>
      <c r="C23" s="145"/>
      <c r="D23" s="145"/>
      <c r="E23" s="145"/>
      <c r="F23" s="145"/>
      <c r="G23" s="145"/>
      <c r="H23" s="145"/>
      <c r="I23" s="145"/>
      <c r="J23" s="145"/>
      <c r="K23" s="145"/>
      <c r="L23" s="145"/>
      <c r="M23" s="145"/>
      <c r="N23" s="145"/>
      <c r="O23" s="145"/>
      <c r="P23" s="145"/>
      <c r="Q23" s="145"/>
      <c r="R23" s="147"/>
    </row>
    <row r="24" spans="1:21" ht="13.9" customHeight="1">
      <c r="A24" s="69" t="s">
        <v>249</v>
      </c>
      <c r="B24" s="144" t="s">
        <v>334</v>
      </c>
      <c r="C24" s="145"/>
      <c r="D24" s="145"/>
      <c r="E24" s="145"/>
      <c r="F24" s="145"/>
      <c r="G24" s="145"/>
      <c r="H24" s="145"/>
      <c r="I24" s="145"/>
      <c r="J24" s="145"/>
      <c r="K24" s="145"/>
      <c r="L24" s="145"/>
      <c r="M24" s="145"/>
      <c r="N24" s="145"/>
      <c r="O24" s="145"/>
      <c r="P24" s="145"/>
      <c r="Q24" s="145"/>
      <c r="R24" s="147"/>
    </row>
    <row r="25" spans="1:21" ht="13.9" customHeight="1">
      <c r="A25" s="69" t="s">
        <v>250</v>
      </c>
      <c r="B25" s="144" t="s">
        <v>334</v>
      </c>
      <c r="C25" s="145"/>
      <c r="D25" s="145"/>
      <c r="E25" s="145"/>
      <c r="F25" s="145"/>
      <c r="G25" s="145"/>
      <c r="H25" s="145"/>
      <c r="I25" s="145"/>
      <c r="J25" s="145"/>
      <c r="K25" s="145"/>
      <c r="L25" s="145"/>
      <c r="M25" s="145"/>
      <c r="N25" s="145"/>
      <c r="O25" s="145"/>
      <c r="P25" s="145"/>
      <c r="Q25" s="145"/>
      <c r="R25" s="147"/>
    </row>
    <row r="26" spans="1:21" ht="13.9" customHeight="1">
      <c r="A26" s="69" t="s">
        <v>251</v>
      </c>
      <c r="B26" s="151" t="s">
        <v>290</v>
      </c>
      <c r="C26" s="145"/>
      <c r="D26" s="145"/>
      <c r="E26" s="146"/>
      <c r="F26" s="144"/>
      <c r="G26" s="145"/>
      <c r="H26" s="145"/>
      <c r="I26" s="145"/>
      <c r="J26" s="145"/>
      <c r="K26" s="145"/>
      <c r="L26" s="145"/>
      <c r="M26" s="145"/>
      <c r="N26" s="145"/>
      <c r="O26" s="145"/>
      <c r="P26" s="145"/>
      <c r="Q26" s="145"/>
      <c r="R26" s="147"/>
    </row>
    <row r="27" spans="1:21" ht="13.9" customHeight="1">
      <c r="A27" s="69" t="s">
        <v>253</v>
      </c>
      <c r="B27" s="144" t="s">
        <v>325</v>
      </c>
      <c r="C27" s="145"/>
      <c r="D27" s="145"/>
      <c r="E27" s="145"/>
      <c r="F27" s="145"/>
      <c r="G27" s="145"/>
      <c r="H27" s="145"/>
      <c r="I27" s="145"/>
      <c r="J27" s="145"/>
      <c r="K27" s="145"/>
      <c r="L27" s="145"/>
      <c r="M27" s="145"/>
      <c r="N27" s="145"/>
      <c r="O27" s="145"/>
      <c r="P27" s="145"/>
      <c r="Q27" s="145"/>
      <c r="R27" s="147"/>
    </row>
    <row r="28" spans="1:21" s="5" customFormat="1">
      <c r="A28" s="117" t="s">
        <v>255</v>
      </c>
      <c r="B28" s="109"/>
      <c r="C28" s="109"/>
      <c r="D28" s="109"/>
      <c r="E28" s="109"/>
      <c r="F28" s="109"/>
      <c r="G28" s="109"/>
      <c r="H28" s="109"/>
      <c r="I28" s="109"/>
      <c r="J28" s="109"/>
      <c r="K28" s="109"/>
      <c r="L28" s="109"/>
      <c r="M28" s="109"/>
      <c r="N28" s="109"/>
      <c r="O28" s="109"/>
      <c r="P28" s="109"/>
      <c r="Q28" s="109"/>
      <c r="R28" s="110"/>
    </row>
    <row r="29" spans="1:21" s="5" customFormat="1" ht="13.9" customHeight="1">
      <c r="A29" s="69" t="s">
        <v>237</v>
      </c>
      <c r="B29" s="205" t="s">
        <v>326</v>
      </c>
      <c r="C29" s="206"/>
      <c r="D29" s="206"/>
      <c r="E29" s="206"/>
      <c r="F29" s="206"/>
      <c r="G29" s="206"/>
      <c r="H29" s="206"/>
      <c r="I29" s="206"/>
      <c r="J29" s="206"/>
      <c r="K29" s="206"/>
      <c r="L29" s="206"/>
      <c r="M29" s="206"/>
      <c r="N29" s="206"/>
      <c r="O29" s="206"/>
      <c r="P29" s="206"/>
      <c r="Q29" s="206"/>
      <c r="R29" s="207"/>
    </row>
    <row r="30" spans="1:21" s="5" customFormat="1" ht="13.9" customHeight="1">
      <c r="A30" s="69" t="s">
        <v>257</v>
      </c>
      <c r="B30" s="205" t="s">
        <v>298</v>
      </c>
      <c r="C30" s="206"/>
      <c r="D30" s="206"/>
      <c r="E30" s="206"/>
      <c r="F30" s="206"/>
      <c r="G30" s="206"/>
      <c r="H30" s="206"/>
      <c r="I30" s="206"/>
      <c r="J30" s="206"/>
      <c r="K30" s="206"/>
      <c r="L30" s="206"/>
      <c r="M30" s="206"/>
      <c r="N30" s="206"/>
      <c r="O30" s="206"/>
      <c r="P30" s="206"/>
      <c r="Q30" s="206"/>
      <c r="R30" s="207"/>
    </row>
    <row r="31" spans="1:21" ht="15" customHeight="1">
      <c r="A31" s="69" t="s">
        <v>234</v>
      </c>
      <c r="B31" s="205" t="s">
        <v>259</v>
      </c>
      <c r="C31" s="206"/>
      <c r="D31" s="206"/>
      <c r="E31" s="206"/>
      <c r="F31" s="206"/>
      <c r="G31" s="206"/>
      <c r="H31" s="206"/>
      <c r="I31" s="206"/>
      <c r="J31" s="206"/>
      <c r="K31" s="206"/>
      <c r="L31" s="206"/>
      <c r="M31" s="206"/>
      <c r="N31" s="206"/>
      <c r="O31" s="206"/>
      <c r="P31" s="206"/>
      <c r="Q31" s="206"/>
      <c r="R31" s="207"/>
      <c r="T31" s="1"/>
      <c r="U31" s="1"/>
    </row>
    <row r="32" spans="1:21" s="5" customFormat="1">
      <c r="A32" s="117" t="s">
        <v>260</v>
      </c>
      <c r="B32" s="109"/>
      <c r="C32" s="109"/>
      <c r="D32" s="109"/>
      <c r="E32" s="109"/>
      <c r="F32" s="109"/>
      <c r="G32" s="109"/>
      <c r="H32" s="109"/>
      <c r="I32" s="109"/>
      <c r="J32" s="109"/>
      <c r="K32" s="109"/>
      <c r="L32" s="109"/>
      <c r="M32" s="109"/>
      <c r="N32" s="109"/>
      <c r="O32" s="109"/>
      <c r="P32" s="109"/>
      <c r="Q32" s="109"/>
      <c r="R32" s="110"/>
    </row>
    <row r="33" spans="1:21" s="5" customFormat="1">
      <c r="A33" s="69" t="s">
        <v>237</v>
      </c>
      <c r="B33" s="109" t="s">
        <v>326</v>
      </c>
      <c r="C33" s="109"/>
      <c r="D33" s="109"/>
      <c r="E33" s="109"/>
      <c r="F33" s="109"/>
      <c r="G33" s="109"/>
      <c r="H33" s="109"/>
      <c r="I33" s="109"/>
      <c r="J33" s="109"/>
      <c r="K33" s="109"/>
      <c r="L33" s="109"/>
      <c r="M33" s="109"/>
      <c r="N33" s="109"/>
      <c r="O33" s="109"/>
      <c r="P33" s="109"/>
      <c r="Q33" s="109"/>
      <c r="R33" s="110"/>
    </row>
    <row r="34" spans="1:21" s="5" customFormat="1" ht="15" customHeight="1">
      <c r="A34" s="69" t="s">
        <v>261</v>
      </c>
      <c r="B34" s="144" t="s">
        <v>262</v>
      </c>
      <c r="C34" s="145"/>
      <c r="D34" s="145"/>
      <c r="E34" s="145"/>
      <c r="F34" s="145"/>
      <c r="G34" s="145"/>
      <c r="H34" s="145"/>
      <c r="I34" s="145"/>
      <c r="J34" s="145"/>
      <c r="K34" s="145"/>
      <c r="L34" s="146"/>
      <c r="M34" s="151" t="s">
        <v>327</v>
      </c>
      <c r="N34" s="152"/>
      <c r="O34" s="152"/>
      <c r="P34" s="152"/>
      <c r="Q34" s="152"/>
      <c r="R34" s="161"/>
    </row>
    <row r="35" spans="1:21" s="5" customFormat="1">
      <c r="A35" s="117" t="s">
        <v>264</v>
      </c>
      <c r="B35" s="109"/>
      <c r="C35" s="109"/>
      <c r="D35" s="109"/>
      <c r="E35" s="109"/>
      <c r="F35" s="109"/>
      <c r="G35" s="109"/>
      <c r="H35" s="109"/>
      <c r="I35" s="109"/>
      <c r="J35" s="109"/>
      <c r="K35" s="109"/>
      <c r="L35" s="109"/>
      <c r="M35" s="109"/>
      <c r="N35" s="109"/>
      <c r="O35" s="109"/>
      <c r="P35" s="109"/>
      <c r="Q35" s="109"/>
      <c r="R35" s="110"/>
    </row>
    <row r="36" spans="1:21" s="5" customFormat="1">
      <c r="A36" s="69" t="s">
        <v>265</v>
      </c>
      <c r="B36" s="144" t="s">
        <v>328</v>
      </c>
      <c r="C36" s="145"/>
      <c r="D36" s="145"/>
      <c r="E36" s="145"/>
      <c r="F36" s="145"/>
      <c r="G36" s="145"/>
      <c r="H36" s="145"/>
      <c r="I36" s="145"/>
      <c r="J36" s="145"/>
      <c r="K36" s="145"/>
      <c r="L36" s="145"/>
      <c r="M36" s="145"/>
      <c r="N36" s="145"/>
      <c r="O36" s="145"/>
      <c r="P36" s="145"/>
      <c r="Q36" s="145"/>
      <c r="R36" s="147"/>
    </row>
    <row r="37" spans="1:21" s="5" customFormat="1">
      <c r="A37" s="69" t="s">
        <v>267</v>
      </c>
      <c r="B37" s="144" t="s">
        <v>329</v>
      </c>
      <c r="C37" s="145"/>
      <c r="D37" s="145"/>
      <c r="E37" s="145"/>
      <c r="F37" s="145"/>
      <c r="G37" s="145"/>
      <c r="H37" s="145"/>
      <c r="I37" s="145"/>
      <c r="J37" s="145"/>
      <c r="K37" s="145"/>
      <c r="L37" s="145"/>
      <c r="M37" s="145"/>
      <c r="N37" s="145"/>
      <c r="O37" s="145"/>
      <c r="P37" s="145"/>
      <c r="Q37" s="145"/>
      <c r="R37" s="147"/>
    </row>
    <row r="38" spans="1:21" s="5" customFormat="1">
      <c r="A38" s="69" t="s">
        <v>269</v>
      </c>
      <c r="B38" s="144" t="s">
        <v>330</v>
      </c>
      <c r="C38" s="149"/>
      <c r="D38" s="149"/>
      <c r="E38" s="149"/>
      <c r="F38" s="149"/>
      <c r="G38" s="149"/>
      <c r="H38" s="149"/>
      <c r="I38" s="149"/>
      <c r="J38" s="149"/>
      <c r="K38" s="149"/>
      <c r="L38" s="149"/>
      <c r="M38" s="149"/>
      <c r="N38" s="149"/>
      <c r="O38" s="149"/>
      <c r="P38" s="149"/>
      <c r="Q38" s="149"/>
      <c r="R38" s="150"/>
    </row>
    <row r="39" spans="1:21" ht="14.45" customHeight="1">
      <c r="A39" s="141" t="s">
        <v>271</v>
      </c>
      <c r="B39" s="142"/>
      <c r="C39" s="142"/>
      <c r="D39" s="142"/>
      <c r="E39" s="142"/>
      <c r="F39" s="142"/>
      <c r="G39" s="142"/>
      <c r="H39" s="142"/>
      <c r="I39" s="142"/>
      <c r="J39" s="142"/>
      <c r="K39" s="142"/>
      <c r="L39" s="142"/>
      <c r="M39" s="142"/>
      <c r="N39" s="142"/>
      <c r="O39" s="142"/>
      <c r="P39" s="142"/>
      <c r="Q39" s="142"/>
      <c r="R39" s="143"/>
      <c r="T39" s="1"/>
      <c r="U39" s="1"/>
    </row>
    <row r="40" spans="1:21">
      <c r="A40" s="69" t="s">
        <v>272</v>
      </c>
      <c r="B40" s="109" t="e">
        <f ca="1">VLOOKUP(F3,INDEX!B:J,2,0)&amp;", RF"</f>
        <v>#VALUE!</v>
      </c>
      <c r="C40" s="109"/>
      <c r="D40" s="109"/>
      <c r="E40" s="109"/>
      <c r="F40" s="109"/>
      <c r="G40" s="109"/>
      <c r="H40" s="109"/>
      <c r="I40" s="109"/>
      <c r="J40" s="109"/>
      <c r="K40" s="109"/>
      <c r="L40" s="109"/>
      <c r="M40" s="109"/>
      <c r="N40" s="109"/>
      <c r="O40" s="109"/>
      <c r="P40" s="109"/>
      <c r="Q40" s="109"/>
      <c r="R40" s="110"/>
      <c r="T40" s="1"/>
      <c r="U40" s="1"/>
    </row>
    <row r="41" spans="1:21"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21"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21"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21"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21" s="5" customFormat="1" ht="13.9" customHeight="1">
      <c r="A45" s="69"/>
      <c r="B45" s="109"/>
      <c r="C45" s="109"/>
      <c r="D45" s="109"/>
      <c r="E45" s="109"/>
      <c r="F45" s="109"/>
      <c r="G45" s="109"/>
      <c r="H45" s="109"/>
      <c r="I45" s="109"/>
      <c r="J45" s="109"/>
      <c r="K45" s="109"/>
      <c r="L45" s="109"/>
      <c r="M45" s="109"/>
      <c r="N45" s="109"/>
      <c r="O45" s="109"/>
      <c r="P45" s="109"/>
      <c r="Q45" s="109"/>
      <c r="R45" s="110"/>
    </row>
    <row r="46" spans="1:21" s="5" customFormat="1" ht="13.9" customHeight="1">
      <c r="A46" s="69"/>
      <c r="B46" s="109"/>
      <c r="C46" s="109"/>
      <c r="D46" s="109"/>
      <c r="E46" s="109"/>
      <c r="F46" s="109"/>
      <c r="G46" s="109"/>
      <c r="H46" s="109"/>
      <c r="I46" s="109"/>
      <c r="J46" s="109"/>
      <c r="K46" s="109"/>
      <c r="L46" s="109"/>
      <c r="M46" s="109"/>
      <c r="N46" s="109"/>
      <c r="O46" s="109"/>
      <c r="P46" s="109"/>
      <c r="Q46" s="109"/>
      <c r="R46" s="110"/>
    </row>
    <row r="47" spans="1:21" s="5" customFormat="1" ht="13.9" customHeight="1">
      <c r="A47" s="148" t="s">
        <v>278</v>
      </c>
      <c r="B47" s="149"/>
      <c r="C47" s="149"/>
      <c r="D47" s="149"/>
      <c r="E47" s="149"/>
      <c r="F47" s="149"/>
      <c r="G47" s="149"/>
      <c r="H47" s="149"/>
      <c r="I47" s="149"/>
      <c r="J47" s="149"/>
      <c r="K47" s="149"/>
      <c r="L47" s="149"/>
      <c r="M47" s="149"/>
      <c r="N47" s="149"/>
      <c r="O47" s="149"/>
      <c r="P47" s="149"/>
      <c r="Q47" s="149"/>
      <c r="R47" s="150"/>
    </row>
    <row r="48" spans="1:21" s="5" customFormat="1" ht="29.45" customHeight="1">
      <c r="A48" s="114" t="s">
        <v>279</v>
      </c>
      <c r="B48" s="115"/>
      <c r="C48" s="115"/>
      <c r="D48" s="115"/>
      <c r="E48" s="115"/>
      <c r="F48" s="115"/>
      <c r="G48" s="115"/>
      <c r="H48" s="115"/>
      <c r="I48" s="115"/>
      <c r="J48" s="115"/>
      <c r="K48" s="115"/>
      <c r="L48" s="115"/>
      <c r="M48" s="115"/>
      <c r="N48" s="115"/>
      <c r="O48" s="115"/>
      <c r="P48" s="115"/>
      <c r="Q48" s="115"/>
      <c r="R48" s="116"/>
    </row>
    <row r="49" spans="1:21" s="5" customFormat="1" ht="13.9" customHeight="1">
      <c r="A49" s="114" t="s">
        <v>280</v>
      </c>
      <c r="B49" s="115"/>
      <c r="C49" s="115"/>
      <c r="D49" s="115"/>
      <c r="E49" s="115"/>
      <c r="F49" s="115"/>
      <c r="G49" s="115"/>
      <c r="H49" s="115"/>
      <c r="I49" s="115"/>
      <c r="J49" s="115"/>
      <c r="K49" s="115"/>
      <c r="L49" s="115"/>
      <c r="M49" s="115"/>
      <c r="N49" s="115"/>
      <c r="O49" s="115"/>
      <c r="P49" s="115"/>
      <c r="Q49" s="115"/>
      <c r="R49" s="116"/>
    </row>
    <row r="50" spans="1:21" s="5" customFormat="1" ht="13.9" customHeight="1">
      <c r="A50" s="114" t="s">
        <v>281</v>
      </c>
      <c r="B50" s="115"/>
      <c r="C50" s="115"/>
      <c r="D50" s="115"/>
      <c r="E50" s="115"/>
      <c r="F50" s="115"/>
      <c r="G50" s="115"/>
      <c r="H50" s="115"/>
      <c r="I50" s="115"/>
      <c r="J50" s="115"/>
      <c r="K50" s="115"/>
      <c r="L50" s="115"/>
      <c r="M50" s="115"/>
      <c r="N50" s="115"/>
      <c r="O50" s="115"/>
      <c r="P50" s="115"/>
      <c r="Q50" s="115"/>
      <c r="R50" s="116"/>
    </row>
    <row r="51" spans="1:21" s="5" customFormat="1" ht="29.45" customHeight="1">
      <c r="A51" s="114" t="s">
        <v>282</v>
      </c>
      <c r="B51" s="115"/>
      <c r="C51" s="115"/>
      <c r="D51" s="115"/>
      <c r="E51" s="115"/>
      <c r="F51" s="115"/>
      <c r="G51" s="115"/>
      <c r="H51" s="115"/>
      <c r="I51" s="115"/>
      <c r="J51" s="115"/>
      <c r="K51" s="115"/>
      <c r="L51" s="115"/>
      <c r="M51" s="115"/>
      <c r="N51" s="115"/>
      <c r="O51" s="115"/>
      <c r="P51" s="115"/>
      <c r="Q51" s="115"/>
      <c r="R51" s="116"/>
    </row>
    <row r="52" spans="1:21" ht="30" customHeight="1">
      <c r="A52" s="114" t="s">
        <v>283</v>
      </c>
      <c r="B52" s="115"/>
      <c r="C52" s="115"/>
      <c r="D52" s="115"/>
      <c r="E52" s="115"/>
      <c r="F52" s="115"/>
      <c r="G52" s="115"/>
      <c r="H52" s="115"/>
      <c r="I52" s="115"/>
      <c r="J52" s="115"/>
      <c r="K52" s="115"/>
      <c r="L52" s="115"/>
      <c r="M52" s="115"/>
      <c r="N52" s="115"/>
      <c r="O52" s="115"/>
      <c r="P52" s="115"/>
      <c r="Q52" s="115"/>
      <c r="R52" s="116"/>
      <c r="T52" s="1"/>
      <c r="U52" s="1"/>
    </row>
    <row r="53" spans="1:21" ht="14.45" customHeight="1">
      <c r="A53" s="114" t="s">
        <v>284</v>
      </c>
      <c r="B53" s="115"/>
      <c r="C53" s="115"/>
      <c r="D53" s="115"/>
      <c r="E53" s="115"/>
      <c r="F53" s="115"/>
      <c r="G53" s="115"/>
      <c r="H53" s="115"/>
      <c r="I53" s="115"/>
      <c r="J53" s="115"/>
      <c r="K53" s="115"/>
      <c r="L53" s="115"/>
      <c r="M53" s="115"/>
      <c r="N53" s="115"/>
      <c r="O53" s="115"/>
      <c r="P53" s="115"/>
      <c r="Q53" s="115"/>
      <c r="R53" s="116"/>
      <c r="T53" s="1"/>
      <c r="U53" s="1"/>
    </row>
    <row r="54" spans="1:21" ht="14.45" customHeight="1">
      <c r="A54" s="114" t="s">
        <v>285</v>
      </c>
      <c r="B54" s="115"/>
      <c r="C54" s="115"/>
      <c r="D54" s="115"/>
      <c r="E54" s="115"/>
      <c r="F54" s="115"/>
      <c r="G54" s="115"/>
      <c r="H54" s="115"/>
      <c r="I54" s="115"/>
      <c r="J54" s="115"/>
      <c r="K54" s="115"/>
      <c r="L54" s="115"/>
      <c r="M54" s="115"/>
      <c r="N54" s="115"/>
      <c r="O54" s="115"/>
      <c r="P54" s="115"/>
      <c r="Q54" s="115"/>
      <c r="R54" s="116"/>
      <c r="T54" s="1"/>
      <c r="U54" s="1"/>
    </row>
    <row r="55" spans="1:21" ht="15.75" thickBot="1">
      <c r="A55" s="177"/>
      <c r="B55" s="178"/>
      <c r="C55" s="178"/>
      <c r="D55" s="178"/>
      <c r="E55" s="178"/>
      <c r="F55" s="178"/>
      <c r="G55" s="178"/>
      <c r="H55" s="178"/>
      <c r="I55" s="178"/>
      <c r="J55" s="178"/>
      <c r="K55" s="178"/>
      <c r="L55" s="178"/>
      <c r="M55" s="178"/>
      <c r="N55" s="178"/>
      <c r="O55" s="178"/>
      <c r="P55" s="178"/>
      <c r="Q55" s="178"/>
      <c r="R55" s="179"/>
      <c r="T55" s="1"/>
      <c r="U55" s="1"/>
    </row>
  </sheetData>
  <mergeCells count="82">
    <mergeCell ref="B46:R46"/>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B22:R22"/>
    <mergeCell ref="A10:R10"/>
    <mergeCell ref="B11:R11"/>
    <mergeCell ref="B16:N16"/>
    <mergeCell ref="O16:R16"/>
    <mergeCell ref="B17:N17"/>
    <mergeCell ref="O17:R17"/>
    <mergeCell ref="B18:R18"/>
    <mergeCell ref="A19:R19"/>
    <mergeCell ref="B20:N20"/>
    <mergeCell ref="O20:R20"/>
    <mergeCell ref="B21:R21"/>
    <mergeCell ref="B33:R33"/>
    <mergeCell ref="B23:R23"/>
    <mergeCell ref="B24:R24"/>
    <mergeCell ref="B25:R25"/>
    <mergeCell ref="B26:E26"/>
    <mergeCell ref="F26:R26"/>
    <mergeCell ref="B27:R27"/>
    <mergeCell ref="A28:R28"/>
    <mergeCell ref="B29:R29"/>
    <mergeCell ref="B30:R30"/>
    <mergeCell ref="B31:R31"/>
    <mergeCell ref="A32:R32"/>
    <mergeCell ref="B44:E44"/>
    <mergeCell ref="F44:R44"/>
    <mergeCell ref="B34:L34"/>
    <mergeCell ref="M34:R34"/>
    <mergeCell ref="A35:R35"/>
    <mergeCell ref="B36:R36"/>
    <mergeCell ref="B37:R37"/>
    <mergeCell ref="B38:R38"/>
    <mergeCell ref="A52:R52"/>
    <mergeCell ref="A53:R53"/>
    <mergeCell ref="A54:R54"/>
    <mergeCell ref="A55:R55"/>
    <mergeCell ref="B9:C9"/>
    <mergeCell ref="B45:R45"/>
    <mergeCell ref="A47:R47"/>
    <mergeCell ref="A48:R48"/>
    <mergeCell ref="A49:R49"/>
    <mergeCell ref="A50:R50"/>
    <mergeCell ref="A51:R51"/>
    <mergeCell ref="A39:R39"/>
    <mergeCell ref="B40:R40"/>
    <mergeCell ref="B41:R41"/>
    <mergeCell ref="B42:R42"/>
    <mergeCell ref="B43:R43"/>
  </mergeCells>
  <printOptions horizontalCentered="1"/>
  <pageMargins left="0.7" right="0.7" top="0.75" bottom="0.75" header="0.3" footer="0.3"/>
  <pageSetup paperSize="9" scale="88" firstPageNumber="18" orientation="portrait" r:id="rId1"/>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CAF5-B673-4F53-9A5B-F5DC67413590}">
  <sheetPr codeName="Sheet17">
    <tabColor rgb="FF00B050"/>
    <pageSetUpPr fitToPage="1"/>
  </sheetPr>
  <dimension ref="A1:R57"/>
  <sheetViews>
    <sheetView workbookViewId="0">
      <selection activeCell="Z17" sqref="Z17"/>
    </sheetView>
  </sheetViews>
  <sheetFormatPr defaultColWidth="9.140625" defaultRowHeight="15"/>
  <cols>
    <col min="1" max="1" width="10.7109375" style="5" customWidth="1"/>
    <col min="2" max="20" width="5.28515625" style="5" customWidth="1"/>
    <col min="21"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331</v>
      </c>
      <c r="B12" s="17"/>
      <c r="C12" s="17"/>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332</v>
      </c>
      <c r="B13" s="17"/>
      <c r="C13" s="17"/>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c r="C14" s="17"/>
      <c r="D14" s="17" t="s">
        <v>308</v>
      </c>
      <c r="E14" s="17" t="s">
        <v>308</v>
      </c>
      <c r="F14" s="17" t="s">
        <v>308</v>
      </c>
      <c r="G14" s="17" t="s">
        <v>308</v>
      </c>
      <c r="H14" s="17" t="s">
        <v>308</v>
      </c>
      <c r="I14" s="17">
        <v>160</v>
      </c>
      <c r="J14" s="17">
        <v>140</v>
      </c>
      <c r="K14" s="17">
        <v>140</v>
      </c>
      <c r="L14" s="17">
        <v>140</v>
      </c>
      <c r="M14" s="17">
        <v>140</v>
      </c>
      <c r="N14" s="17">
        <v>140</v>
      </c>
      <c r="O14" s="17">
        <v>120</v>
      </c>
      <c r="P14" s="17">
        <v>120</v>
      </c>
      <c r="Q14" s="17">
        <v>120</v>
      </c>
      <c r="R14" s="66">
        <v>120</v>
      </c>
    </row>
    <row r="15" spans="1:18" s="3" customFormat="1">
      <c r="A15" s="70" t="s">
        <v>333</v>
      </c>
      <c r="B15" s="17"/>
      <c r="C15" s="17"/>
      <c r="D15" s="17">
        <v>9.09</v>
      </c>
      <c r="E15" s="17">
        <v>10.15</v>
      </c>
      <c r="F15" s="17">
        <v>11.07</v>
      </c>
      <c r="G15" s="17">
        <v>15.24</v>
      </c>
      <c r="H15" s="17">
        <v>17.12</v>
      </c>
      <c r="I15" s="17">
        <v>18.260000000000002</v>
      </c>
      <c r="J15" s="17">
        <v>20.62</v>
      </c>
      <c r="K15" s="17">
        <v>25.4</v>
      </c>
      <c r="L15" s="17">
        <v>28.58</v>
      </c>
      <c r="M15" s="17">
        <v>31.75</v>
      </c>
      <c r="N15" s="17">
        <v>36.53</v>
      </c>
      <c r="O15" s="17">
        <v>34.93</v>
      </c>
      <c r="P15" s="17">
        <v>38.1</v>
      </c>
      <c r="Q15" s="17">
        <v>41.28</v>
      </c>
      <c r="R15" s="66">
        <v>46.02</v>
      </c>
    </row>
    <row r="16" spans="1:18">
      <c r="A16" s="69" t="s">
        <v>234</v>
      </c>
      <c r="B16" s="109" t="s">
        <v>235</v>
      </c>
      <c r="C16" s="109"/>
      <c r="D16" s="109"/>
      <c r="E16" s="109"/>
      <c r="F16" s="109"/>
      <c r="G16" s="109"/>
      <c r="H16" s="109"/>
      <c r="I16" s="109"/>
      <c r="J16" s="109"/>
      <c r="K16" s="109"/>
      <c r="L16" s="109"/>
      <c r="M16" s="109"/>
      <c r="N16" s="109"/>
      <c r="O16" s="109" t="s">
        <v>287</v>
      </c>
      <c r="P16" s="109"/>
      <c r="Q16" s="109"/>
      <c r="R16" s="110"/>
    </row>
    <row r="17" spans="1:18">
      <c r="A17" s="69" t="s">
        <v>237</v>
      </c>
      <c r="B17" s="109" t="s">
        <v>336</v>
      </c>
      <c r="C17" s="109"/>
      <c r="D17" s="109"/>
      <c r="E17" s="109"/>
      <c r="F17" s="109"/>
      <c r="G17" s="109"/>
      <c r="H17" s="109"/>
      <c r="I17" s="109"/>
      <c r="J17" s="109"/>
      <c r="K17" s="109"/>
      <c r="L17" s="109"/>
      <c r="M17" s="109"/>
      <c r="N17" s="109"/>
      <c r="O17" s="101" t="s">
        <v>288</v>
      </c>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18"/>
      <c r="C19" s="118"/>
      <c r="D19" s="118"/>
      <c r="E19" s="118"/>
      <c r="F19" s="118"/>
      <c r="G19" s="118"/>
      <c r="H19" s="118"/>
      <c r="I19" s="118"/>
      <c r="J19" s="118"/>
      <c r="K19" s="118"/>
      <c r="L19" s="118"/>
      <c r="M19" s="118"/>
      <c r="N19" s="118"/>
      <c r="O19" s="118"/>
      <c r="P19" s="118"/>
      <c r="Q19" s="118"/>
      <c r="R19" s="119"/>
    </row>
    <row r="20" spans="1:1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3.9" customHeight="1">
      <c r="A21" s="69" t="s">
        <v>237</v>
      </c>
      <c r="B21" s="205" t="s">
        <v>289</v>
      </c>
      <c r="C21" s="206"/>
      <c r="D21" s="206"/>
      <c r="E21" s="206"/>
      <c r="F21" s="206"/>
      <c r="G21" s="206"/>
      <c r="H21" s="206"/>
      <c r="I21" s="206"/>
      <c r="J21" s="206"/>
      <c r="K21" s="206"/>
      <c r="L21" s="206"/>
      <c r="M21" s="206"/>
      <c r="N21" s="226"/>
      <c r="O21" s="109"/>
      <c r="P21" s="109"/>
      <c r="Q21" s="109"/>
      <c r="R21" s="147"/>
    </row>
    <row r="22" spans="1:18" ht="13.9" customHeight="1">
      <c r="A22" s="69" t="s">
        <v>246</v>
      </c>
      <c r="B22" s="144" t="s">
        <v>334</v>
      </c>
      <c r="C22" s="145"/>
      <c r="D22" s="145"/>
      <c r="E22" s="145"/>
      <c r="F22" s="145"/>
      <c r="G22" s="145"/>
      <c r="H22" s="145"/>
      <c r="I22" s="145"/>
      <c r="J22" s="145"/>
      <c r="K22" s="145"/>
      <c r="L22" s="145"/>
      <c r="M22" s="145"/>
      <c r="N22" s="145"/>
      <c r="O22" s="145"/>
      <c r="P22" s="145"/>
      <c r="Q22" s="145"/>
      <c r="R22" s="147"/>
    </row>
    <row r="23" spans="1:18" ht="13.9" customHeight="1">
      <c r="A23" s="69" t="s">
        <v>248</v>
      </c>
      <c r="B23" s="144" t="s">
        <v>334</v>
      </c>
      <c r="C23" s="145"/>
      <c r="D23" s="145"/>
      <c r="E23" s="145"/>
      <c r="F23" s="145"/>
      <c r="G23" s="145"/>
      <c r="H23" s="145"/>
      <c r="I23" s="145"/>
      <c r="J23" s="145"/>
      <c r="K23" s="145"/>
      <c r="L23" s="145"/>
      <c r="M23" s="145"/>
      <c r="N23" s="145"/>
      <c r="O23" s="145"/>
      <c r="P23" s="145"/>
      <c r="Q23" s="145"/>
      <c r="R23" s="147"/>
    </row>
    <row r="24" spans="1:18" ht="13.9" customHeight="1">
      <c r="A24" s="69" t="s">
        <v>249</v>
      </c>
      <c r="B24" s="144" t="s">
        <v>334</v>
      </c>
      <c r="C24" s="145"/>
      <c r="D24" s="145"/>
      <c r="E24" s="145"/>
      <c r="F24" s="145"/>
      <c r="G24" s="145"/>
      <c r="H24" s="145"/>
      <c r="I24" s="145"/>
      <c r="J24" s="145"/>
      <c r="K24" s="145"/>
      <c r="L24" s="145"/>
      <c r="M24" s="145"/>
      <c r="N24" s="145"/>
      <c r="O24" s="145"/>
      <c r="P24" s="145"/>
      <c r="Q24" s="145"/>
      <c r="R24" s="147"/>
    </row>
    <row r="25" spans="1:18" ht="13.9" customHeight="1">
      <c r="A25" s="69" t="s">
        <v>250</v>
      </c>
      <c r="B25" s="144" t="s">
        <v>334</v>
      </c>
      <c r="C25" s="145"/>
      <c r="D25" s="145"/>
      <c r="E25" s="145"/>
      <c r="F25" s="145"/>
      <c r="G25" s="145"/>
      <c r="H25" s="145"/>
      <c r="I25" s="145"/>
      <c r="J25" s="145"/>
      <c r="K25" s="145"/>
      <c r="L25" s="145"/>
      <c r="M25" s="145"/>
      <c r="N25" s="145"/>
      <c r="O25" s="145"/>
      <c r="P25" s="145"/>
      <c r="Q25" s="145"/>
      <c r="R25" s="147"/>
    </row>
    <row r="26" spans="1:18" ht="13.9" customHeight="1">
      <c r="A26" s="69" t="s">
        <v>251</v>
      </c>
      <c r="B26" s="151" t="s">
        <v>290</v>
      </c>
      <c r="C26" s="152"/>
      <c r="D26" s="152"/>
      <c r="E26" s="127"/>
      <c r="F26" s="144"/>
      <c r="G26" s="145"/>
      <c r="H26" s="145"/>
      <c r="I26" s="145"/>
      <c r="J26" s="145"/>
      <c r="K26" s="145"/>
      <c r="L26" s="145"/>
      <c r="M26" s="145"/>
      <c r="N26" s="145"/>
      <c r="O26" s="145"/>
      <c r="P26" s="145"/>
      <c r="Q26" s="145"/>
      <c r="R26" s="147"/>
    </row>
    <row r="27" spans="1:18" ht="13.9" customHeight="1">
      <c r="A27" s="69" t="s">
        <v>253</v>
      </c>
      <c r="B27" s="144" t="s">
        <v>325</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205" t="s">
        <v>326</v>
      </c>
      <c r="C29" s="206"/>
      <c r="D29" s="206"/>
      <c r="E29" s="206"/>
      <c r="F29" s="206"/>
      <c r="G29" s="206"/>
      <c r="H29" s="206"/>
      <c r="I29" s="206"/>
      <c r="J29" s="206"/>
      <c r="K29" s="206"/>
      <c r="L29" s="206"/>
      <c r="M29" s="206"/>
      <c r="N29" s="206"/>
      <c r="O29" s="206"/>
      <c r="P29" s="206"/>
      <c r="Q29" s="206"/>
      <c r="R29" s="207"/>
    </row>
    <row r="30" spans="1:18" ht="13.9" customHeight="1">
      <c r="A30" s="69" t="s">
        <v>272</v>
      </c>
      <c r="B30" s="144" t="s">
        <v>299</v>
      </c>
      <c r="C30" s="145"/>
      <c r="D30" s="145"/>
      <c r="E30" s="146"/>
      <c r="F30" s="144" t="s">
        <v>300</v>
      </c>
      <c r="G30" s="145"/>
      <c r="H30" s="145"/>
      <c r="I30" s="145"/>
      <c r="J30" s="145"/>
      <c r="K30" s="145"/>
      <c r="L30" s="145"/>
      <c r="M30" s="145"/>
      <c r="N30" s="145"/>
      <c r="O30" s="145"/>
      <c r="P30" s="145"/>
      <c r="Q30" s="145"/>
      <c r="R30" s="147"/>
    </row>
    <row r="31" spans="1:18" s="1" customFormat="1" ht="15" customHeight="1">
      <c r="A31" s="69" t="s">
        <v>234</v>
      </c>
      <c r="B31" s="144" t="s">
        <v>314</v>
      </c>
      <c r="C31" s="145"/>
      <c r="D31" s="145"/>
      <c r="E31" s="145"/>
      <c r="F31" s="145"/>
      <c r="G31" s="145"/>
      <c r="H31" s="145"/>
      <c r="I31" s="145"/>
      <c r="J31" s="145"/>
      <c r="K31" s="145"/>
      <c r="L31" s="145"/>
      <c r="M31" s="145"/>
      <c r="N31" s="145"/>
      <c r="O31" s="145"/>
      <c r="P31" s="145"/>
      <c r="Q31" s="145"/>
      <c r="R31" s="147"/>
    </row>
    <row r="32" spans="1:18">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326</v>
      </c>
      <c r="C33" s="109"/>
      <c r="D33" s="109"/>
      <c r="E33" s="109"/>
      <c r="F33" s="109"/>
      <c r="G33" s="109"/>
      <c r="H33" s="109"/>
      <c r="I33" s="109"/>
      <c r="J33" s="109"/>
      <c r="K33" s="109"/>
      <c r="L33" s="109"/>
      <c r="M33" s="109"/>
      <c r="N33" s="109"/>
      <c r="O33" s="109"/>
      <c r="P33" s="109"/>
      <c r="Q33" s="109"/>
      <c r="R33" s="110"/>
    </row>
    <row r="34" spans="1:18" ht="15" customHeight="1">
      <c r="A34" s="69" t="s">
        <v>261</v>
      </c>
      <c r="B34" s="144" t="s">
        <v>262</v>
      </c>
      <c r="C34" s="145"/>
      <c r="D34" s="145"/>
      <c r="E34" s="145"/>
      <c r="F34" s="145"/>
      <c r="G34" s="145"/>
      <c r="H34" s="145"/>
      <c r="I34" s="145"/>
      <c r="J34" s="145"/>
      <c r="K34" s="145"/>
      <c r="L34" s="146"/>
      <c r="M34" s="151" t="s">
        <v>327</v>
      </c>
      <c r="N34" s="152"/>
      <c r="O34" s="152"/>
      <c r="P34" s="152"/>
      <c r="Q34" s="152"/>
      <c r="R34" s="161"/>
    </row>
    <row r="35" spans="1:18">
      <c r="A35" s="117" t="s">
        <v>264</v>
      </c>
      <c r="B35" s="109"/>
      <c r="C35" s="109"/>
      <c r="D35" s="109"/>
      <c r="E35" s="109"/>
      <c r="F35" s="109"/>
      <c r="G35" s="109"/>
      <c r="H35" s="109"/>
      <c r="I35" s="109"/>
      <c r="J35" s="109"/>
      <c r="K35" s="109"/>
      <c r="L35" s="109"/>
      <c r="M35" s="109"/>
      <c r="N35" s="109"/>
      <c r="O35" s="109"/>
      <c r="P35" s="109"/>
      <c r="Q35" s="109"/>
      <c r="R35" s="110"/>
    </row>
    <row r="36" spans="1:18">
      <c r="A36" s="69" t="s">
        <v>265</v>
      </c>
      <c r="B36" s="144" t="s">
        <v>328</v>
      </c>
      <c r="C36" s="145"/>
      <c r="D36" s="145"/>
      <c r="E36" s="145"/>
      <c r="F36" s="145"/>
      <c r="G36" s="145"/>
      <c r="H36" s="145"/>
      <c r="I36" s="145"/>
      <c r="J36" s="145"/>
      <c r="K36" s="145"/>
      <c r="L36" s="145"/>
      <c r="M36" s="145"/>
      <c r="N36" s="145"/>
      <c r="O36" s="145"/>
      <c r="P36" s="145"/>
      <c r="Q36" s="145"/>
      <c r="R36" s="147"/>
    </row>
    <row r="37" spans="1:18">
      <c r="A37" s="69" t="s">
        <v>267</v>
      </c>
      <c r="B37" s="144" t="s">
        <v>329</v>
      </c>
      <c r="C37" s="145"/>
      <c r="D37" s="145"/>
      <c r="E37" s="145"/>
      <c r="F37" s="145"/>
      <c r="G37" s="145"/>
      <c r="H37" s="145"/>
      <c r="I37" s="145"/>
      <c r="J37" s="145"/>
      <c r="K37" s="145"/>
      <c r="L37" s="145"/>
      <c r="M37" s="145"/>
      <c r="N37" s="145"/>
      <c r="O37" s="145"/>
      <c r="P37" s="145"/>
      <c r="Q37" s="145"/>
      <c r="R37" s="147"/>
    </row>
    <row r="38" spans="1:18" ht="14.45" customHeight="1">
      <c r="A38" s="69" t="s">
        <v>269</v>
      </c>
      <c r="B38" s="144" t="s">
        <v>337</v>
      </c>
      <c r="C38" s="145"/>
      <c r="D38" s="145"/>
      <c r="E38" s="145"/>
      <c r="F38" s="145"/>
      <c r="G38" s="145"/>
      <c r="H38" s="145"/>
      <c r="I38" s="145"/>
      <c r="J38" s="145"/>
      <c r="K38" s="145"/>
      <c r="L38" s="145"/>
      <c r="M38" s="145"/>
      <c r="N38" s="145"/>
      <c r="O38" s="145"/>
      <c r="P38" s="145"/>
      <c r="Q38" s="145"/>
      <c r="R38" s="147"/>
    </row>
    <row r="39" spans="1:18" s="1" customFormat="1" ht="14.45" customHeight="1">
      <c r="A39" s="141" t="s">
        <v>271</v>
      </c>
      <c r="B39" s="142"/>
      <c r="C39" s="142"/>
      <c r="D39" s="142"/>
      <c r="E39" s="142"/>
      <c r="F39" s="142"/>
      <c r="G39" s="142"/>
      <c r="H39" s="142"/>
      <c r="I39" s="142"/>
      <c r="J39" s="142"/>
      <c r="K39" s="142"/>
      <c r="L39" s="142"/>
      <c r="M39" s="142"/>
      <c r="N39" s="142"/>
      <c r="O39" s="142"/>
      <c r="P39" s="142"/>
      <c r="Q39" s="142"/>
      <c r="R39" s="143"/>
    </row>
    <row r="40" spans="1:18" s="1" customFormat="1" ht="14.45" customHeight="1">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18" ht="13.9"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18" ht="13.9"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18"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18"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18">
      <c r="A47" s="148" t="s">
        <v>278</v>
      </c>
      <c r="B47" s="149"/>
      <c r="C47" s="149"/>
      <c r="D47" s="149"/>
      <c r="E47" s="149"/>
      <c r="F47" s="149"/>
      <c r="G47" s="149"/>
      <c r="H47" s="149"/>
      <c r="I47" s="149"/>
      <c r="J47" s="149"/>
      <c r="K47" s="149"/>
      <c r="L47" s="149"/>
      <c r="M47" s="149"/>
      <c r="N47" s="149"/>
      <c r="O47" s="149"/>
      <c r="P47" s="149"/>
      <c r="Q47" s="149"/>
      <c r="R47" s="150"/>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324</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c r="A55" s="114" t="s">
        <v>306</v>
      </c>
      <c r="B55" s="115"/>
      <c r="C55" s="115"/>
      <c r="D55" s="115"/>
      <c r="E55" s="115"/>
      <c r="F55" s="115"/>
      <c r="G55" s="115"/>
      <c r="H55" s="115"/>
      <c r="I55" s="115"/>
      <c r="J55" s="115"/>
      <c r="K55" s="115"/>
      <c r="L55" s="115"/>
      <c r="M55" s="115"/>
      <c r="N55" s="115"/>
      <c r="O55" s="115"/>
      <c r="P55" s="115"/>
      <c r="Q55" s="115"/>
      <c r="R55" s="116"/>
    </row>
    <row r="56" spans="1:18">
      <c r="A56" s="114" t="s">
        <v>307</v>
      </c>
      <c r="B56" s="115"/>
      <c r="C56" s="115"/>
      <c r="D56" s="115"/>
      <c r="E56" s="115"/>
      <c r="F56" s="115"/>
      <c r="G56" s="115"/>
      <c r="H56" s="115"/>
      <c r="I56" s="115"/>
      <c r="J56" s="115"/>
      <c r="K56" s="115"/>
      <c r="L56" s="115"/>
      <c r="M56" s="115"/>
      <c r="N56" s="115"/>
      <c r="O56" s="115"/>
      <c r="P56" s="115"/>
      <c r="Q56" s="115"/>
      <c r="R56" s="116"/>
    </row>
    <row r="57" spans="1:18" ht="15.75" thickBot="1">
      <c r="A57" s="177"/>
      <c r="B57" s="178"/>
      <c r="C57" s="178"/>
      <c r="D57" s="178"/>
      <c r="E57" s="178"/>
      <c r="F57" s="178"/>
      <c r="G57" s="178"/>
      <c r="H57" s="178"/>
      <c r="I57" s="178"/>
      <c r="J57" s="178"/>
      <c r="K57" s="178"/>
      <c r="L57" s="178"/>
      <c r="M57" s="178"/>
      <c r="N57" s="178"/>
      <c r="O57" s="178"/>
      <c r="P57" s="178"/>
      <c r="Q57" s="178"/>
      <c r="R57" s="179"/>
    </row>
  </sheetData>
  <mergeCells count="88">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A10:R10"/>
    <mergeCell ref="B11:R11"/>
    <mergeCell ref="B16:N16"/>
    <mergeCell ref="O16:R16"/>
    <mergeCell ref="B17:N17"/>
    <mergeCell ref="O17:R17"/>
    <mergeCell ref="B18:R18"/>
    <mergeCell ref="A19:R19"/>
    <mergeCell ref="B20:N20"/>
    <mergeCell ref="O20:R20"/>
    <mergeCell ref="B21:N21"/>
    <mergeCell ref="O21:R21"/>
    <mergeCell ref="B22:R22"/>
    <mergeCell ref="B23:R23"/>
    <mergeCell ref="B24:R24"/>
    <mergeCell ref="B25:R25"/>
    <mergeCell ref="B26:E26"/>
    <mergeCell ref="F26:R26"/>
    <mergeCell ref="B46:R46"/>
    <mergeCell ref="B45:F45"/>
    <mergeCell ref="G45:R45"/>
    <mergeCell ref="B36:R36"/>
    <mergeCell ref="B27:R27"/>
    <mergeCell ref="A28:R28"/>
    <mergeCell ref="B29:R29"/>
    <mergeCell ref="B30:E30"/>
    <mergeCell ref="F30:R30"/>
    <mergeCell ref="B31:R31"/>
    <mergeCell ref="A32:R32"/>
    <mergeCell ref="B33:R33"/>
    <mergeCell ref="B34:L34"/>
    <mergeCell ref="M34:R34"/>
    <mergeCell ref="A35:R35"/>
    <mergeCell ref="B37:R37"/>
    <mergeCell ref="B38:R38"/>
    <mergeCell ref="A39:R39"/>
    <mergeCell ref="B40:R40"/>
    <mergeCell ref="B41:E41"/>
    <mergeCell ref="F41:R41"/>
    <mergeCell ref="A54:R54"/>
    <mergeCell ref="A55:R55"/>
    <mergeCell ref="A56:R56"/>
    <mergeCell ref="A57:R57"/>
    <mergeCell ref="B9:C9"/>
    <mergeCell ref="A48:R48"/>
    <mergeCell ref="A49:R49"/>
    <mergeCell ref="A50:R50"/>
    <mergeCell ref="A51:R51"/>
    <mergeCell ref="A52:R52"/>
    <mergeCell ref="A53:R53"/>
    <mergeCell ref="B42:R42"/>
    <mergeCell ref="B43:R43"/>
    <mergeCell ref="B44:E44"/>
    <mergeCell ref="F44:R44"/>
    <mergeCell ref="A47:R47"/>
  </mergeCells>
  <printOptions horizontalCentered="1"/>
  <pageMargins left="0.7" right="0.7" top="0.75" bottom="0.75" header="0.3" footer="0.3"/>
  <pageSetup paperSize="9" scale="88" firstPageNumber="18" orientation="portrait" r:id="rId1"/>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C7AA8-596C-45F7-B192-0A4DCBF5E87C}">
  <sheetPr codeName="Sheet18">
    <tabColor rgb="FF00B050"/>
    <pageSetUpPr fitToPage="1"/>
  </sheetPr>
  <dimension ref="A1:AK59"/>
  <sheetViews>
    <sheetView workbookViewId="0">
      <selection activeCell="Z17" sqref="Z17"/>
    </sheetView>
  </sheetViews>
  <sheetFormatPr defaultColWidth="9.140625" defaultRowHeight="15"/>
  <cols>
    <col min="1" max="1" width="10.7109375" style="5" customWidth="1"/>
    <col min="2" max="21" width="5.28515625" style="5" customWidth="1"/>
    <col min="22" max="16384" width="9.140625" style="5"/>
  </cols>
  <sheetData>
    <row r="1" spans="1:37" ht="14.45" customHeight="1">
      <c r="A1" s="132" t="e" vm="1">
        <v>#VALUE!</v>
      </c>
      <c r="B1" s="133"/>
      <c r="C1" s="133"/>
      <c r="D1" s="133"/>
      <c r="E1" s="134"/>
      <c r="F1" s="165" t="s">
        <v>213</v>
      </c>
      <c r="G1" s="166"/>
      <c r="H1" s="166"/>
      <c r="I1" s="166"/>
      <c r="J1" s="166"/>
      <c r="K1" s="166"/>
      <c r="L1" s="166"/>
      <c r="M1" s="166"/>
      <c r="N1" s="166"/>
      <c r="O1" s="166"/>
      <c r="P1" s="166"/>
      <c r="Q1" s="153" t="s">
        <v>214</v>
      </c>
      <c r="R1" s="154"/>
    </row>
    <row r="2" spans="1:37"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37">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37"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37"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37"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37" ht="14.45" customHeight="1">
      <c r="A7" s="167" t="s">
        <v>221</v>
      </c>
      <c r="B7" s="168"/>
      <c r="C7" s="168"/>
      <c r="D7" s="168"/>
      <c r="E7" s="168"/>
      <c r="F7" s="169"/>
      <c r="G7" s="169"/>
      <c r="H7" s="169"/>
      <c r="I7" s="169"/>
      <c r="J7" s="169"/>
      <c r="K7" s="169"/>
      <c r="L7" s="169"/>
      <c r="M7" s="169"/>
      <c r="N7" s="169"/>
      <c r="O7" s="169"/>
      <c r="P7" s="169"/>
      <c r="Q7" s="169"/>
      <c r="R7" s="170"/>
    </row>
    <row r="8" spans="1:37"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37"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c r="Y9" s="5"/>
      <c r="AD9" s="5"/>
      <c r="AE9" s="5"/>
      <c r="AF9" s="5"/>
      <c r="AG9" s="5"/>
      <c r="AH9" s="5"/>
      <c r="AI9" s="5"/>
      <c r="AJ9" s="5"/>
      <c r="AK9" s="5"/>
    </row>
    <row r="10" spans="1:37" s="3" customFormat="1">
      <c r="A10" s="162" t="s">
        <v>225</v>
      </c>
      <c r="B10" s="163"/>
      <c r="C10" s="163"/>
      <c r="D10" s="163"/>
      <c r="E10" s="163"/>
      <c r="F10" s="163"/>
      <c r="G10" s="163"/>
      <c r="H10" s="163"/>
      <c r="I10" s="163"/>
      <c r="J10" s="163"/>
      <c r="K10" s="163"/>
      <c r="L10" s="163"/>
      <c r="M10" s="163"/>
      <c r="N10" s="163"/>
      <c r="O10" s="163"/>
      <c r="P10" s="163"/>
      <c r="Q10" s="163"/>
      <c r="R10" s="164"/>
    </row>
    <row r="11" spans="1:37">
      <c r="A11" s="69" t="s">
        <v>226</v>
      </c>
      <c r="B11" s="109" t="s">
        <v>227</v>
      </c>
      <c r="C11" s="109"/>
      <c r="D11" s="109"/>
      <c r="E11" s="109"/>
      <c r="F11" s="109"/>
      <c r="G11" s="109"/>
      <c r="H11" s="109"/>
      <c r="I11" s="109"/>
      <c r="J11" s="109"/>
      <c r="K11" s="109"/>
      <c r="L11" s="109"/>
      <c r="M11" s="109"/>
      <c r="N11" s="109"/>
      <c r="O11" s="109"/>
      <c r="P11" s="109"/>
      <c r="Q11" s="109"/>
      <c r="R11" s="147"/>
    </row>
    <row r="12" spans="1:37" s="3" customFormat="1">
      <c r="A12" s="70" t="s">
        <v>331</v>
      </c>
      <c r="B12" s="17"/>
      <c r="C12" s="17"/>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37" s="3" customFormat="1">
      <c r="A13" s="70" t="s">
        <v>332</v>
      </c>
      <c r="B13" s="17"/>
      <c r="C13" s="17"/>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37" s="3" customFormat="1">
      <c r="A14" s="70" t="s">
        <v>230</v>
      </c>
      <c r="B14" s="17"/>
      <c r="C14" s="17"/>
      <c r="D14" s="17" t="s">
        <v>174</v>
      </c>
      <c r="E14" s="17" t="s">
        <v>174</v>
      </c>
      <c r="F14" s="17" t="s">
        <v>174</v>
      </c>
      <c r="G14" s="17" t="s">
        <v>174</v>
      </c>
      <c r="H14" s="17" t="s">
        <v>174</v>
      </c>
      <c r="I14" s="17" t="s">
        <v>174</v>
      </c>
      <c r="J14" s="17" t="s">
        <v>174</v>
      </c>
      <c r="K14" s="17" t="s">
        <v>174</v>
      </c>
      <c r="L14" s="17" t="s">
        <v>174</v>
      </c>
      <c r="M14" s="17" t="s">
        <v>174</v>
      </c>
      <c r="N14" s="17" t="s">
        <v>174</v>
      </c>
      <c r="O14" s="17" t="s">
        <v>174</v>
      </c>
      <c r="P14" s="17" t="s">
        <v>174</v>
      </c>
      <c r="Q14" s="17" t="s">
        <v>174</v>
      </c>
      <c r="R14" s="66" t="s">
        <v>174</v>
      </c>
    </row>
    <row r="15" spans="1:37" s="3" customFormat="1">
      <c r="A15" s="70" t="s">
        <v>333</v>
      </c>
      <c r="B15" s="17"/>
      <c r="C15" s="17"/>
      <c r="D15" s="17">
        <v>10.17</v>
      </c>
      <c r="E15" s="17">
        <v>11.639999999999999</v>
      </c>
      <c r="F15" s="17">
        <v>12.819999999999999</v>
      </c>
      <c r="G15" s="17">
        <v>15.639999999999999</v>
      </c>
      <c r="H15" s="17">
        <v>18.14</v>
      </c>
      <c r="I15" s="17">
        <v>23.46</v>
      </c>
      <c r="J15" s="13">
        <v>28.46</v>
      </c>
      <c r="K15" s="13">
        <v>33.770000000000003</v>
      </c>
      <c r="L15" s="13">
        <v>38.78</v>
      </c>
      <c r="M15" s="13">
        <v>41.910000000000004</v>
      </c>
      <c r="N15" s="13">
        <v>46.910000000000004</v>
      </c>
      <c r="O15" s="17">
        <v>51.9</v>
      </c>
      <c r="P15" s="17">
        <v>56.92</v>
      </c>
      <c r="Q15" s="17">
        <v>61.92</v>
      </c>
      <c r="R15" s="68">
        <v>66.97</v>
      </c>
    </row>
    <row r="16" spans="1:37">
      <c r="A16" s="69" t="s">
        <v>234</v>
      </c>
      <c r="B16" s="109" t="s">
        <v>235</v>
      </c>
      <c r="C16" s="109"/>
      <c r="D16" s="109"/>
      <c r="E16" s="109"/>
      <c r="F16" s="109"/>
      <c r="G16" s="109"/>
      <c r="H16" s="109"/>
      <c r="I16" s="109"/>
      <c r="J16" s="109"/>
      <c r="K16" s="109"/>
      <c r="L16" s="109"/>
      <c r="M16" s="109"/>
      <c r="N16" s="109"/>
      <c r="O16" s="109" t="s">
        <v>287</v>
      </c>
      <c r="P16" s="109"/>
      <c r="Q16" s="109"/>
      <c r="R16" s="110"/>
    </row>
    <row r="17" spans="1:18">
      <c r="A17" s="69" t="s">
        <v>237</v>
      </c>
      <c r="B17" s="109" t="s">
        <v>336</v>
      </c>
      <c r="C17" s="109"/>
      <c r="D17" s="109"/>
      <c r="E17" s="109"/>
      <c r="F17" s="109"/>
      <c r="G17" s="109"/>
      <c r="H17" s="109"/>
      <c r="I17" s="109"/>
      <c r="J17" s="109"/>
      <c r="K17" s="109"/>
      <c r="L17" s="109"/>
      <c r="M17" s="109"/>
      <c r="N17" s="109"/>
      <c r="O17" s="101" t="s">
        <v>288</v>
      </c>
      <c r="P17" s="109"/>
      <c r="Q17" s="109"/>
      <c r="R17" s="110"/>
    </row>
    <row r="18" spans="1:18">
      <c r="A18" s="69" t="s">
        <v>240</v>
      </c>
      <c r="B18" s="144" t="s">
        <v>241</v>
      </c>
      <c r="C18" s="145"/>
      <c r="D18" s="145"/>
      <c r="E18" s="145"/>
      <c r="F18" s="145"/>
      <c r="G18" s="145"/>
      <c r="H18" s="145"/>
      <c r="I18" s="145"/>
      <c r="J18" s="145"/>
      <c r="K18" s="145"/>
      <c r="L18" s="145"/>
      <c r="M18" s="145"/>
      <c r="N18" s="146"/>
      <c r="O18" s="109"/>
      <c r="P18" s="109"/>
      <c r="Q18" s="109"/>
      <c r="R18" s="147"/>
    </row>
    <row r="19" spans="1:18">
      <c r="A19" s="117" t="s">
        <v>242</v>
      </c>
      <c r="B19" s="118"/>
      <c r="C19" s="118"/>
      <c r="D19" s="118"/>
      <c r="E19" s="118"/>
      <c r="F19" s="118"/>
      <c r="G19" s="118"/>
      <c r="H19" s="118"/>
      <c r="I19" s="118"/>
      <c r="J19" s="118"/>
      <c r="K19" s="118"/>
      <c r="L19" s="118"/>
      <c r="M19" s="118"/>
      <c r="N19" s="118"/>
      <c r="O19" s="118"/>
      <c r="P19" s="118"/>
      <c r="Q19" s="118"/>
      <c r="R19" s="150"/>
    </row>
    <row r="20" spans="1:18" ht="29.45" customHeight="1">
      <c r="A20" s="69" t="s">
        <v>234</v>
      </c>
      <c r="B20" s="144" t="s">
        <v>243</v>
      </c>
      <c r="C20" s="145"/>
      <c r="D20" s="145"/>
      <c r="E20" s="145"/>
      <c r="F20" s="145"/>
      <c r="G20" s="145"/>
      <c r="H20" s="145"/>
      <c r="I20" s="145"/>
      <c r="J20" s="145"/>
      <c r="K20" s="145"/>
      <c r="L20" s="145"/>
      <c r="M20" s="145"/>
      <c r="N20" s="145"/>
      <c r="O20" s="144" t="s">
        <v>244</v>
      </c>
      <c r="P20" s="145"/>
      <c r="Q20" s="145"/>
      <c r="R20" s="147"/>
    </row>
    <row r="21" spans="1:18" ht="13.9" customHeight="1">
      <c r="A21" s="69" t="s">
        <v>237</v>
      </c>
      <c r="B21" s="205" t="s">
        <v>289</v>
      </c>
      <c r="C21" s="206"/>
      <c r="D21" s="206"/>
      <c r="E21" s="206"/>
      <c r="F21" s="206"/>
      <c r="G21" s="206"/>
      <c r="H21" s="206"/>
      <c r="I21" s="206"/>
      <c r="J21" s="206"/>
      <c r="K21" s="206"/>
      <c r="L21" s="206"/>
      <c r="M21" s="206"/>
      <c r="N21" s="226"/>
      <c r="O21" s="109"/>
      <c r="P21" s="109"/>
      <c r="Q21" s="109"/>
      <c r="R21" s="147"/>
    </row>
    <row r="22" spans="1:18" ht="13.9" customHeight="1">
      <c r="A22" s="69" t="s">
        <v>246</v>
      </c>
      <c r="B22" s="205" t="s">
        <v>334</v>
      </c>
      <c r="C22" s="206"/>
      <c r="D22" s="206"/>
      <c r="E22" s="206"/>
      <c r="F22" s="206"/>
      <c r="G22" s="206"/>
      <c r="H22" s="206"/>
      <c r="I22" s="206"/>
      <c r="J22" s="206"/>
      <c r="K22" s="206"/>
      <c r="L22" s="206"/>
      <c r="M22" s="206"/>
      <c r="N22" s="226"/>
      <c r="O22" s="109"/>
      <c r="P22" s="109"/>
      <c r="Q22" s="109"/>
      <c r="R22" s="147"/>
    </row>
    <row r="23" spans="1:18" ht="13.9" customHeight="1">
      <c r="A23" s="69" t="s">
        <v>248</v>
      </c>
      <c r="B23" s="205" t="s">
        <v>334</v>
      </c>
      <c r="C23" s="206"/>
      <c r="D23" s="206"/>
      <c r="E23" s="206"/>
      <c r="F23" s="206"/>
      <c r="G23" s="206"/>
      <c r="H23" s="206"/>
      <c r="I23" s="206"/>
      <c r="J23" s="206"/>
      <c r="K23" s="206"/>
      <c r="L23" s="206"/>
      <c r="M23" s="206"/>
      <c r="N23" s="226"/>
      <c r="O23" s="109"/>
      <c r="P23" s="109"/>
      <c r="Q23" s="109"/>
      <c r="R23" s="147"/>
    </row>
    <row r="24" spans="1:18" ht="13.9" customHeight="1">
      <c r="A24" s="69" t="s">
        <v>249</v>
      </c>
      <c r="B24" s="205" t="s">
        <v>334</v>
      </c>
      <c r="C24" s="206"/>
      <c r="D24" s="206"/>
      <c r="E24" s="206"/>
      <c r="F24" s="206"/>
      <c r="G24" s="206"/>
      <c r="H24" s="206"/>
      <c r="I24" s="206"/>
      <c r="J24" s="206"/>
      <c r="K24" s="206"/>
      <c r="L24" s="206"/>
      <c r="M24" s="206"/>
      <c r="N24" s="226"/>
      <c r="O24" s="109"/>
      <c r="P24" s="109"/>
      <c r="Q24" s="109"/>
      <c r="R24" s="147"/>
    </row>
    <row r="25" spans="1:18" ht="13.9" customHeight="1">
      <c r="A25" s="69" t="s">
        <v>250</v>
      </c>
      <c r="B25" s="205" t="s">
        <v>334</v>
      </c>
      <c r="C25" s="206"/>
      <c r="D25" s="206"/>
      <c r="E25" s="206"/>
      <c r="F25" s="206"/>
      <c r="G25" s="206"/>
      <c r="H25" s="206"/>
      <c r="I25" s="206"/>
      <c r="J25" s="206"/>
      <c r="K25" s="206"/>
      <c r="L25" s="206"/>
      <c r="M25" s="206"/>
      <c r="N25" s="226"/>
      <c r="O25" s="109"/>
      <c r="P25" s="109"/>
      <c r="Q25" s="109"/>
      <c r="R25" s="147"/>
    </row>
    <row r="26" spans="1:18" ht="13.9" customHeight="1">
      <c r="A26" s="69" t="s">
        <v>251</v>
      </c>
      <c r="B26" s="151" t="s">
        <v>290</v>
      </c>
      <c r="C26" s="145"/>
      <c r="D26" s="145"/>
      <c r="E26" s="146"/>
      <c r="F26" s="144"/>
      <c r="G26" s="145"/>
      <c r="H26" s="145"/>
      <c r="I26" s="145"/>
      <c r="J26" s="145"/>
      <c r="K26" s="145"/>
      <c r="L26" s="145"/>
      <c r="M26" s="145"/>
      <c r="N26" s="146"/>
      <c r="O26" s="109"/>
      <c r="P26" s="109"/>
      <c r="Q26" s="109"/>
      <c r="R26" s="147"/>
    </row>
    <row r="27" spans="1:18" ht="13.9" customHeight="1">
      <c r="A27" s="69" t="s">
        <v>253</v>
      </c>
      <c r="B27" s="205" t="s">
        <v>325</v>
      </c>
      <c r="C27" s="206"/>
      <c r="D27" s="206"/>
      <c r="E27" s="206"/>
      <c r="F27" s="206"/>
      <c r="G27" s="206"/>
      <c r="H27" s="206"/>
      <c r="I27" s="206"/>
      <c r="J27" s="206"/>
      <c r="K27" s="206"/>
      <c r="L27" s="206"/>
      <c r="M27" s="206"/>
      <c r="N27" s="226"/>
      <c r="O27" s="109"/>
      <c r="P27" s="109"/>
      <c r="Q27" s="109"/>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205" t="s">
        <v>326</v>
      </c>
      <c r="C29" s="206"/>
      <c r="D29" s="206"/>
      <c r="E29" s="206"/>
      <c r="F29" s="206"/>
      <c r="G29" s="206"/>
      <c r="H29" s="206"/>
      <c r="I29" s="206"/>
      <c r="J29" s="206"/>
      <c r="K29" s="206"/>
      <c r="L29" s="206"/>
      <c r="M29" s="206"/>
      <c r="N29" s="206"/>
      <c r="O29" s="206"/>
      <c r="P29" s="206"/>
      <c r="Q29" s="206"/>
      <c r="R29" s="207"/>
    </row>
    <row r="30" spans="1:18" ht="13.9" customHeight="1">
      <c r="A30" s="69" t="s">
        <v>272</v>
      </c>
      <c r="B30" s="144" t="s">
        <v>299</v>
      </c>
      <c r="C30" s="145"/>
      <c r="D30" s="145"/>
      <c r="E30" s="145"/>
      <c r="F30" s="145"/>
      <c r="G30" s="145"/>
      <c r="H30" s="145"/>
      <c r="I30" s="145"/>
      <c r="J30" s="145"/>
      <c r="K30" s="145"/>
      <c r="L30" s="145"/>
      <c r="M30" s="145"/>
      <c r="N30" s="145"/>
      <c r="O30" s="145"/>
      <c r="P30" s="145"/>
      <c r="Q30" s="145"/>
      <c r="R30" s="147"/>
    </row>
    <row r="31" spans="1:18" s="1" customFormat="1" ht="15" customHeight="1">
      <c r="A31" s="69" t="s">
        <v>234</v>
      </c>
      <c r="B31" s="144" t="s">
        <v>314</v>
      </c>
      <c r="C31" s="145"/>
      <c r="D31" s="145"/>
      <c r="E31" s="145"/>
      <c r="F31" s="145"/>
      <c r="G31" s="145"/>
      <c r="H31" s="145"/>
      <c r="I31" s="145"/>
      <c r="J31" s="145"/>
      <c r="K31" s="145"/>
      <c r="L31" s="145"/>
      <c r="M31" s="145"/>
      <c r="N31" s="145"/>
      <c r="O31" s="145"/>
      <c r="P31" s="145"/>
      <c r="Q31" s="145"/>
      <c r="R31" s="147"/>
    </row>
    <row r="32" spans="1:18" ht="30">
      <c r="A32" s="69" t="s">
        <v>315</v>
      </c>
      <c r="B32" s="144"/>
      <c r="C32" s="145"/>
      <c r="D32" s="145"/>
      <c r="E32" s="145"/>
      <c r="F32" s="146"/>
      <c r="G32" s="144" t="s">
        <v>316</v>
      </c>
      <c r="H32" s="145"/>
      <c r="I32" s="145"/>
      <c r="J32" s="145"/>
      <c r="K32" s="145"/>
      <c r="L32" s="145"/>
      <c r="M32" s="145"/>
      <c r="N32" s="145"/>
      <c r="O32" s="145"/>
      <c r="P32" s="145"/>
      <c r="Q32" s="145"/>
      <c r="R32" s="147"/>
    </row>
    <row r="33" spans="1:18" ht="44.45" customHeight="1">
      <c r="A33" s="69" t="s">
        <v>317</v>
      </c>
      <c r="B33" s="144"/>
      <c r="C33" s="145"/>
      <c r="D33" s="145"/>
      <c r="E33" s="145"/>
      <c r="F33" s="146"/>
      <c r="G33" s="144" t="s">
        <v>340</v>
      </c>
      <c r="H33" s="145"/>
      <c r="I33" s="145"/>
      <c r="J33" s="145"/>
      <c r="K33" s="145"/>
      <c r="L33" s="145"/>
      <c r="M33" s="145"/>
      <c r="N33" s="145"/>
      <c r="O33" s="145"/>
      <c r="P33" s="145"/>
      <c r="Q33" s="145"/>
      <c r="R33" s="147"/>
    </row>
    <row r="34" spans="1:18" ht="15" customHeight="1">
      <c r="A34" s="117" t="s">
        <v>260</v>
      </c>
      <c r="B34" s="109"/>
      <c r="C34" s="109"/>
      <c r="D34" s="109"/>
      <c r="E34" s="109"/>
      <c r="F34" s="109"/>
      <c r="G34" s="109"/>
      <c r="H34" s="109"/>
      <c r="I34" s="109"/>
      <c r="J34" s="109"/>
      <c r="K34" s="109"/>
      <c r="L34" s="109"/>
      <c r="M34" s="109"/>
      <c r="N34" s="109"/>
      <c r="O34" s="109"/>
      <c r="P34" s="109"/>
      <c r="Q34" s="109"/>
      <c r="R34" s="110"/>
    </row>
    <row r="35" spans="1:18">
      <c r="A35" s="69" t="s">
        <v>237</v>
      </c>
      <c r="B35" s="109" t="s">
        <v>326</v>
      </c>
      <c r="C35" s="109"/>
      <c r="D35" s="109"/>
      <c r="E35" s="109"/>
      <c r="F35" s="109"/>
      <c r="G35" s="109"/>
      <c r="H35" s="109"/>
      <c r="I35" s="109"/>
      <c r="J35" s="109"/>
      <c r="K35" s="109"/>
      <c r="L35" s="109"/>
      <c r="M35" s="109"/>
      <c r="N35" s="109"/>
      <c r="O35" s="109"/>
      <c r="P35" s="109"/>
      <c r="Q35" s="109"/>
      <c r="R35" s="110"/>
    </row>
    <row r="36" spans="1:18">
      <c r="A36" s="69" t="s">
        <v>261</v>
      </c>
      <c r="B36" s="144" t="s">
        <v>262</v>
      </c>
      <c r="C36" s="145"/>
      <c r="D36" s="145"/>
      <c r="E36" s="145"/>
      <c r="F36" s="145"/>
      <c r="G36" s="145"/>
      <c r="H36" s="145"/>
      <c r="I36" s="145"/>
      <c r="J36" s="145"/>
      <c r="K36" s="145"/>
      <c r="L36" s="146"/>
      <c r="M36" s="151" t="s">
        <v>327</v>
      </c>
      <c r="N36" s="152"/>
      <c r="O36" s="152"/>
      <c r="P36" s="152"/>
      <c r="Q36" s="152"/>
      <c r="R36" s="161"/>
    </row>
    <row r="37" spans="1:18">
      <c r="A37" s="117" t="s">
        <v>264</v>
      </c>
      <c r="B37" s="109"/>
      <c r="C37" s="109"/>
      <c r="D37" s="109"/>
      <c r="E37" s="109"/>
      <c r="F37" s="109"/>
      <c r="G37" s="109"/>
      <c r="H37" s="109"/>
      <c r="I37" s="109"/>
      <c r="J37" s="109"/>
      <c r="K37" s="109"/>
      <c r="L37" s="109"/>
      <c r="M37" s="109"/>
      <c r="N37" s="109"/>
      <c r="O37" s="109"/>
      <c r="P37" s="109"/>
      <c r="Q37" s="109"/>
      <c r="R37" s="110"/>
    </row>
    <row r="38" spans="1:18" ht="14.45" customHeight="1">
      <c r="A38" s="69" t="s">
        <v>265</v>
      </c>
      <c r="B38" s="144" t="s">
        <v>328</v>
      </c>
      <c r="C38" s="145"/>
      <c r="D38" s="145"/>
      <c r="E38" s="145"/>
      <c r="F38" s="145"/>
      <c r="G38" s="145"/>
      <c r="H38" s="145"/>
      <c r="I38" s="145"/>
      <c r="J38" s="145"/>
      <c r="K38" s="145"/>
      <c r="L38" s="145"/>
      <c r="M38" s="145"/>
      <c r="N38" s="145"/>
      <c r="O38" s="145"/>
      <c r="P38" s="145"/>
      <c r="Q38" s="145"/>
      <c r="R38" s="147"/>
    </row>
    <row r="39" spans="1:18" s="1" customFormat="1" ht="14.45" customHeight="1">
      <c r="A39" s="69" t="s">
        <v>267</v>
      </c>
      <c r="B39" s="144" t="s">
        <v>329</v>
      </c>
      <c r="C39" s="145"/>
      <c r="D39" s="145"/>
      <c r="E39" s="145"/>
      <c r="F39" s="145"/>
      <c r="G39" s="145"/>
      <c r="H39" s="145"/>
      <c r="I39" s="145"/>
      <c r="J39" s="145"/>
      <c r="K39" s="145"/>
      <c r="L39" s="145"/>
      <c r="M39" s="145"/>
      <c r="N39" s="145"/>
      <c r="O39" s="145"/>
      <c r="P39" s="145"/>
      <c r="Q39" s="145"/>
      <c r="R39" s="147"/>
    </row>
    <row r="40" spans="1:18" s="1" customFormat="1" ht="14.45" customHeight="1">
      <c r="A40" s="69" t="s">
        <v>269</v>
      </c>
      <c r="B40" s="144" t="s">
        <v>337</v>
      </c>
      <c r="C40" s="145"/>
      <c r="D40" s="145"/>
      <c r="E40" s="145"/>
      <c r="F40" s="145"/>
      <c r="G40" s="145"/>
      <c r="H40" s="145"/>
      <c r="I40" s="145"/>
      <c r="J40" s="145"/>
      <c r="K40" s="145"/>
      <c r="L40" s="145"/>
      <c r="M40" s="145"/>
      <c r="N40" s="145"/>
      <c r="O40" s="145"/>
      <c r="P40" s="145"/>
      <c r="Q40" s="145"/>
      <c r="R40" s="147"/>
    </row>
    <row r="41" spans="1:18" ht="13.9" customHeight="1">
      <c r="A41" s="141" t="s">
        <v>271</v>
      </c>
      <c r="B41" s="142"/>
      <c r="C41" s="142"/>
      <c r="D41" s="142"/>
      <c r="E41" s="142"/>
      <c r="F41" s="142"/>
      <c r="G41" s="142"/>
      <c r="H41" s="142"/>
      <c r="I41" s="142"/>
      <c r="J41" s="142"/>
      <c r="K41" s="142"/>
      <c r="L41" s="142"/>
      <c r="M41" s="142"/>
      <c r="N41" s="142"/>
      <c r="O41" s="142"/>
      <c r="P41" s="142"/>
      <c r="Q41" s="142"/>
      <c r="R41" s="143"/>
    </row>
    <row r="42" spans="1:18" ht="13.9"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3.9"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28.15"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c r="A49" s="148" t="s">
        <v>278</v>
      </c>
      <c r="B49" s="149"/>
      <c r="C49" s="149"/>
      <c r="D49" s="149"/>
      <c r="E49" s="149"/>
      <c r="F49" s="149"/>
      <c r="G49" s="149"/>
      <c r="H49" s="149"/>
      <c r="I49" s="149"/>
      <c r="J49" s="149"/>
      <c r="K49" s="149"/>
      <c r="L49" s="149"/>
      <c r="M49" s="149"/>
      <c r="N49" s="149"/>
      <c r="O49" s="149"/>
      <c r="P49" s="149"/>
      <c r="Q49" s="149"/>
      <c r="R49" s="150"/>
    </row>
    <row r="50" spans="1:18" ht="28.9"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c r="A54" s="114" t="s">
        <v>283</v>
      </c>
      <c r="B54" s="115"/>
      <c r="C54" s="115"/>
      <c r="D54" s="115"/>
      <c r="E54" s="115"/>
      <c r="F54" s="115"/>
      <c r="G54" s="115"/>
      <c r="H54" s="115"/>
      <c r="I54" s="115"/>
      <c r="J54" s="115"/>
      <c r="K54" s="115"/>
      <c r="L54" s="115"/>
      <c r="M54" s="115"/>
      <c r="N54" s="115"/>
      <c r="O54" s="115"/>
      <c r="P54" s="115"/>
      <c r="Q54" s="115"/>
      <c r="R54" s="116"/>
    </row>
    <row r="55" spans="1:18">
      <c r="A55" s="114" t="s">
        <v>284</v>
      </c>
      <c r="B55" s="115"/>
      <c r="C55" s="115"/>
      <c r="D55" s="115"/>
      <c r="E55" s="115"/>
      <c r="F55" s="115"/>
      <c r="G55" s="115"/>
      <c r="H55" s="115"/>
      <c r="I55" s="115"/>
      <c r="J55" s="115"/>
      <c r="K55" s="115"/>
      <c r="L55" s="115"/>
      <c r="M55" s="115"/>
      <c r="N55" s="115"/>
      <c r="O55" s="115"/>
      <c r="P55" s="115"/>
      <c r="Q55" s="115"/>
      <c r="R55" s="116"/>
    </row>
    <row r="56" spans="1:18">
      <c r="A56" s="114" t="s">
        <v>285</v>
      </c>
      <c r="B56" s="115"/>
      <c r="C56" s="115"/>
      <c r="D56" s="115"/>
      <c r="E56" s="115"/>
      <c r="F56" s="115"/>
      <c r="G56" s="115"/>
      <c r="H56" s="115"/>
      <c r="I56" s="115"/>
      <c r="J56" s="115"/>
      <c r="K56" s="115"/>
      <c r="L56" s="115"/>
      <c r="M56" s="115"/>
      <c r="N56" s="115"/>
      <c r="O56" s="115"/>
      <c r="P56" s="115"/>
      <c r="Q56" s="115"/>
      <c r="R56" s="116"/>
    </row>
    <row r="57" spans="1:18">
      <c r="A57" s="114" t="s">
        <v>306</v>
      </c>
      <c r="B57" s="115"/>
      <c r="C57" s="115"/>
      <c r="D57" s="115"/>
      <c r="E57" s="115"/>
      <c r="F57" s="115"/>
      <c r="G57" s="115"/>
      <c r="H57" s="115"/>
      <c r="I57" s="115"/>
      <c r="J57" s="115"/>
      <c r="K57" s="115"/>
      <c r="L57" s="115"/>
      <c r="M57" s="115"/>
      <c r="N57" s="115"/>
      <c r="O57" s="115"/>
      <c r="P57" s="115"/>
      <c r="Q57" s="115"/>
      <c r="R57" s="116"/>
    </row>
    <row r="58" spans="1:18">
      <c r="A58" s="114" t="s">
        <v>307</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8">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A10:R10"/>
    <mergeCell ref="B11:R11"/>
    <mergeCell ref="B16:N16"/>
    <mergeCell ref="O16:R16"/>
    <mergeCell ref="B17:N17"/>
    <mergeCell ref="O17:R17"/>
    <mergeCell ref="B18:N18"/>
    <mergeCell ref="O18:R18"/>
    <mergeCell ref="A19:R19"/>
    <mergeCell ref="B21:N21"/>
    <mergeCell ref="O21:R21"/>
    <mergeCell ref="B39:R39"/>
    <mergeCell ref="B27:N27"/>
    <mergeCell ref="O27:R27"/>
    <mergeCell ref="B22:N22"/>
    <mergeCell ref="O22:R22"/>
    <mergeCell ref="B23:N23"/>
    <mergeCell ref="O23:R23"/>
    <mergeCell ref="B24:N24"/>
    <mergeCell ref="O24:R24"/>
    <mergeCell ref="B25:N25"/>
    <mergeCell ref="O25:R25"/>
    <mergeCell ref="B26:E26"/>
    <mergeCell ref="F26:N26"/>
    <mergeCell ref="O26:R26"/>
    <mergeCell ref="B35:R35"/>
    <mergeCell ref="B36:L36"/>
    <mergeCell ref="M36:R36"/>
    <mergeCell ref="A37:R37"/>
    <mergeCell ref="B38:R38"/>
    <mergeCell ref="A28:R28"/>
    <mergeCell ref="B29:R29"/>
    <mergeCell ref="B30:R30"/>
    <mergeCell ref="B31:R31"/>
    <mergeCell ref="A34:R34"/>
    <mergeCell ref="B32:F32"/>
    <mergeCell ref="G32:R32"/>
    <mergeCell ref="B33:F33"/>
    <mergeCell ref="G33:R33"/>
    <mergeCell ref="B45:R45"/>
    <mergeCell ref="B48:R48"/>
    <mergeCell ref="B47:F47"/>
    <mergeCell ref="G47:R47"/>
    <mergeCell ref="B40:R40"/>
    <mergeCell ref="A41:R41"/>
    <mergeCell ref="B42:R42"/>
    <mergeCell ref="B43:E43"/>
    <mergeCell ref="F43:R43"/>
    <mergeCell ref="B44:R44"/>
    <mergeCell ref="A58:R58"/>
    <mergeCell ref="A59:R59"/>
    <mergeCell ref="B20:N20"/>
    <mergeCell ref="O20:R20"/>
    <mergeCell ref="B9:C9"/>
    <mergeCell ref="A52:R52"/>
    <mergeCell ref="A53:R53"/>
    <mergeCell ref="A54:R54"/>
    <mergeCell ref="A55:R55"/>
    <mergeCell ref="A56:R56"/>
    <mergeCell ref="A57:R57"/>
    <mergeCell ref="B46:E46"/>
    <mergeCell ref="F46:R46"/>
    <mergeCell ref="A49:R49"/>
    <mergeCell ref="A50:R50"/>
    <mergeCell ref="A51:R51"/>
  </mergeCells>
  <printOptions horizontalCentered="1"/>
  <pageMargins left="0.7" right="0.7" top="0.75" bottom="0.75" header="0.3" footer="0.3"/>
  <pageSetup paperSize="9" scale="83" firstPageNumber="18" orientation="portrait" r:id="rId1"/>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9B79-5917-49C8-89DE-1BE5DB9AD37F}">
  <sheetPr codeName="Sheet19">
    <tabColor rgb="FF00B050"/>
    <pageSetUpPr fitToPage="1"/>
  </sheetPr>
  <dimension ref="A1:AH59"/>
  <sheetViews>
    <sheetView workbookViewId="0">
      <selection activeCell="Z17" sqref="Z17"/>
    </sheetView>
  </sheetViews>
  <sheetFormatPr defaultColWidth="9.140625" defaultRowHeight="15"/>
  <cols>
    <col min="1" max="1" width="10.7109375" style="1" customWidth="1"/>
    <col min="2" max="22" width="5.28515625" style="1" customWidth="1"/>
    <col min="23" max="16384" width="9.140625" style="1"/>
  </cols>
  <sheetData>
    <row r="1" spans="1:34"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34"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34"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34"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34"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c r="U5" s="12"/>
      <c r="V5" s="12"/>
      <c r="W5" s="1"/>
      <c r="X5" s="1"/>
      <c r="Y5" s="1"/>
      <c r="Z5" s="1"/>
      <c r="AA5" s="1"/>
      <c r="AB5" s="1"/>
      <c r="AC5" s="1"/>
      <c r="AD5" s="1"/>
      <c r="AE5" s="1"/>
      <c r="AF5" s="1"/>
      <c r="AG5" s="1"/>
      <c r="AH5" s="1"/>
    </row>
    <row r="6" spans="1:34"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34" s="5" customFormat="1" ht="14.45" customHeight="1">
      <c r="A7" s="167" t="s">
        <v>221</v>
      </c>
      <c r="B7" s="168"/>
      <c r="C7" s="168"/>
      <c r="D7" s="168"/>
      <c r="E7" s="168"/>
      <c r="F7" s="169"/>
      <c r="G7" s="169"/>
      <c r="H7" s="169"/>
      <c r="I7" s="169"/>
      <c r="J7" s="169"/>
      <c r="K7" s="169"/>
      <c r="L7" s="169"/>
      <c r="M7" s="169"/>
      <c r="N7" s="169"/>
      <c r="O7" s="169"/>
      <c r="P7" s="169"/>
      <c r="Q7" s="169"/>
      <c r="R7" s="170"/>
    </row>
    <row r="8" spans="1:34"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34"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34" s="3" customFormat="1">
      <c r="A10" s="162" t="s">
        <v>225</v>
      </c>
      <c r="B10" s="163"/>
      <c r="C10" s="163"/>
      <c r="D10" s="163"/>
      <c r="E10" s="163"/>
      <c r="F10" s="163"/>
      <c r="G10" s="163"/>
      <c r="H10" s="163"/>
      <c r="I10" s="163"/>
      <c r="J10" s="163"/>
      <c r="K10" s="163"/>
      <c r="L10" s="163"/>
      <c r="M10" s="163"/>
      <c r="N10" s="163"/>
      <c r="O10" s="163"/>
      <c r="P10" s="163"/>
      <c r="Q10" s="163"/>
      <c r="R10" s="164"/>
    </row>
    <row r="11" spans="1:34">
      <c r="A11" s="69" t="s">
        <v>226</v>
      </c>
      <c r="B11" s="109" t="s">
        <v>227</v>
      </c>
      <c r="C11" s="109"/>
      <c r="D11" s="109"/>
      <c r="E11" s="109"/>
      <c r="F11" s="109"/>
      <c r="G11" s="109"/>
      <c r="H11" s="109"/>
      <c r="I11" s="109"/>
      <c r="J11" s="109"/>
      <c r="K11" s="109"/>
      <c r="L11" s="109"/>
      <c r="M11" s="109"/>
      <c r="N11" s="109"/>
      <c r="O11" s="109"/>
      <c r="P11" s="109"/>
      <c r="Q11" s="109"/>
      <c r="R11" s="110"/>
    </row>
    <row r="12" spans="1:34" s="12" customFormat="1">
      <c r="A12" s="70" t="s">
        <v>331</v>
      </c>
      <c r="B12" s="17"/>
      <c r="C12" s="17"/>
      <c r="D12" s="17">
        <v>1</v>
      </c>
      <c r="E12" s="17">
        <v>1.5</v>
      </c>
      <c r="F12" s="17">
        <v>2</v>
      </c>
      <c r="G12" s="17">
        <v>3</v>
      </c>
      <c r="H12" s="17">
        <v>4</v>
      </c>
      <c r="I12" s="17">
        <v>6</v>
      </c>
      <c r="J12" s="17">
        <v>8</v>
      </c>
      <c r="K12" s="17">
        <v>10</v>
      </c>
      <c r="L12" s="17">
        <v>12</v>
      </c>
      <c r="M12" s="17">
        <v>14</v>
      </c>
      <c r="N12" s="17">
        <v>16</v>
      </c>
      <c r="O12" s="17">
        <v>18</v>
      </c>
      <c r="P12" s="17">
        <v>20</v>
      </c>
      <c r="Q12" s="17">
        <v>22</v>
      </c>
      <c r="R12" s="66">
        <v>24</v>
      </c>
      <c r="X12" s="3"/>
    </row>
    <row r="13" spans="1:34" s="12" customFormat="1">
      <c r="A13" s="70" t="s">
        <v>332</v>
      </c>
      <c r="B13" s="17"/>
      <c r="C13" s="17"/>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c r="X13" s="3"/>
    </row>
    <row r="14" spans="1:34" s="12" customFormat="1">
      <c r="A14" s="70" t="s">
        <v>230</v>
      </c>
      <c r="B14" s="17"/>
      <c r="C14" s="17"/>
      <c r="D14" s="17" t="s">
        <v>174</v>
      </c>
      <c r="E14" s="14" t="s">
        <v>174</v>
      </c>
      <c r="F14" s="17" t="s">
        <v>174</v>
      </c>
      <c r="G14" s="17" t="s">
        <v>174</v>
      </c>
      <c r="H14" s="17" t="s">
        <v>174</v>
      </c>
      <c r="I14" s="17" t="s">
        <v>174</v>
      </c>
      <c r="J14" s="17" t="s">
        <v>174</v>
      </c>
      <c r="K14" s="17" t="s">
        <v>174</v>
      </c>
      <c r="L14" s="17" t="s">
        <v>174</v>
      </c>
      <c r="M14" s="10" t="s">
        <v>174</v>
      </c>
      <c r="N14" s="10" t="s">
        <v>174</v>
      </c>
      <c r="O14" s="10" t="s">
        <v>174</v>
      </c>
      <c r="P14" s="17" t="s">
        <v>174</v>
      </c>
      <c r="Q14" s="17" t="s">
        <v>174</v>
      </c>
      <c r="R14" s="66" t="s">
        <v>174</v>
      </c>
      <c r="X14" s="3"/>
    </row>
    <row r="15" spans="1:34" s="12" customFormat="1">
      <c r="A15" s="70" t="s">
        <v>333</v>
      </c>
      <c r="B15" s="17"/>
      <c r="C15" s="17"/>
      <c r="D15" s="17">
        <v>12.12</v>
      </c>
      <c r="E15" s="17">
        <v>14.459999999999999</v>
      </c>
      <c r="F15" s="13">
        <v>16.350000000000001</v>
      </c>
      <c r="G15" s="13">
        <v>20.84</v>
      </c>
      <c r="H15" s="13">
        <v>24.82</v>
      </c>
      <c r="I15" s="13">
        <v>33.300000000000004</v>
      </c>
      <c r="J15" s="13">
        <v>41.27</v>
      </c>
      <c r="K15" s="13">
        <v>49.730000000000004</v>
      </c>
      <c r="L15" s="13">
        <v>57.7</v>
      </c>
      <c r="M15" s="23">
        <v>62.69</v>
      </c>
      <c r="N15" s="23">
        <v>70.67</v>
      </c>
      <c r="O15" s="23">
        <v>78.61</v>
      </c>
      <c r="P15" s="17">
        <v>86.61</v>
      </c>
      <c r="Q15" s="17">
        <v>94.59</v>
      </c>
      <c r="R15" s="66">
        <v>102.62</v>
      </c>
      <c r="X15" s="3"/>
    </row>
    <row r="16" spans="1:34">
      <c r="A16" s="69" t="s">
        <v>234</v>
      </c>
      <c r="B16" s="144" t="s">
        <v>235</v>
      </c>
      <c r="C16" s="145"/>
      <c r="D16" s="145"/>
      <c r="E16" s="145"/>
      <c r="F16" s="145"/>
      <c r="G16" s="145"/>
      <c r="H16" s="145"/>
      <c r="I16" s="145"/>
      <c r="J16" s="145"/>
      <c r="K16" s="145"/>
      <c r="L16" s="145"/>
      <c r="M16" s="145"/>
      <c r="N16" s="145"/>
      <c r="O16" s="101" t="s">
        <v>287</v>
      </c>
      <c r="P16" s="101"/>
      <c r="Q16" s="101"/>
      <c r="R16" s="102"/>
      <c r="X16" s="3"/>
    </row>
    <row r="17" spans="1:24">
      <c r="A17" s="69" t="s">
        <v>237</v>
      </c>
      <c r="B17" s="144" t="s">
        <v>295</v>
      </c>
      <c r="C17" s="145"/>
      <c r="D17" s="145"/>
      <c r="E17" s="145"/>
      <c r="F17" s="145"/>
      <c r="G17" s="145"/>
      <c r="H17" s="145"/>
      <c r="I17" s="145"/>
      <c r="J17" s="145"/>
      <c r="K17" s="145"/>
      <c r="L17" s="145"/>
      <c r="M17" s="145"/>
      <c r="N17" s="145"/>
      <c r="O17" s="101" t="s">
        <v>288</v>
      </c>
      <c r="P17" s="109"/>
      <c r="Q17" s="109"/>
      <c r="R17" s="110"/>
      <c r="X17" s="3"/>
    </row>
    <row r="18" spans="1:24">
      <c r="A18" s="69" t="s">
        <v>240</v>
      </c>
      <c r="B18" s="144" t="s">
        <v>241</v>
      </c>
      <c r="C18" s="145"/>
      <c r="D18" s="145"/>
      <c r="E18" s="145"/>
      <c r="F18" s="145"/>
      <c r="G18" s="145"/>
      <c r="H18" s="145"/>
      <c r="I18" s="145"/>
      <c r="J18" s="145"/>
      <c r="K18" s="145"/>
      <c r="L18" s="145"/>
      <c r="M18" s="145"/>
      <c r="N18" s="145"/>
      <c r="O18" s="146"/>
      <c r="P18" s="109"/>
      <c r="Q18" s="109"/>
      <c r="R18" s="110"/>
      <c r="X18" s="3"/>
    </row>
    <row r="19" spans="1:24">
      <c r="A19" s="117" t="s">
        <v>242</v>
      </c>
      <c r="B19" s="118"/>
      <c r="C19" s="118"/>
      <c r="D19" s="118"/>
      <c r="E19" s="118"/>
      <c r="F19" s="118"/>
      <c r="G19" s="118"/>
      <c r="H19" s="118"/>
      <c r="I19" s="118"/>
      <c r="J19" s="118"/>
      <c r="K19" s="118"/>
      <c r="L19" s="118"/>
      <c r="M19" s="118"/>
      <c r="N19" s="118"/>
      <c r="O19" s="118"/>
      <c r="P19" s="118"/>
      <c r="Q19" s="118"/>
      <c r="R19" s="119"/>
      <c r="X19" s="3"/>
    </row>
    <row r="20" spans="1:24" ht="29.45" customHeight="1">
      <c r="A20" s="69" t="s">
        <v>234</v>
      </c>
      <c r="B20" s="144" t="s">
        <v>243</v>
      </c>
      <c r="C20" s="145"/>
      <c r="D20" s="145"/>
      <c r="E20" s="145"/>
      <c r="F20" s="145"/>
      <c r="G20" s="145"/>
      <c r="H20" s="145"/>
      <c r="I20" s="145"/>
      <c r="J20" s="145"/>
      <c r="K20" s="145"/>
      <c r="L20" s="145"/>
      <c r="M20" s="145"/>
      <c r="N20" s="145"/>
      <c r="O20" s="144" t="s">
        <v>244</v>
      </c>
      <c r="P20" s="145"/>
      <c r="Q20" s="145"/>
      <c r="R20" s="147"/>
      <c r="X20" s="3"/>
    </row>
    <row r="21" spans="1:24" ht="13.9" customHeight="1">
      <c r="A21" s="69" t="s">
        <v>237</v>
      </c>
      <c r="B21" s="144" t="s">
        <v>289</v>
      </c>
      <c r="C21" s="145"/>
      <c r="D21" s="145"/>
      <c r="E21" s="145"/>
      <c r="F21" s="145"/>
      <c r="G21" s="145"/>
      <c r="H21" s="145"/>
      <c r="I21" s="145"/>
      <c r="J21" s="145"/>
      <c r="K21" s="145"/>
      <c r="L21" s="145"/>
      <c r="M21" s="145"/>
      <c r="N21" s="145"/>
      <c r="O21" s="145"/>
      <c r="P21" s="145"/>
      <c r="Q21" s="145"/>
      <c r="R21" s="147"/>
      <c r="X21" s="3"/>
    </row>
    <row r="22" spans="1:24" ht="13.9" customHeight="1">
      <c r="A22" s="69" t="s">
        <v>246</v>
      </c>
      <c r="B22" s="144" t="s">
        <v>334</v>
      </c>
      <c r="C22" s="145"/>
      <c r="D22" s="145"/>
      <c r="E22" s="145"/>
      <c r="F22" s="145"/>
      <c r="G22" s="145"/>
      <c r="H22" s="145"/>
      <c r="I22" s="145"/>
      <c r="J22" s="145"/>
      <c r="K22" s="145"/>
      <c r="L22" s="145"/>
      <c r="M22" s="145"/>
      <c r="N22" s="145"/>
      <c r="O22" s="145"/>
      <c r="P22" s="145"/>
      <c r="Q22" s="145"/>
      <c r="R22" s="147"/>
      <c r="X22" s="3"/>
    </row>
    <row r="23" spans="1:24" ht="13.9" customHeight="1">
      <c r="A23" s="69" t="s">
        <v>248</v>
      </c>
      <c r="B23" s="144" t="s">
        <v>334</v>
      </c>
      <c r="C23" s="145"/>
      <c r="D23" s="145"/>
      <c r="E23" s="145"/>
      <c r="F23" s="145"/>
      <c r="G23" s="145"/>
      <c r="H23" s="145"/>
      <c r="I23" s="145"/>
      <c r="J23" s="145"/>
      <c r="K23" s="145"/>
      <c r="L23" s="145"/>
      <c r="M23" s="145"/>
      <c r="N23" s="145"/>
      <c r="O23" s="145"/>
      <c r="P23" s="145"/>
      <c r="Q23" s="145"/>
      <c r="R23" s="147"/>
      <c r="X23" s="3"/>
    </row>
    <row r="24" spans="1:24" ht="13.9" customHeight="1">
      <c r="A24" s="69" t="s">
        <v>249</v>
      </c>
      <c r="B24" s="144" t="s">
        <v>334</v>
      </c>
      <c r="C24" s="145"/>
      <c r="D24" s="145"/>
      <c r="E24" s="145"/>
      <c r="F24" s="145"/>
      <c r="G24" s="145"/>
      <c r="H24" s="145"/>
      <c r="I24" s="145"/>
      <c r="J24" s="145"/>
      <c r="K24" s="145"/>
      <c r="L24" s="145"/>
      <c r="M24" s="145"/>
      <c r="N24" s="145"/>
      <c r="O24" s="145"/>
      <c r="P24" s="145"/>
      <c r="Q24" s="145"/>
      <c r="R24" s="147"/>
      <c r="X24" s="3"/>
    </row>
    <row r="25" spans="1:24" ht="13.9" customHeight="1">
      <c r="A25" s="69" t="s">
        <v>250</v>
      </c>
      <c r="B25" s="144" t="s">
        <v>334</v>
      </c>
      <c r="C25" s="145"/>
      <c r="D25" s="145"/>
      <c r="E25" s="145"/>
      <c r="F25" s="145"/>
      <c r="G25" s="145"/>
      <c r="H25" s="145"/>
      <c r="I25" s="145"/>
      <c r="J25" s="145"/>
      <c r="K25" s="145"/>
      <c r="L25" s="145"/>
      <c r="M25" s="145"/>
      <c r="N25" s="145"/>
      <c r="O25" s="145"/>
      <c r="P25" s="145"/>
      <c r="Q25" s="145"/>
      <c r="R25" s="147"/>
      <c r="X25" s="3"/>
    </row>
    <row r="26" spans="1:24" ht="13.9" customHeight="1">
      <c r="A26" s="69" t="s">
        <v>251</v>
      </c>
      <c r="B26" s="151" t="s">
        <v>290</v>
      </c>
      <c r="C26" s="152"/>
      <c r="D26" s="152"/>
      <c r="E26" s="127"/>
      <c r="F26" s="144"/>
      <c r="G26" s="145"/>
      <c r="H26" s="145"/>
      <c r="I26" s="145"/>
      <c r="J26" s="145"/>
      <c r="K26" s="145"/>
      <c r="L26" s="145"/>
      <c r="M26" s="145"/>
      <c r="N26" s="145"/>
      <c r="O26" s="145"/>
      <c r="P26" s="145"/>
      <c r="Q26" s="145"/>
      <c r="R26" s="147"/>
      <c r="X26" s="3"/>
    </row>
    <row r="27" spans="1:24" ht="14.45" customHeight="1">
      <c r="A27" s="69" t="s">
        <v>253</v>
      </c>
      <c r="B27" s="144" t="s">
        <v>325</v>
      </c>
      <c r="C27" s="145"/>
      <c r="D27" s="145"/>
      <c r="E27" s="145"/>
      <c r="F27" s="145"/>
      <c r="G27" s="145"/>
      <c r="H27" s="145"/>
      <c r="I27" s="145"/>
      <c r="J27" s="145"/>
      <c r="K27" s="145"/>
      <c r="L27" s="145"/>
      <c r="M27" s="145"/>
      <c r="N27" s="145"/>
      <c r="O27" s="145"/>
      <c r="P27" s="145"/>
      <c r="Q27" s="145"/>
      <c r="R27" s="147"/>
      <c r="X27" s="3"/>
    </row>
    <row r="28" spans="1:24" s="5" customFormat="1">
      <c r="A28" s="117" t="s">
        <v>255</v>
      </c>
      <c r="B28" s="109"/>
      <c r="C28" s="109"/>
      <c r="D28" s="109"/>
      <c r="E28" s="109"/>
      <c r="F28" s="109"/>
      <c r="G28" s="109"/>
      <c r="H28" s="109"/>
      <c r="I28" s="109"/>
      <c r="J28" s="109"/>
      <c r="K28" s="109"/>
      <c r="L28" s="109"/>
      <c r="M28" s="109"/>
      <c r="N28" s="109"/>
      <c r="O28" s="109"/>
      <c r="P28" s="109"/>
      <c r="Q28" s="109"/>
      <c r="R28" s="110"/>
      <c r="X28" s="3"/>
    </row>
    <row r="29" spans="1:24" s="5" customFormat="1" ht="13.9" customHeight="1">
      <c r="A29" s="69" t="s">
        <v>237</v>
      </c>
      <c r="B29" s="205" t="s">
        <v>326</v>
      </c>
      <c r="C29" s="206"/>
      <c r="D29" s="206"/>
      <c r="E29" s="206"/>
      <c r="F29" s="206"/>
      <c r="G29" s="206"/>
      <c r="H29" s="206"/>
      <c r="I29" s="206"/>
      <c r="J29" s="206"/>
      <c r="K29" s="206"/>
      <c r="L29" s="206"/>
      <c r="M29" s="206"/>
      <c r="N29" s="206"/>
      <c r="O29" s="206"/>
      <c r="P29" s="206"/>
      <c r="Q29" s="206"/>
      <c r="R29" s="207"/>
    </row>
    <row r="30" spans="1:24" s="5" customFormat="1" ht="13.9" customHeight="1">
      <c r="A30" s="69" t="s">
        <v>272</v>
      </c>
      <c r="B30" s="144" t="s">
        <v>339</v>
      </c>
      <c r="C30" s="145"/>
      <c r="D30" s="145"/>
      <c r="E30" s="145"/>
      <c r="F30" s="145"/>
      <c r="G30" s="145"/>
      <c r="H30" s="145"/>
      <c r="I30" s="145"/>
      <c r="J30" s="145"/>
      <c r="K30" s="145"/>
      <c r="L30" s="145"/>
      <c r="M30" s="145"/>
      <c r="N30" s="145"/>
      <c r="O30" s="145"/>
      <c r="P30" s="145"/>
      <c r="Q30" s="145"/>
      <c r="R30" s="147"/>
    </row>
    <row r="31" spans="1:24" ht="15" customHeight="1">
      <c r="A31" s="69" t="s">
        <v>234</v>
      </c>
      <c r="B31" s="144" t="s">
        <v>314</v>
      </c>
      <c r="C31" s="145"/>
      <c r="D31" s="145"/>
      <c r="E31" s="145"/>
      <c r="F31" s="145"/>
      <c r="G31" s="145"/>
      <c r="H31" s="145"/>
      <c r="I31" s="145"/>
      <c r="J31" s="145"/>
      <c r="K31" s="145"/>
      <c r="L31" s="145"/>
      <c r="M31" s="145"/>
      <c r="N31" s="145"/>
      <c r="O31" s="145"/>
      <c r="P31" s="145"/>
      <c r="Q31" s="145"/>
      <c r="R31" s="147"/>
    </row>
    <row r="32" spans="1:24" s="5" customFormat="1">
      <c r="A32" s="117" t="s">
        <v>260</v>
      </c>
      <c r="B32" s="109"/>
      <c r="C32" s="109"/>
      <c r="D32" s="109"/>
      <c r="E32" s="109"/>
      <c r="F32" s="109"/>
      <c r="G32" s="109"/>
      <c r="H32" s="109"/>
      <c r="I32" s="109"/>
      <c r="J32" s="109"/>
      <c r="K32" s="109"/>
      <c r="L32" s="109"/>
      <c r="M32" s="109"/>
      <c r="N32" s="109"/>
      <c r="O32" s="109"/>
      <c r="P32" s="109"/>
      <c r="Q32" s="109"/>
      <c r="R32" s="110"/>
    </row>
    <row r="33" spans="1:18" s="5" customFormat="1">
      <c r="A33" s="69" t="s">
        <v>237</v>
      </c>
      <c r="B33" s="109" t="s">
        <v>326</v>
      </c>
      <c r="C33" s="109"/>
      <c r="D33" s="109"/>
      <c r="E33" s="109"/>
      <c r="F33" s="109"/>
      <c r="G33" s="109"/>
      <c r="H33" s="109"/>
      <c r="I33" s="109"/>
      <c r="J33" s="109"/>
      <c r="K33" s="109"/>
      <c r="L33" s="109"/>
      <c r="M33" s="109"/>
      <c r="N33" s="109"/>
      <c r="O33" s="109"/>
      <c r="P33" s="109"/>
      <c r="Q33" s="109"/>
      <c r="R33" s="110"/>
    </row>
    <row r="34" spans="1:18" ht="30">
      <c r="A34" s="69" t="s">
        <v>315</v>
      </c>
      <c r="B34" s="144"/>
      <c r="C34" s="145"/>
      <c r="D34" s="145"/>
      <c r="E34" s="145"/>
      <c r="F34" s="146"/>
      <c r="G34" s="144" t="s">
        <v>316</v>
      </c>
      <c r="H34" s="145"/>
      <c r="I34" s="145"/>
      <c r="J34" s="145"/>
      <c r="K34" s="145"/>
      <c r="L34" s="145"/>
      <c r="M34" s="145"/>
      <c r="N34" s="145"/>
      <c r="O34" s="145"/>
      <c r="P34" s="145"/>
      <c r="Q34" s="145"/>
      <c r="R34" s="147"/>
    </row>
    <row r="35" spans="1:18" ht="44.45" customHeight="1">
      <c r="A35" s="69" t="s">
        <v>317</v>
      </c>
      <c r="B35" s="144"/>
      <c r="C35" s="145"/>
      <c r="D35" s="145"/>
      <c r="E35" s="145"/>
      <c r="F35" s="146"/>
      <c r="G35" s="144" t="s">
        <v>340</v>
      </c>
      <c r="H35" s="145"/>
      <c r="I35" s="145"/>
      <c r="J35" s="145"/>
      <c r="K35" s="145"/>
      <c r="L35" s="145"/>
      <c r="M35" s="145"/>
      <c r="N35" s="145"/>
      <c r="O35" s="145"/>
      <c r="P35" s="145"/>
      <c r="Q35" s="145"/>
      <c r="R35" s="147"/>
    </row>
    <row r="36" spans="1:18" s="5" customFormat="1" ht="15" customHeight="1">
      <c r="A36" s="69" t="s">
        <v>261</v>
      </c>
      <c r="B36" s="144" t="s">
        <v>262</v>
      </c>
      <c r="C36" s="145"/>
      <c r="D36" s="145"/>
      <c r="E36" s="145"/>
      <c r="F36" s="145"/>
      <c r="G36" s="145"/>
      <c r="H36" s="145"/>
      <c r="I36" s="145"/>
      <c r="J36" s="145"/>
      <c r="K36" s="145"/>
      <c r="L36" s="146"/>
      <c r="M36" s="151" t="s">
        <v>327</v>
      </c>
      <c r="N36" s="152"/>
      <c r="O36" s="152"/>
      <c r="P36" s="152"/>
      <c r="Q36" s="152"/>
      <c r="R36" s="161"/>
    </row>
    <row r="37" spans="1:18" s="5" customFormat="1">
      <c r="A37" s="117" t="s">
        <v>264</v>
      </c>
      <c r="B37" s="109"/>
      <c r="C37" s="109"/>
      <c r="D37" s="109"/>
      <c r="E37" s="109"/>
      <c r="F37" s="109"/>
      <c r="G37" s="109"/>
      <c r="H37" s="109"/>
      <c r="I37" s="109"/>
      <c r="J37" s="109"/>
      <c r="K37" s="109"/>
      <c r="L37" s="109"/>
      <c r="M37" s="109"/>
      <c r="N37" s="109"/>
      <c r="O37" s="109"/>
      <c r="P37" s="109"/>
      <c r="Q37" s="109"/>
      <c r="R37" s="110"/>
    </row>
    <row r="38" spans="1:18" s="5" customFormat="1">
      <c r="A38" s="69" t="s">
        <v>265</v>
      </c>
      <c r="B38" s="144" t="s">
        <v>328</v>
      </c>
      <c r="C38" s="145"/>
      <c r="D38" s="145"/>
      <c r="E38" s="145"/>
      <c r="F38" s="145"/>
      <c r="G38" s="145"/>
      <c r="H38" s="145"/>
      <c r="I38" s="145"/>
      <c r="J38" s="145"/>
      <c r="K38" s="145"/>
      <c r="L38" s="145"/>
      <c r="M38" s="145"/>
      <c r="N38" s="145"/>
      <c r="O38" s="145"/>
      <c r="P38" s="145"/>
      <c r="Q38" s="145"/>
      <c r="R38" s="147"/>
    </row>
    <row r="39" spans="1:18" s="5" customFormat="1">
      <c r="A39" s="69" t="s">
        <v>267</v>
      </c>
      <c r="B39" s="144" t="s">
        <v>329</v>
      </c>
      <c r="C39" s="145"/>
      <c r="D39" s="145"/>
      <c r="E39" s="145"/>
      <c r="F39" s="145"/>
      <c r="G39" s="145"/>
      <c r="H39" s="145"/>
      <c r="I39" s="145"/>
      <c r="J39" s="145"/>
      <c r="K39" s="145"/>
      <c r="L39" s="145"/>
      <c r="M39" s="145"/>
      <c r="N39" s="145"/>
      <c r="O39" s="145"/>
      <c r="P39" s="145"/>
      <c r="Q39" s="145"/>
      <c r="R39" s="147"/>
    </row>
    <row r="40" spans="1:18" s="5" customFormat="1" ht="14.45" customHeight="1">
      <c r="A40" s="69" t="s">
        <v>269</v>
      </c>
      <c r="B40" s="144" t="s">
        <v>337</v>
      </c>
      <c r="C40" s="145"/>
      <c r="D40" s="145"/>
      <c r="E40" s="145"/>
      <c r="F40" s="145"/>
      <c r="G40" s="145"/>
      <c r="H40" s="145"/>
      <c r="I40" s="145"/>
      <c r="J40" s="145"/>
      <c r="K40" s="145"/>
      <c r="L40" s="145"/>
      <c r="M40" s="145"/>
      <c r="N40" s="145"/>
      <c r="O40" s="145"/>
      <c r="P40" s="145"/>
      <c r="Q40" s="145"/>
      <c r="R40" s="147"/>
    </row>
    <row r="41" spans="1:18" ht="14.45" customHeight="1">
      <c r="A41" s="141" t="s">
        <v>271</v>
      </c>
      <c r="B41" s="142"/>
      <c r="C41" s="142"/>
      <c r="D41" s="142"/>
      <c r="E41" s="142"/>
      <c r="F41" s="142"/>
      <c r="G41" s="142"/>
      <c r="H41" s="142"/>
      <c r="I41" s="142"/>
      <c r="J41" s="142"/>
      <c r="K41" s="142"/>
      <c r="L41" s="142"/>
      <c r="M41" s="142"/>
      <c r="N41" s="142"/>
      <c r="O41" s="142"/>
      <c r="P41" s="142"/>
      <c r="Q41" s="142"/>
      <c r="R41" s="143"/>
    </row>
    <row r="42" spans="1:18"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s="5" customFormat="1" ht="13.9"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s="5" customFormat="1" ht="13.9"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s="5" customFormat="1"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s="5" customFormat="1"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s="5" customFormat="1"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s="5" customFormat="1" ht="13.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s="5" customFormat="1">
      <c r="A49" s="148" t="s">
        <v>278</v>
      </c>
      <c r="B49" s="149"/>
      <c r="C49" s="149"/>
      <c r="D49" s="149"/>
      <c r="E49" s="149"/>
      <c r="F49" s="149"/>
      <c r="G49" s="149"/>
      <c r="H49" s="149"/>
      <c r="I49" s="149"/>
      <c r="J49" s="149"/>
      <c r="K49" s="149"/>
      <c r="L49" s="149"/>
      <c r="M49" s="149"/>
      <c r="N49" s="149"/>
      <c r="O49" s="149"/>
      <c r="P49" s="149"/>
      <c r="Q49" s="149"/>
      <c r="R49" s="150"/>
    </row>
    <row r="50" spans="1:18" s="5" customFormat="1" ht="28.15" customHeight="1">
      <c r="A50" s="114" t="s">
        <v>279</v>
      </c>
      <c r="B50" s="115"/>
      <c r="C50" s="115"/>
      <c r="D50" s="115"/>
      <c r="E50" s="115"/>
      <c r="F50" s="115"/>
      <c r="G50" s="115"/>
      <c r="H50" s="115"/>
      <c r="I50" s="115"/>
      <c r="J50" s="115"/>
      <c r="K50" s="115"/>
      <c r="L50" s="115"/>
      <c r="M50" s="115"/>
      <c r="N50" s="115"/>
      <c r="O50" s="115"/>
      <c r="P50" s="115"/>
      <c r="Q50" s="115"/>
      <c r="R50" s="116"/>
    </row>
    <row r="51" spans="1:18" s="5" customFormat="1">
      <c r="A51" s="114" t="s">
        <v>280</v>
      </c>
      <c r="B51" s="115"/>
      <c r="C51" s="115"/>
      <c r="D51" s="115"/>
      <c r="E51" s="115"/>
      <c r="F51" s="115"/>
      <c r="G51" s="115"/>
      <c r="H51" s="115"/>
      <c r="I51" s="115"/>
      <c r="J51" s="115"/>
      <c r="K51" s="115"/>
      <c r="L51" s="115"/>
      <c r="M51" s="115"/>
      <c r="N51" s="115"/>
      <c r="O51" s="115"/>
      <c r="P51" s="115"/>
      <c r="Q51" s="115"/>
      <c r="R51" s="116"/>
    </row>
    <row r="52" spans="1:18" s="5" customFormat="1">
      <c r="A52" s="114" t="s">
        <v>281</v>
      </c>
      <c r="B52" s="115"/>
      <c r="C52" s="115"/>
      <c r="D52" s="115"/>
      <c r="E52" s="115"/>
      <c r="F52" s="115"/>
      <c r="G52" s="115"/>
      <c r="H52" s="115"/>
      <c r="I52" s="115"/>
      <c r="J52" s="115"/>
      <c r="K52" s="115"/>
      <c r="L52" s="115"/>
      <c r="M52" s="115"/>
      <c r="N52" s="115"/>
      <c r="O52" s="115"/>
      <c r="P52" s="115"/>
      <c r="Q52" s="115"/>
      <c r="R52" s="116"/>
    </row>
    <row r="53" spans="1:18" s="5" customFormat="1" ht="28.9" customHeight="1">
      <c r="A53" s="114" t="s">
        <v>324</v>
      </c>
      <c r="B53" s="115"/>
      <c r="C53" s="115"/>
      <c r="D53" s="115"/>
      <c r="E53" s="115"/>
      <c r="F53" s="115"/>
      <c r="G53" s="115"/>
      <c r="H53" s="115"/>
      <c r="I53" s="115"/>
      <c r="J53" s="115"/>
      <c r="K53" s="115"/>
      <c r="L53" s="115"/>
      <c r="M53" s="115"/>
      <c r="N53" s="115"/>
      <c r="O53" s="115"/>
      <c r="P53" s="115"/>
      <c r="Q53" s="115"/>
      <c r="R53" s="116"/>
    </row>
    <row r="54" spans="1:18" s="5" customFormat="1" ht="26.45" customHeight="1">
      <c r="A54" s="114" t="s">
        <v>283</v>
      </c>
      <c r="B54" s="115"/>
      <c r="C54" s="115"/>
      <c r="D54" s="115"/>
      <c r="E54" s="115"/>
      <c r="F54" s="115"/>
      <c r="G54" s="115"/>
      <c r="H54" s="115"/>
      <c r="I54" s="115"/>
      <c r="J54" s="115"/>
      <c r="K54" s="115"/>
      <c r="L54" s="115"/>
      <c r="M54" s="115"/>
      <c r="N54" s="115"/>
      <c r="O54" s="115"/>
      <c r="P54" s="115"/>
      <c r="Q54" s="115"/>
      <c r="R54" s="116"/>
    </row>
    <row r="55" spans="1:18" s="5" customFormat="1">
      <c r="A55" s="114" t="s">
        <v>284</v>
      </c>
      <c r="B55" s="115"/>
      <c r="C55" s="115"/>
      <c r="D55" s="115"/>
      <c r="E55" s="115"/>
      <c r="F55" s="115"/>
      <c r="G55" s="115"/>
      <c r="H55" s="115"/>
      <c r="I55" s="115"/>
      <c r="J55" s="115"/>
      <c r="K55" s="115"/>
      <c r="L55" s="115"/>
      <c r="M55" s="115"/>
      <c r="N55" s="115"/>
      <c r="O55" s="115"/>
      <c r="P55" s="115"/>
      <c r="Q55" s="115"/>
      <c r="R55" s="116"/>
    </row>
    <row r="56" spans="1:18" s="5" customFormat="1">
      <c r="A56" s="114" t="s">
        <v>285</v>
      </c>
      <c r="B56" s="115"/>
      <c r="C56" s="115"/>
      <c r="D56" s="115"/>
      <c r="E56" s="115"/>
      <c r="F56" s="115"/>
      <c r="G56" s="115"/>
      <c r="H56" s="115"/>
      <c r="I56" s="115"/>
      <c r="J56" s="115"/>
      <c r="K56" s="115"/>
      <c r="L56" s="115"/>
      <c r="M56" s="115"/>
      <c r="N56" s="115"/>
      <c r="O56" s="115"/>
      <c r="P56" s="115"/>
      <c r="Q56" s="115"/>
      <c r="R56" s="116"/>
    </row>
    <row r="57" spans="1:18" s="5" customFormat="1">
      <c r="A57" s="114" t="s">
        <v>306</v>
      </c>
      <c r="B57" s="115"/>
      <c r="C57" s="115"/>
      <c r="D57" s="115"/>
      <c r="E57" s="115"/>
      <c r="F57" s="115"/>
      <c r="G57" s="115"/>
      <c r="H57" s="115"/>
      <c r="I57" s="115"/>
      <c r="J57" s="115"/>
      <c r="K57" s="115"/>
      <c r="L57" s="115"/>
      <c r="M57" s="115"/>
      <c r="N57" s="115"/>
      <c r="O57" s="115"/>
      <c r="P57" s="115"/>
      <c r="Q57" s="115"/>
      <c r="R57" s="116"/>
    </row>
    <row r="58" spans="1:18" s="5" customFormat="1">
      <c r="A58" s="114" t="s">
        <v>307</v>
      </c>
      <c r="B58" s="115"/>
      <c r="C58" s="115"/>
      <c r="D58" s="115"/>
      <c r="E58" s="115"/>
      <c r="F58" s="115"/>
      <c r="G58" s="115"/>
      <c r="H58" s="115"/>
      <c r="I58" s="115"/>
      <c r="J58" s="115"/>
      <c r="K58" s="115"/>
      <c r="L58" s="115"/>
      <c r="M58" s="115"/>
      <c r="N58" s="115"/>
      <c r="O58" s="115"/>
      <c r="P58" s="115"/>
      <c r="Q58" s="115"/>
      <c r="R58" s="116"/>
    </row>
    <row r="59" spans="1:18" s="5" customFormat="1" ht="15.75" thickBot="1">
      <c r="A59" s="177"/>
      <c r="B59" s="178"/>
      <c r="C59" s="178"/>
      <c r="D59" s="178"/>
      <c r="E59" s="178"/>
      <c r="F59" s="178"/>
      <c r="G59" s="178"/>
      <c r="H59" s="178"/>
      <c r="I59" s="178"/>
      <c r="J59" s="178"/>
      <c r="K59" s="178"/>
      <c r="L59" s="178"/>
      <c r="M59" s="178"/>
      <c r="N59" s="178"/>
      <c r="O59" s="178"/>
      <c r="P59" s="178"/>
      <c r="Q59" s="178"/>
      <c r="R59" s="179"/>
    </row>
  </sheetData>
  <mergeCells count="91">
    <mergeCell ref="B48:R48"/>
    <mergeCell ref="B47:F47"/>
    <mergeCell ref="G47:R47"/>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B21:R21"/>
    <mergeCell ref="A10:R10"/>
    <mergeCell ref="B11:R11"/>
    <mergeCell ref="B16:N16"/>
    <mergeCell ref="O16:R16"/>
    <mergeCell ref="B17:N17"/>
    <mergeCell ref="O17:R17"/>
    <mergeCell ref="B18:N18"/>
    <mergeCell ref="O18:R18"/>
    <mergeCell ref="A19:R19"/>
    <mergeCell ref="B20:N20"/>
    <mergeCell ref="O20:R20"/>
    <mergeCell ref="A32:R32"/>
    <mergeCell ref="B22:R22"/>
    <mergeCell ref="B23:R23"/>
    <mergeCell ref="B24:R24"/>
    <mergeCell ref="B25:R25"/>
    <mergeCell ref="B26:E26"/>
    <mergeCell ref="F26:R26"/>
    <mergeCell ref="B27:R27"/>
    <mergeCell ref="A28:R28"/>
    <mergeCell ref="B29:R29"/>
    <mergeCell ref="B30:R30"/>
    <mergeCell ref="B31:R31"/>
    <mergeCell ref="B39:R39"/>
    <mergeCell ref="B40:R40"/>
    <mergeCell ref="A41:R41"/>
    <mergeCell ref="B42:R42"/>
    <mergeCell ref="B43:E43"/>
    <mergeCell ref="F43:R43"/>
    <mergeCell ref="B33:R33"/>
    <mergeCell ref="B36:L36"/>
    <mergeCell ref="M36:R36"/>
    <mergeCell ref="A37:R37"/>
    <mergeCell ref="B38:R38"/>
    <mergeCell ref="B34:F34"/>
    <mergeCell ref="G34:R34"/>
    <mergeCell ref="B35:F35"/>
    <mergeCell ref="G35:R35"/>
    <mergeCell ref="A57:R57"/>
    <mergeCell ref="A58:R58"/>
    <mergeCell ref="A59:R59"/>
    <mergeCell ref="B9:C9"/>
    <mergeCell ref="A51:R51"/>
    <mergeCell ref="A52:R52"/>
    <mergeCell ref="A53:R53"/>
    <mergeCell ref="A54:R54"/>
    <mergeCell ref="A55:R55"/>
    <mergeCell ref="A56:R56"/>
    <mergeCell ref="B45:R45"/>
    <mergeCell ref="B46:E46"/>
    <mergeCell ref="F46:R46"/>
    <mergeCell ref="A49:R49"/>
    <mergeCell ref="A50:R50"/>
    <mergeCell ref="B44:R44"/>
  </mergeCells>
  <printOptions horizontalCentered="1"/>
  <pageMargins left="0.7" right="0.7" top="0.75" bottom="0.75" header="0.3" footer="0.3"/>
  <pageSetup paperSize="9" scale="83" firstPageNumber="18" orientation="portrait" r:id="rId1"/>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tabColor rgb="FF92D050"/>
    <pageSetUpPr fitToPage="1"/>
  </sheetPr>
  <dimension ref="A1:R61"/>
  <sheetViews>
    <sheetView workbookViewId="0">
      <selection activeCell="Y21" sqref="Y21"/>
    </sheetView>
  </sheetViews>
  <sheetFormatPr defaultColWidth="9.140625" defaultRowHeight="15"/>
  <cols>
    <col min="1" max="1" width="10.7109375" style="5" customWidth="1"/>
    <col min="2" max="18" width="5.7109375" style="5" customWidth="1"/>
    <col min="19"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71"/>
      <c r="K8" s="172"/>
      <c r="L8" s="172"/>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74"/>
      <c r="K9" s="175"/>
      <c r="L9" s="175"/>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308</v>
      </c>
      <c r="C14" s="17">
        <v>160</v>
      </c>
      <c r="D14" s="17">
        <v>160</v>
      </c>
      <c r="E14" s="17">
        <v>160</v>
      </c>
      <c r="F14" s="17">
        <v>80</v>
      </c>
      <c r="G14" s="17">
        <v>80</v>
      </c>
      <c r="H14" s="17">
        <v>80</v>
      </c>
      <c r="I14" s="17">
        <v>80</v>
      </c>
      <c r="J14" s="17" t="s">
        <v>231</v>
      </c>
      <c r="K14" s="17" t="s">
        <v>231</v>
      </c>
      <c r="L14" s="17" t="s">
        <v>231</v>
      </c>
      <c r="M14" s="17" t="s">
        <v>231</v>
      </c>
      <c r="N14" s="17" t="s">
        <v>231</v>
      </c>
      <c r="O14" s="17" t="s">
        <v>231</v>
      </c>
      <c r="P14" s="17" t="s">
        <v>231</v>
      </c>
      <c r="Q14" s="17" t="s">
        <v>231</v>
      </c>
      <c r="R14" s="66" t="s">
        <v>231</v>
      </c>
    </row>
    <row r="15" spans="1:18" s="3" customFormat="1">
      <c r="A15" s="70" t="s">
        <v>233</v>
      </c>
      <c r="B15" s="17">
        <v>7.47</v>
      </c>
      <c r="C15" s="17">
        <v>5.56</v>
      </c>
      <c r="D15" s="17">
        <v>6.35</v>
      </c>
      <c r="E15" s="17">
        <v>7.14</v>
      </c>
      <c r="F15" s="17">
        <v>5.54</v>
      </c>
      <c r="G15" s="17">
        <v>7.62</v>
      </c>
      <c r="H15" s="17">
        <v>8.56</v>
      </c>
      <c r="I15" s="17">
        <v>10.97</v>
      </c>
      <c r="J15" s="17">
        <v>8.18</v>
      </c>
      <c r="K15" s="17">
        <v>9.27</v>
      </c>
      <c r="L15" s="17">
        <v>9.5299999999999994</v>
      </c>
      <c r="M15" s="17">
        <v>9.5299999999999994</v>
      </c>
      <c r="N15" s="17">
        <v>9.5299999999999994</v>
      </c>
      <c r="O15" s="17">
        <v>9.5299999999999994</v>
      </c>
      <c r="P15" s="17">
        <v>9.5299999999999994</v>
      </c>
      <c r="Q15" s="17">
        <v>9.5299999999999994</v>
      </c>
      <c r="R15" s="66">
        <v>9.5299999999999994</v>
      </c>
    </row>
    <row r="16" spans="1:18">
      <c r="A16" s="69" t="s">
        <v>234</v>
      </c>
      <c r="B16" s="144" t="s">
        <v>235</v>
      </c>
      <c r="C16" s="145"/>
      <c r="D16" s="145"/>
      <c r="E16" s="145"/>
      <c r="F16" s="145"/>
      <c r="G16" s="145"/>
      <c r="H16" s="145"/>
      <c r="I16" s="145"/>
      <c r="J16" s="145"/>
      <c r="K16" s="145"/>
      <c r="L16" s="145"/>
      <c r="M16" s="145"/>
      <c r="N16" s="146"/>
      <c r="O16" s="145" t="s">
        <v>236</v>
      </c>
      <c r="P16" s="145"/>
      <c r="Q16" s="145"/>
      <c r="R16" s="147"/>
    </row>
    <row r="17" spans="1:18" ht="15" customHeight="1">
      <c r="A17" s="69" t="s">
        <v>237</v>
      </c>
      <c r="B17" s="144" t="s">
        <v>238</v>
      </c>
      <c r="C17" s="145"/>
      <c r="D17" s="145"/>
      <c r="E17" s="145"/>
      <c r="F17" s="145"/>
      <c r="G17" s="145"/>
      <c r="H17" s="145"/>
      <c r="I17" s="145"/>
      <c r="J17" s="145"/>
      <c r="K17" s="145"/>
      <c r="L17" s="145"/>
      <c r="M17" s="145"/>
      <c r="N17" s="146"/>
      <c r="O17" s="145" t="s">
        <v>239</v>
      </c>
      <c r="P17" s="145"/>
      <c r="Q17" s="145"/>
      <c r="R17" s="147"/>
    </row>
    <row r="18" spans="1:18" ht="14.45" customHeight="1">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3.9" customHeight="1">
      <c r="A20" s="69" t="s">
        <v>234</v>
      </c>
      <c r="B20" s="144" t="s">
        <v>341</v>
      </c>
      <c r="C20" s="145"/>
      <c r="D20" s="145"/>
      <c r="E20" s="146"/>
      <c r="F20" s="144" t="s">
        <v>243</v>
      </c>
      <c r="G20" s="145"/>
      <c r="H20" s="145"/>
      <c r="I20" s="145"/>
      <c r="J20" s="145"/>
      <c r="K20" s="145"/>
      <c r="L20" s="145"/>
      <c r="M20" s="145"/>
      <c r="N20" s="145"/>
      <c r="O20" s="145"/>
      <c r="P20" s="145"/>
      <c r="Q20" s="145"/>
      <c r="R20" s="147"/>
    </row>
    <row r="21" spans="1:18" ht="15" customHeight="1">
      <c r="A21" s="69" t="s">
        <v>237</v>
      </c>
      <c r="B21" s="144" t="s">
        <v>342</v>
      </c>
      <c r="C21" s="145"/>
      <c r="D21" s="145"/>
      <c r="E21" s="146"/>
      <c r="F21" s="144" t="s">
        <v>343</v>
      </c>
      <c r="G21" s="145"/>
      <c r="H21" s="145"/>
      <c r="I21" s="145"/>
      <c r="J21" s="145"/>
      <c r="K21" s="145"/>
      <c r="L21" s="145"/>
      <c r="M21" s="145"/>
      <c r="N21" s="145"/>
      <c r="O21" s="145"/>
      <c r="P21" s="145"/>
      <c r="Q21" s="145"/>
      <c r="R21" s="147"/>
    </row>
    <row r="22" spans="1:18" ht="13.9" customHeight="1">
      <c r="A22" s="69" t="s">
        <v>246</v>
      </c>
      <c r="B22" s="144" t="s">
        <v>344</v>
      </c>
      <c r="C22" s="145"/>
      <c r="D22" s="145"/>
      <c r="E22" s="146"/>
      <c r="F22" s="144" t="s">
        <v>247</v>
      </c>
      <c r="G22" s="145" t="s">
        <v>247</v>
      </c>
      <c r="H22" s="145"/>
      <c r="I22" s="145"/>
      <c r="J22" s="145"/>
      <c r="K22" s="145"/>
      <c r="L22" s="145"/>
      <c r="M22" s="145"/>
      <c r="N22" s="145"/>
      <c r="O22" s="145"/>
      <c r="P22" s="145"/>
      <c r="Q22" s="145"/>
      <c r="R22" s="147"/>
    </row>
    <row r="23" spans="1:18" ht="13.9" customHeight="1">
      <c r="A23" s="69" t="s">
        <v>248</v>
      </c>
      <c r="B23" s="144" t="s">
        <v>344</v>
      </c>
      <c r="C23" s="145"/>
      <c r="D23" s="145"/>
      <c r="E23" s="146"/>
      <c r="F23" s="144" t="s">
        <v>247</v>
      </c>
      <c r="G23" s="145" t="s">
        <v>247</v>
      </c>
      <c r="H23" s="145"/>
      <c r="I23" s="145"/>
      <c r="J23" s="145"/>
      <c r="K23" s="145"/>
      <c r="L23" s="145"/>
      <c r="M23" s="145"/>
      <c r="N23" s="145"/>
      <c r="O23" s="145"/>
      <c r="P23" s="145"/>
      <c r="Q23" s="145"/>
      <c r="R23" s="147"/>
    </row>
    <row r="24" spans="1:18" ht="13.9" customHeight="1">
      <c r="A24" s="69" t="s">
        <v>249</v>
      </c>
      <c r="B24" s="144" t="s">
        <v>344</v>
      </c>
      <c r="C24" s="145"/>
      <c r="D24" s="145"/>
      <c r="E24" s="146"/>
      <c r="F24" s="144" t="s">
        <v>247</v>
      </c>
      <c r="G24" s="145" t="s">
        <v>247</v>
      </c>
      <c r="H24" s="145"/>
      <c r="I24" s="145"/>
      <c r="J24" s="145"/>
      <c r="K24" s="145"/>
      <c r="L24" s="145"/>
      <c r="M24" s="145"/>
      <c r="N24" s="145"/>
      <c r="O24" s="145"/>
      <c r="P24" s="145"/>
      <c r="Q24" s="145"/>
      <c r="R24" s="147"/>
    </row>
    <row r="25" spans="1:18" ht="13.9" customHeight="1">
      <c r="A25" s="69" t="s">
        <v>250</v>
      </c>
      <c r="B25" s="144" t="s">
        <v>344</v>
      </c>
      <c r="C25" s="145"/>
      <c r="D25" s="145"/>
      <c r="E25" s="146"/>
      <c r="F25" s="144" t="s">
        <v>247</v>
      </c>
      <c r="G25" s="145" t="s">
        <v>247</v>
      </c>
      <c r="H25" s="145"/>
      <c r="I25" s="145"/>
      <c r="J25" s="145"/>
      <c r="K25" s="145"/>
      <c r="L25" s="145"/>
      <c r="M25" s="145"/>
      <c r="N25" s="145"/>
      <c r="O25" s="145"/>
      <c r="P25" s="145"/>
      <c r="Q25" s="145"/>
      <c r="R25" s="147"/>
    </row>
    <row r="26" spans="1:18" ht="13.9" customHeight="1">
      <c r="A26" s="69" t="s">
        <v>345</v>
      </c>
      <c r="B26" s="144" t="s">
        <v>344</v>
      </c>
      <c r="C26" s="145"/>
      <c r="D26" s="145"/>
      <c r="E26" s="146"/>
      <c r="F26" s="144"/>
      <c r="G26" s="145"/>
      <c r="H26" s="145"/>
      <c r="I26" s="145"/>
      <c r="J26" s="145"/>
      <c r="K26" s="145"/>
      <c r="L26" s="145"/>
      <c r="M26" s="145"/>
      <c r="N26" s="145"/>
      <c r="O26" s="145"/>
      <c r="P26" s="145"/>
      <c r="Q26" s="145"/>
      <c r="R26" s="147"/>
    </row>
    <row r="27" spans="1:18" ht="13.9" customHeight="1">
      <c r="A27" s="69" t="s">
        <v>346</v>
      </c>
      <c r="B27" s="211" t="s">
        <v>290</v>
      </c>
      <c r="C27" s="159"/>
      <c r="D27" s="159"/>
      <c r="E27" s="159"/>
      <c r="F27" s="159"/>
      <c r="G27" s="159"/>
      <c r="H27" s="159"/>
      <c r="I27" s="159"/>
      <c r="J27" s="159"/>
      <c r="K27" s="159"/>
      <c r="L27" s="159"/>
      <c r="M27" s="159"/>
      <c r="N27" s="159"/>
      <c r="O27" s="159"/>
      <c r="P27" s="159"/>
      <c r="Q27" s="159"/>
      <c r="R27" s="160"/>
    </row>
    <row r="28" spans="1:18" ht="14.45" customHeight="1">
      <c r="A28" s="69" t="s">
        <v>347</v>
      </c>
      <c r="B28" s="144" t="s">
        <v>344</v>
      </c>
      <c r="C28" s="145"/>
      <c r="D28" s="145"/>
      <c r="E28" s="146"/>
      <c r="F28" s="144" t="s">
        <v>348</v>
      </c>
      <c r="G28" s="145" t="s">
        <v>348</v>
      </c>
      <c r="H28" s="145"/>
      <c r="I28" s="145"/>
      <c r="J28" s="145"/>
      <c r="K28" s="145"/>
      <c r="L28" s="145"/>
      <c r="M28" s="145"/>
      <c r="N28" s="145"/>
      <c r="O28" s="145"/>
      <c r="P28" s="145"/>
      <c r="Q28" s="145"/>
      <c r="R28" s="147"/>
    </row>
    <row r="29" spans="1:18" ht="13.9" customHeight="1">
      <c r="A29" s="70" t="s">
        <v>349</v>
      </c>
      <c r="B29" s="144" t="s">
        <v>350</v>
      </c>
      <c r="C29" s="145"/>
      <c r="D29" s="145"/>
      <c r="E29" s="146"/>
      <c r="F29" s="144" t="s">
        <v>351</v>
      </c>
      <c r="G29" s="145" t="s">
        <v>351</v>
      </c>
      <c r="H29" s="145"/>
      <c r="I29" s="145"/>
      <c r="J29" s="145"/>
      <c r="K29" s="145"/>
      <c r="L29" s="145"/>
      <c r="M29" s="145"/>
      <c r="N29" s="145"/>
      <c r="O29" s="145"/>
      <c r="P29" s="145"/>
      <c r="Q29" s="145"/>
      <c r="R29" s="147"/>
    </row>
    <row r="30" spans="1:18" ht="13.9" customHeight="1">
      <c r="A30" s="69" t="s">
        <v>352</v>
      </c>
      <c r="B30" s="227" t="s">
        <v>353</v>
      </c>
      <c r="C30" s="156"/>
      <c r="D30" s="156"/>
      <c r="E30" s="156"/>
      <c r="F30" s="156"/>
      <c r="G30" s="156"/>
      <c r="H30" s="156"/>
      <c r="I30" s="156"/>
      <c r="J30" s="156"/>
      <c r="K30" s="156"/>
      <c r="L30" s="156"/>
      <c r="M30" s="156"/>
      <c r="N30" s="156"/>
      <c r="O30" s="156"/>
      <c r="P30" s="156"/>
      <c r="Q30" s="156"/>
      <c r="R30" s="157"/>
    </row>
    <row r="31" spans="1:18">
      <c r="A31" s="117" t="s">
        <v>255</v>
      </c>
      <c r="B31" s="109"/>
      <c r="C31" s="109"/>
      <c r="D31" s="109"/>
      <c r="E31" s="109"/>
      <c r="F31" s="109"/>
      <c r="G31" s="109"/>
      <c r="H31" s="109"/>
      <c r="I31" s="109"/>
      <c r="J31" s="109"/>
      <c r="K31" s="109"/>
      <c r="L31" s="109"/>
      <c r="M31" s="109"/>
      <c r="N31" s="109"/>
      <c r="O31" s="109"/>
      <c r="P31" s="109"/>
      <c r="Q31" s="109"/>
      <c r="R31" s="110"/>
    </row>
    <row r="32" spans="1:18" ht="14.45" customHeight="1">
      <c r="A32" s="69" t="s">
        <v>234</v>
      </c>
      <c r="B32" s="144" t="s">
        <v>354</v>
      </c>
      <c r="C32" s="145"/>
      <c r="D32" s="145"/>
      <c r="E32" s="146"/>
      <c r="F32" s="144" t="s">
        <v>355</v>
      </c>
      <c r="G32" s="145"/>
      <c r="H32" s="145"/>
      <c r="I32" s="145"/>
      <c r="J32" s="145"/>
      <c r="K32" s="145"/>
      <c r="L32" s="145"/>
      <c r="M32" s="145"/>
      <c r="N32" s="145"/>
      <c r="O32" s="145"/>
      <c r="P32" s="145"/>
      <c r="Q32" s="145"/>
      <c r="R32" s="147"/>
    </row>
    <row r="33" spans="1:18" ht="15" customHeight="1">
      <c r="A33" s="69" t="s">
        <v>237</v>
      </c>
      <c r="B33" s="144" t="s">
        <v>356</v>
      </c>
      <c r="C33" s="145"/>
      <c r="D33" s="145"/>
      <c r="E33" s="145"/>
      <c r="F33" s="145"/>
      <c r="G33" s="145"/>
      <c r="H33" s="145"/>
      <c r="I33" s="145"/>
      <c r="J33" s="145"/>
      <c r="K33" s="145"/>
      <c r="L33" s="145"/>
      <c r="M33" s="145"/>
      <c r="N33" s="145"/>
      <c r="O33" s="145"/>
      <c r="P33" s="145"/>
      <c r="Q33" s="145"/>
      <c r="R33" s="147"/>
    </row>
    <row r="34" spans="1:18" ht="13.9" customHeight="1">
      <c r="A34" s="69" t="s">
        <v>257</v>
      </c>
      <c r="B34" s="144" t="s">
        <v>258</v>
      </c>
      <c r="C34" s="145"/>
      <c r="D34" s="145"/>
      <c r="E34" s="145"/>
      <c r="F34" s="145"/>
      <c r="G34" s="145"/>
      <c r="H34" s="145"/>
      <c r="I34" s="145"/>
      <c r="J34" s="145"/>
      <c r="K34" s="145"/>
      <c r="L34" s="145"/>
      <c r="M34" s="145"/>
      <c r="N34" s="145"/>
      <c r="O34" s="145"/>
      <c r="P34" s="145"/>
      <c r="Q34" s="145"/>
      <c r="R34" s="147"/>
    </row>
    <row r="35" spans="1:18" ht="13.9" customHeight="1">
      <c r="A35" s="69" t="s">
        <v>231</v>
      </c>
      <c r="B35" s="144" t="s">
        <v>357</v>
      </c>
      <c r="C35" s="145"/>
      <c r="D35" s="145"/>
      <c r="E35" s="145"/>
      <c r="F35" s="145"/>
      <c r="G35" s="145"/>
      <c r="H35" s="145"/>
      <c r="I35" s="145"/>
      <c r="J35" s="145"/>
      <c r="K35" s="145"/>
      <c r="L35" s="145"/>
      <c r="M35" s="145"/>
      <c r="N35" s="145"/>
      <c r="O35" s="145"/>
      <c r="P35" s="145"/>
      <c r="Q35" s="145"/>
      <c r="R35" s="147"/>
    </row>
    <row r="36" spans="1:18">
      <c r="A36" s="117" t="s">
        <v>260</v>
      </c>
      <c r="B36" s="109"/>
      <c r="C36" s="109"/>
      <c r="D36" s="109"/>
      <c r="E36" s="109"/>
      <c r="F36" s="109"/>
      <c r="G36" s="109"/>
      <c r="H36" s="109"/>
      <c r="I36" s="109"/>
      <c r="J36" s="109"/>
      <c r="K36" s="109"/>
      <c r="L36" s="109"/>
      <c r="M36" s="109"/>
      <c r="N36" s="109"/>
      <c r="O36" s="109"/>
      <c r="P36" s="109"/>
      <c r="Q36" s="109"/>
      <c r="R36" s="110"/>
    </row>
    <row r="37" spans="1:18" ht="15" customHeight="1">
      <c r="A37" s="69" t="s">
        <v>237</v>
      </c>
      <c r="B37" s="144" t="s">
        <v>356</v>
      </c>
      <c r="C37" s="145"/>
      <c r="D37" s="145"/>
      <c r="E37" s="145"/>
      <c r="F37" s="145"/>
      <c r="G37" s="145"/>
      <c r="H37" s="145"/>
      <c r="I37" s="145"/>
      <c r="J37" s="145"/>
      <c r="K37" s="145"/>
      <c r="L37" s="145"/>
      <c r="M37" s="145"/>
      <c r="N37" s="145"/>
      <c r="O37" s="145"/>
      <c r="P37" s="145"/>
      <c r="Q37" s="145"/>
      <c r="R37" s="147"/>
    </row>
    <row r="38" spans="1:18" ht="15" customHeight="1">
      <c r="A38" s="69" t="s">
        <v>261</v>
      </c>
      <c r="B38" s="144" t="s">
        <v>262</v>
      </c>
      <c r="C38" s="145"/>
      <c r="D38" s="145"/>
      <c r="E38" s="145"/>
      <c r="F38" s="145"/>
      <c r="G38" s="145"/>
      <c r="H38" s="145"/>
      <c r="I38" s="145"/>
      <c r="J38" s="145"/>
      <c r="K38" s="145"/>
      <c r="L38" s="146"/>
      <c r="M38" s="151" t="s">
        <v>327</v>
      </c>
      <c r="N38" s="152"/>
      <c r="O38" s="152"/>
      <c r="P38" s="152"/>
      <c r="Q38" s="152"/>
      <c r="R38" s="161"/>
    </row>
    <row r="39" spans="1:18">
      <c r="A39" s="117" t="s">
        <v>264</v>
      </c>
      <c r="B39" s="109"/>
      <c r="C39" s="109"/>
      <c r="D39" s="109"/>
      <c r="E39" s="109"/>
      <c r="F39" s="109"/>
      <c r="G39" s="109"/>
      <c r="H39" s="109"/>
      <c r="I39" s="109"/>
      <c r="J39" s="109"/>
      <c r="K39" s="109"/>
      <c r="L39" s="109"/>
      <c r="M39" s="109"/>
      <c r="N39" s="109"/>
      <c r="O39" s="109"/>
      <c r="P39" s="109"/>
      <c r="Q39" s="109"/>
      <c r="R39" s="110"/>
    </row>
    <row r="40" spans="1:18" ht="13.9" customHeight="1">
      <c r="A40" s="69" t="s">
        <v>358</v>
      </c>
      <c r="B40" s="109" t="s">
        <v>266</v>
      </c>
      <c r="C40" s="109"/>
      <c r="D40" s="109"/>
      <c r="E40" s="109"/>
      <c r="F40" s="109"/>
      <c r="G40" s="109"/>
      <c r="H40" s="109"/>
      <c r="I40" s="109"/>
      <c r="J40" s="109"/>
      <c r="K40" s="109"/>
      <c r="L40" s="109"/>
      <c r="M40" s="109"/>
      <c r="N40" s="109"/>
      <c r="O40" s="109"/>
      <c r="P40" s="109"/>
      <c r="Q40" s="109"/>
      <c r="R40" s="110"/>
    </row>
    <row r="41" spans="1:18" ht="13.9" customHeight="1">
      <c r="A41" s="69" t="s">
        <v>267</v>
      </c>
      <c r="B41" s="109" t="s">
        <v>268</v>
      </c>
      <c r="C41" s="109"/>
      <c r="D41" s="109"/>
      <c r="E41" s="109"/>
      <c r="F41" s="109"/>
      <c r="G41" s="109"/>
      <c r="H41" s="109"/>
      <c r="I41" s="109"/>
      <c r="J41" s="109"/>
      <c r="K41" s="109"/>
      <c r="L41" s="109"/>
      <c r="M41" s="109"/>
      <c r="N41" s="109"/>
      <c r="O41" s="109"/>
      <c r="P41" s="109"/>
      <c r="Q41" s="109"/>
      <c r="R41" s="110"/>
    </row>
    <row r="42" spans="1:18">
      <c r="A42" s="69" t="s">
        <v>269</v>
      </c>
      <c r="B42" s="109" t="s">
        <v>359</v>
      </c>
      <c r="C42" s="109"/>
      <c r="D42" s="109"/>
      <c r="E42" s="109"/>
      <c r="F42" s="109"/>
      <c r="G42" s="109"/>
      <c r="H42" s="109"/>
      <c r="I42" s="109"/>
      <c r="J42" s="109"/>
      <c r="K42" s="109"/>
      <c r="L42" s="109"/>
      <c r="M42" s="109"/>
      <c r="N42" s="109"/>
      <c r="O42" s="109"/>
      <c r="P42" s="109"/>
      <c r="Q42" s="109"/>
      <c r="R42" s="110"/>
    </row>
    <row r="43" spans="1:18" s="1" customFormat="1" ht="14.45" customHeight="1">
      <c r="A43" s="141" t="s">
        <v>271</v>
      </c>
      <c r="B43" s="142"/>
      <c r="C43" s="142"/>
      <c r="D43" s="142"/>
      <c r="E43" s="142"/>
      <c r="F43" s="142"/>
      <c r="G43" s="142"/>
      <c r="H43" s="142"/>
      <c r="I43" s="142"/>
      <c r="J43" s="142"/>
      <c r="K43" s="142"/>
      <c r="L43" s="142"/>
      <c r="M43" s="142"/>
      <c r="N43" s="142"/>
      <c r="O43" s="142"/>
      <c r="P43" s="142"/>
      <c r="Q43" s="142"/>
      <c r="R43" s="143"/>
    </row>
    <row r="44" spans="1:18" s="1" customFormat="1">
      <c r="A44" s="69" t="s">
        <v>272</v>
      </c>
      <c r="B44" s="109" t="e">
        <f ca="1">VLOOKUP(F3,INDEX!B:J,2,0)&amp;", RF"</f>
        <v>#VALUE!</v>
      </c>
      <c r="C44" s="109"/>
      <c r="D44" s="109"/>
      <c r="E44" s="109"/>
      <c r="F44" s="109"/>
      <c r="G44" s="109"/>
      <c r="H44" s="109"/>
      <c r="I44" s="109"/>
      <c r="J44" s="109"/>
      <c r="K44" s="109"/>
      <c r="L44" s="109"/>
      <c r="M44" s="109"/>
      <c r="N44" s="109"/>
      <c r="O44" s="109"/>
      <c r="P44" s="109"/>
      <c r="Q44" s="109"/>
      <c r="R44" s="110"/>
    </row>
    <row r="45" spans="1:18" ht="13.9" customHeight="1">
      <c r="A45" s="69" t="s">
        <v>273</v>
      </c>
      <c r="B45" s="109" t="e">
        <f ca="1">"BSR"&amp;VLOOKUP(F3,INDEX!B:AH,33,0)&amp;"R"&amp;", BSF"&amp;VLOOKUP(F3,INDEX!B:AH,33,0)&amp;"R"</f>
        <v>#VALUE!</v>
      </c>
      <c r="C45" s="109"/>
      <c r="D45" s="109"/>
      <c r="E45" s="109"/>
      <c r="F45" s="109"/>
      <c r="G45" s="109"/>
      <c r="H45" s="109"/>
      <c r="I45" s="109"/>
      <c r="J45" s="109"/>
      <c r="K45" s="109"/>
      <c r="L45" s="109"/>
      <c r="M45" s="109"/>
      <c r="N45" s="109"/>
      <c r="O45" s="109"/>
      <c r="P45" s="109"/>
      <c r="Q45" s="109"/>
      <c r="R45" s="110"/>
    </row>
    <row r="46" spans="1:18" ht="13.9" customHeight="1">
      <c r="A46" s="69" t="s">
        <v>274</v>
      </c>
      <c r="B46" s="109" t="e">
        <f ca="1">"GAW"&amp;VLOOKUP(F3,INDEX!B:AH,33,0)&amp;"R"</f>
        <v>#VALUE!</v>
      </c>
      <c r="C46" s="109"/>
      <c r="D46" s="109"/>
      <c r="E46" s="109"/>
      <c r="F46" s="109"/>
      <c r="G46" s="109"/>
      <c r="H46" s="109"/>
      <c r="I46" s="109"/>
      <c r="J46" s="109"/>
      <c r="K46" s="109"/>
      <c r="L46" s="109"/>
      <c r="M46" s="109"/>
      <c r="N46" s="109"/>
      <c r="O46" s="109"/>
      <c r="P46" s="109"/>
      <c r="Q46" s="109"/>
      <c r="R46" s="110"/>
    </row>
    <row r="47" spans="1:18" ht="13.9" customHeight="1">
      <c r="A47" s="69" t="s">
        <v>275</v>
      </c>
      <c r="B47" s="109" t="e">
        <f ca="1">"GLS"&amp;VLOOKUP(F3,INDEX!B:AH,33,0)&amp;"R"</f>
        <v>#VALUE!</v>
      </c>
      <c r="C47" s="109"/>
      <c r="D47" s="109"/>
      <c r="E47" s="109"/>
      <c r="F47" s="109"/>
      <c r="G47" s="109"/>
      <c r="H47" s="109"/>
      <c r="I47" s="109"/>
      <c r="J47" s="109"/>
      <c r="K47" s="109"/>
      <c r="L47" s="109"/>
      <c r="M47" s="109"/>
      <c r="N47" s="109"/>
      <c r="O47" s="109"/>
      <c r="P47" s="109"/>
      <c r="Q47" s="109"/>
      <c r="R47" s="110"/>
    </row>
    <row r="48" spans="1:18" ht="13.9" customHeight="1">
      <c r="A48" s="69" t="s">
        <v>276</v>
      </c>
      <c r="B48" s="144" t="e">
        <f ca="1">"CHP"&amp;VLOOKUP(F3,INDEX!B:AH,33,0)&amp;"R"</f>
        <v>#VALUE!</v>
      </c>
      <c r="C48" s="145"/>
      <c r="D48" s="145"/>
      <c r="E48" s="146"/>
      <c r="F48" s="144" t="e">
        <f ca="1">"CSW"&amp;VLOOKUP(F3,INDEX!B:AH,33,0)&amp;"R"&amp;", CDP"&amp;VLOOKUP(F3,INDEX!B:AH,33,0)&amp;"R"</f>
        <v>#VALUE!</v>
      </c>
      <c r="G48" s="145"/>
      <c r="H48" s="145"/>
      <c r="I48" s="145"/>
      <c r="J48" s="145"/>
      <c r="K48" s="145"/>
      <c r="L48" s="145"/>
      <c r="M48" s="145"/>
      <c r="N48" s="145"/>
      <c r="O48" s="145"/>
      <c r="P48" s="145"/>
      <c r="Q48" s="145"/>
      <c r="R48" s="147"/>
    </row>
    <row r="49" spans="1:18" ht="13.9" customHeight="1">
      <c r="A49" s="69" t="s">
        <v>277</v>
      </c>
      <c r="B49" s="144"/>
      <c r="C49" s="145"/>
      <c r="D49" s="145"/>
      <c r="E49" s="145"/>
      <c r="F49" s="146"/>
      <c r="G49" s="145" t="e">
        <f ca="1">"BFD"&amp;VLOOKUP(F3,INDEX!B:AH,33,0)&amp;"WR"</f>
        <v>#VALUE!</v>
      </c>
      <c r="H49" s="145"/>
      <c r="I49" s="145"/>
      <c r="J49" s="145"/>
      <c r="K49" s="145"/>
      <c r="L49" s="145"/>
      <c r="M49" s="145"/>
      <c r="N49" s="145"/>
      <c r="O49" s="145"/>
      <c r="P49" s="145"/>
      <c r="Q49" s="145"/>
      <c r="R49" s="147"/>
    </row>
    <row r="50" spans="1:18" ht="13.9" customHeight="1">
      <c r="A50" s="148" t="s">
        <v>278</v>
      </c>
      <c r="B50" s="149"/>
      <c r="C50" s="149"/>
      <c r="D50" s="149"/>
      <c r="E50" s="149"/>
      <c r="F50" s="149"/>
      <c r="G50" s="149"/>
      <c r="H50" s="149"/>
      <c r="I50" s="149"/>
      <c r="J50" s="149"/>
      <c r="K50" s="149"/>
      <c r="L50" s="149"/>
      <c r="M50" s="149"/>
      <c r="N50" s="149"/>
      <c r="O50" s="149"/>
      <c r="P50" s="149"/>
      <c r="Q50" s="149"/>
      <c r="R50" s="150"/>
    </row>
    <row r="51" spans="1:18" ht="29.45" customHeight="1">
      <c r="A51" s="114" t="s">
        <v>279</v>
      </c>
      <c r="B51" s="115"/>
      <c r="C51" s="115"/>
      <c r="D51" s="115"/>
      <c r="E51" s="115"/>
      <c r="F51" s="115"/>
      <c r="G51" s="115"/>
      <c r="H51" s="115"/>
      <c r="I51" s="115"/>
      <c r="J51" s="115"/>
      <c r="K51" s="115"/>
      <c r="L51" s="115"/>
      <c r="M51" s="115"/>
      <c r="N51" s="115"/>
      <c r="O51" s="115"/>
      <c r="P51" s="115"/>
      <c r="Q51" s="115"/>
      <c r="R51" s="116"/>
    </row>
    <row r="52" spans="1:18" ht="13.9" customHeight="1">
      <c r="A52" s="114" t="s">
        <v>280</v>
      </c>
      <c r="B52" s="115"/>
      <c r="C52" s="115"/>
      <c r="D52" s="115"/>
      <c r="E52" s="115"/>
      <c r="F52" s="115"/>
      <c r="G52" s="115"/>
      <c r="H52" s="115"/>
      <c r="I52" s="115"/>
      <c r="J52" s="115"/>
      <c r="K52" s="115"/>
      <c r="L52" s="115"/>
      <c r="M52" s="115"/>
      <c r="N52" s="115"/>
      <c r="O52" s="115"/>
      <c r="P52" s="115"/>
      <c r="Q52" s="115"/>
      <c r="R52" s="116"/>
    </row>
    <row r="53" spans="1:18" ht="13.9" customHeight="1">
      <c r="A53" s="114" t="s">
        <v>281</v>
      </c>
      <c r="B53" s="115"/>
      <c r="C53" s="115"/>
      <c r="D53" s="115"/>
      <c r="E53" s="115"/>
      <c r="F53" s="115"/>
      <c r="G53" s="115"/>
      <c r="H53" s="115"/>
      <c r="I53" s="115"/>
      <c r="J53" s="115"/>
      <c r="K53" s="115"/>
      <c r="L53" s="115"/>
      <c r="M53" s="115"/>
      <c r="N53" s="115"/>
      <c r="O53" s="115"/>
      <c r="P53" s="115"/>
      <c r="Q53" s="115"/>
      <c r="R53" s="116"/>
    </row>
    <row r="54" spans="1:18" ht="29.45" customHeight="1">
      <c r="A54" s="114" t="s">
        <v>282</v>
      </c>
      <c r="B54" s="115"/>
      <c r="C54" s="115"/>
      <c r="D54" s="115"/>
      <c r="E54" s="115"/>
      <c r="F54" s="115"/>
      <c r="G54" s="115"/>
      <c r="H54" s="115"/>
      <c r="I54" s="115"/>
      <c r="J54" s="115"/>
      <c r="K54" s="115"/>
      <c r="L54" s="115"/>
      <c r="M54" s="115"/>
      <c r="N54" s="115"/>
      <c r="O54" s="115"/>
      <c r="P54" s="115"/>
      <c r="Q54" s="115"/>
      <c r="R54" s="116"/>
    </row>
    <row r="55" spans="1:18" s="1" customFormat="1" ht="30" customHeight="1">
      <c r="A55" s="114" t="s">
        <v>283</v>
      </c>
      <c r="B55" s="115"/>
      <c r="C55" s="115"/>
      <c r="D55" s="115"/>
      <c r="E55" s="115"/>
      <c r="F55" s="115"/>
      <c r="G55" s="115"/>
      <c r="H55" s="115"/>
      <c r="I55" s="115"/>
      <c r="J55" s="115"/>
      <c r="K55" s="115"/>
      <c r="L55" s="115"/>
      <c r="M55" s="115"/>
      <c r="N55" s="115"/>
      <c r="O55" s="115"/>
      <c r="P55" s="115"/>
      <c r="Q55" s="115"/>
      <c r="R55" s="116"/>
    </row>
    <row r="56" spans="1:18" s="1" customFormat="1" ht="14.45" customHeight="1">
      <c r="A56" s="114" t="s">
        <v>360</v>
      </c>
      <c r="B56" s="115"/>
      <c r="C56" s="115"/>
      <c r="D56" s="115"/>
      <c r="E56" s="115"/>
      <c r="F56" s="115"/>
      <c r="G56" s="115"/>
      <c r="H56" s="115"/>
      <c r="I56" s="115"/>
      <c r="J56" s="115"/>
      <c r="K56" s="115"/>
      <c r="L56" s="115"/>
      <c r="M56" s="115"/>
      <c r="N56" s="115"/>
      <c r="O56" s="115"/>
      <c r="P56" s="115"/>
      <c r="Q56" s="115"/>
      <c r="R56" s="116"/>
    </row>
    <row r="57" spans="1:18">
      <c r="A57" s="114" t="s">
        <v>361</v>
      </c>
      <c r="B57" s="115"/>
      <c r="C57" s="115"/>
      <c r="D57" s="115"/>
      <c r="E57" s="115"/>
      <c r="F57" s="115"/>
      <c r="G57" s="115"/>
      <c r="H57" s="115"/>
      <c r="I57" s="115"/>
      <c r="J57" s="115"/>
      <c r="K57" s="115"/>
      <c r="L57" s="115"/>
      <c r="M57" s="115"/>
      <c r="N57" s="115"/>
      <c r="O57" s="115"/>
      <c r="P57" s="115"/>
      <c r="Q57" s="115"/>
      <c r="R57" s="116"/>
    </row>
    <row r="58" spans="1:18">
      <c r="A58" s="114" t="s">
        <v>362</v>
      </c>
      <c r="B58" s="115"/>
      <c r="C58" s="115"/>
      <c r="D58" s="115"/>
      <c r="E58" s="115"/>
      <c r="F58" s="115"/>
      <c r="G58" s="115"/>
      <c r="H58" s="115"/>
      <c r="I58" s="115"/>
      <c r="J58" s="115"/>
      <c r="K58" s="115"/>
      <c r="L58" s="115"/>
      <c r="M58" s="115"/>
      <c r="N58" s="115"/>
      <c r="O58" s="115"/>
      <c r="P58" s="115"/>
      <c r="Q58" s="115"/>
      <c r="R58" s="116"/>
    </row>
    <row r="59" spans="1:18" ht="55.9" customHeight="1">
      <c r="A59" s="114" t="s">
        <v>363</v>
      </c>
      <c r="B59" s="115"/>
      <c r="C59" s="115"/>
      <c r="D59" s="115"/>
      <c r="E59" s="115"/>
      <c r="F59" s="115"/>
      <c r="G59" s="115"/>
      <c r="H59" s="115"/>
      <c r="I59" s="115"/>
      <c r="J59" s="115"/>
      <c r="K59" s="115"/>
      <c r="L59" s="115"/>
      <c r="M59" s="115"/>
      <c r="N59" s="115"/>
      <c r="O59" s="115"/>
      <c r="P59" s="115"/>
      <c r="Q59" s="115"/>
      <c r="R59" s="116"/>
    </row>
    <row r="60" spans="1:18">
      <c r="A60" s="114" t="s">
        <v>364</v>
      </c>
      <c r="B60" s="115"/>
      <c r="C60" s="115"/>
      <c r="D60" s="115"/>
      <c r="E60" s="115"/>
      <c r="F60" s="115"/>
      <c r="G60" s="115"/>
      <c r="H60" s="115"/>
      <c r="I60" s="115"/>
      <c r="J60" s="115"/>
      <c r="K60" s="115"/>
      <c r="L60" s="115"/>
      <c r="M60" s="115"/>
      <c r="N60" s="115"/>
      <c r="O60" s="115"/>
      <c r="P60" s="115"/>
      <c r="Q60" s="115"/>
      <c r="R60" s="116"/>
    </row>
    <row r="61" spans="1:18" ht="15.75" thickBot="1">
      <c r="A61" s="177" t="s">
        <v>365</v>
      </c>
      <c r="B61" s="178"/>
      <c r="C61" s="178"/>
      <c r="D61" s="178"/>
      <c r="E61" s="178"/>
      <c r="F61" s="178"/>
      <c r="G61" s="178"/>
      <c r="H61" s="178"/>
      <c r="I61" s="178"/>
      <c r="J61" s="178"/>
      <c r="K61" s="178"/>
      <c r="L61" s="178"/>
      <c r="M61" s="178"/>
      <c r="N61" s="178"/>
      <c r="O61" s="178"/>
      <c r="P61" s="178"/>
      <c r="Q61" s="178"/>
      <c r="R61" s="179"/>
    </row>
  </sheetData>
  <mergeCells count="95">
    <mergeCell ref="A61:R61"/>
    <mergeCell ref="A56:R56"/>
    <mergeCell ref="A52:R52"/>
    <mergeCell ref="A53:R53"/>
    <mergeCell ref="A54:R54"/>
    <mergeCell ref="A55:R55"/>
    <mergeCell ref="A58:R58"/>
    <mergeCell ref="A59:R59"/>
    <mergeCell ref="A60:R60"/>
    <mergeCell ref="A57:R57"/>
    <mergeCell ref="B48:E48"/>
    <mergeCell ref="F48:R48"/>
    <mergeCell ref="A50:R50"/>
    <mergeCell ref="A51:R51"/>
    <mergeCell ref="B49:F49"/>
    <mergeCell ref="G49:R49"/>
    <mergeCell ref="A43:R43"/>
    <mergeCell ref="B44:R44"/>
    <mergeCell ref="B45:R45"/>
    <mergeCell ref="B46:R46"/>
    <mergeCell ref="B47:R47"/>
    <mergeCell ref="B26:E26"/>
    <mergeCell ref="F20:R20"/>
    <mergeCell ref="F21:R21"/>
    <mergeCell ref="F22:R22"/>
    <mergeCell ref="B28:E28"/>
    <mergeCell ref="B23:E23"/>
    <mergeCell ref="B24:E24"/>
    <mergeCell ref="B25:E25"/>
    <mergeCell ref="B42:R42"/>
    <mergeCell ref="A39:R39"/>
    <mergeCell ref="A36:R36"/>
    <mergeCell ref="B37:R37"/>
    <mergeCell ref="F29:R29"/>
    <mergeCell ref="B30:R30"/>
    <mergeCell ref="A31:R31"/>
    <mergeCell ref="B29:E29"/>
    <mergeCell ref="B40:R40"/>
    <mergeCell ref="B41:R41"/>
    <mergeCell ref="B33:R33"/>
    <mergeCell ref="B35:R35"/>
    <mergeCell ref="B34:R34"/>
    <mergeCell ref="B38:L38"/>
    <mergeCell ref="B32:E32"/>
    <mergeCell ref="F32:R32"/>
    <mergeCell ref="A10:R10"/>
    <mergeCell ref="B18:R18"/>
    <mergeCell ref="B20:E20"/>
    <mergeCell ref="B21:E21"/>
    <mergeCell ref="B22:E22"/>
    <mergeCell ref="B16:N16"/>
    <mergeCell ref="B17:N17"/>
    <mergeCell ref="O16:R16"/>
    <mergeCell ref="O17:R17"/>
    <mergeCell ref="A19:R19"/>
    <mergeCell ref="A7:R7"/>
    <mergeCell ref="M38:R38"/>
    <mergeCell ref="F5:G5"/>
    <mergeCell ref="H5:R5"/>
    <mergeCell ref="F6:H6"/>
    <mergeCell ref="I6:R6"/>
    <mergeCell ref="B11:R11"/>
    <mergeCell ref="B27:R27"/>
    <mergeCell ref="B9:C9"/>
    <mergeCell ref="F28:R28"/>
    <mergeCell ref="F23:R23"/>
    <mergeCell ref="F24:R24"/>
    <mergeCell ref="F25:R25"/>
    <mergeCell ref="F26:R26"/>
    <mergeCell ref="A1:E6"/>
    <mergeCell ref="I4:R4"/>
    <mergeCell ref="O3:P3"/>
    <mergeCell ref="Q3:R3"/>
    <mergeCell ref="F4:H4"/>
    <mergeCell ref="F3:G3"/>
    <mergeCell ref="H3:I3"/>
    <mergeCell ref="J3:L3"/>
    <mergeCell ref="M3:N3"/>
    <mergeCell ref="F1:P1"/>
    <mergeCell ref="Q1:R1"/>
    <mergeCell ref="F2:I2"/>
    <mergeCell ref="J2:L2"/>
    <mergeCell ref="M2:N2"/>
    <mergeCell ref="O2:P2"/>
    <mergeCell ref="Q2:R2"/>
    <mergeCell ref="D9:E9"/>
    <mergeCell ref="F9:G9"/>
    <mergeCell ref="P9:R9"/>
    <mergeCell ref="H9:I9"/>
    <mergeCell ref="J8:O9"/>
    <mergeCell ref="B8:C8"/>
    <mergeCell ref="D8:E8"/>
    <mergeCell ref="F8:G8"/>
    <mergeCell ref="P8:R8"/>
    <mergeCell ref="H8:I8"/>
  </mergeCells>
  <phoneticPr fontId="8" type="noConversion"/>
  <printOptions horizontalCentered="1"/>
  <pageMargins left="0.7" right="0.7" top="0.75" bottom="0.75" header="0.3" footer="0.3"/>
  <pageSetup paperSize="9" scale="81" firstPageNumber="18" orientation="portrait" r:id="rId1"/>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BE3A-91C6-4447-8C46-B9B895756CA4}">
  <sheetPr codeName="Sheet20">
    <tabColor rgb="FF92D050"/>
    <pageSetUpPr fitToPage="1"/>
  </sheetPr>
  <dimension ref="A1:R61"/>
  <sheetViews>
    <sheetView workbookViewId="0">
      <selection activeCell="Y21" sqref="Y21"/>
    </sheetView>
  </sheetViews>
  <sheetFormatPr defaultColWidth="9.140625" defaultRowHeight="15"/>
  <cols>
    <col min="1" max="1" width="10.7109375" style="5" customWidth="1"/>
    <col min="2" max="18" width="5.7109375" style="5" customWidth="1"/>
    <col min="19"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71"/>
      <c r="K8" s="172"/>
      <c r="L8" s="172"/>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74"/>
      <c r="K9" s="175"/>
      <c r="L9" s="175"/>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308</v>
      </c>
      <c r="C14" s="17">
        <v>160</v>
      </c>
      <c r="D14" s="17">
        <v>160</v>
      </c>
      <c r="E14" s="17">
        <v>160</v>
      </c>
      <c r="F14" s="17">
        <v>80</v>
      </c>
      <c r="G14" s="17">
        <v>80</v>
      </c>
      <c r="H14" s="17">
        <v>80</v>
      </c>
      <c r="I14" s="17">
        <v>80</v>
      </c>
      <c r="J14" s="17" t="s">
        <v>231</v>
      </c>
      <c r="K14" s="17" t="s">
        <v>231</v>
      </c>
      <c r="L14" s="17" t="s">
        <v>231</v>
      </c>
      <c r="M14" s="17" t="s">
        <v>231</v>
      </c>
      <c r="N14" s="17" t="s">
        <v>231</v>
      </c>
      <c r="O14" s="17" t="s">
        <v>231</v>
      </c>
      <c r="P14" s="17" t="s">
        <v>231</v>
      </c>
      <c r="Q14" s="17" t="s">
        <v>231</v>
      </c>
      <c r="R14" s="66" t="s">
        <v>231</v>
      </c>
    </row>
    <row r="15" spans="1:18" s="3" customFormat="1">
      <c r="A15" s="70" t="s">
        <v>233</v>
      </c>
      <c r="B15" s="17">
        <v>7.47</v>
      </c>
      <c r="C15" s="17">
        <v>5.56</v>
      </c>
      <c r="D15" s="17">
        <v>6.35</v>
      </c>
      <c r="E15" s="17">
        <v>7.14</v>
      </c>
      <c r="F15" s="17">
        <v>5.54</v>
      </c>
      <c r="G15" s="17">
        <v>7.62</v>
      </c>
      <c r="H15" s="17">
        <v>8.56</v>
      </c>
      <c r="I15" s="17">
        <v>10.97</v>
      </c>
      <c r="J15" s="17">
        <v>8.18</v>
      </c>
      <c r="K15" s="17">
        <v>9.27</v>
      </c>
      <c r="L15" s="17">
        <v>9.5299999999999994</v>
      </c>
      <c r="M15" s="17">
        <v>9.5299999999999994</v>
      </c>
      <c r="N15" s="17">
        <v>9.5299999999999994</v>
      </c>
      <c r="O15" s="17">
        <v>9.5299999999999994</v>
      </c>
      <c r="P15" s="17">
        <v>9.5299999999999994</v>
      </c>
      <c r="Q15" s="17">
        <v>9.5299999999999994</v>
      </c>
      <c r="R15" s="66">
        <v>9.5299999999999994</v>
      </c>
    </row>
    <row r="16" spans="1:18">
      <c r="A16" s="69" t="s">
        <v>234</v>
      </c>
      <c r="B16" s="144" t="s">
        <v>235</v>
      </c>
      <c r="C16" s="145"/>
      <c r="D16" s="145"/>
      <c r="E16" s="145"/>
      <c r="F16" s="145"/>
      <c r="G16" s="145"/>
      <c r="H16" s="145"/>
      <c r="I16" s="145"/>
      <c r="J16" s="145"/>
      <c r="K16" s="145"/>
      <c r="L16" s="145"/>
      <c r="M16" s="145"/>
      <c r="N16" s="146"/>
      <c r="O16" s="145" t="s">
        <v>236</v>
      </c>
      <c r="P16" s="145"/>
      <c r="Q16" s="145"/>
      <c r="R16" s="147"/>
    </row>
    <row r="17" spans="1:18" ht="15" customHeight="1">
      <c r="A17" s="69" t="s">
        <v>237</v>
      </c>
      <c r="B17" s="144" t="s">
        <v>238</v>
      </c>
      <c r="C17" s="145"/>
      <c r="D17" s="145"/>
      <c r="E17" s="145"/>
      <c r="F17" s="145"/>
      <c r="G17" s="145"/>
      <c r="H17" s="145"/>
      <c r="I17" s="145"/>
      <c r="J17" s="145"/>
      <c r="K17" s="145"/>
      <c r="L17" s="145"/>
      <c r="M17" s="145"/>
      <c r="N17" s="146"/>
      <c r="O17" s="145" t="s">
        <v>239</v>
      </c>
      <c r="P17" s="145"/>
      <c r="Q17" s="145"/>
      <c r="R17" s="147"/>
    </row>
    <row r="18" spans="1:18" ht="14.45" customHeight="1">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3.9" customHeight="1">
      <c r="A20" s="69" t="s">
        <v>234</v>
      </c>
      <c r="B20" s="144" t="s">
        <v>341</v>
      </c>
      <c r="C20" s="145"/>
      <c r="D20" s="145"/>
      <c r="E20" s="146"/>
      <c r="F20" s="144" t="s">
        <v>243</v>
      </c>
      <c r="G20" s="145"/>
      <c r="H20" s="145"/>
      <c r="I20" s="145"/>
      <c r="J20" s="145"/>
      <c r="K20" s="145"/>
      <c r="L20" s="145"/>
      <c r="M20" s="145"/>
      <c r="N20" s="145"/>
      <c r="O20" s="145"/>
      <c r="P20" s="145"/>
      <c r="Q20" s="145"/>
      <c r="R20" s="147"/>
    </row>
    <row r="21" spans="1:18" ht="15" customHeight="1">
      <c r="A21" s="69" t="s">
        <v>237</v>
      </c>
      <c r="B21" s="144" t="s">
        <v>342</v>
      </c>
      <c r="C21" s="145"/>
      <c r="D21" s="145"/>
      <c r="E21" s="146"/>
      <c r="F21" s="144" t="s">
        <v>343</v>
      </c>
      <c r="G21" s="145"/>
      <c r="H21" s="145"/>
      <c r="I21" s="145"/>
      <c r="J21" s="145"/>
      <c r="K21" s="145"/>
      <c r="L21" s="145"/>
      <c r="M21" s="145"/>
      <c r="N21" s="145"/>
      <c r="O21" s="145"/>
      <c r="P21" s="145"/>
      <c r="Q21" s="145"/>
      <c r="R21" s="147"/>
    </row>
    <row r="22" spans="1:18" ht="13.9" customHeight="1">
      <c r="A22" s="69" t="s">
        <v>246</v>
      </c>
      <c r="B22" s="144" t="s">
        <v>344</v>
      </c>
      <c r="C22" s="145"/>
      <c r="D22" s="145"/>
      <c r="E22" s="146"/>
      <c r="F22" s="144" t="s">
        <v>247</v>
      </c>
      <c r="G22" s="145" t="s">
        <v>247</v>
      </c>
      <c r="H22" s="145"/>
      <c r="I22" s="145"/>
      <c r="J22" s="145"/>
      <c r="K22" s="145"/>
      <c r="L22" s="145"/>
      <c r="M22" s="145"/>
      <c r="N22" s="145"/>
      <c r="O22" s="145"/>
      <c r="P22" s="145"/>
      <c r="Q22" s="145"/>
      <c r="R22" s="147"/>
    </row>
    <row r="23" spans="1:18" ht="13.9" customHeight="1">
      <c r="A23" s="69" t="s">
        <v>248</v>
      </c>
      <c r="B23" s="144" t="s">
        <v>344</v>
      </c>
      <c r="C23" s="145"/>
      <c r="D23" s="145"/>
      <c r="E23" s="146"/>
      <c r="F23" s="144" t="s">
        <v>247</v>
      </c>
      <c r="G23" s="145" t="s">
        <v>247</v>
      </c>
      <c r="H23" s="145"/>
      <c r="I23" s="145"/>
      <c r="J23" s="145"/>
      <c r="K23" s="145"/>
      <c r="L23" s="145"/>
      <c r="M23" s="145"/>
      <c r="N23" s="145"/>
      <c r="O23" s="145"/>
      <c r="P23" s="145"/>
      <c r="Q23" s="145"/>
      <c r="R23" s="147"/>
    </row>
    <row r="24" spans="1:18" ht="13.9" customHeight="1">
      <c r="A24" s="69" t="s">
        <v>249</v>
      </c>
      <c r="B24" s="144" t="s">
        <v>344</v>
      </c>
      <c r="C24" s="145"/>
      <c r="D24" s="145"/>
      <c r="E24" s="146"/>
      <c r="F24" s="144" t="s">
        <v>247</v>
      </c>
      <c r="G24" s="145" t="s">
        <v>247</v>
      </c>
      <c r="H24" s="145"/>
      <c r="I24" s="145"/>
      <c r="J24" s="145"/>
      <c r="K24" s="145"/>
      <c r="L24" s="145"/>
      <c r="M24" s="145"/>
      <c r="N24" s="145"/>
      <c r="O24" s="145"/>
      <c r="P24" s="145"/>
      <c r="Q24" s="145"/>
      <c r="R24" s="147"/>
    </row>
    <row r="25" spans="1:18" ht="13.9" customHeight="1">
      <c r="A25" s="69" t="s">
        <v>250</v>
      </c>
      <c r="B25" s="144" t="s">
        <v>344</v>
      </c>
      <c r="C25" s="145"/>
      <c r="D25" s="145"/>
      <c r="E25" s="146"/>
      <c r="F25" s="144" t="s">
        <v>247</v>
      </c>
      <c r="G25" s="145" t="s">
        <v>247</v>
      </c>
      <c r="H25" s="145"/>
      <c r="I25" s="145"/>
      <c r="J25" s="145"/>
      <c r="K25" s="145"/>
      <c r="L25" s="145"/>
      <c r="M25" s="145"/>
      <c r="N25" s="145"/>
      <c r="O25" s="145"/>
      <c r="P25" s="145"/>
      <c r="Q25" s="145"/>
      <c r="R25" s="147"/>
    </row>
    <row r="26" spans="1:18" ht="13.9" customHeight="1">
      <c r="A26" s="69" t="s">
        <v>345</v>
      </c>
      <c r="B26" s="144" t="s">
        <v>344</v>
      </c>
      <c r="C26" s="145"/>
      <c r="D26" s="145"/>
      <c r="E26" s="146"/>
      <c r="F26" s="144"/>
      <c r="G26" s="145"/>
      <c r="H26" s="145"/>
      <c r="I26" s="145"/>
      <c r="J26" s="145"/>
      <c r="K26" s="145"/>
      <c r="L26" s="145"/>
      <c r="M26" s="145"/>
      <c r="N26" s="145"/>
      <c r="O26" s="145"/>
      <c r="P26" s="145"/>
      <c r="Q26" s="145"/>
      <c r="R26" s="147"/>
    </row>
    <row r="27" spans="1:18" ht="13.9" customHeight="1">
      <c r="A27" s="69" t="s">
        <v>346</v>
      </c>
      <c r="B27" s="211" t="s">
        <v>290</v>
      </c>
      <c r="C27" s="159"/>
      <c r="D27" s="159"/>
      <c r="E27" s="159"/>
      <c r="F27" s="159"/>
      <c r="G27" s="159"/>
      <c r="H27" s="159"/>
      <c r="I27" s="159"/>
      <c r="J27" s="159"/>
      <c r="K27" s="159"/>
      <c r="L27" s="159"/>
      <c r="M27" s="159"/>
      <c r="N27" s="159"/>
      <c r="O27" s="159"/>
      <c r="P27" s="159"/>
      <c r="Q27" s="159"/>
      <c r="R27" s="160"/>
    </row>
    <row r="28" spans="1:18" ht="14.45" customHeight="1">
      <c r="A28" s="69" t="s">
        <v>347</v>
      </c>
      <c r="B28" s="144" t="s">
        <v>344</v>
      </c>
      <c r="C28" s="145"/>
      <c r="D28" s="145"/>
      <c r="E28" s="146"/>
      <c r="F28" s="144" t="s">
        <v>348</v>
      </c>
      <c r="G28" s="145" t="s">
        <v>348</v>
      </c>
      <c r="H28" s="145"/>
      <c r="I28" s="145"/>
      <c r="J28" s="145"/>
      <c r="K28" s="145"/>
      <c r="L28" s="145"/>
      <c r="M28" s="145"/>
      <c r="N28" s="145"/>
      <c r="O28" s="145"/>
      <c r="P28" s="145"/>
      <c r="Q28" s="145"/>
      <c r="R28" s="147"/>
    </row>
    <row r="29" spans="1:18" ht="13.9" customHeight="1">
      <c r="A29" s="70" t="s">
        <v>349</v>
      </c>
      <c r="B29" s="144" t="s">
        <v>350</v>
      </c>
      <c r="C29" s="145"/>
      <c r="D29" s="145"/>
      <c r="E29" s="146"/>
      <c r="F29" s="144" t="s">
        <v>351</v>
      </c>
      <c r="G29" s="145" t="s">
        <v>351</v>
      </c>
      <c r="H29" s="145"/>
      <c r="I29" s="145"/>
      <c r="J29" s="145"/>
      <c r="K29" s="145"/>
      <c r="L29" s="145"/>
      <c r="M29" s="145"/>
      <c r="N29" s="145"/>
      <c r="O29" s="145"/>
      <c r="P29" s="145"/>
      <c r="Q29" s="145"/>
      <c r="R29" s="147"/>
    </row>
    <row r="30" spans="1:18" ht="13.9" customHeight="1">
      <c r="A30" s="69" t="s">
        <v>352</v>
      </c>
      <c r="B30" s="227" t="s">
        <v>353</v>
      </c>
      <c r="C30" s="156"/>
      <c r="D30" s="156"/>
      <c r="E30" s="156"/>
      <c r="F30" s="156"/>
      <c r="G30" s="156"/>
      <c r="H30" s="156"/>
      <c r="I30" s="156"/>
      <c r="J30" s="156"/>
      <c r="K30" s="156"/>
      <c r="L30" s="156"/>
      <c r="M30" s="156"/>
      <c r="N30" s="156"/>
      <c r="O30" s="156"/>
      <c r="P30" s="156"/>
      <c r="Q30" s="156"/>
      <c r="R30" s="157"/>
    </row>
    <row r="31" spans="1:18">
      <c r="A31" s="117" t="s">
        <v>255</v>
      </c>
      <c r="B31" s="109"/>
      <c r="C31" s="109"/>
      <c r="D31" s="109"/>
      <c r="E31" s="109"/>
      <c r="F31" s="109"/>
      <c r="G31" s="109"/>
      <c r="H31" s="109"/>
      <c r="I31" s="109"/>
      <c r="J31" s="109"/>
      <c r="K31" s="109"/>
      <c r="L31" s="109"/>
      <c r="M31" s="109"/>
      <c r="N31" s="109"/>
      <c r="O31" s="109"/>
      <c r="P31" s="109"/>
      <c r="Q31" s="109"/>
      <c r="R31" s="110"/>
    </row>
    <row r="32" spans="1:18" ht="14.45" customHeight="1">
      <c r="A32" s="69" t="s">
        <v>234</v>
      </c>
      <c r="B32" s="144" t="s">
        <v>354</v>
      </c>
      <c r="C32" s="145"/>
      <c r="D32" s="145"/>
      <c r="E32" s="146"/>
      <c r="F32" s="144" t="s">
        <v>355</v>
      </c>
      <c r="G32" s="145"/>
      <c r="H32" s="145"/>
      <c r="I32" s="145"/>
      <c r="J32" s="145"/>
      <c r="K32" s="145"/>
      <c r="L32" s="145"/>
      <c r="M32" s="145"/>
      <c r="N32" s="145"/>
      <c r="O32" s="145"/>
      <c r="P32" s="145"/>
      <c r="Q32" s="145"/>
      <c r="R32" s="147"/>
    </row>
    <row r="33" spans="1:18" ht="15" customHeight="1">
      <c r="A33" s="69" t="s">
        <v>237</v>
      </c>
      <c r="B33" s="144" t="s">
        <v>356</v>
      </c>
      <c r="C33" s="145"/>
      <c r="D33" s="145"/>
      <c r="E33" s="145"/>
      <c r="F33" s="145"/>
      <c r="G33" s="145"/>
      <c r="H33" s="145"/>
      <c r="I33" s="145"/>
      <c r="J33" s="145"/>
      <c r="K33" s="145"/>
      <c r="L33" s="145"/>
      <c r="M33" s="145"/>
      <c r="N33" s="145"/>
      <c r="O33" s="145"/>
      <c r="P33" s="145"/>
      <c r="Q33" s="145"/>
      <c r="R33" s="147"/>
    </row>
    <row r="34" spans="1:18" ht="13.9" customHeight="1">
      <c r="A34" s="69" t="s">
        <v>257</v>
      </c>
      <c r="B34" s="144" t="s">
        <v>258</v>
      </c>
      <c r="C34" s="145"/>
      <c r="D34" s="145"/>
      <c r="E34" s="145"/>
      <c r="F34" s="145"/>
      <c r="G34" s="145"/>
      <c r="H34" s="145"/>
      <c r="I34" s="145"/>
      <c r="J34" s="145"/>
      <c r="K34" s="145"/>
      <c r="L34" s="145"/>
      <c r="M34" s="145"/>
      <c r="N34" s="145"/>
      <c r="O34" s="145"/>
      <c r="P34" s="145"/>
      <c r="Q34" s="145"/>
      <c r="R34" s="147"/>
    </row>
    <row r="35" spans="1:18" ht="13.9" customHeight="1">
      <c r="A35" s="69" t="s">
        <v>231</v>
      </c>
      <c r="B35" s="144" t="s">
        <v>357</v>
      </c>
      <c r="C35" s="145"/>
      <c r="D35" s="145"/>
      <c r="E35" s="145"/>
      <c r="F35" s="145"/>
      <c r="G35" s="145"/>
      <c r="H35" s="145"/>
      <c r="I35" s="145"/>
      <c r="J35" s="145"/>
      <c r="K35" s="145"/>
      <c r="L35" s="145"/>
      <c r="M35" s="145"/>
      <c r="N35" s="145"/>
      <c r="O35" s="145"/>
      <c r="P35" s="145"/>
      <c r="Q35" s="145"/>
      <c r="R35" s="147"/>
    </row>
    <row r="36" spans="1:18">
      <c r="A36" s="117" t="s">
        <v>260</v>
      </c>
      <c r="B36" s="109"/>
      <c r="C36" s="109"/>
      <c r="D36" s="109"/>
      <c r="E36" s="109"/>
      <c r="F36" s="109"/>
      <c r="G36" s="109"/>
      <c r="H36" s="109"/>
      <c r="I36" s="109"/>
      <c r="J36" s="109"/>
      <c r="K36" s="109"/>
      <c r="L36" s="109"/>
      <c r="M36" s="109"/>
      <c r="N36" s="109"/>
      <c r="O36" s="109"/>
      <c r="P36" s="109"/>
      <c r="Q36" s="109"/>
      <c r="R36" s="110"/>
    </row>
    <row r="37" spans="1:18" ht="15" customHeight="1">
      <c r="A37" s="69" t="s">
        <v>237</v>
      </c>
      <c r="B37" s="144" t="s">
        <v>356</v>
      </c>
      <c r="C37" s="145"/>
      <c r="D37" s="145"/>
      <c r="E37" s="145"/>
      <c r="F37" s="145"/>
      <c r="G37" s="145"/>
      <c r="H37" s="145"/>
      <c r="I37" s="145"/>
      <c r="J37" s="145"/>
      <c r="K37" s="145"/>
      <c r="L37" s="145"/>
      <c r="M37" s="145"/>
      <c r="N37" s="145"/>
      <c r="O37" s="145"/>
      <c r="P37" s="145"/>
      <c r="Q37" s="145"/>
      <c r="R37" s="147"/>
    </row>
    <row r="38" spans="1:18" ht="15" customHeight="1">
      <c r="A38" s="69" t="s">
        <v>261</v>
      </c>
      <c r="B38" s="144" t="s">
        <v>262</v>
      </c>
      <c r="C38" s="145"/>
      <c r="D38" s="145"/>
      <c r="E38" s="145"/>
      <c r="F38" s="145"/>
      <c r="G38" s="145"/>
      <c r="H38" s="145"/>
      <c r="I38" s="145"/>
      <c r="J38" s="145"/>
      <c r="K38" s="145"/>
      <c r="L38" s="146"/>
      <c r="M38" s="151" t="s">
        <v>327</v>
      </c>
      <c r="N38" s="152"/>
      <c r="O38" s="152"/>
      <c r="P38" s="152"/>
      <c r="Q38" s="152"/>
      <c r="R38" s="161"/>
    </row>
    <row r="39" spans="1:18">
      <c r="A39" s="117" t="s">
        <v>264</v>
      </c>
      <c r="B39" s="109"/>
      <c r="C39" s="109"/>
      <c r="D39" s="109"/>
      <c r="E39" s="109"/>
      <c r="F39" s="109"/>
      <c r="G39" s="109"/>
      <c r="H39" s="109"/>
      <c r="I39" s="109"/>
      <c r="J39" s="109"/>
      <c r="K39" s="109"/>
      <c r="L39" s="109"/>
      <c r="M39" s="109"/>
      <c r="N39" s="109"/>
      <c r="O39" s="109"/>
      <c r="P39" s="109"/>
      <c r="Q39" s="109"/>
      <c r="R39" s="110"/>
    </row>
    <row r="40" spans="1:18" ht="13.9" customHeight="1">
      <c r="A40" s="69" t="s">
        <v>358</v>
      </c>
      <c r="B40" s="109" t="s">
        <v>266</v>
      </c>
      <c r="C40" s="109"/>
      <c r="D40" s="109"/>
      <c r="E40" s="109"/>
      <c r="F40" s="109"/>
      <c r="G40" s="109"/>
      <c r="H40" s="109"/>
      <c r="I40" s="109"/>
      <c r="J40" s="109"/>
      <c r="K40" s="109"/>
      <c r="L40" s="109"/>
      <c r="M40" s="109"/>
      <c r="N40" s="109"/>
      <c r="O40" s="109"/>
      <c r="P40" s="109"/>
      <c r="Q40" s="109"/>
      <c r="R40" s="110"/>
    </row>
    <row r="41" spans="1:18" ht="13.9" customHeight="1">
      <c r="A41" s="69" t="s">
        <v>267</v>
      </c>
      <c r="B41" s="109" t="s">
        <v>268</v>
      </c>
      <c r="C41" s="109"/>
      <c r="D41" s="109"/>
      <c r="E41" s="109"/>
      <c r="F41" s="109"/>
      <c r="G41" s="109"/>
      <c r="H41" s="109"/>
      <c r="I41" s="109"/>
      <c r="J41" s="109"/>
      <c r="K41" s="109"/>
      <c r="L41" s="109"/>
      <c r="M41" s="109"/>
      <c r="N41" s="109"/>
      <c r="O41" s="109"/>
      <c r="P41" s="109"/>
      <c r="Q41" s="109"/>
      <c r="R41" s="110"/>
    </row>
    <row r="42" spans="1:18">
      <c r="A42" s="69" t="s">
        <v>269</v>
      </c>
      <c r="B42" s="109" t="s">
        <v>359</v>
      </c>
      <c r="C42" s="109"/>
      <c r="D42" s="109"/>
      <c r="E42" s="109"/>
      <c r="F42" s="109"/>
      <c r="G42" s="109"/>
      <c r="H42" s="109"/>
      <c r="I42" s="109"/>
      <c r="J42" s="109"/>
      <c r="K42" s="109"/>
      <c r="L42" s="109"/>
      <c r="M42" s="109"/>
      <c r="N42" s="109"/>
      <c r="O42" s="109"/>
      <c r="P42" s="109"/>
      <c r="Q42" s="109"/>
      <c r="R42" s="110"/>
    </row>
    <row r="43" spans="1:18" s="1" customFormat="1" ht="14.45" customHeight="1">
      <c r="A43" s="141" t="s">
        <v>271</v>
      </c>
      <c r="B43" s="142"/>
      <c r="C43" s="142"/>
      <c r="D43" s="142"/>
      <c r="E43" s="142"/>
      <c r="F43" s="142"/>
      <c r="G43" s="142"/>
      <c r="H43" s="142"/>
      <c r="I43" s="142"/>
      <c r="J43" s="142"/>
      <c r="K43" s="142"/>
      <c r="L43" s="142"/>
      <c r="M43" s="142"/>
      <c r="N43" s="142"/>
      <c r="O43" s="142"/>
      <c r="P43" s="142"/>
      <c r="Q43" s="142"/>
      <c r="R43" s="143"/>
    </row>
    <row r="44" spans="1:18" s="1" customFormat="1">
      <c r="A44" s="69" t="s">
        <v>272</v>
      </c>
      <c r="B44" s="109" t="e">
        <f ca="1">VLOOKUP(F3,INDEX!B:J,2,0)&amp;", RF"</f>
        <v>#VALUE!</v>
      </c>
      <c r="C44" s="109"/>
      <c r="D44" s="109"/>
      <c r="E44" s="109"/>
      <c r="F44" s="109"/>
      <c r="G44" s="109"/>
      <c r="H44" s="109"/>
      <c r="I44" s="109"/>
      <c r="J44" s="109"/>
      <c r="K44" s="109"/>
      <c r="L44" s="109"/>
      <c r="M44" s="109"/>
      <c r="N44" s="109"/>
      <c r="O44" s="109"/>
      <c r="P44" s="109"/>
      <c r="Q44" s="109"/>
      <c r="R44" s="110"/>
    </row>
    <row r="45" spans="1:18" ht="13.9" customHeight="1">
      <c r="A45" s="69" t="s">
        <v>273</v>
      </c>
      <c r="B45" s="109" t="e">
        <f ca="1">"BSR"&amp;VLOOKUP(F3,INDEX!B:AH,33,0)&amp;"R"&amp;", BSF"&amp;VLOOKUP(F3,INDEX!B:AH,33,0)&amp;"R"</f>
        <v>#VALUE!</v>
      </c>
      <c r="C45" s="109"/>
      <c r="D45" s="109"/>
      <c r="E45" s="109"/>
      <c r="F45" s="109"/>
      <c r="G45" s="109"/>
      <c r="H45" s="109"/>
      <c r="I45" s="109"/>
      <c r="J45" s="109"/>
      <c r="K45" s="109"/>
      <c r="L45" s="109"/>
      <c r="M45" s="109"/>
      <c r="N45" s="109"/>
      <c r="O45" s="109"/>
      <c r="P45" s="109"/>
      <c r="Q45" s="109"/>
      <c r="R45" s="110"/>
    </row>
    <row r="46" spans="1:18" ht="13.9" customHeight="1">
      <c r="A46" s="69" t="s">
        <v>274</v>
      </c>
      <c r="B46" s="109" t="e">
        <f ca="1">"GAW"&amp;VLOOKUP(F3,INDEX!B:AH,33,0)&amp;"R"</f>
        <v>#VALUE!</v>
      </c>
      <c r="C46" s="109"/>
      <c r="D46" s="109"/>
      <c r="E46" s="109"/>
      <c r="F46" s="109"/>
      <c r="G46" s="109"/>
      <c r="H46" s="109"/>
      <c r="I46" s="109"/>
      <c r="J46" s="109"/>
      <c r="K46" s="109"/>
      <c r="L46" s="109"/>
      <c r="M46" s="109"/>
      <c r="N46" s="109"/>
      <c r="O46" s="109"/>
      <c r="P46" s="109"/>
      <c r="Q46" s="109"/>
      <c r="R46" s="110"/>
    </row>
    <row r="47" spans="1:18" ht="13.9" customHeight="1">
      <c r="A47" s="69" t="s">
        <v>275</v>
      </c>
      <c r="B47" s="109" t="e">
        <f ca="1">"GLS"&amp;VLOOKUP(F3,INDEX!B:AH,33,0)&amp;"R"</f>
        <v>#VALUE!</v>
      </c>
      <c r="C47" s="109"/>
      <c r="D47" s="109"/>
      <c r="E47" s="109"/>
      <c r="F47" s="109"/>
      <c r="G47" s="109"/>
      <c r="H47" s="109"/>
      <c r="I47" s="109"/>
      <c r="J47" s="109"/>
      <c r="K47" s="109"/>
      <c r="L47" s="109"/>
      <c r="M47" s="109"/>
      <c r="N47" s="109"/>
      <c r="O47" s="109"/>
      <c r="P47" s="109"/>
      <c r="Q47" s="109"/>
      <c r="R47" s="110"/>
    </row>
    <row r="48" spans="1:18" ht="13.9" customHeight="1">
      <c r="A48" s="69" t="s">
        <v>276</v>
      </c>
      <c r="B48" s="144" t="e">
        <f ca="1">"CHP"&amp;VLOOKUP(F3,INDEX!B:AH,33,0)&amp;"R"</f>
        <v>#VALUE!</v>
      </c>
      <c r="C48" s="145"/>
      <c r="D48" s="145"/>
      <c r="E48" s="146"/>
      <c r="F48" s="144" t="e">
        <f ca="1">"CSW"&amp;VLOOKUP(F3,INDEX!B:AH,33,0)&amp;"R"&amp;", CDP"&amp;VLOOKUP(F3,INDEX!B:AH,33,0)&amp;"R"</f>
        <v>#VALUE!</v>
      </c>
      <c r="G48" s="145"/>
      <c r="H48" s="145"/>
      <c r="I48" s="145"/>
      <c r="J48" s="145"/>
      <c r="K48" s="145"/>
      <c r="L48" s="145"/>
      <c r="M48" s="145"/>
      <c r="N48" s="145"/>
      <c r="O48" s="145"/>
      <c r="P48" s="145"/>
      <c r="Q48" s="145"/>
      <c r="R48" s="147"/>
    </row>
    <row r="49" spans="1:18" ht="13.9" customHeight="1">
      <c r="A49" s="69" t="s">
        <v>277</v>
      </c>
      <c r="B49" s="144"/>
      <c r="C49" s="145"/>
      <c r="D49" s="145"/>
      <c r="E49" s="145"/>
      <c r="F49" s="146"/>
      <c r="G49" s="145" t="e">
        <f ca="1">"BFD"&amp;VLOOKUP(F3,INDEX!B:AH,33,0)&amp;"WR"</f>
        <v>#VALUE!</v>
      </c>
      <c r="H49" s="145"/>
      <c r="I49" s="145"/>
      <c r="J49" s="145"/>
      <c r="K49" s="145"/>
      <c r="L49" s="145"/>
      <c r="M49" s="145"/>
      <c r="N49" s="145"/>
      <c r="O49" s="145"/>
      <c r="P49" s="145"/>
      <c r="Q49" s="145"/>
      <c r="R49" s="147"/>
    </row>
    <row r="50" spans="1:18" ht="13.9" customHeight="1">
      <c r="A50" s="148" t="s">
        <v>278</v>
      </c>
      <c r="B50" s="149"/>
      <c r="C50" s="149"/>
      <c r="D50" s="149"/>
      <c r="E50" s="149"/>
      <c r="F50" s="149"/>
      <c r="G50" s="149"/>
      <c r="H50" s="149"/>
      <c r="I50" s="149"/>
      <c r="J50" s="149"/>
      <c r="K50" s="149"/>
      <c r="L50" s="149"/>
      <c r="M50" s="149"/>
      <c r="N50" s="149"/>
      <c r="O50" s="149"/>
      <c r="P50" s="149"/>
      <c r="Q50" s="149"/>
      <c r="R50" s="150"/>
    </row>
    <row r="51" spans="1:18" ht="29.45" customHeight="1">
      <c r="A51" s="114" t="s">
        <v>279</v>
      </c>
      <c r="B51" s="115"/>
      <c r="C51" s="115"/>
      <c r="D51" s="115"/>
      <c r="E51" s="115"/>
      <c r="F51" s="115"/>
      <c r="G51" s="115"/>
      <c r="H51" s="115"/>
      <c r="I51" s="115"/>
      <c r="J51" s="115"/>
      <c r="K51" s="115"/>
      <c r="L51" s="115"/>
      <c r="M51" s="115"/>
      <c r="N51" s="115"/>
      <c r="O51" s="115"/>
      <c r="P51" s="115"/>
      <c r="Q51" s="115"/>
      <c r="R51" s="116"/>
    </row>
    <row r="52" spans="1:18" ht="13.9" customHeight="1">
      <c r="A52" s="114" t="s">
        <v>280</v>
      </c>
      <c r="B52" s="115"/>
      <c r="C52" s="115"/>
      <c r="D52" s="115"/>
      <c r="E52" s="115"/>
      <c r="F52" s="115"/>
      <c r="G52" s="115"/>
      <c r="H52" s="115"/>
      <c r="I52" s="115"/>
      <c r="J52" s="115"/>
      <c r="K52" s="115"/>
      <c r="L52" s="115"/>
      <c r="M52" s="115"/>
      <c r="N52" s="115"/>
      <c r="O52" s="115"/>
      <c r="P52" s="115"/>
      <c r="Q52" s="115"/>
      <c r="R52" s="116"/>
    </row>
    <row r="53" spans="1:18" ht="13.9" customHeight="1">
      <c r="A53" s="114" t="s">
        <v>281</v>
      </c>
      <c r="B53" s="115"/>
      <c r="C53" s="115"/>
      <c r="D53" s="115"/>
      <c r="E53" s="115"/>
      <c r="F53" s="115"/>
      <c r="G53" s="115"/>
      <c r="H53" s="115"/>
      <c r="I53" s="115"/>
      <c r="J53" s="115"/>
      <c r="K53" s="115"/>
      <c r="L53" s="115"/>
      <c r="M53" s="115"/>
      <c r="N53" s="115"/>
      <c r="O53" s="115"/>
      <c r="P53" s="115"/>
      <c r="Q53" s="115"/>
      <c r="R53" s="116"/>
    </row>
    <row r="54" spans="1:18" ht="29.45" customHeight="1">
      <c r="A54" s="114" t="s">
        <v>282</v>
      </c>
      <c r="B54" s="115"/>
      <c r="C54" s="115"/>
      <c r="D54" s="115"/>
      <c r="E54" s="115"/>
      <c r="F54" s="115"/>
      <c r="G54" s="115"/>
      <c r="H54" s="115"/>
      <c r="I54" s="115"/>
      <c r="J54" s="115"/>
      <c r="K54" s="115"/>
      <c r="L54" s="115"/>
      <c r="M54" s="115"/>
      <c r="N54" s="115"/>
      <c r="O54" s="115"/>
      <c r="P54" s="115"/>
      <c r="Q54" s="115"/>
      <c r="R54" s="116"/>
    </row>
    <row r="55" spans="1:18" s="1" customFormat="1" ht="30" customHeight="1">
      <c r="A55" s="114" t="s">
        <v>283</v>
      </c>
      <c r="B55" s="115"/>
      <c r="C55" s="115"/>
      <c r="D55" s="115"/>
      <c r="E55" s="115"/>
      <c r="F55" s="115"/>
      <c r="G55" s="115"/>
      <c r="H55" s="115"/>
      <c r="I55" s="115"/>
      <c r="J55" s="115"/>
      <c r="K55" s="115"/>
      <c r="L55" s="115"/>
      <c r="M55" s="115"/>
      <c r="N55" s="115"/>
      <c r="O55" s="115"/>
      <c r="P55" s="115"/>
      <c r="Q55" s="115"/>
      <c r="R55" s="116"/>
    </row>
    <row r="56" spans="1:18" s="1" customFormat="1" ht="14.45" customHeight="1">
      <c r="A56" s="114" t="s">
        <v>360</v>
      </c>
      <c r="B56" s="115"/>
      <c r="C56" s="115"/>
      <c r="D56" s="115"/>
      <c r="E56" s="115"/>
      <c r="F56" s="115"/>
      <c r="G56" s="115"/>
      <c r="H56" s="115"/>
      <c r="I56" s="115"/>
      <c r="J56" s="115"/>
      <c r="K56" s="115"/>
      <c r="L56" s="115"/>
      <c r="M56" s="115"/>
      <c r="N56" s="115"/>
      <c r="O56" s="115"/>
      <c r="P56" s="115"/>
      <c r="Q56" s="115"/>
      <c r="R56" s="116"/>
    </row>
    <row r="57" spans="1:18">
      <c r="A57" s="114" t="s">
        <v>361</v>
      </c>
      <c r="B57" s="115"/>
      <c r="C57" s="115"/>
      <c r="D57" s="115"/>
      <c r="E57" s="115"/>
      <c r="F57" s="115"/>
      <c r="G57" s="115"/>
      <c r="H57" s="115"/>
      <c r="I57" s="115"/>
      <c r="J57" s="115"/>
      <c r="K57" s="115"/>
      <c r="L57" s="115"/>
      <c r="M57" s="115"/>
      <c r="N57" s="115"/>
      <c r="O57" s="115"/>
      <c r="P57" s="115"/>
      <c r="Q57" s="115"/>
      <c r="R57" s="116"/>
    </row>
    <row r="58" spans="1:18">
      <c r="A58" s="114" t="s">
        <v>362</v>
      </c>
      <c r="B58" s="115"/>
      <c r="C58" s="115"/>
      <c r="D58" s="115"/>
      <c r="E58" s="115"/>
      <c r="F58" s="115"/>
      <c r="G58" s="115"/>
      <c r="H58" s="115"/>
      <c r="I58" s="115"/>
      <c r="J58" s="115"/>
      <c r="K58" s="115"/>
      <c r="L58" s="115"/>
      <c r="M58" s="115"/>
      <c r="N58" s="115"/>
      <c r="O58" s="115"/>
      <c r="P58" s="115"/>
      <c r="Q58" s="115"/>
      <c r="R58" s="116"/>
    </row>
    <row r="59" spans="1:18" ht="55.9" customHeight="1">
      <c r="A59" s="114" t="s">
        <v>363</v>
      </c>
      <c r="B59" s="115"/>
      <c r="C59" s="115"/>
      <c r="D59" s="115"/>
      <c r="E59" s="115"/>
      <c r="F59" s="115"/>
      <c r="G59" s="115"/>
      <c r="H59" s="115"/>
      <c r="I59" s="115"/>
      <c r="J59" s="115"/>
      <c r="K59" s="115"/>
      <c r="L59" s="115"/>
      <c r="M59" s="115"/>
      <c r="N59" s="115"/>
      <c r="O59" s="115"/>
      <c r="P59" s="115"/>
      <c r="Q59" s="115"/>
      <c r="R59" s="116"/>
    </row>
    <row r="60" spans="1:18">
      <c r="A60" s="114" t="s">
        <v>364</v>
      </c>
      <c r="B60" s="115"/>
      <c r="C60" s="115"/>
      <c r="D60" s="115"/>
      <c r="E60" s="115"/>
      <c r="F60" s="115"/>
      <c r="G60" s="115"/>
      <c r="H60" s="115"/>
      <c r="I60" s="115"/>
      <c r="J60" s="115"/>
      <c r="K60" s="115"/>
      <c r="L60" s="115"/>
      <c r="M60" s="115"/>
      <c r="N60" s="115"/>
      <c r="O60" s="115"/>
      <c r="P60" s="115"/>
      <c r="Q60" s="115"/>
      <c r="R60" s="116"/>
    </row>
    <row r="61" spans="1:18" ht="15.75" thickBot="1">
      <c r="A61" s="177" t="s">
        <v>365</v>
      </c>
      <c r="B61" s="178"/>
      <c r="C61" s="178"/>
      <c r="D61" s="178"/>
      <c r="E61" s="178"/>
      <c r="F61" s="178"/>
      <c r="G61" s="178"/>
      <c r="H61" s="178"/>
      <c r="I61" s="178"/>
      <c r="J61" s="178"/>
      <c r="K61" s="178"/>
      <c r="L61" s="178"/>
      <c r="M61" s="178"/>
      <c r="N61" s="178"/>
      <c r="O61" s="178"/>
      <c r="P61" s="178"/>
      <c r="Q61" s="178"/>
      <c r="R61" s="179"/>
    </row>
  </sheetData>
  <mergeCells count="95">
    <mergeCell ref="A61:R61"/>
    <mergeCell ref="A50:R50"/>
    <mergeCell ref="A51:R51"/>
    <mergeCell ref="A52:R52"/>
    <mergeCell ref="A53:R53"/>
    <mergeCell ref="A54:R54"/>
    <mergeCell ref="A55:R55"/>
    <mergeCell ref="A56:R56"/>
    <mergeCell ref="A57:R57"/>
    <mergeCell ref="A58:R58"/>
    <mergeCell ref="A59:R59"/>
    <mergeCell ref="A60:R60"/>
    <mergeCell ref="B49:F49"/>
    <mergeCell ref="G49:R49"/>
    <mergeCell ref="A39:R39"/>
    <mergeCell ref="B40:R40"/>
    <mergeCell ref="B41:R41"/>
    <mergeCell ref="B42:R42"/>
    <mergeCell ref="A43:R43"/>
    <mergeCell ref="B44:R44"/>
    <mergeCell ref="B45:R45"/>
    <mergeCell ref="B46:R46"/>
    <mergeCell ref="B47:R47"/>
    <mergeCell ref="B48:E48"/>
    <mergeCell ref="F48:R48"/>
    <mergeCell ref="B38:L38"/>
    <mergeCell ref="M38:R38"/>
    <mergeCell ref="B29:E29"/>
    <mergeCell ref="F29:R29"/>
    <mergeCell ref="B30:R30"/>
    <mergeCell ref="A31:R31"/>
    <mergeCell ref="B32:E32"/>
    <mergeCell ref="F32:R32"/>
    <mergeCell ref="B33:R33"/>
    <mergeCell ref="B34:R34"/>
    <mergeCell ref="B35:R35"/>
    <mergeCell ref="A36:R36"/>
    <mergeCell ref="B37:R37"/>
    <mergeCell ref="B28:E28"/>
    <mergeCell ref="F28:R28"/>
    <mergeCell ref="B22:E22"/>
    <mergeCell ref="F22:R22"/>
    <mergeCell ref="B23:E23"/>
    <mergeCell ref="F23:R23"/>
    <mergeCell ref="B24:E24"/>
    <mergeCell ref="F24:R24"/>
    <mergeCell ref="B25:E25"/>
    <mergeCell ref="F25:R25"/>
    <mergeCell ref="B26:E26"/>
    <mergeCell ref="F26:R26"/>
    <mergeCell ref="B27:R27"/>
    <mergeCell ref="B18:R18"/>
    <mergeCell ref="A19:R19"/>
    <mergeCell ref="B20:E20"/>
    <mergeCell ref="F20:R20"/>
    <mergeCell ref="B21:E21"/>
    <mergeCell ref="F21:R21"/>
    <mergeCell ref="A10:R10"/>
    <mergeCell ref="B11:R11"/>
    <mergeCell ref="B16:N16"/>
    <mergeCell ref="O16:R16"/>
    <mergeCell ref="B17:N17"/>
    <mergeCell ref="O17:R17"/>
    <mergeCell ref="P8:R8"/>
    <mergeCell ref="B9:C9"/>
    <mergeCell ref="D9:E9"/>
    <mergeCell ref="F9:G9"/>
    <mergeCell ref="H9:I9"/>
    <mergeCell ref="P9:R9"/>
    <mergeCell ref="B8:C8"/>
    <mergeCell ref="D8:E8"/>
    <mergeCell ref="F8:G8"/>
    <mergeCell ref="H8:I8"/>
    <mergeCell ref="J8:O9"/>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1" firstPageNumber="18" orientation="portrait" r:id="rId1"/>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5B24-D5DC-4805-93FF-CFB9F95AA91B}">
  <sheetPr codeName="Sheet21">
    <tabColor rgb="FF92D050"/>
    <pageSetUpPr fitToPage="1"/>
  </sheetPr>
  <dimension ref="A1:R61"/>
  <sheetViews>
    <sheetView workbookViewId="0">
      <selection activeCell="Y21" sqref="Y21"/>
    </sheetView>
  </sheetViews>
  <sheetFormatPr defaultColWidth="9.140625" defaultRowHeight="15"/>
  <cols>
    <col min="1" max="1" width="10.7109375" style="5" customWidth="1"/>
    <col min="2" max="18" width="5.7109375" style="5" customWidth="1"/>
    <col min="19"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71"/>
      <c r="K8" s="172"/>
      <c r="L8" s="172"/>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74"/>
      <c r="K9" s="175"/>
      <c r="L9" s="175"/>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v>160</v>
      </c>
      <c r="C14" s="17">
        <v>160</v>
      </c>
      <c r="D14" s="17">
        <v>160</v>
      </c>
      <c r="E14" s="17">
        <v>160</v>
      </c>
      <c r="F14" s="17">
        <v>80</v>
      </c>
      <c r="G14" s="17">
        <v>80</v>
      </c>
      <c r="H14" s="17">
        <v>80</v>
      </c>
      <c r="I14" s="17">
        <v>80</v>
      </c>
      <c r="J14" s="17">
        <v>40</v>
      </c>
      <c r="K14" s="17">
        <v>40</v>
      </c>
      <c r="L14" s="17">
        <v>40</v>
      </c>
      <c r="M14" s="17">
        <v>40</v>
      </c>
      <c r="N14" s="17">
        <v>40</v>
      </c>
      <c r="O14" s="17">
        <v>40</v>
      </c>
      <c r="P14" s="17">
        <v>40</v>
      </c>
      <c r="Q14" s="17" t="s">
        <v>174</v>
      </c>
      <c r="R14" s="66">
        <v>40</v>
      </c>
    </row>
    <row r="15" spans="1:18" s="3" customFormat="1">
      <c r="A15" s="70" t="s">
        <v>233</v>
      </c>
      <c r="B15" s="17">
        <v>7.47</v>
      </c>
      <c r="C15" s="17">
        <v>5.56</v>
      </c>
      <c r="D15" s="17">
        <v>6.35</v>
      </c>
      <c r="E15" s="17">
        <v>7.14</v>
      </c>
      <c r="F15" s="17">
        <v>5.54</v>
      </c>
      <c r="G15" s="17">
        <v>7.62</v>
      </c>
      <c r="H15" s="17">
        <v>8.56</v>
      </c>
      <c r="I15" s="17">
        <v>10.97</v>
      </c>
      <c r="J15" s="17">
        <v>8.18</v>
      </c>
      <c r="K15" s="17">
        <v>9.27</v>
      </c>
      <c r="L15" s="17">
        <v>10.31</v>
      </c>
      <c r="M15" s="17">
        <v>11.1</v>
      </c>
      <c r="N15" s="17">
        <v>12.7</v>
      </c>
      <c r="O15" s="17">
        <v>14.27</v>
      </c>
      <c r="P15" s="17">
        <v>15.1</v>
      </c>
      <c r="Q15" s="17">
        <v>15.88</v>
      </c>
      <c r="R15" s="66">
        <v>17.47</v>
      </c>
    </row>
    <row r="16" spans="1:18">
      <c r="A16" s="69" t="s">
        <v>234</v>
      </c>
      <c r="B16" s="144" t="s">
        <v>235</v>
      </c>
      <c r="C16" s="145"/>
      <c r="D16" s="145"/>
      <c r="E16" s="145"/>
      <c r="F16" s="145"/>
      <c r="G16" s="145"/>
      <c r="H16" s="145"/>
      <c r="I16" s="145"/>
      <c r="J16" s="145"/>
      <c r="K16" s="145"/>
      <c r="L16" s="145"/>
      <c r="M16" s="145"/>
      <c r="N16" s="146"/>
      <c r="O16" s="145" t="s">
        <v>236</v>
      </c>
      <c r="P16" s="145"/>
      <c r="Q16" s="145"/>
      <c r="R16" s="147"/>
    </row>
    <row r="17" spans="1:18" ht="15" customHeight="1">
      <c r="A17" s="69" t="s">
        <v>237</v>
      </c>
      <c r="B17" s="144" t="s">
        <v>238</v>
      </c>
      <c r="C17" s="145"/>
      <c r="D17" s="145"/>
      <c r="E17" s="145"/>
      <c r="F17" s="145"/>
      <c r="G17" s="145"/>
      <c r="H17" s="145"/>
      <c r="I17" s="145"/>
      <c r="J17" s="145"/>
      <c r="K17" s="145"/>
      <c r="L17" s="145"/>
      <c r="M17" s="145"/>
      <c r="N17" s="146"/>
      <c r="O17" s="145" t="s">
        <v>239</v>
      </c>
      <c r="P17" s="145"/>
      <c r="Q17" s="145"/>
      <c r="R17" s="147"/>
    </row>
    <row r="18" spans="1:18" ht="14.45" customHeight="1">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3.9" customHeight="1">
      <c r="A20" s="69" t="s">
        <v>234</v>
      </c>
      <c r="B20" s="144" t="s">
        <v>341</v>
      </c>
      <c r="C20" s="145"/>
      <c r="D20" s="145"/>
      <c r="E20" s="146"/>
      <c r="F20" s="144" t="s">
        <v>243</v>
      </c>
      <c r="G20" s="145"/>
      <c r="H20" s="145"/>
      <c r="I20" s="145"/>
      <c r="J20" s="145"/>
      <c r="K20" s="145"/>
      <c r="L20" s="145"/>
      <c r="M20" s="145"/>
      <c r="N20" s="145"/>
      <c r="O20" s="145"/>
      <c r="P20" s="145"/>
      <c r="Q20" s="145"/>
      <c r="R20" s="147"/>
    </row>
    <row r="21" spans="1:18" ht="15" customHeight="1">
      <c r="A21" s="69" t="s">
        <v>237</v>
      </c>
      <c r="B21" s="144" t="s">
        <v>342</v>
      </c>
      <c r="C21" s="145"/>
      <c r="D21" s="145"/>
      <c r="E21" s="146"/>
      <c r="F21" s="144" t="s">
        <v>343</v>
      </c>
      <c r="G21" s="145"/>
      <c r="H21" s="145"/>
      <c r="I21" s="145"/>
      <c r="J21" s="145"/>
      <c r="K21" s="145"/>
      <c r="L21" s="145"/>
      <c r="M21" s="145"/>
      <c r="N21" s="145"/>
      <c r="O21" s="145"/>
      <c r="P21" s="145"/>
      <c r="Q21" s="145"/>
      <c r="R21" s="147"/>
    </row>
    <row r="22" spans="1:18" ht="13.9" customHeight="1">
      <c r="A22" s="69" t="s">
        <v>246</v>
      </c>
      <c r="B22" s="144" t="s">
        <v>344</v>
      </c>
      <c r="C22" s="145"/>
      <c r="D22" s="145"/>
      <c r="E22" s="146"/>
      <c r="F22" s="144" t="s">
        <v>247</v>
      </c>
      <c r="G22" s="145" t="s">
        <v>247</v>
      </c>
      <c r="H22" s="145"/>
      <c r="I22" s="145"/>
      <c r="J22" s="145"/>
      <c r="K22" s="145"/>
      <c r="L22" s="145"/>
      <c r="M22" s="145"/>
      <c r="N22" s="145"/>
      <c r="O22" s="145"/>
      <c r="P22" s="145"/>
      <c r="Q22" s="145"/>
      <c r="R22" s="147"/>
    </row>
    <row r="23" spans="1:18" ht="13.9" customHeight="1">
      <c r="A23" s="69" t="s">
        <v>248</v>
      </c>
      <c r="B23" s="144" t="s">
        <v>344</v>
      </c>
      <c r="C23" s="145"/>
      <c r="D23" s="145"/>
      <c r="E23" s="146"/>
      <c r="F23" s="144" t="s">
        <v>247</v>
      </c>
      <c r="G23" s="145" t="s">
        <v>247</v>
      </c>
      <c r="H23" s="145"/>
      <c r="I23" s="145"/>
      <c r="J23" s="145"/>
      <c r="K23" s="145"/>
      <c r="L23" s="145"/>
      <c r="M23" s="145"/>
      <c r="N23" s="145"/>
      <c r="O23" s="145"/>
      <c r="P23" s="145"/>
      <c r="Q23" s="145"/>
      <c r="R23" s="147"/>
    </row>
    <row r="24" spans="1:18" ht="13.9" customHeight="1">
      <c r="A24" s="69" t="s">
        <v>249</v>
      </c>
      <c r="B24" s="144" t="s">
        <v>344</v>
      </c>
      <c r="C24" s="145"/>
      <c r="D24" s="145"/>
      <c r="E24" s="146"/>
      <c r="F24" s="144" t="s">
        <v>247</v>
      </c>
      <c r="G24" s="145" t="s">
        <v>247</v>
      </c>
      <c r="H24" s="145"/>
      <c r="I24" s="145"/>
      <c r="J24" s="145"/>
      <c r="K24" s="145"/>
      <c r="L24" s="145"/>
      <c r="M24" s="145"/>
      <c r="N24" s="145"/>
      <c r="O24" s="145"/>
      <c r="P24" s="145"/>
      <c r="Q24" s="145"/>
      <c r="R24" s="147"/>
    </row>
    <row r="25" spans="1:18" ht="13.9" customHeight="1">
      <c r="A25" s="69" t="s">
        <v>250</v>
      </c>
      <c r="B25" s="144" t="s">
        <v>344</v>
      </c>
      <c r="C25" s="145"/>
      <c r="D25" s="145"/>
      <c r="E25" s="146"/>
      <c r="F25" s="144" t="s">
        <v>247</v>
      </c>
      <c r="G25" s="145" t="s">
        <v>247</v>
      </c>
      <c r="H25" s="145"/>
      <c r="I25" s="145"/>
      <c r="J25" s="145"/>
      <c r="K25" s="145"/>
      <c r="L25" s="145"/>
      <c r="M25" s="145"/>
      <c r="N25" s="145"/>
      <c r="O25" s="145"/>
      <c r="P25" s="145"/>
      <c r="Q25" s="145"/>
      <c r="R25" s="147"/>
    </row>
    <row r="26" spans="1:18" ht="13.9" customHeight="1">
      <c r="A26" s="69" t="s">
        <v>345</v>
      </c>
      <c r="B26" s="144" t="s">
        <v>344</v>
      </c>
      <c r="C26" s="145"/>
      <c r="D26" s="145"/>
      <c r="E26" s="146"/>
      <c r="F26" s="144"/>
      <c r="G26" s="145"/>
      <c r="H26" s="145"/>
      <c r="I26" s="145"/>
      <c r="J26" s="145"/>
      <c r="K26" s="145"/>
      <c r="L26" s="145"/>
      <c r="M26" s="145"/>
      <c r="N26" s="145"/>
      <c r="O26" s="145"/>
      <c r="P26" s="145"/>
      <c r="Q26" s="145"/>
      <c r="R26" s="147"/>
    </row>
    <row r="27" spans="1:18" ht="13.9" customHeight="1">
      <c r="A27" s="69" t="s">
        <v>346</v>
      </c>
      <c r="B27" s="211" t="s">
        <v>290</v>
      </c>
      <c r="C27" s="159"/>
      <c r="D27" s="159"/>
      <c r="E27" s="159"/>
      <c r="F27" s="159"/>
      <c r="G27" s="159"/>
      <c r="H27" s="159"/>
      <c r="I27" s="159"/>
      <c r="J27" s="159"/>
      <c r="K27" s="159"/>
      <c r="L27" s="159"/>
      <c r="M27" s="159"/>
      <c r="N27" s="159"/>
      <c r="O27" s="159"/>
      <c r="P27" s="159"/>
      <c r="Q27" s="159"/>
      <c r="R27" s="160"/>
    </row>
    <row r="28" spans="1:18" ht="14.45" customHeight="1">
      <c r="A28" s="69" t="s">
        <v>347</v>
      </c>
      <c r="B28" s="144" t="s">
        <v>344</v>
      </c>
      <c r="C28" s="145"/>
      <c r="D28" s="145"/>
      <c r="E28" s="146"/>
      <c r="F28" s="144" t="s">
        <v>348</v>
      </c>
      <c r="G28" s="145" t="s">
        <v>348</v>
      </c>
      <c r="H28" s="145"/>
      <c r="I28" s="145"/>
      <c r="J28" s="145"/>
      <c r="K28" s="145"/>
      <c r="L28" s="145"/>
      <c r="M28" s="145"/>
      <c r="N28" s="145"/>
      <c r="O28" s="145"/>
      <c r="P28" s="145"/>
      <c r="Q28" s="145"/>
      <c r="R28" s="147"/>
    </row>
    <row r="29" spans="1:18" ht="13.9" customHeight="1">
      <c r="A29" s="70" t="s">
        <v>349</v>
      </c>
      <c r="B29" s="144" t="s">
        <v>350</v>
      </c>
      <c r="C29" s="145"/>
      <c r="D29" s="145"/>
      <c r="E29" s="146"/>
      <c r="F29" s="144" t="s">
        <v>351</v>
      </c>
      <c r="G29" s="145" t="s">
        <v>351</v>
      </c>
      <c r="H29" s="145"/>
      <c r="I29" s="145"/>
      <c r="J29" s="145"/>
      <c r="K29" s="145"/>
      <c r="L29" s="145"/>
      <c r="M29" s="145"/>
      <c r="N29" s="145"/>
      <c r="O29" s="145"/>
      <c r="P29" s="145"/>
      <c r="Q29" s="145"/>
      <c r="R29" s="147"/>
    </row>
    <row r="30" spans="1:18" ht="13.9" customHeight="1">
      <c r="A30" s="69" t="s">
        <v>352</v>
      </c>
      <c r="B30" s="227" t="s">
        <v>353</v>
      </c>
      <c r="C30" s="156"/>
      <c r="D30" s="156"/>
      <c r="E30" s="156"/>
      <c r="F30" s="156"/>
      <c r="G30" s="156"/>
      <c r="H30" s="156"/>
      <c r="I30" s="156"/>
      <c r="J30" s="156"/>
      <c r="K30" s="156"/>
      <c r="L30" s="156"/>
      <c r="M30" s="156"/>
      <c r="N30" s="156"/>
      <c r="O30" s="156"/>
      <c r="P30" s="156"/>
      <c r="Q30" s="156"/>
      <c r="R30" s="157"/>
    </row>
    <row r="31" spans="1:18">
      <c r="A31" s="117" t="s">
        <v>255</v>
      </c>
      <c r="B31" s="109"/>
      <c r="C31" s="109"/>
      <c r="D31" s="109"/>
      <c r="E31" s="109"/>
      <c r="F31" s="109"/>
      <c r="G31" s="109"/>
      <c r="H31" s="109"/>
      <c r="I31" s="109"/>
      <c r="J31" s="109"/>
      <c r="K31" s="109"/>
      <c r="L31" s="109"/>
      <c r="M31" s="109"/>
      <c r="N31" s="109"/>
      <c r="O31" s="109"/>
      <c r="P31" s="109"/>
      <c r="Q31" s="109"/>
      <c r="R31" s="110"/>
    </row>
    <row r="32" spans="1:18" ht="14.45" customHeight="1">
      <c r="A32" s="69" t="s">
        <v>234</v>
      </c>
      <c r="B32" s="144" t="s">
        <v>354</v>
      </c>
      <c r="C32" s="145"/>
      <c r="D32" s="145"/>
      <c r="E32" s="146"/>
      <c r="F32" s="144" t="s">
        <v>355</v>
      </c>
      <c r="G32" s="145"/>
      <c r="H32" s="145"/>
      <c r="I32" s="145"/>
      <c r="J32" s="145"/>
      <c r="K32" s="145"/>
      <c r="L32" s="145"/>
      <c r="M32" s="145"/>
      <c r="N32" s="145"/>
      <c r="O32" s="145"/>
      <c r="P32" s="145"/>
      <c r="Q32" s="145"/>
      <c r="R32" s="147"/>
    </row>
    <row r="33" spans="1:18" ht="15" customHeight="1">
      <c r="A33" s="69" t="s">
        <v>237</v>
      </c>
      <c r="B33" s="144" t="s">
        <v>356</v>
      </c>
      <c r="C33" s="145"/>
      <c r="D33" s="145"/>
      <c r="E33" s="145"/>
      <c r="F33" s="145"/>
      <c r="G33" s="145"/>
      <c r="H33" s="145"/>
      <c r="I33" s="145"/>
      <c r="J33" s="145"/>
      <c r="K33" s="145"/>
      <c r="L33" s="145"/>
      <c r="M33" s="145"/>
      <c r="N33" s="145"/>
      <c r="O33" s="145"/>
      <c r="P33" s="145"/>
      <c r="Q33" s="145"/>
      <c r="R33" s="147"/>
    </row>
    <row r="34" spans="1:18" ht="13.9" customHeight="1">
      <c r="A34" s="69" t="s">
        <v>257</v>
      </c>
      <c r="B34" s="144" t="s">
        <v>258</v>
      </c>
      <c r="C34" s="145"/>
      <c r="D34" s="145"/>
      <c r="E34" s="145"/>
      <c r="F34" s="145"/>
      <c r="G34" s="145"/>
      <c r="H34" s="145"/>
      <c r="I34" s="145"/>
      <c r="J34" s="145"/>
      <c r="K34" s="145"/>
      <c r="L34" s="145"/>
      <c r="M34" s="145"/>
      <c r="N34" s="145"/>
      <c r="O34" s="145"/>
      <c r="P34" s="145"/>
      <c r="Q34" s="145"/>
      <c r="R34" s="147"/>
    </row>
    <row r="35" spans="1:18" ht="13.9" customHeight="1">
      <c r="A35" s="69" t="s">
        <v>231</v>
      </c>
      <c r="B35" s="144" t="s">
        <v>357</v>
      </c>
      <c r="C35" s="145"/>
      <c r="D35" s="145"/>
      <c r="E35" s="145"/>
      <c r="F35" s="145"/>
      <c r="G35" s="145"/>
      <c r="H35" s="145"/>
      <c r="I35" s="145"/>
      <c r="J35" s="145"/>
      <c r="K35" s="145"/>
      <c r="L35" s="145"/>
      <c r="M35" s="145"/>
      <c r="N35" s="145"/>
      <c r="O35" s="145"/>
      <c r="P35" s="145"/>
      <c r="Q35" s="145"/>
      <c r="R35" s="147"/>
    </row>
    <row r="36" spans="1:18">
      <c r="A36" s="117" t="s">
        <v>260</v>
      </c>
      <c r="B36" s="109"/>
      <c r="C36" s="109"/>
      <c r="D36" s="109"/>
      <c r="E36" s="109"/>
      <c r="F36" s="109"/>
      <c r="G36" s="109"/>
      <c r="H36" s="109"/>
      <c r="I36" s="109"/>
      <c r="J36" s="109"/>
      <c r="K36" s="109"/>
      <c r="L36" s="109"/>
      <c r="M36" s="109"/>
      <c r="N36" s="109"/>
      <c r="O36" s="109"/>
      <c r="P36" s="109"/>
      <c r="Q36" s="109"/>
      <c r="R36" s="110"/>
    </row>
    <row r="37" spans="1:18" ht="15" customHeight="1">
      <c r="A37" s="69" t="s">
        <v>237</v>
      </c>
      <c r="B37" s="144" t="s">
        <v>356</v>
      </c>
      <c r="C37" s="145"/>
      <c r="D37" s="145"/>
      <c r="E37" s="145"/>
      <c r="F37" s="145"/>
      <c r="G37" s="145"/>
      <c r="H37" s="145"/>
      <c r="I37" s="145"/>
      <c r="J37" s="145"/>
      <c r="K37" s="145"/>
      <c r="L37" s="145"/>
      <c r="M37" s="145"/>
      <c r="N37" s="145"/>
      <c r="O37" s="145"/>
      <c r="P37" s="145"/>
      <c r="Q37" s="145"/>
      <c r="R37" s="147"/>
    </row>
    <row r="38" spans="1:18" ht="15" customHeight="1">
      <c r="A38" s="69" t="s">
        <v>261</v>
      </c>
      <c r="B38" s="144" t="s">
        <v>262</v>
      </c>
      <c r="C38" s="145"/>
      <c r="D38" s="145"/>
      <c r="E38" s="145"/>
      <c r="F38" s="145"/>
      <c r="G38" s="145"/>
      <c r="H38" s="145"/>
      <c r="I38" s="145"/>
      <c r="J38" s="145"/>
      <c r="K38" s="145"/>
      <c r="L38" s="146"/>
      <c r="M38" s="151" t="s">
        <v>327</v>
      </c>
      <c r="N38" s="152"/>
      <c r="O38" s="152"/>
      <c r="P38" s="152"/>
      <c r="Q38" s="152"/>
      <c r="R38" s="161"/>
    </row>
    <row r="39" spans="1:18">
      <c r="A39" s="117" t="s">
        <v>264</v>
      </c>
      <c r="B39" s="109"/>
      <c r="C39" s="109"/>
      <c r="D39" s="109"/>
      <c r="E39" s="109"/>
      <c r="F39" s="109"/>
      <c r="G39" s="109"/>
      <c r="H39" s="109"/>
      <c r="I39" s="109"/>
      <c r="J39" s="109"/>
      <c r="K39" s="109"/>
      <c r="L39" s="109"/>
      <c r="M39" s="109"/>
      <c r="N39" s="109"/>
      <c r="O39" s="109"/>
      <c r="P39" s="109"/>
      <c r="Q39" s="109"/>
      <c r="R39" s="110"/>
    </row>
    <row r="40" spans="1:18" ht="13.9" customHeight="1">
      <c r="A40" s="69" t="s">
        <v>358</v>
      </c>
      <c r="B40" s="109" t="s">
        <v>266</v>
      </c>
      <c r="C40" s="109"/>
      <c r="D40" s="109"/>
      <c r="E40" s="109"/>
      <c r="F40" s="109"/>
      <c r="G40" s="109"/>
      <c r="H40" s="109"/>
      <c r="I40" s="109"/>
      <c r="J40" s="109"/>
      <c r="K40" s="109"/>
      <c r="L40" s="109"/>
      <c r="M40" s="109"/>
      <c r="N40" s="109"/>
      <c r="O40" s="109"/>
      <c r="P40" s="109"/>
      <c r="Q40" s="109"/>
      <c r="R40" s="110"/>
    </row>
    <row r="41" spans="1:18" ht="13.9" customHeight="1">
      <c r="A41" s="69" t="s">
        <v>267</v>
      </c>
      <c r="B41" s="109" t="s">
        <v>268</v>
      </c>
      <c r="C41" s="109"/>
      <c r="D41" s="109"/>
      <c r="E41" s="109"/>
      <c r="F41" s="109"/>
      <c r="G41" s="109"/>
      <c r="H41" s="109"/>
      <c r="I41" s="109"/>
      <c r="J41" s="109"/>
      <c r="K41" s="109"/>
      <c r="L41" s="109"/>
      <c r="M41" s="109"/>
      <c r="N41" s="109"/>
      <c r="O41" s="109"/>
      <c r="P41" s="109"/>
      <c r="Q41" s="109"/>
      <c r="R41" s="110"/>
    </row>
    <row r="42" spans="1:18">
      <c r="A42" s="69" t="s">
        <v>269</v>
      </c>
      <c r="B42" s="109" t="s">
        <v>359</v>
      </c>
      <c r="C42" s="109"/>
      <c r="D42" s="109"/>
      <c r="E42" s="109"/>
      <c r="F42" s="109"/>
      <c r="G42" s="109"/>
      <c r="H42" s="109"/>
      <c r="I42" s="109"/>
      <c r="J42" s="109"/>
      <c r="K42" s="109"/>
      <c r="L42" s="109"/>
      <c r="M42" s="109"/>
      <c r="N42" s="109"/>
      <c r="O42" s="109"/>
      <c r="P42" s="109"/>
      <c r="Q42" s="109"/>
      <c r="R42" s="110"/>
    </row>
    <row r="43" spans="1:18" s="1" customFormat="1" ht="14.45" customHeight="1">
      <c r="A43" s="141" t="s">
        <v>271</v>
      </c>
      <c r="B43" s="142"/>
      <c r="C43" s="142"/>
      <c r="D43" s="142"/>
      <c r="E43" s="142"/>
      <c r="F43" s="142"/>
      <c r="G43" s="142"/>
      <c r="H43" s="142"/>
      <c r="I43" s="142"/>
      <c r="J43" s="142"/>
      <c r="K43" s="142"/>
      <c r="L43" s="142"/>
      <c r="M43" s="142"/>
      <c r="N43" s="142"/>
      <c r="O43" s="142"/>
      <c r="P43" s="142"/>
      <c r="Q43" s="142"/>
      <c r="R43" s="143"/>
    </row>
    <row r="44" spans="1:18" s="1" customFormat="1">
      <c r="A44" s="69" t="s">
        <v>272</v>
      </c>
      <c r="B44" s="109" t="e">
        <f ca="1">VLOOKUP(F3,INDEX!B:J,2,0)&amp;", RF"</f>
        <v>#VALUE!</v>
      </c>
      <c r="C44" s="109"/>
      <c r="D44" s="109"/>
      <c r="E44" s="109"/>
      <c r="F44" s="109"/>
      <c r="G44" s="109"/>
      <c r="H44" s="109"/>
      <c r="I44" s="109"/>
      <c r="J44" s="109"/>
      <c r="K44" s="109"/>
      <c r="L44" s="109"/>
      <c r="M44" s="109"/>
      <c r="N44" s="109"/>
      <c r="O44" s="109"/>
      <c r="P44" s="109"/>
      <c r="Q44" s="109"/>
      <c r="R44" s="110"/>
    </row>
    <row r="45" spans="1:18" ht="13.9" customHeight="1">
      <c r="A45" s="69" t="s">
        <v>273</v>
      </c>
      <c r="B45" s="109" t="e">
        <f ca="1">"BSR"&amp;VLOOKUP(F3,INDEX!B:AH,33,0)&amp;"R"&amp;", BSF"&amp;VLOOKUP(F3,INDEX!B:AH,33,0)&amp;"R"</f>
        <v>#VALUE!</v>
      </c>
      <c r="C45" s="109"/>
      <c r="D45" s="109"/>
      <c r="E45" s="109"/>
      <c r="F45" s="109"/>
      <c r="G45" s="109"/>
      <c r="H45" s="109"/>
      <c r="I45" s="109"/>
      <c r="J45" s="109"/>
      <c r="K45" s="109"/>
      <c r="L45" s="109"/>
      <c r="M45" s="109"/>
      <c r="N45" s="109"/>
      <c r="O45" s="109"/>
      <c r="P45" s="109"/>
      <c r="Q45" s="109"/>
      <c r="R45" s="110"/>
    </row>
    <row r="46" spans="1:18" ht="13.9" customHeight="1">
      <c r="A46" s="69" t="s">
        <v>274</v>
      </c>
      <c r="B46" s="109" t="e">
        <f ca="1">"GAW"&amp;VLOOKUP(F3,INDEX!B:AH,33,0)&amp;"R"</f>
        <v>#VALUE!</v>
      </c>
      <c r="C46" s="109"/>
      <c r="D46" s="109"/>
      <c r="E46" s="109"/>
      <c r="F46" s="109"/>
      <c r="G46" s="109"/>
      <c r="H46" s="109"/>
      <c r="I46" s="109"/>
      <c r="J46" s="109"/>
      <c r="K46" s="109"/>
      <c r="L46" s="109"/>
      <c r="M46" s="109"/>
      <c r="N46" s="109"/>
      <c r="O46" s="109"/>
      <c r="P46" s="109"/>
      <c r="Q46" s="109"/>
      <c r="R46" s="110"/>
    </row>
    <row r="47" spans="1:18" ht="13.9" customHeight="1">
      <c r="A47" s="69" t="s">
        <v>275</v>
      </c>
      <c r="B47" s="109" t="e">
        <f ca="1">"GLS"&amp;VLOOKUP(F3,INDEX!B:AH,33,0)&amp;"R"</f>
        <v>#VALUE!</v>
      </c>
      <c r="C47" s="109"/>
      <c r="D47" s="109"/>
      <c r="E47" s="109"/>
      <c r="F47" s="109"/>
      <c r="G47" s="109"/>
      <c r="H47" s="109"/>
      <c r="I47" s="109"/>
      <c r="J47" s="109"/>
      <c r="K47" s="109"/>
      <c r="L47" s="109"/>
      <c r="M47" s="109"/>
      <c r="N47" s="109"/>
      <c r="O47" s="109"/>
      <c r="P47" s="109"/>
      <c r="Q47" s="109"/>
      <c r="R47" s="110"/>
    </row>
    <row r="48" spans="1:18" ht="13.9" customHeight="1">
      <c r="A48" s="69" t="s">
        <v>276</v>
      </c>
      <c r="B48" s="144" t="e">
        <f ca="1">"CHP"&amp;VLOOKUP(F3,INDEX!B:AH,33,0)&amp;"R"</f>
        <v>#VALUE!</v>
      </c>
      <c r="C48" s="145"/>
      <c r="D48" s="145"/>
      <c r="E48" s="146"/>
      <c r="F48" s="144" t="e">
        <f ca="1">"CSW"&amp;VLOOKUP(F3,INDEX!B:AH,33,0)&amp;"R"&amp;", CDP"&amp;VLOOKUP(F3,INDEX!B:AH,33,0)&amp;"R"</f>
        <v>#VALUE!</v>
      </c>
      <c r="G48" s="145"/>
      <c r="H48" s="145"/>
      <c r="I48" s="145"/>
      <c r="J48" s="145"/>
      <c r="K48" s="145"/>
      <c r="L48" s="145"/>
      <c r="M48" s="145"/>
      <c r="N48" s="145"/>
      <c r="O48" s="145"/>
      <c r="P48" s="145"/>
      <c r="Q48" s="145"/>
      <c r="R48" s="147"/>
    </row>
    <row r="49" spans="1:18" ht="13.9" customHeight="1">
      <c r="A49" s="69" t="s">
        <v>277</v>
      </c>
      <c r="B49" s="144"/>
      <c r="C49" s="145"/>
      <c r="D49" s="145"/>
      <c r="E49" s="145"/>
      <c r="F49" s="146"/>
      <c r="G49" s="145" t="e">
        <f ca="1">"BFD"&amp;VLOOKUP(F3,INDEX!B:AH,33,0)&amp;"WR"</f>
        <v>#VALUE!</v>
      </c>
      <c r="H49" s="145"/>
      <c r="I49" s="145"/>
      <c r="J49" s="145"/>
      <c r="K49" s="145"/>
      <c r="L49" s="145"/>
      <c r="M49" s="145"/>
      <c r="N49" s="145"/>
      <c r="O49" s="145"/>
      <c r="P49" s="145"/>
      <c r="Q49" s="145"/>
      <c r="R49" s="147"/>
    </row>
    <row r="50" spans="1:18" ht="13.9" customHeight="1">
      <c r="A50" s="148" t="s">
        <v>278</v>
      </c>
      <c r="B50" s="149"/>
      <c r="C50" s="149"/>
      <c r="D50" s="149"/>
      <c r="E50" s="149"/>
      <c r="F50" s="149"/>
      <c r="G50" s="149"/>
      <c r="H50" s="149"/>
      <c r="I50" s="149"/>
      <c r="J50" s="149"/>
      <c r="K50" s="149"/>
      <c r="L50" s="149"/>
      <c r="M50" s="149"/>
      <c r="N50" s="149"/>
      <c r="O50" s="149"/>
      <c r="P50" s="149"/>
      <c r="Q50" s="149"/>
      <c r="R50" s="150"/>
    </row>
    <row r="51" spans="1:18" ht="29.45" customHeight="1">
      <c r="A51" s="114" t="s">
        <v>279</v>
      </c>
      <c r="B51" s="115"/>
      <c r="C51" s="115"/>
      <c r="D51" s="115"/>
      <c r="E51" s="115"/>
      <c r="F51" s="115"/>
      <c r="G51" s="115"/>
      <c r="H51" s="115"/>
      <c r="I51" s="115"/>
      <c r="J51" s="115"/>
      <c r="K51" s="115"/>
      <c r="L51" s="115"/>
      <c r="M51" s="115"/>
      <c r="N51" s="115"/>
      <c r="O51" s="115"/>
      <c r="P51" s="115"/>
      <c r="Q51" s="115"/>
      <c r="R51" s="116"/>
    </row>
    <row r="52" spans="1:18" ht="13.9" customHeight="1">
      <c r="A52" s="114" t="s">
        <v>280</v>
      </c>
      <c r="B52" s="115"/>
      <c r="C52" s="115"/>
      <c r="D52" s="115"/>
      <c r="E52" s="115"/>
      <c r="F52" s="115"/>
      <c r="G52" s="115"/>
      <c r="H52" s="115"/>
      <c r="I52" s="115"/>
      <c r="J52" s="115"/>
      <c r="K52" s="115"/>
      <c r="L52" s="115"/>
      <c r="M52" s="115"/>
      <c r="N52" s="115"/>
      <c r="O52" s="115"/>
      <c r="P52" s="115"/>
      <c r="Q52" s="115"/>
      <c r="R52" s="116"/>
    </row>
    <row r="53" spans="1:18" ht="13.9" customHeight="1">
      <c r="A53" s="114" t="s">
        <v>281</v>
      </c>
      <c r="B53" s="115"/>
      <c r="C53" s="115"/>
      <c r="D53" s="115"/>
      <c r="E53" s="115"/>
      <c r="F53" s="115"/>
      <c r="G53" s="115"/>
      <c r="H53" s="115"/>
      <c r="I53" s="115"/>
      <c r="J53" s="115"/>
      <c r="K53" s="115"/>
      <c r="L53" s="115"/>
      <c r="M53" s="115"/>
      <c r="N53" s="115"/>
      <c r="O53" s="115"/>
      <c r="P53" s="115"/>
      <c r="Q53" s="115"/>
      <c r="R53" s="116"/>
    </row>
    <row r="54" spans="1:18" ht="29.45" customHeight="1">
      <c r="A54" s="114" t="s">
        <v>282</v>
      </c>
      <c r="B54" s="115"/>
      <c r="C54" s="115"/>
      <c r="D54" s="115"/>
      <c r="E54" s="115"/>
      <c r="F54" s="115"/>
      <c r="G54" s="115"/>
      <c r="H54" s="115"/>
      <c r="I54" s="115"/>
      <c r="J54" s="115"/>
      <c r="K54" s="115"/>
      <c r="L54" s="115"/>
      <c r="M54" s="115"/>
      <c r="N54" s="115"/>
      <c r="O54" s="115"/>
      <c r="P54" s="115"/>
      <c r="Q54" s="115"/>
      <c r="R54" s="116"/>
    </row>
    <row r="55" spans="1:18" s="1" customFormat="1" ht="30" customHeight="1">
      <c r="A55" s="114" t="s">
        <v>283</v>
      </c>
      <c r="B55" s="115"/>
      <c r="C55" s="115"/>
      <c r="D55" s="115"/>
      <c r="E55" s="115"/>
      <c r="F55" s="115"/>
      <c r="G55" s="115"/>
      <c r="H55" s="115"/>
      <c r="I55" s="115"/>
      <c r="J55" s="115"/>
      <c r="K55" s="115"/>
      <c r="L55" s="115"/>
      <c r="M55" s="115"/>
      <c r="N55" s="115"/>
      <c r="O55" s="115"/>
      <c r="P55" s="115"/>
      <c r="Q55" s="115"/>
      <c r="R55" s="116"/>
    </row>
    <row r="56" spans="1:18" s="1" customFormat="1" ht="14.45" customHeight="1">
      <c r="A56" s="114" t="s">
        <v>360</v>
      </c>
      <c r="B56" s="115"/>
      <c r="C56" s="115"/>
      <c r="D56" s="115"/>
      <c r="E56" s="115"/>
      <c r="F56" s="115"/>
      <c r="G56" s="115"/>
      <c r="H56" s="115"/>
      <c r="I56" s="115"/>
      <c r="J56" s="115"/>
      <c r="K56" s="115"/>
      <c r="L56" s="115"/>
      <c r="M56" s="115"/>
      <c r="N56" s="115"/>
      <c r="O56" s="115"/>
      <c r="P56" s="115"/>
      <c r="Q56" s="115"/>
      <c r="R56" s="116"/>
    </row>
    <row r="57" spans="1:18">
      <c r="A57" s="114" t="s">
        <v>361</v>
      </c>
      <c r="B57" s="115"/>
      <c r="C57" s="115"/>
      <c r="D57" s="115"/>
      <c r="E57" s="115"/>
      <c r="F57" s="115"/>
      <c r="G57" s="115"/>
      <c r="H57" s="115"/>
      <c r="I57" s="115"/>
      <c r="J57" s="115"/>
      <c r="K57" s="115"/>
      <c r="L57" s="115"/>
      <c r="M57" s="115"/>
      <c r="N57" s="115"/>
      <c r="O57" s="115"/>
      <c r="P57" s="115"/>
      <c r="Q57" s="115"/>
      <c r="R57" s="116"/>
    </row>
    <row r="58" spans="1:18">
      <c r="A58" s="114" t="s">
        <v>362</v>
      </c>
      <c r="B58" s="115"/>
      <c r="C58" s="115"/>
      <c r="D58" s="115"/>
      <c r="E58" s="115"/>
      <c r="F58" s="115"/>
      <c r="G58" s="115"/>
      <c r="H58" s="115"/>
      <c r="I58" s="115"/>
      <c r="J58" s="115"/>
      <c r="K58" s="115"/>
      <c r="L58" s="115"/>
      <c r="M58" s="115"/>
      <c r="N58" s="115"/>
      <c r="O58" s="115"/>
      <c r="P58" s="115"/>
      <c r="Q58" s="115"/>
      <c r="R58" s="116"/>
    </row>
    <row r="59" spans="1:18" ht="55.9" customHeight="1">
      <c r="A59" s="114" t="s">
        <v>363</v>
      </c>
      <c r="B59" s="115"/>
      <c r="C59" s="115"/>
      <c r="D59" s="115"/>
      <c r="E59" s="115"/>
      <c r="F59" s="115"/>
      <c r="G59" s="115"/>
      <c r="H59" s="115"/>
      <c r="I59" s="115"/>
      <c r="J59" s="115"/>
      <c r="K59" s="115"/>
      <c r="L59" s="115"/>
      <c r="M59" s="115"/>
      <c r="N59" s="115"/>
      <c r="O59" s="115"/>
      <c r="P59" s="115"/>
      <c r="Q59" s="115"/>
      <c r="R59" s="116"/>
    </row>
    <row r="60" spans="1:18">
      <c r="A60" s="114" t="s">
        <v>364</v>
      </c>
      <c r="B60" s="115"/>
      <c r="C60" s="115"/>
      <c r="D60" s="115"/>
      <c r="E60" s="115"/>
      <c r="F60" s="115"/>
      <c r="G60" s="115"/>
      <c r="H60" s="115"/>
      <c r="I60" s="115"/>
      <c r="J60" s="115"/>
      <c r="K60" s="115"/>
      <c r="L60" s="115"/>
      <c r="M60" s="115"/>
      <c r="N60" s="115"/>
      <c r="O60" s="115"/>
      <c r="P60" s="115"/>
      <c r="Q60" s="115"/>
      <c r="R60" s="116"/>
    </row>
    <row r="61" spans="1:18" ht="15.75" thickBot="1">
      <c r="A61" s="177" t="s">
        <v>365</v>
      </c>
      <c r="B61" s="178"/>
      <c r="C61" s="178"/>
      <c r="D61" s="178"/>
      <c r="E61" s="178"/>
      <c r="F61" s="178"/>
      <c r="G61" s="178"/>
      <c r="H61" s="178"/>
      <c r="I61" s="178"/>
      <c r="J61" s="178"/>
      <c r="K61" s="178"/>
      <c r="L61" s="178"/>
      <c r="M61" s="178"/>
      <c r="N61" s="178"/>
      <c r="O61" s="178"/>
      <c r="P61" s="178"/>
      <c r="Q61" s="178"/>
      <c r="R61" s="179"/>
    </row>
  </sheetData>
  <mergeCells count="95">
    <mergeCell ref="A61:R61"/>
    <mergeCell ref="A50:R50"/>
    <mergeCell ref="A51:R51"/>
    <mergeCell ref="A52:R52"/>
    <mergeCell ref="A53:R53"/>
    <mergeCell ref="A54:R54"/>
    <mergeCell ref="A55:R55"/>
    <mergeCell ref="A56:R56"/>
    <mergeCell ref="A57:R57"/>
    <mergeCell ref="A58:R58"/>
    <mergeCell ref="A59:R59"/>
    <mergeCell ref="A60:R60"/>
    <mergeCell ref="B49:F49"/>
    <mergeCell ref="G49:R49"/>
    <mergeCell ref="A39:R39"/>
    <mergeCell ref="B40:R40"/>
    <mergeCell ref="B41:R41"/>
    <mergeCell ref="B42:R42"/>
    <mergeCell ref="A43:R43"/>
    <mergeCell ref="B44:R44"/>
    <mergeCell ref="B45:R45"/>
    <mergeCell ref="B46:R46"/>
    <mergeCell ref="B47:R47"/>
    <mergeCell ref="B48:E48"/>
    <mergeCell ref="F48:R48"/>
    <mergeCell ref="B38:L38"/>
    <mergeCell ref="M38:R38"/>
    <mergeCell ref="B29:E29"/>
    <mergeCell ref="F29:R29"/>
    <mergeCell ref="B30:R30"/>
    <mergeCell ref="A31:R31"/>
    <mergeCell ref="B32:E32"/>
    <mergeCell ref="F32:R32"/>
    <mergeCell ref="B33:R33"/>
    <mergeCell ref="B34:R34"/>
    <mergeCell ref="B35:R35"/>
    <mergeCell ref="A36:R36"/>
    <mergeCell ref="B37:R37"/>
    <mergeCell ref="B28:E28"/>
    <mergeCell ref="F28:R28"/>
    <mergeCell ref="B22:E22"/>
    <mergeCell ref="F22:R22"/>
    <mergeCell ref="B23:E23"/>
    <mergeCell ref="F23:R23"/>
    <mergeCell ref="B24:E24"/>
    <mergeCell ref="F24:R24"/>
    <mergeCell ref="B25:E25"/>
    <mergeCell ref="F25:R25"/>
    <mergeCell ref="B26:E26"/>
    <mergeCell ref="F26:R26"/>
    <mergeCell ref="B27:R27"/>
    <mergeCell ref="B18:R18"/>
    <mergeCell ref="A19:R19"/>
    <mergeCell ref="B20:E20"/>
    <mergeCell ref="F20:R20"/>
    <mergeCell ref="B21:E21"/>
    <mergeCell ref="F21:R21"/>
    <mergeCell ref="A10:R10"/>
    <mergeCell ref="B11:R11"/>
    <mergeCell ref="B16:N16"/>
    <mergeCell ref="O16:R16"/>
    <mergeCell ref="B17:N17"/>
    <mergeCell ref="O17:R17"/>
    <mergeCell ref="P8:R8"/>
    <mergeCell ref="B9:C9"/>
    <mergeCell ref="D9:E9"/>
    <mergeCell ref="F9:G9"/>
    <mergeCell ref="H9:I9"/>
    <mergeCell ref="P9:R9"/>
    <mergeCell ref="B8:C8"/>
    <mergeCell ref="D8:E8"/>
    <mergeCell ref="F8:G8"/>
    <mergeCell ref="H8:I8"/>
    <mergeCell ref="J8:O9"/>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1" firstPageNumber="18" orientation="portrait" r:id="rId1"/>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F170-E74C-4DAC-88AF-F422CF4A2B58}">
  <sheetPr codeName="Sheet22">
    <tabColor rgb="FF92D050"/>
    <pageSetUpPr fitToPage="1"/>
  </sheetPr>
  <dimension ref="A1:R61"/>
  <sheetViews>
    <sheetView workbookViewId="0">
      <selection activeCell="Y21" sqref="Y21"/>
    </sheetView>
  </sheetViews>
  <sheetFormatPr defaultColWidth="9.140625" defaultRowHeight="15"/>
  <cols>
    <col min="1" max="1" width="10.7109375" style="5" customWidth="1"/>
    <col min="2" max="18" width="5.7109375" style="5" customWidth="1"/>
    <col min="19"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71"/>
      <c r="K8" s="172"/>
      <c r="L8" s="172"/>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74"/>
      <c r="K9" s="175"/>
      <c r="L9" s="175"/>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v>160</v>
      </c>
      <c r="C14" s="17">
        <v>160</v>
      </c>
      <c r="D14" s="17">
        <v>160</v>
      </c>
      <c r="E14" s="17">
        <v>160</v>
      </c>
      <c r="F14" s="17">
        <v>160</v>
      </c>
      <c r="G14" s="17">
        <v>80</v>
      </c>
      <c r="H14" s="17">
        <v>80</v>
      </c>
      <c r="I14" s="17">
        <v>80</v>
      </c>
      <c r="J14" s="17">
        <v>80</v>
      </c>
      <c r="K14" s="17">
        <v>80</v>
      </c>
      <c r="L14" s="17">
        <v>80</v>
      </c>
      <c r="M14" s="17">
        <v>80</v>
      </c>
      <c r="N14" s="17">
        <v>80</v>
      </c>
      <c r="O14" s="17">
        <v>80</v>
      </c>
      <c r="P14" s="17">
        <v>80</v>
      </c>
      <c r="Q14" s="17">
        <v>80</v>
      </c>
      <c r="R14" s="66">
        <v>80</v>
      </c>
    </row>
    <row r="15" spans="1:18" s="3" customFormat="1">
      <c r="A15" s="70" t="s">
        <v>233</v>
      </c>
      <c r="B15" s="17">
        <v>7.47</v>
      </c>
      <c r="C15" s="17">
        <v>5.56</v>
      </c>
      <c r="D15" s="17">
        <v>6.35</v>
      </c>
      <c r="E15" s="17">
        <v>7.14</v>
      </c>
      <c r="F15" s="17">
        <v>8.74</v>
      </c>
      <c r="G15" s="17">
        <v>7.62</v>
      </c>
      <c r="H15" s="17">
        <v>8.56</v>
      </c>
      <c r="I15" s="17">
        <v>10.97</v>
      </c>
      <c r="J15" s="17">
        <v>12.7</v>
      </c>
      <c r="K15" s="17">
        <v>15.08</v>
      </c>
      <c r="L15" s="17">
        <v>17.47</v>
      </c>
      <c r="M15" s="17">
        <v>19.05</v>
      </c>
      <c r="N15" s="17">
        <v>21.44</v>
      </c>
      <c r="O15" s="17">
        <v>23.82</v>
      </c>
      <c r="P15" s="17">
        <v>26.19</v>
      </c>
      <c r="Q15" s="17">
        <v>28.57</v>
      </c>
      <c r="R15" s="66">
        <v>30.96</v>
      </c>
    </row>
    <row r="16" spans="1:18">
      <c r="A16" s="69" t="s">
        <v>234</v>
      </c>
      <c r="B16" s="144" t="s">
        <v>235</v>
      </c>
      <c r="C16" s="145"/>
      <c r="D16" s="145"/>
      <c r="E16" s="145"/>
      <c r="F16" s="145"/>
      <c r="G16" s="145"/>
      <c r="H16" s="145"/>
      <c r="I16" s="145"/>
      <c r="J16" s="145"/>
      <c r="K16" s="145"/>
      <c r="L16" s="145"/>
      <c r="M16" s="145"/>
      <c r="N16" s="146"/>
      <c r="O16" s="145" t="s">
        <v>236</v>
      </c>
      <c r="P16" s="145"/>
      <c r="Q16" s="145"/>
      <c r="R16" s="147"/>
    </row>
    <row r="17" spans="1:18" ht="15" customHeight="1">
      <c r="A17" s="69" t="s">
        <v>237</v>
      </c>
      <c r="B17" s="144" t="s">
        <v>238</v>
      </c>
      <c r="C17" s="145"/>
      <c r="D17" s="145"/>
      <c r="E17" s="145"/>
      <c r="F17" s="145"/>
      <c r="G17" s="145"/>
      <c r="H17" s="145"/>
      <c r="I17" s="145"/>
      <c r="J17" s="145"/>
      <c r="K17" s="145"/>
      <c r="L17" s="145"/>
      <c r="M17" s="145"/>
      <c r="N17" s="146"/>
      <c r="O17" s="145" t="s">
        <v>239</v>
      </c>
      <c r="P17" s="145"/>
      <c r="Q17" s="145"/>
      <c r="R17" s="147"/>
    </row>
    <row r="18" spans="1:18" ht="14.45" customHeight="1">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3.9" customHeight="1">
      <c r="A20" s="69" t="s">
        <v>234</v>
      </c>
      <c r="B20" s="144" t="s">
        <v>341</v>
      </c>
      <c r="C20" s="145"/>
      <c r="D20" s="145"/>
      <c r="E20" s="146"/>
      <c r="F20" s="144" t="s">
        <v>243</v>
      </c>
      <c r="G20" s="145"/>
      <c r="H20" s="145"/>
      <c r="I20" s="145"/>
      <c r="J20" s="145"/>
      <c r="K20" s="145"/>
      <c r="L20" s="145"/>
      <c r="M20" s="145"/>
      <c r="N20" s="145"/>
      <c r="O20" s="145"/>
      <c r="P20" s="145"/>
      <c r="Q20" s="145"/>
      <c r="R20" s="147"/>
    </row>
    <row r="21" spans="1:18" ht="15" customHeight="1">
      <c r="A21" s="69" t="s">
        <v>237</v>
      </c>
      <c r="B21" s="144" t="s">
        <v>342</v>
      </c>
      <c r="C21" s="145"/>
      <c r="D21" s="145"/>
      <c r="E21" s="146"/>
      <c r="F21" s="144" t="s">
        <v>343</v>
      </c>
      <c r="G21" s="145"/>
      <c r="H21" s="145"/>
      <c r="I21" s="145"/>
      <c r="J21" s="145"/>
      <c r="K21" s="145"/>
      <c r="L21" s="145"/>
      <c r="M21" s="145"/>
      <c r="N21" s="145"/>
      <c r="O21" s="145"/>
      <c r="P21" s="145"/>
      <c r="Q21" s="145"/>
      <c r="R21" s="147"/>
    </row>
    <row r="22" spans="1:18" ht="13.9" customHeight="1">
      <c r="A22" s="69" t="s">
        <v>246</v>
      </c>
      <c r="B22" s="144" t="s">
        <v>344</v>
      </c>
      <c r="C22" s="145"/>
      <c r="D22" s="145"/>
      <c r="E22" s="146"/>
      <c r="F22" s="144" t="s">
        <v>247</v>
      </c>
      <c r="G22" s="145" t="s">
        <v>247</v>
      </c>
      <c r="H22" s="145"/>
      <c r="I22" s="145"/>
      <c r="J22" s="145"/>
      <c r="K22" s="145"/>
      <c r="L22" s="145"/>
      <c r="M22" s="145"/>
      <c r="N22" s="145"/>
      <c r="O22" s="145"/>
      <c r="P22" s="145"/>
      <c r="Q22" s="145"/>
      <c r="R22" s="147"/>
    </row>
    <row r="23" spans="1:18" ht="13.9" customHeight="1">
      <c r="A23" s="69" t="s">
        <v>248</v>
      </c>
      <c r="B23" s="144" t="s">
        <v>344</v>
      </c>
      <c r="C23" s="145"/>
      <c r="D23" s="145"/>
      <c r="E23" s="146"/>
      <c r="F23" s="144" t="s">
        <v>247</v>
      </c>
      <c r="G23" s="145" t="s">
        <v>247</v>
      </c>
      <c r="H23" s="145"/>
      <c r="I23" s="145"/>
      <c r="J23" s="145"/>
      <c r="K23" s="145"/>
      <c r="L23" s="145"/>
      <c r="M23" s="145"/>
      <c r="N23" s="145"/>
      <c r="O23" s="145"/>
      <c r="P23" s="145"/>
      <c r="Q23" s="145"/>
      <c r="R23" s="147"/>
    </row>
    <row r="24" spans="1:18" ht="13.9" customHeight="1">
      <c r="A24" s="69" t="s">
        <v>249</v>
      </c>
      <c r="B24" s="144" t="s">
        <v>344</v>
      </c>
      <c r="C24" s="145"/>
      <c r="D24" s="145"/>
      <c r="E24" s="146"/>
      <c r="F24" s="144" t="s">
        <v>247</v>
      </c>
      <c r="G24" s="145" t="s">
        <v>247</v>
      </c>
      <c r="H24" s="145"/>
      <c r="I24" s="145"/>
      <c r="J24" s="145"/>
      <c r="K24" s="145"/>
      <c r="L24" s="145"/>
      <c r="M24" s="145"/>
      <c r="N24" s="145"/>
      <c r="O24" s="145"/>
      <c r="P24" s="145"/>
      <c r="Q24" s="145"/>
      <c r="R24" s="147"/>
    </row>
    <row r="25" spans="1:18" ht="13.9" customHeight="1">
      <c r="A25" s="69" t="s">
        <v>250</v>
      </c>
      <c r="B25" s="144" t="s">
        <v>344</v>
      </c>
      <c r="C25" s="145"/>
      <c r="D25" s="145"/>
      <c r="E25" s="146"/>
      <c r="F25" s="144" t="s">
        <v>247</v>
      </c>
      <c r="G25" s="145" t="s">
        <v>247</v>
      </c>
      <c r="H25" s="145"/>
      <c r="I25" s="145"/>
      <c r="J25" s="145"/>
      <c r="K25" s="145"/>
      <c r="L25" s="145"/>
      <c r="M25" s="145"/>
      <c r="N25" s="145"/>
      <c r="O25" s="145"/>
      <c r="P25" s="145"/>
      <c r="Q25" s="145"/>
      <c r="R25" s="147"/>
    </row>
    <row r="26" spans="1:18" ht="13.9" customHeight="1">
      <c r="A26" s="69" t="s">
        <v>345</v>
      </c>
      <c r="B26" s="144" t="s">
        <v>344</v>
      </c>
      <c r="C26" s="145"/>
      <c r="D26" s="145"/>
      <c r="E26" s="146"/>
      <c r="F26" s="144"/>
      <c r="G26" s="145"/>
      <c r="H26" s="145"/>
      <c r="I26" s="145"/>
      <c r="J26" s="145"/>
      <c r="K26" s="145"/>
      <c r="L26" s="145"/>
      <c r="M26" s="145"/>
      <c r="N26" s="145"/>
      <c r="O26" s="145"/>
      <c r="P26" s="145"/>
      <c r="Q26" s="145"/>
      <c r="R26" s="147"/>
    </row>
    <row r="27" spans="1:18" ht="13.9" customHeight="1">
      <c r="A27" s="69" t="s">
        <v>346</v>
      </c>
      <c r="B27" s="211" t="s">
        <v>290</v>
      </c>
      <c r="C27" s="159"/>
      <c r="D27" s="159"/>
      <c r="E27" s="159"/>
      <c r="F27" s="159"/>
      <c r="G27" s="159"/>
      <c r="H27" s="159"/>
      <c r="I27" s="159"/>
      <c r="J27" s="159"/>
      <c r="K27" s="159"/>
      <c r="L27" s="159"/>
      <c r="M27" s="159"/>
      <c r="N27" s="159"/>
      <c r="O27" s="159"/>
      <c r="P27" s="159"/>
      <c r="Q27" s="159"/>
      <c r="R27" s="160"/>
    </row>
    <row r="28" spans="1:18" ht="14.45" customHeight="1">
      <c r="A28" s="69" t="s">
        <v>347</v>
      </c>
      <c r="B28" s="144" t="s">
        <v>344</v>
      </c>
      <c r="C28" s="145"/>
      <c r="D28" s="145"/>
      <c r="E28" s="146"/>
      <c r="F28" s="144" t="s">
        <v>348</v>
      </c>
      <c r="G28" s="145" t="s">
        <v>348</v>
      </c>
      <c r="H28" s="145"/>
      <c r="I28" s="145"/>
      <c r="J28" s="145"/>
      <c r="K28" s="145"/>
      <c r="L28" s="145"/>
      <c r="M28" s="145"/>
      <c r="N28" s="145"/>
      <c r="O28" s="145"/>
      <c r="P28" s="145"/>
      <c r="Q28" s="145"/>
      <c r="R28" s="147"/>
    </row>
    <row r="29" spans="1:18" ht="13.9" customHeight="1">
      <c r="A29" s="70" t="s">
        <v>349</v>
      </c>
      <c r="B29" s="144" t="s">
        <v>350</v>
      </c>
      <c r="C29" s="145"/>
      <c r="D29" s="145"/>
      <c r="E29" s="146"/>
      <c r="F29" s="144" t="s">
        <v>351</v>
      </c>
      <c r="G29" s="145" t="s">
        <v>351</v>
      </c>
      <c r="H29" s="145"/>
      <c r="I29" s="145"/>
      <c r="J29" s="145"/>
      <c r="K29" s="145"/>
      <c r="L29" s="145"/>
      <c r="M29" s="145"/>
      <c r="N29" s="145"/>
      <c r="O29" s="145"/>
      <c r="P29" s="145"/>
      <c r="Q29" s="145"/>
      <c r="R29" s="147"/>
    </row>
    <row r="30" spans="1:18" ht="13.9" customHeight="1">
      <c r="A30" s="69" t="s">
        <v>352</v>
      </c>
      <c r="B30" s="227" t="s">
        <v>353</v>
      </c>
      <c r="C30" s="156"/>
      <c r="D30" s="156"/>
      <c r="E30" s="156"/>
      <c r="F30" s="156"/>
      <c r="G30" s="156"/>
      <c r="H30" s="156"/>
      <c r="I30" s="156"/>
      <c r="J30" s="156"/>
      <c r="K30" s="156"/>
      <c r="L30" s="156"/>
      <c r="M30" s="156"/>
      <c r="N30" s="156"/>
      <c r="O30" s="156"/>
      <c r="P30" s="156"/>
      <c r="Q30" s="156"/>
      <c r="R30" s="157"/>
    </row>
    <row r="31" spans="1:18">
      <c r="A31" s="117" t="s">
        <v>255</v>
      </c>
      <c r="B31" s="109"/>
      <c r="C31" s="109"/>
      <c r="D31" s="109"/>
      <c r="E31" s="109"/>
      <c r="F31" s="109"/>
      <c r="G31" s="109"/>
      <c r="H31" s="109"/>
      <c r="I31" s="109"/>
      <c r="J31" s="109"/>
      <c r="K31" s="109"/>
      <c r="L31" s="109"/>
      <c r="M31" s="109"/>
      <c r="N31" s="109"/>
      <c r="O31" s="109"/>
      <c r="P31" s="109"/>
      <c r="Q31" s="109"/>
      <c r="R31" s="110"/>
    </row>
    <row r="32" spans="1:18" ht="14.45" customHeight="1">
      <c r="A32" s="69" t="s">
        <v>234</v>
      </c>
      <c r="B32" s="144" t="s">
        <v>354</v>
      </c>
      <c r="C32" s="145"/>
      <c r="D32" s="145"/>
      <c r="E32" s="146"/>
      <c r="F32" s="144" t="s">
        <v>355</v>
      </c>
      <c r="G32" s="145"/>
      <c r="H32" s="145"/>
      <c r="I32" s="145"/>
      <c r="J32" s="145"/>
      <c r="K32" s="145"/>
      <c r="L32" s="145"/>
      <c r="M32" s="145"/>
      <c r="N32" s="145"/>
      <c r="O32" s="145"/>
      <c r="P32" s="145"/>
      <c r="Q32" s="145"/>
      <c r="R32" s="147"/>
    </row>
    <row r="33" spans="1:18" ht="15" customHeight="1">
      <c r="A33" s="69" t="s">
        <v>237</v>
      </c>
      <c r="B33" s="144" t="s">
        <v>356</v>
      </c>
      <c r="C33" s="145"/>
      <c r="D33" s="145"/>
      <c r="E33" s="145"/>
      <c r="F33" s="145"/>
      <c r="G33" s="145"/>
      <c r="H33" s="145"/>
      <c r="I33" s="145"/>
      <c r="J33" s="145"/>
      <c r="K33" s="145"/>
      <c r="L33" s="145"/>
      <c r="M33" s="145"/>
      <c r="N33" s="145"/>
      <c r="O33" s="145"/>
      <c r="P33" s="145"/>
      <c r="Q33" s="145"/>
      <c r="R33" s="147"/>
    </row>
    <row r="34" spans="1:18" ht="13.9" customHeight="1">
      <c r="A34" s="69" t="s">
        <v>257</v>
      </c>
      <c r="B34" s="144" t="s">
        <v>258</v>
      </c>
      <c r="C34" s="145"/>
      <c r="D34" s="145"/>
      <c r="E34" s="145"/>
      <c r="F34" s="145"/>
      <c r="G34" s="145"/>
      <c r="H34" s="145"/>
      <c r="I34" s="145"/>
      <c r="J34" s="145"/>
      <c r="K34" s="145"/>
      <c r="L34" s="145"/>
      <c r="M34" s="145"/>
      <c r="N34" s="145"/>
      <c r="O34" s="145"/>
      <c r="P34" s="145"/>
      <c r="Q34" s="145"/>
      <c r="R34" s="147"/>
    </row>
    <row r="35" spans="1:18" ht="13.9" customHeight="1">
      <c r="A35" s="69" t="s">
        <v>231</v>
      </c>
      <c r="B35" s="144" t="s">
        <v>357</v>
      </c>
      <c r="C35" s="145"/>
      <c r="D35" s="145"/>
      <c r="E35" s="145"/>
      <c r="F35" s="145"/>
      <c r="G35" s="145"/>
      <c r="H35" s="145"/>
      <c r="I35" s="145"/>
      <c r="J35" s="145"/>
      <c r="K35" s="145"/>
      <c r="L35" s="145"/>
      <c r="M35" s="145"/>
      <c r="N35" s="145"/>
      <c r="O35" s="145"/>
      <c r="P35" s="145"/>
      <c r="Q35" s="145"/>
      <c r="R35" s="147"/>
    </row>
    <row r="36" spans="1:18">
      <c r="A36" s="117" t="s">
        <v>260</v>
      </c>
      <c r="B36" s="109"/>
      <c r="C36" s="109"/>
      <c r="D36" s="109"/>
      <c r="E36" s="109"/>
      <c r="F36" s="109"/>
      <c r="G36" s="109"/>
      <c r="H36" s="109"/>
      <c r="I36" s="109"/>
      <c r="J36" s="109"/>
      <c r="K36" s="109"/>
      <c r="L36" s="109"/>
      <c r="M36" s="109"/>
      <c r="N36" s="109"/>
      <c r="O36" s="109"/>
      <c r="P36" s="109"/>
      <c r="Q36" s="109"/>
      <c r="R36" s="110"/>
    </row>
    <row r="37" spans="1:18" ht="15" customHeight="1">
      <c r="A37" s="69" t="s">
        <v>237</v>
      </c>
      <c r="B37" s="144" t="s">
        <v>356</v>
      </c>
      <c r="C37" s="145"/>
      <c r="D37" s="145"/>
      <c r="E37" s="145"/>
      <c r="F37" s="145"/>
      <c r="G37" s="145"/>
      <c r="H37" s="145"/>
      <c r="I37" s="145"/>
      <c r="J37" s="145"/>
      <c r="K37" s="145"/>
      <c r="L37" s="145"/>
      <c r="M37" s="145"/>
      <c r="N37" s="145"/>
      <c r="O37" s="145"/>
      <c r="P37" s="145"/>
      <c r="Q37" s="145"/>
      <c r="R37" s="147"/>
    </row>
    <row r="38" spans="1:18" ht="15" customHeight="1">
      <c r="A38" s="69" t="s">
        <v>261</v>
      </c>
      <c r="B38" s="144" t="s">
        <v>262</v>
      </c>
      <c r="C38" s="145"/>
      <c r="D38" s="145"/>
      <c r="E38" s="145"/>
      <c r="F38" s="145"/>
      <c r="G38" s="145"/>
      <c r="H38" s="145"/>
      <c r="I38" s="145"/>
      <c r="J38" s="145"/>
      <c r="K38" s="145"/>
      <c r="L38" s="146"/>
      <c r="M38" s="151" t="s">
        <v>327</v>
      </c>
      <c r="N38" s="152"/>
      <c r="O38" s="152"/>
      <c r="P38" s="152"/>
      <c r="Q38" s="152"/>
      <c r="R38" s="161"/>
    </row>
    <row r="39" spans="1:18">
      <c r="A39" s="117" t="s">
        <v>264</v>
      </c>
      <c r="B39" s="109"/>
      <c r="C39" s="109"/>
      <c r="D39" s="109"/>
      <c r="E39" s="109"/>
      <c r="F39" s="109"/>
      <c r="G39" s="109"/>
      <c r="H39" s="109"/>
      <c r="I39" s="109"/>
      <c r="J39" s="109"/>
      <c r="K39" s="109"/>
      <c r="L39" s="109"/>
      <c r="M39" s="109"/>
      <c r="N39" s="109"/>
      <c r="O39" s="109"/>
      <c r="P39" s="109"/>
      <c r="Q39" s="109"/>
      <c r="R39" s="110"/>
    </row>
    <row r="40" spans="1:18" ht="13.9" customHeight="1">
      <c r="A40" s="69" t="s">
        <v>358</v>
      </c>
      <c r="B40" s="109" t="s">
        <v>266</v>
      </c>
      <c r="C40" s="109"/>
      <c r="D40" s="109"/>
      <c r="E40" s="109"/>
      <c r="F40" s="109"/>
      <c r="G40" s="109"/>
      <c r="H40" s="109"/>
      <c r="I40" s="109"/>
      <c r="J40" s="109"/>
      <c r="K40" s="109"/>
      <c r="L40" s="109"/>
      <c r="M40" s="109"/>
      <c r="N40" s="109"/>
      <c r="O40" s="109"/>
      <c r="P40" s="109"/>
      <c r="Q40" s="109"/>
      <c r="R40" s="110"/>
    </row>
    <row r="41" spans="1:18" ht="13.9" customHeight="1">
      <c r="A41" s="69" t="s">
        <v>267</v>
      </c>
      <c r="B41" s="109" t="s">
        <v>268</v>
      </c>
      <c r="C41" s="109"/>
      <c r="D41" s="109"/>
      <c r="E41" s="109"/>
      <c r="F41" s="109"/>
      <c r="G41" s="109"/>
      <c r="H41" s="109"/>
      <c r="I41" s="109"/>
      <c r="J41" s="109"/>
      <c r="K41" s="109"/>
      <c r="L41" s="109"/>
      <c r="M41" s="109"/>
      <c r="N41" s="109"/>
      <c r="O41" s="109"/>
      <c r="P41" s="109"/>
      <c r="Q41" s="109"/>
      <c r="R41" s="110"/>
    </row>
    <row r="42" spans="1:18">
      <c r="A42" s="69" t="s">
        <v>269</v>
      </c>
      <c r="B42" s="109" t="s">
        <v>359</v>
      </c>
      <c r="C42" s="109"/>
      <c r="D42" s="109"/>
      <c r="E42" s="109"/>
      <c r="F42" s="109"/>
      <c r="G42" s="109"/>
      <c r="H42" s="109"/>
      <c r="I42" s="109"/>
      <c r="J42" s="109"/>
      <c r="K42" s="109"/>
      <c r="L42" s="109"/>
      <c r="M42" s="109"/>
      <c r="N42" s="109"/>
      <c r="O42" s="109"/>
      <c r="P42" s="109"/>
      <c r="Q42" s="109"/>
      <c r="R42" s="110"/>
    </row>
    <row r="43" spans="1:18" s="1" customFormat="1" ht="14.45" customHeight="1">
      <c r="A43" s="141" t="s">
        <v>271</v>
      </c>
      <c r="B43" s="142"/>
      <c r="C43" s="142"/>
      <c r="D43" s="142"/>
      <c r="E43" s="142"/>
      <c r="F43" s="142"/>
      <c r="G43" s="142"/>
      <c r="H43" s="142"/>
      <c r="I43" s="142"/>
      <c r="J43" s="142"/>
      <c r="K43" s="142"/>
      <c r="L43" s="142"/>
      <c r="M43" s="142"/>
      <c r="N43" s="142"/>
      <c r="O43" s="142"/>
      <c r="P43" s="142"/>
      <c r="Q43" s="142"/>
      <c r="R43" s="143"/>
    </row>
    <row r="44" spans="1:18" s="1" customFormat="1">
      <c r="A44" s="69" t="s">
        <v>272</v>
      </c>
      <c r="B44" s="109" t="e">
        <f ca="1">VLOOKUP(F3,INDEX!B:J,2,0)&amp;", RF"</f>
        <v>#VALUE!</v>
      </c>
      <c r="C44" s="109"/>
      <c r="D44" s="109"/>
      <c r="E44" s="109"/>
      <c r="F44" s="109"/>
      <c r="G44" s="109"/>
      <c r="H44" s="109"/>
      <c r="I44" s="109"/>
      <c r="J44" s="109"/>
      <c r="K44" s="109"/>
      <c r="L44" s="109"/>
      <c r="M44" s="109"/>
      <c r="N44" s="109"/>
      <c r="O44" s="109"/>
      <c r="P44" s="109"/>
      <c r="Q44" s="109"/>
      <c r="R44" s="110"/>
    </row>
    <row r="45" spans="1:18" ht="13.9" customHeight="1">
      <c r="A45" s="69" t="s">
        <v>273</v>
      </c>
      <c r="B45" s="109" t="e">
        <f ca="1">"BSR"&amp;VLOOKUP(F3,INDEX!B:AH,33,0)&amp;"R"&amp;", BSF"&amp;VLOOKUP(F3,INDEX!B:AH,33,0)&amp;"R"</f>
        <v>#VALUE!</v>
      </c>
      <c r="C45" s="109"/>
      <c r="D45" s="109"/>
      <c r="E45" s="109"/>
      <c r="F45" s="109"/>
      <c r="G45" s="109"/>
      <c r="H45" s="109"/>
      <c r="I45" s="109"/>
      <c r="J45" s="109"/>
      <c r="K45" s="109"/>
      <c r="L45" s="109"/>
      <c r="M45" s="109"/>
      <c r="N45" s="109"/>
      <c r="O45" s="109"/>
      <c r="P45" s="109"/>
      <c r="Q45" s="109"/>
      <c r="R45" s="110"/>
    </row>
    <row r="46" spans="1:18" ht="13.9" customHeight="1">
      <c r="A46" s="69" t="s">
        <v>274</v>
      </c>
      <c r="B46" s="109" t="e">
        <f ca="1">"GAW"&amp;VLOOKUP(F3,INDEX!B:AH,33,0)&amp;"R"</f>
        <v>#VALUE!</v>
      </c>
      <c r="C46" s="109"/>
      <c r="D46" s="109"/>
      <c r="E46" s="109"/>
      <c r="F46" s="109"/>
      <c r="G46" s="109"/>
      <c r="H46" s="109"/>
      <c r="I46" s="109"/>
      <c r="J46" s="109"/>
      <c r="K46" s="109"/>
      <c r="L46" s="109"/>
      <c r="M46" s="109"/>
      <c r="N46" s="109"/>
      <c r="O46" s="109"/>
      <c r="P46" s="109"/>
      <c r="Q46" s="109"/>
      <c r="R46" s="110"/>
    </row>
    <row r="47" spans="1:18" ht="13.9" customHeight="1">
      <c r="A47" s="69" t="s">
        <v>275</v>
      </c>
      <c r="B47" s="109" t="e">
        <f ca="1">"GLS"&amp;VLOOKUP(F3,INDEX!B:AH,33,0)&amp;"R"</f>
        <v>#VALUE!</v>
      </c>
      <c r="C47" s="109"/>
      <c r="D47" s="109"/>
      <c r="E47" s="109"/>
      <c r="F47" s="109"/>
      <c r="G47" s="109"/>
      <c r="H47" s="109"/>
      <c r="I47" s="109"/>
      <c r="J47" s="109"/>
      <c r="K47" s="109"/>
      <c r="L47" s="109"/>
      <c r="M47" s="109"/>
      <c r="N47" s="109"/>
      <c r="O47" s="109"/>
      <c r="P47" s="109"/>
      <c r="Q47" s="109"/>
      <c r="R47" s="110"/>
    </row>
    <row r="48" spans="1:18" ht="13.9" customHeight="1">
      <c r="A48" s="69" t="s">
        <v>276</v>
      </c>
      <c r="B48" s="144" t="e">
        <f ca="1">"CHP"&amp;VLOOKUP(F3,INDEX!B:AH,33,0)&amp;"R"</f>
        <v>#VALUE!</v>
      </c>
      <c r="C48" s="145"/>
      <c r="D48" s="145"/>
      <c r="E48" s="146"/>
      <c r="F48" s="144" t="e">
        <f ca="1">"CSW"&amp;VLOOKUP(F3,INDEX!B:AH,33,0)&amp;"R"&amp;", CDP"&amp;VLOOKUP(F3,INDEX!B:AH,33,0)&amp;"R"</f>
        <v>#VALUE!</v>
      </c>
      <c r="G48" s="145"/>
      <c r="H48" s="145"/>
      <c r="I48" s="145"/>
      <c r="J48" s="145"/>
      <c r="K48" s="145"/>
      <c r="L48" s="145"/>
      <c r="M48" s="145"/>
      <c r="N48" s="145"/>
      <c r="O48" s="145"/>
      <c r="P48" s="145"/>
      <c r="Q48" s="145"/>
      <c r="R48" s="147"/>
    </row>
    <row r="49" spans="1:18" ht="13.9" customHeight="1">
      <c r="A49" s="69" t="s">
        <v>277</v>
      </c>
      <c r="B49" s="144"/>
      <c r="C49" s="145"/>
      <c r="D49" s="145"/>
      <c r="E49" s="145"/>
      <c r="F49" s="146"/>
      <c r="G49" s="145" t="e">
        <f ca="1">"BFD"&amp;VLOOKUP(F3,INDEX!B:AH,33,0)&amp;"WR"</f>
        <v>#VALUE!</v>
      </c>
      <c r="H49" s="145"/>
      <c r="I49" s="145"/>
      <c r="J49" s="145"/>
      <c r="K49" s="145"/>
      <c r="L49" s="145"/>
      <c r="M49" s="145"/>
      <c r="N49" s="145"/>
      <c r="O49" s="145"/>
      <c r="P49" s="145"/>
      <c r="Q49" s="145"/>
      <c r="R49" s="147"/>
    </row>
    <row r="50" spans="1:18" ht="13.9" customHeight="1">
      <c r="A50" s="148" t="s">
        <v>278</v>
      </c>
      <c r="B50" s="149"/>
      <c r="C50" s="149"/>
      <c r="D50" s="149"/>
      <c r="E50" s="149"/>
      <c r="F50" s="149"/>
      <c r="G50" s="149"/>
      <c r="H50" s="149"/>
      <c r="I50" s="149"/>
      <c r="J50" s="149"/>
      <c r="K50" s="149"/>
      <c r="L50" s="149"/>
      <c r="M50" s="149"/>
      <c r="N50" s="149"/>
      <c r="O50" s="149"/>
      <c r="P50" s="149"/>
      <c r="Q50" s="149"/>
      <c r="R50" s="150"/>
    </row>
    <row r="51" spans="1:18" ht="29.45" customHeight="1">
      <c r="A51" s="114" t="s">
        <v>279</v>
      </c>
      <c r="B51" s="115"/>
      <c r="C51" s="115"/>
      <c r="D51" s="115"/>
      <c r="E51" s="115"/>
      <c r="F51" s="115"/>
      <c r="G51" s="115"/>
      <c r="H51" s="115"/>
      <c r="I51" s="115"/>
      <c r="J51" s="115"/>
      <c r="K51" s="115"/>
      <c r="L51" s="115"/>
      <c r="M51" s="115"/>
      <c r="N51" s="115"/>
      <c r="O51" s="115"/>
      <c r="P51" s="115"/>
      <c r="Q51" s="115"/>
      <c r="R51" s="116"/>
    </row>
    <row r="52" spans="1:18" ht="13.9" customHeight="1">
      <c r="A52" s="114" t="s">
        <v>280</v>
      </c>
      <c r="B52" s="115"/>
      <c r="C52" s="115"/>
      <c r="D52" s="115"/>
      <c r="E52" s="115"/>
      <c r="F52" s="115"/>
      <c r="G52" s="115"/>
      <c r="H52" s="115"/>
      <c r="I52" s="115"/>
      <c r="J52" s="115"/>
      <c r="K52" s="115"/>
      <c r="L52" s="115"/>
      <c r="M52" s="115"/>
      <c r="N52" s="115"/>
      <c r="O52" s="115"/>
      <c r="P52" s="115"/>
      <c r="Q52" s="115"/>
      <c r="R52" s="116"/>
    </row>
    <row r="53" spans="1:18" ht="13.9" customHeight="1">
      <c r="A53" s="114" t="s">
        <v>281</v>
      </c>
      <c r="B53" s="115"/>
      <c r="C53" s="115"/>
      <c r="D53" s="115"/>
      <c r="E53" s="115"/>
      <c r="F53" s="115"/>
      <c r="G53" s="115"/>
      <c r="H53" s="115"/>
      <c r="I53" s="115"/>
      <c r="J53" s="115"/>
      <c r="K53" s="115"/>
      <c r="L53" s="115"/>
      <c r="M53" s="115"/>
      <c r="N53" s="115"/>
      <c r="O53" s="115"/>
      <c r="P53" s="115"/>
      <c r="Q53" s="115"/>
      <c r="R53" s="116"/>
    </row>
    <row r="54" spans="1:18" ht="29.45" customHeight="1">
      <c r="A54" s="114" t="s">
        <v>282</v>
      </c>
      <c r="B54" s="115"/>
      <c r="C54" s="115"/>
      <c r="D54" s="115"/>
      <c r="E54" s="115"/>
      <c r="F54" s="115"/>
      <c r="G54" s="115"/>
      <c r="H54" s="115"/>
      <c r="I54" s="115"/>
      <c r="J54" s="115"/>
      <c r="K54" s="115"/>
      <c r="L54" s="115"/>
      <c r="M54" s="115"/>
      <c r="N54" s="115"/>
      <c r="O54" s="115"/>
      <c r="P54" s="115"/>
      <c r="Q54" s="115"/>
      <c r="R54" s="116"/>
    </row>
    <row r="55" spans="1:18" s="1" customFormat="1" ht="30" customHeight="1">
      <c r="A55" s="114" t="s">
        <v>283</v>
      </c>
      <c r="B55" s="115"/>
      <c r="C55" s="115"/>
      <c r="D55" s="115"/>
      <c r="E55" s="115"/>
      <c r="F55" s="115"/>
      <c r="G55" s="115"/>
      <c r="H55" s="115"/>
      <c r="I55" s="115"/>
      <c r="J55" s="115"/>
      <c r="K55" s="115"/>
      <c r="L55" s="115"/>
      <c r="M55" s="115"/>
      <c r="N55" s="115"/>
      <c r="O55" s="115"/>
      <c r="P55" s="115"/>
      <c r="Q55" s="115"/>
      <c r="R55" s="116"/>
    </row>
    <row r="56" spans="1:18" s="1" customFormat="1" ht="14.45" customHeight="1">
      <c r="A56" s="114" t="s">
        <v>360</v>
      </c>
      <c r="B56" s="115"/>
      <c r="C56" s="115"/>
      <c r="D56" s="115"/>
      <c r="E56" s="115"/>
      <c r="F56" s="115"/>
      <c r="G56" s="115"/>
      <c r="H56" s="115"/>
      <c r="I56" s="115"/>
      <c r="J56" s="115"/>
      <c r="K56" s="115"/>
      <c r="L56" s="115"/>
      <c r="M56" s="115"/>
      <c r="N56" s="115"/>
      <c r="O56" s="115"/>
      <c r="P56" s="115"/>
      <c r="Q56" s="115"/>
      <c r="R56" s="116"/>
    </row>
    <row r="57" spans="1:18">
      <c r="A57" s="114" t="s">
        <v>361</v>
      </c>
      <c r="B57" s="115"/>
      <c r="C57" s="115"/>
      <c r="D57" s="115"/>
      <c r="E57" s="115"/>
      <c r="F57" s="115"/>
      <c r="G57" s="115"/>
      <c r="H57" s="115"/>
      <c r="I57" s="115"/>
      <c r="J57" s="115"/>
      <c r="K57" s="115"/>
      <c r="L57" s="115"/>
      <c r="M57" s="115"/>
      <c r="N57" s="115"/>
      <c r="O57" s="115"/>
      <c r="P57" s="115"/>
      <c r="Q57" s="115"/>
      <c r="R57" s="116"/>
    </row>
    <row r="58" spans="1:18">
      <c r="A58" s="114" t="s">
        <v>362</v>
      </c>
      <c r="B58" s="115"/>
      <c r="C58" s="115"/>
      <c r="D58" s="115"/>
      <c r="E58" s="115"/>
      <c r="F58" s="115"/>
      <c r="G58" s="115"/>
      <c r="H58" s="115"/>
      <c r="I58" s="115"/>
      <c r="J58" s="115"/>
      <c r="K58" s="115"/>
      <c r="L58" s="115"/>
      <c r="M58" s="115"/>
      <c r="N58" s="115"/>
      <c r="O58" s="115"/>
      <c r="P58" s="115"/>
      <c r="Q58" s="115"/>
      <c r="R58" s="116"/>
    </row>
    <row r="59" spans="1:18" ht="55.9" customHeight="1">
      <c r="A59" s="114" t="s">
        <v>363</v>
      </c>
      <c r="B59" s="115"/>
      <c r="C59" s="115"/>
      <c r="D59" s="115"/>
      <c r="E59" s="115"/>
      <c r="F59" s="115"/>
      <c r="G59" s="115"/>
      <c r="H59" s="115"/>
      <c r="I59" s="115"/>
      <c r="J59" s="115"/>
      <c r="K59" s="115"/>
      <c r="L59" s="115"/>
      <c r="M59" s="115"/>
      <c r="N59" s="115"/>
      <c r="O59" s="115"/>
      <c r="P59" s="115"/>
      <c r="Q59" s="115"/>
      <c r="R59" s="116"/>
    </row>
    <row r="60" spans="1:18">
      <c r="A60" s="114" t="s">
        <v>364</v>
      </c>
      <c r="B60" s="115"/>
      <c r="C60" s="115"/>
      <c r="D60" s="115"/>
      <c r="E60" s="115"/>
      <c r="F60" s="115"/>
      <c r="G60" s="115"/>
      <c r="H60" s="115"/>
      <c r="I60" s="115"/>
      <c r="J60" s="115"/>
      <c r="K60" s="115"/>
      <c r="L60" s="115"/>
      <c r="M60" s="115"/>
      <c r="N60" s="115"/>
      <c r="O60" s="115"/>
      <c r="P60" s="115"/>
      <c r="Q60" s="115"/>
      <c r="R60" s="116"/>
    </row>
    <row r="61" spans="1:18" ht="15.75" thickBot="1">
      <c r="A61" s="177" t="s">
        <v>365</v>
      </c>
      <c r="B61" s="178"/>
      <c r="C61" s="178"/>
      <c r="D61" s="178"/>
      <c r="E61" s="178"/>
      <c r="F61" s="178"/>
      <c r="G61" s="178"/>
      <c r="H61" s="178"/>
      <c r="I61" s="178"/>
      <c r="J61" s="178"/>
      <c r="K61" s="178"/>
      <c r="L61" s="178"/>
      <c r="M61" s="178"/>
      <c r="N61" s="178"/>
      <c r="O61" s="178"/>
      <c r="P61" s="178"/>
      <c r="Q61" s="178"/>
      <c r="R61" s="179"/>
    </row>
  </sheetData>
  <mergeCells count="95">
    <mergeCell ref="A61:R61"/>
    <mergeCell ref="A50:R50"/>
    <mergeCell ref="A51:R51"/>
    <mergeCell ref="A52:R52"/>
    <mergeCell ref="A53:R53"/>
    <mergeCell ref="A54:R54"/>
    <mergeCell ref="A55:R55"/>
    <mergeCell ref="A56:R56"/>
    <mergeCell ref="A57:R57"/>
    <mergeCell ref="A58:R58"/>
    <mergeCell ref="A59:R59"/>
    <mergeCell ref="A60:R60"/>
    <mergeCell ref="B49:F49"/>
    <mergeCell ref="G49:R49"/>
    <mergeCell ref="A39:R39"/>
    <mergeCell ref="B40:R40"/>
    <mergeCell ref="B41:R41"/>
    <mergeCell ref="B42:R42"/>
    <mergeCell ref="A43:R43"/>
    <mergeCell ref="B44:R44"/>
    <mergeCell ref="B45:R45"/>
    <mergeCell ref="B46:R46"/>
    <mergeCell ref="B47:R47"/>
    <mergeCell ref="B48:E48"/>
    <mergeCell ref="F48:R48"/>
    <mergeCell ref="B38:L38"/>
    <mergeCell ref="M38:R38"/>
    <mergeCell ref="B29:E29"/>
    <mergeCell ref="F29:R29"/>
    <mergeCell ref="B30:R30"/>
    <mergeCell ref="A31:R31"/>
    <mergeCell ref="B32:E32"/>
    <mergeCell ref="F32:R32"/>
    <mergeCell ref="B33:R33"/>
    <mergeCell ref="B34:R34"/>
    <mergeCell ref="B35:R35"/>
    <mergeCell ref="A36:R36"/>
    <mergeCell ref="B37:R37"/>
    <mergeCell ref="B28:E28"/>
    <mergeCell ref="F28:R28"/>
    <mergeCell ref="B22:E22"/>
    <mergeCell ref="F22:R22"/>
    <mergeCell ref="B23:E23"/>
    <mergeCell ref="F23:R23"/>
    <mergeCell ref="B24:E24"/>
    <mergeCell ref="F24:R24"/>
    <mergeCell ref="B25:E25"/>
    <mergeCell ref="F25:R25"/>
    <mergeCell ref="B26:E26"/>
    <mergeCell ref="F26:R26"/>
    <mergeCell ref="B27:R27"/>
    <mergeCell ref="B18:R18"/>
    <mergeCell ref="A19:R19"/>
    <mergeCell ref="B20:E20"/>
    <mergeCell ref="F20:R20"/>
    <mergeCell ref="B21:E21"/>
    <mergeCell ref="F21:R21"/>
    <mergeCell ref="A10:R10"/>
    <mergeCell ref="B11:R11"/>
    <mergeCell ref="B16:N16"/>
    <mergeCell ref="O16:R16"/>
    <mergeCell ref="B17:N17"/>
    <mergeCell ref="O17:R17"/>
    <mergeCell ref="P8:R8"/>
    <mergeCell ref="B9:C9"/>
    <mergeCell ref="D9:E9"/>
    <mergeCell ref="F9:G9"/>
    <mergeCell ref="H9:I9"/>
    <mergeCell ref="P9:R9"/>
    <mergeCell ref="B8:C8"/>
    <mergeCell ref="D8:E8"/>
    <mergeCell ref="F8:G8"/>
    <mergeCell ref="H8:I8"/>
    <mergeCell ref="J8:O9"/>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1" firstPageNumber="18" orientation="portrait" r:id="rId1"/>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95E4-43EF-494D-99E2-6E639AF8D053}">
  <sheetPr codeName="Sheet23">
    <tabColor rgb="FF92D050"/>
    <pageSetUpPr fitToPage="1"/>
  </sheetPr>
  <dimension ref="A1:R61"/>
  <sheetViews>
    <sheetView workbookViewId="0">
      <selection activeCell="Y21" sqref="Y21"/>
    </sheetView>
  </sheetViews>
  <sheetFormatPr defaultColWidth="9.140625" defaultRowHeight="15"/>
  <cols>
    <col min="1" max="1" width="10.7109375" style="5" customWidth="1"/>
    <col min="2" max="18" width="5.7109375" style="5" customWidth="1"/>
    <col min="19"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27.6" customHeight="1">
      <c r="A5" s="135"/>
      <c r="B5" s="136"/>
      <c r="C5" s="136"/>
      <c r="D5" s="136"/>
      <c r="E5" s="137"/>
      <c r="F5" s="158" t="s">
        <v>219</v>
      </c>
      <c r="G5" s="158"/>
      <c r="H5" s="228" t="e">
        <f ca="1">VLOOKUP(F3,INDEX!B:J,6,0)</f>
        <v>#VALUE!</v>
      </c>
      <c r="I5" s="228"/>
      <c r="J5" s="228"/>
      <c r="K5" s="228"/>
      <c r="L5" s="228"/>
      <c r="M5" s="228"/>
      <c r="N5" s="228"/>
      <c r="O5" s="228"/>
      <c r="P5" s="228"/>
      <c r="Q5" s="228"/>
      <c r="R5" s="229"/>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71"/>
      <c r="K8" s="172"/>
      <c r="L8" s="172"/>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74"/>
      <c r="K9" s="175"/>
      <c r="L9" s="175"/>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308</v>
      </c>
      <c r="C14" s="17" t="s">
        <v>308</v>
      </c>
      <c r="D14" s="17" t="s">
        <v>308</v>
      </c>
      <c r="E14" s="17" t="s">
        <v>308</v>
      </c>
      <c r="F14" s="17">
        <v>160</v>
      </c>
      <c r="G14" s="17">
        <v>80</v>
      </c>
      <c r="H14" s="17">
        <v>80</v>
      </c>
      <c r="I14" s="17">
        <v>80</v>
      </c>
      <c r="J14" s="17">
        <v>60</v>
      </c>
      <c r="K14" s="17">
        <v>40</v>
      </c>
      <c r="L14" s="17">
        <v>40</v>
      </c>
      <c r="M14" s="17">
        <v>40</v>
      </c>
      <c r="N14" s="17">
        <v>40</v>
      </c>
      <c r="O14" s="17">
        <v>30</v>
      </c>
      <c r="P14" s="17" t="s">
        <v>232</v>
      </c>
      <c r="Q14" s="17" t="s">
        <v>232</v>
      </c>
      <c r="R14" s="66" t="s">
        <v>232</v>
      </c>
    </row>
    <row r="15" spans="1:18" s="3" customFormat="1">
      <c r="A15" s="70" t="s">
        <v>233</v>
      </c>
      <c r="B15" s="17">
        <v>7.47</v>
      </c>
      <c r="C15" s="17">
        <v>7.82</v>
      </c>
      <c r="D15" s="17">
        <v>9.09</v>
      </c>
      <c r="E15" s="17">
        <v>10.16</v>
      </c>
      <c r="F15" s="17">
        <v>8.74</v>
      </c>
      <c r="G15" s="17">
        <v>7.62</v>
      </c>
      <c r="H15" s="17">
        <v>8.56</v>
      </c>
      <c r="I15" s="17">
        <v>10.97</v>
      </c>
      <c r="J15" s="17">
        <v>10.31</v>
      </c>
      <c r="K15" s="17">
        <v>9.27</v>
      </c>
      <c r="L15" s="17">
        <v>10.31</v>
      </c>
      <c r="M15" s="17">
        <v>11.12</v>
      </c>
      <c r="N15" s="17">
        <v>12.7</v>
      </c>
      <c r="O15" s="17">
        <v>11.3</v>
      </c>
      <c r="P15" s="17">
        <v>12.7</v>
      </c>
      <c r="Q15" s="17">
        <v>12.7</v>
      </c>
      <c r="R15" s="66">
        <v>12.7</v>
      </c>
    </row>
    <row r="16" spans="1:18">
      <c r="A16" s="69" t="s">
        <v>234</v>
      </c>
      <c r="B16" s="144" t="s">
        <v>235</v>
      </c>
      <c r="C16" s="145"/>
      <c r="D16" s="145"/>
      <c r="E16" s="145"/>
      <c r="F16" s="145"/>
      <c r="G16" s="145"/>
      <c r="H16" s="145"/>
      <c r="I16" s="145"/>
      <c r="J16" s="145"/>
      <c r="K16" s="145"/>
      <c r="L16" s="145"/>
      <c r="M16" s="145"/>
      <c r="N16" s="146"/>
      <c r="O16" s="145" t="s">
        <v>236</v>
      </c>
      <c r="P16" s="145"/>
      <c r="Q16" s="145"/>
      <c r="R16" s="147"/>
    </row>
    <row r="17" spans="1:18" ht="15" customHeight="1">
      <c r="A17" s="69" t="s">
        <v>237</v>
      </c>
      <c r="B17" s="144" t="s">
        <v>238</v>
      </c>
      <c r="C17" s="145"/>
      <c r="D17" s="145"/>
      <c r="E17" s="145"/>
      <c r="F17" s="145"/>
      <c r="G17" s="145"/>
      <c r="H17" s="145"/>
      <c r="I17" s="145"/>
      <c r="J17" s="145"/>
      <c r="K17" s="145"/>
      <c r="L17" s="145"/>
      <c r="M17" s="145"/>
      <c r="N17" s="146"/>
      <c r="O17" s="145" t="s">
        <v>239</v>
      </c>
      <c r="P17" s="145"/>
      <c r="Q17" s="145"/>
      <c r="R17" s="147"/>
    </row>
    <row r="18" spans="1:18" ht="14.45" customHeight="1">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3.9" customHeight="1">
      <c r="A20" s="69" t="s">
        <v>234</v>
      </c>
      <c r="B20" s="144" t="s">
        <v>341</v>
      </c>
      <c r="C20" s="145"/>
      <c r="D20" s="145"/>
      <c r="E20" s="146"/>
      <c r="F20" s="144" t="s">
        <v>243</v>
      </c>
      <c r="G20" s="145"/>
      <c r="H20" s="145"/>
      <c r="I20" s="145"/>
      <c r="J20" s="145"/>
      <c r="K20" s="145"/>
      <c r="L20" s="145"/>
      <c r="M20" s="145"/>
      <c r="N20" s="145"/>
      <c r="O20" s="145"/>
      <c r="P20" s="145"/>
      <c r="Q20" s="145"/>
      <c r="R20" s="147"/>
    </row>
    <row r="21" spans="1:18" ht="15" customHeight="1">
      <c r="A21" s="69" t="s">
        <v>237</v>
      </c>
      <c r="B21" s="144" t="s">
        <v>342</v>
      </c>
      <c r="C21" s="145"/>
      <c r="D21" s="145"/>
      <c r="E21" s="146"/>
      <c r="F21" s="144" t="s">
        <v>343</v>
      </c>
      <c r="G21" s="145"/>
      <c r="H21" s="145"/>
      <c r="I21" s="145"/>
      <c r="J21" s="145"/>
      <c r="K21" s="145"/>
      <c r="L21" s="145"/>
      <c r="M21" s="145"/>
      <c r="N21" s="145"/>
      <c r="O21" s="145"/>
      <c r="P21" s="145"/>
      <c r="Q21" s="145"/>
      <c r="R21" s="147"/>
    </row>
    <row r="22" spans="1:18" ht="13.9" customHeight="1">
      <c r="A22" s="69" t="s">
        <v>246</v>
      </c>
      <c r="B22" s="144" t="s">
        <v>344</v>
      </c>
      <c r="C22" s="145"/>
      <c r="D22" s="145"/>
      <c r="E22" s="146"/>
      <c r="F22" s="144" t="s">
        <v>247</v>
      </c>
      <c r="G22" s="145" t="s">
        <v>247</v>
      </c>
      <c r="H22" s="145"/>
      <c r="I22" s="145"/>
      <c r="J22" s="145"/>
      <c r="K22" s="145"/>
      <c r="L22" s="145"/>
      <c r="M22" s="145"/>
      <c r="N22" s="145"/>
      <c r="O22" s="145"/>
      <c r="P22" s="145"/>
      <c r="Q22" s="145"/>
      <c r="R22" s="147"/>
    </row>
    <row r="23" spans="1:18" ht="13.9" customHeight="1">
      <c r="A23" s="69" t="s">
        <v>248</v>
      </c>
      <c r="B23" s="144" t="s">
        <v>344</v>
      </c>
      <c r="C23" s="145"/>
      <c r="D23" s="145"/>
      <c r="E23" s="146"/>
      <c r="F23" s="144" t="s">
        <v>247</v>
      </c>
      <c r="G23" s="145" t="s">
        <v>247</v>
      </c>
      <c r="H23" s="145"/>
      <c r="I23" s="145"/>
      <c r="J23" s="145"/>
      <c r="K23" s="145"/>
      <c r="L23" s="145"/>
      <c r="M23" s="145"/>
      <c r="N23" s="145"/>
      <c r="O23" s="145"/>
      <c r="P23" s="145"/>
      <c r="Q23" s="145"/>
      <c r="R23" s="147"/>
    </row>
    <row r="24" spans="1:18" ht="13.9" customHeight="1">
      <c r="A24" s="69" t="s">
        <v>249</v>
      </c>
      <c r="B24" s="144" t="s">
        <v>344</v>
      </c>
      <c r="C24" s="145"/>
      <c r="D24" s="145"/>
      <c r="E24" s="146"/>
      <c r="F24" s="144" t="s">
        <v>247</v>
      </c>
      <c r="G24" s="145" t="s">
        <v>247</v>
      </c>
      <c r="H24" s="145"/>
      <c r="I24" s="145"/>
      <c r="J24" s="145"/>
      <c r="K24" s="145"/>
      <c r="L24" s="145"/>
      <c r="M24" s="145"/>
      <c r="N24" s="145"/>
      <c r="O24" s="145"/>
      <c r="P24" s="145"/>
      <c r="Q24" s="145"/>
      <c r="R24" s="147"/>
    </row>
    <row r="25" spans="1:18" ht="13.9" customHeight="1">
      <c r="A25" s="69" t="s">
        <v>250</v>
      </c>
      <c r="B25" s="144" t="s">
        <v>344</v>
      </c>
      <c r="C25" s="145"/>
      <c r="D25" s="145"/>
      <c r="E25" s="146"/>
      <c r="F25" s="144" t="s">
        <v>247</v>
      </c>
      <c r="G25" s="145" t="s">
        <v>247</v>
      </c>
      <c r="H25" s="145"/>
      <c r="I25" s="145"/>
      <c r="J25" s="145"/>
      <c r="K25" s="145"/>
      <c r="L25" s="145"/>
      <c r="M25" s="145"/>
      <c r="N25" s="145"/>
      <c r="O25" s="145"/>
      <c r="P25" s="145"/>
      <c r="Q25" s="145"/>
      <c r="R25" s="147"/>
    </row>
    <row r="26" spans="1:18" ht="13.9" customHeight="1">
      <c r="A26" s="69" t="s">
        <v>345</v>
      </c>
      <c r="B26" s="144" t="s">
        <v>344</v>
      </c>
      <c r="C26" s="145"/>
      <c r="D26" s="145"/>
      <c r="E26" s="146"/>
      <c r="F26" s="144"/>
      <c r="G26" s="145"/>
      <c r="H26" s="145"/>
      <c r="I26" s="145"/>
      <c r="J26" s="145"/>
      <c r="K26" s="145"/>
      <c r="L26" s="145"/>
      <c r="M26" s="145"/>
      <c r="N26" s="145"/>
      <c r="O26" s="145"/>
      <c r="P26" s="145"/>
      <c r="Q26" s="145"/>
      <c r="R26" s="147"/>
    </row>
    <row r="27" spans="1:18" ht="13.9" customHeight="1">
      <c r="A27" s="69" t="s">
        <v>346</v>
      </c>
      <c r="B27" s="211" t="s">
        <v>366</v>
      </c>
      <c r="C27" s="159"/>
      <c r="D27" s="159"/>
      <c r="E27" s="159"/>
      <c r="F27" s="159"/>
      <c r="G27" s="159"/>
      <c r="H27" s="159"/>
      <c r="I27" s="159"/>
      <c r="J27" s="159"/>
      <c r="K27" s="159"/>
      <c r="L27" s="159"/>
      <c r="M27" s="159"/>
      <c r="N27" s="159"/>
      <c r="O27" s="159"/>
      <c r="P27" s="159"/>
      <c r="Q27" s="159"/>
      <c r="R27" s="160"/>
    </row>
    <row r="28" spans="1:18" ht="14.45" customHeight="1">
      <c r="A28" s="69" t="s">
        <v>347</v>
      </c>
      <c r="B28" s="144" t="s">
        <v>344</v>
      </c>
      <c r="C28" s="145"/>
      <c r="D28" s="145"/>
      <c r="E28" s="146"/>
      <c r="F28" s="144" t="s">
        <v>348</v>
      </c>
      <c r="G28" s="145" t="s">
        <v>348</v>
      </c>
      <c r="H28" s="145"/>
      <c r="I28" s="145"/>
      <c r="J28" s="145"/>
      <c r="K28" s="145"/>
      <c r="L28" s="145"/>
      <c r="M28" s="145"/>
      <c r="N28" s="145"/>
      <c r="O28" s="145"/>
      <c r="P28" s="145"/>
      <c r="Q28" s="145"/>
      <c r="R28" s="147"/>
    </row>
    <row r="29" spans="1:18" ht="13.9" customHeight="1">
      <c r="A29" s="70" t="s">
        <v>349</v>
      </c>
      <c r="B29" s="144" t="s">
        <v>350</v>
      </c>
      <c r="C29" s="145"/>
      <c r="D29" s="145"/>
      <c r="E29" s="146"/>
      <c r="F29" s="144" t="s">
        <v>351</v>
      </c>
      <c r="G29" s="145" t="s">
        <v>351</v>
      </c>
      <c r="H29" s="145"/>
      <c r="I29" s="145"/>
      <c r="J29" s="145"/>
      <c r="K29" s="145"/>
      <c r="L29" s="145"/>
      <c r="M29" s="145"/>
      <c r="N29" s="145"/>
      <c r="O29" s="145"/>
      <c r="P29" s="145"/>
      <c r="Q29" s="145"/>
      <c r="R29" s="147"/>
    </row>
    <row r="30" spans="1:18" ht="13.9" customHeight="1">
      <c r="A30" s="69" t="s">
        <v>352</v>
      </c>
      <c r="B30" s="227" t="s">
        <v>353</v>
      </c>
      <c r="C30" s="156"/>
      <c r="D30" s="156"/>
      <c r="E30" s="156"/>
      <c r="F30" s="156"/>
      <c r="G30" s="156"/>
      <c r="H30" s="156"/>
      <c r="I30" s="156"/>
      <c r="J30" s="156"/>
      <c r="K30" s="156"/>
      <c r="L30" s="156"/>
      <c r="M30" s="156"/>
      <c r="N30" s="156"/>
      <c r="O30" s="156"/>
      <c r="P30" s="156"/>
      <c r="Q30" s="156"/>
      <c r="R30" s="157"/>
    </row>
    <row r="31" spans="1:18">
      <c r="A31" s="117" t="s">
        <v>255</v>
      </c>
      <c r="B31" s="109"/>
      <c r="C31" s="109"/>
      <c r="D31" s="109"/>
      <c r="E31" s="109"/>
      <c r="F31" s="109"/>
      <c r="G31" s="109"/>
      <c r="H31" s="109"/>
      <c r="I31" s="109"/>
      <c r="J31" s="109"/>
      <c r="K31" s="109"/>
      <c r="L31" s="109"/>
      <c r="M31" s="109"/>
      <c r="N31" s="109"/>
      <c r="O31" s="109"/>
      <c r="P31" s="109"/>
      <c r="Q31" s="109"/>
      <c r="R31" s="110"/>
    </row>
    <row r="32" spans="1:18" ht="14.45" customHeight="1">
      <c r="A32" s="69" t="s">
        <v>234</v>
      </c>
      <c r="B32" s="144" t="s">
        <v>354</v>
      </c>
      <c r="C32" s="145"/>
      <c r="D32" s="145"/>
      <c r="E32" s="146"/>
      <c r="F32" s="144" t="s">
        <v>355</v>
      </c>
      <c r="G32" s="145"/>
      <c r="H32" s="145"/>
      <c r="I32" s="145"/>
      <c r="J32" s="145"/>
      <c r="K32" s="145"/>
      <c r="L32" s="145"/>
      <c r="M32" s="145"/>
      <c r="N32" s="145"/>
      <c r="O32" s="145"/>
      <c r="P32" s="145"/>
      <c r="Q32" s="145"/>
      <c r="R32" s="147"/>
    </row>
    <row r="33" spans="1:18" ht="15" customHeight="1">
      <c r="A33" s="69" t="s">
        <v>237</v>
      </c>
      <c r="B33" s="144" t="s">
        <v>356</v>
      </c>
      <c r="C33" s="145"/>
      <c r="D33" s="145"/>
      <c r="E33" s="145"/>
      <c r="F33" s="145"/>
      <c r="G33" s="145"/>
      <c r="H33" s="145"/>
      <c r="I33" s="145"/>
      <c r="J33" s="145"/>
      <c r="K33" s="145"/>
      <c r="L33" s="145"/>
      <c r="M33" s="145"/>
      <c r="N33" s="145"/>
      <c r="O33" s="145"/>
      <c r="P33" s="145"/>
      <c r="Q33" s="145"/>
      <c r="R33" s="147"/>
    </row>
    <row r="34" spans="1:18" ht="13.9" customHeight="1">
      <c r="A34" s="69" t="s">
        <v>257</v>
      </c>
      <c r="B34" s="144" t="s">
        <v>258</v>
      </c>
      <c r="C34" s="145"/>
      <c r="D34" s="145"/>
      <c r="E34" s="145"/>
      <c r="F34" s="145"/>
      <c r="G34" s="145"/>
      <c r="H34" s="145"/>
      <c r="I34" s="145"/>
      <c r="J34" s="145"/>
      <c r="K34" s="145"/>
      <c r="L34" s="145"/>
      <c r="M34" s="145"/>
      <c r="N34" s="145"/>
      <c r="O34" s="145"/>
      <c r="P34" s="145"/>
      <c r="Q34" s="145"/>
      <c r="R34" s="147"/>
    </row>
    <row r="35" spans="1:18" ht="13.9" customHeight="1">
      <c r="A35" s="69" t="s">
        <v>231</v>
      </c>
      <c r="B35" s="144" t="s">
        <v>357</v>
      </c>
      <c r="C35" s="145"/>
      <c r="D35" s="145"/>
      <c r="E35" s="145"/>
      <c r="F35" s="145"/>
      <c r="G35" s="145"/>
      <c r="H35" s="145"/>
      <c r="I35" s="145"/>
      <c r="J35" s="145"/>
      <c r="K35" s="145"/>
      <c r="L35" s="145"/>
      <c r="M35" s="145"/>
      <c r="N35" s="145"/>
      <c r="O35" s="145"/>
      <c r="P35" s="145"/>
      <c r="Q35" s="145"/>
      <c r="R35" s="147"/>
    </row>
    <row r="36" spans="1:18">
      <c r="A36" s="117" t="s">
        <v>260</v>
      </c>
      <c r="B36" s="109"/>
      <c r="C36" s="109"/>
      <c r="D36" s="109"/>
      <c r="E36" s="109"/>
      <c r="F36" s="109"/>
      <c r="G36" s="109"/>
      <c r="H36" s="109"/>
      <c r="I36" s="109"/>
      <c r="J36" s="109"/>
      <c r="K36" s="109"/>
      <c r="L36" s="109"/>
      <c r="M36" s="109"/>
      <c r="N36" s="109"/>
      <c r="O36" s="109"/>
      <c r="P36" s="109"/>
      <c r="Q36" s="109"/>
      <c r="R36" s="110"/>
    </row>
    <row r="37" spans="1:18" ht="15" customHeight="1">
      <c r="A37" s="69" t="s">
        <v>237</v>
      </c>
      <c r="B37" s="144" t="s">
        <v>356</v>
      </c>
      <c r="C37" s="145"/>
      <c r="D37" s="145"/>
      <c r="E37" s="145"/>
      <c r="F37" s="145"/>
      <c r="G37" s="145"/>
      <c r="H37" s="145"/>
      <c r="I37" s="145"/>
      <c r="J37" s="145"/>
      <c r="K37" s="145"/>
      <c r="L37" s="145"/>
      <c r="M37" s="145"/>
      <c r="N37" s="145"/>
      <c r="O37" s="145"/>
      <c r="P37" s="145"/>
      <c r="Q37" s="145"/>
      <c r="R37" s="147"/>
    </row>
    <row r="38" spans="1:18" ht="15" customHeight="1">
      <c r="A38" s="69" t="s">
        <v>261</v>
      </c>
      <c r="B38" s="144" t="s">
        <v>262</v>
      </c>
      <c r="C38" s="145"/>
      <c r="D38" s="145"/>
      <c r="E38" s="145"/>
      <c r="F38" s="145"/>
      <c r="G38" s="145"/>
      <c r="H38" s="145"/>
      <c r="I38" s="145"/>
      <c r="J38" s="145"/>
      <c r="K38" s="145"/>
      <c r="L38" s="146"/>
      <c r="M38" s="151" t="s">
        <v>327</v>
      </c>
      <c r="N38" s="152"/>
      <c r="O38" s="152"/>
      <c r="P38" s="152"/>
      <c r="Q38" s="152"/>
      <c r="R38" s="161"/>
    </row>
    <row r="39" spans="1:18">
      <c r="A39" s="117" t="s">
        <v>264</v>
      </c>
      <c r="B39" s="109"/>
      <c r="C39" s="109"/>
      <c r="D39" s="109"/>
      <c r="E39" s="109"/>
      <c r="F39" s="109"/>
      <c r="G39" s="109"/>
      <c r="H39" s="109"/>
      <c r="I39" s="109"/>
      <c r="J39" s="109"/>
      <c r="K39" s="109"/>
      <c r="L39" s="109"/>
      <c r="M39" s="109"/>
      <c r="N39" s="109"/>
      <c r="O39" s="109"/>
      <c r="P39" s="109"/>
      <c r="Q39" s="109"/>
      <c r="R39" s="110"/>
    </row>
    <row r="40" spans="1:18" ht="13.9" customHeight="1">
      <c r="A40" s="69" t="s">
        <v>358</v>
      </c>
      <c r="B40" s="109" t="s">
        <v>266</v>
      </c>
      <c r="C40" s="109"/>
      <c r="D40" s="109"/>
      <c r="E40" s="109"/>
      <c r="F40" s="109"/>
      <c r="G40" s="109"/>
      <c r="H40" s="109"/>
      <c r="I40" s="109"/>
      <c r="J40" s="109"/>
      <c r="K40" s="109"/>
      <c r="L40" s="109"/>
      <c r="M40" s="109"/>
      <c r="N40" s="109"/>
      <c r="O40" s="109"/>
      <c r="P40" s="109"/>
      <c r="Q40" s="109"/>
      <c r="R40" s="110"/>
    </row>
    <row r="41" spans="1:18" ht="13.9" customHeight="1">
      <c r="A41" s="69" t="s">
        <v>267</v>
      </c>
      <c r="B41" s="109" t="s">
        <v>268</v>
      </c>
      <c r="C41" s="109"/>
      <c r="D41" s="109"/>
      <c r="E41" s="109"/>
      <c r="F41" s="109"/>
      <c r="G41" s="109"/>
      <c r="H41" s="109"/>
      <c r="I41" s="109"/>
      <c r="J41" s="109"/>
      <c r="K41" s="109"/>
      <c r="L41" s="109"/>
      <c r="M41" s="109"/>
      <c r="N41" s="109"/>
      <c r="O41" s="109"/>
      <c r="P41" s="109"/>
      <c r="Q41" s="109"/>
      <c r="R41" s="110"/>
    </row>
    <row r="42" spans="1:18">
      <c r="A42" s="69" t="s">
        <v>269</v>
      </c>
      <c r="B42" s="109" t="s">
        <v>359</v>
      </c>
      <c r="C42" s="109"/>
      <c r="D42" s="109"/>
      <c r="E42" s="109"/>
      <c r="F42" s="109"/>
      <c r="G42" s="109"/>
      <c r="H42" s="109"/>
      <c r="I42" s="109"/>
      <c r="J42" s="109"/>
      <c r="K42" s="109"/>
      <c r="L42" s="109"/>
      <c r="M42" s="109"/>
      <c r="N42" s="109"/>
      <c r="O42" s="109"/>
      <c r="P42" s="109"/>
      <c r="Q42" s="109"/>
      <c r="R42" s="110"/>
    </row>
    <row r="43" spans="1:18" s="1" customFormat="1" ht="14.45" customHeight="1">
      <c r="A43" s="141" t="s">
        <v>271</v>
      </c>
      <c r="B43" s="142"/>
      <c r="C43" s="142"/>
      <c r="D43" s="142"/>
      <c r="E43" s="142"/>
      <c r="F43" s="142"/>
      <c r="G43" s="142"/>
      <c r="H43" s="142"/>
      <c r="I43" s="142"/>
      <c r="J43" s="142"/>
      <c r="K43" s="142"/>
      <c r="L43" s="142"/>
      <c r="M43" s="142"/>
      <c r="N43" s="142"/>
      <c r="O43" s="142"/>
      <c r="P43" s="142"/>
      <c r="Q43" s="142"/>
      <c r="R43" s="143"/>
    </row>
    <row r="44" spans="1:18" s="1" customFormat="1">
      <c r="A44" s="69" t="s">
        <v>272</v>
      </c>
      <c r="B44" s="109" t="e">
        <f ca="1">VLOOKUP(F3,INDEX!B:J,2,0)&amp;", RF"</f>
        <v>#VALUE!</v>
      </c>
      <c r="C44" s="109"/>
      <c r="D44" s="109"/>
      <c r="E44" s="109"/>
      <c r="F44" s="109"/>
      <c r="G44" s="109"/>
      <c r="H44" s="109"/>
      <c r="I44" s="109"/>
      <c r="J44" s="109"/>
      <c r="K44" s="109"/>
      <c r="L44" s="109"/>
      <c r="M44" s="109"/>
      <c r="N44" s="109"/>
      <c r="O44" s="109"/>
      <c r="P44" s="109"/>
      <c r="Q44" s="109"/>
      <c r="R44" s="110"/>
    </row>
    <row r="45" spans="1:18" ht="13.9" customHeight="1">
      <c r="A45" s="69" t="s">
        <v>273</v>
      </c>
      <c r="B45" s="109" t="e">
        <f ca="1">"BSR"&amp;VLOOKUP(F3,INDEX!B:AH,33,0)&amp;"R"&amp;", BSF"&amp;VLOOKUP(F3,INDEX!B:AH,33,0)&amp;"R"</f>
        <v>#VALUE!</v>
      </c>
      <c r="C45" s="109"/>
      <c r="D45" s="109"/>
      <c r="E45" s="109"/>
      <c r="F45" s="109"/>
      <c r="G45" s="109"/>
      <c r="H45" s="109"/>
      <c r="I45" s="109"/>
      <c r="J45" s="109"/>
      <c r="K45" s="109"/>
      <c r="L45" s="109"/>
      <c r="M45" s="109"/>
      <c r="N45" s="109"/>
      <c r="O45" s="109"/>
      <c r="P45" s="109"/>
      <c r="Q45" s="109"/>
      <c r="R45" s="110"/>
    </row>
    <row r="46" spans="1:18" ht="13.9" customHeight="1">
      <c r="A46" s="69" t="s">
        <v>274</v>
      </c>
      <c r="B46" s="109" t="e">
        <f ca="1">"GAW"&amp;VLOOKUP(F3,INDEX!B:AH,33,0)&amp;"R"</f>
        <v>#VALUE!</v>
      </c>
      <c r="C46" s="109"/>
      <c r="D46" s="109"/>
      <c r="E46" s="109"/>
      <c r="F46" s="109"/>
      <c r="G46" s="109"/>
      <c r="H46" s="109"/>
      <c r="I46" s="109"/>
      <c r="J46" s="109"/>
      <c r="K46" s="109"/>
      <c r="L46" s="109"/>
      <c r="M46" s="109"/>
      <c r="N46" s="109"/>
      <c r="O46" s="109"/>
      <c r="P46" s="109"/>
      <c r="Q46" s="109"/>
      <c r="R46" s="110"/>
    </row>
    <row r="47" spans="1:18" ht="13.9" customHeight="1">
      <c r="A47" s="69" t="s">
        <v>275</v>
      </c>
      <c r="B47" s="109" t="e">
        <f ca="1">"GLS"&amp;VLOOKUP(F3,INDEX!B:AH,33,0)&amp;"R"</f>
        <v>#VALUE!</v>
      </c>
      <c r="C47" s="109"/>
      <c r="D47" s="109"/>
      <c r="E47" s="109"/>
      <c r="F47" s="109"/>
      <c r="G47" s="109"/>
      <c r="H47" s="109"/>
      <c r="I47" s="109"/>
      <c r="J47" s="109"/>
      <c r="K47" s="109"/>
      <c r="L47" s="109"/>
      <c r="M47" s="109"/>
      <c r="N47" s="109"/>
      <c r="O47" s="109"/>
      <c r="P47" s="109"/>
      <c r="Q47" s="109"/>
      <c r="R47" s="110"/>
    </row>
    <row r="48" spans="1:18" ht="13.9" customHeight="1">
      <c r="A48" s="69" t="s">
        <v>276</v>
      </c>
      <c r="B48" s="144" t="e">
        <f ca="1">"CHP"&amp;VLOOKUP(F3,INDEX!B:AH,33,0)&amp;"R"</f>
        <v>#VALUE!</v>
      </c>
      <c r="C48" s="145"/>
      <c r="D48" s="145"/>
      <c r="E48" s="146"/>
      <c r="F48" s="144" t="e">
        <f ca="1">"CSW"&amp;VLOOKUP(F3,INDEX!B:AH,33,0)&amp;"R"&amp;", CDP"&amp;VLOOKUP(F3,INDEX!B:AH,33,0)&amp;"R"</f>
        <v>#VALUE!</v>
      </c>
      <c r="G48" s="145"/>
      <c r="H48" s="145"/>
      <c r="I48" s="145"/>
      <c r="J48" s="145"/>
      <c r="K48" s="145"/>
      <c r="L48" s="145"/>
      <c r="M48" s="145"/>
      <c r="N48" s="145"/>
      <c r="O48" s="145"/>
      <c r="P48" s="145"/>
      <c r="Q48" s="145"/>
      <c r="R48" s="147"/>
    </row>
    <row r="49" spans="1:18" ht="13.9" customHeight="1">
      <c r="A49" s="69" t="s">
        <v>277</v>
      </c>
      <c r="B49" s="144"/>
      <c r="C49" s="145"/>
      <c r="D49" s="145"/>
      <c r="E49" s="145"/>
      <c r="F49" s="146"/>
      <c r="G49" s="145" t="e">
        <f ca="1">"BFD"&amp;VLOOKUP(F3,INDEX!B:AH,33,0)&amp;"WR"</f>
        <v>#VALUE!</v>
      </c>
      <c r="H49" s="145"/>
      <c r="I49" s="145"/>
      <c r="J49" s="145"/>
      <c r="K49" s="145"/>
      <c r="L49" s="145"/>
      <c r="M49" s="145"/>
      <c r="N49" s="145"/>
      <c r="O49" s="145"/>
      <c r="P49" s="145"/>
      <c r="Q49" s="145"/>
      <c r="R49" s="147"/>
    </row>
    <row r="50" spans="1:18" ht="13.9" customHeight="1">
      <c r="A50" s="148" t="s">
        <v>278</v>
      </c>
      <c r="B50" s="149"/>
      <c r="C50" s="149"/>
      <c r="D50" s="149"/>
      <c r="E50" s="149"/>
      <c r="F50" s="149"/>
      <c r="G50" s="149"/>
      <c r="H50" s="149"/>
      <c r="I50" s="149"/>
      <c r="J50" s="149"/>
      <c r="K50" s="149"/>
      <c r="L50" s="149"/>
      <c r="M50" s="149"/>
      <c r="N50" s="149"/>
      <c r="O50" s="149"/>
      <c r="P50" s="149"/>
      <c r="Q50" s="149"/>
      <c r="R50" s="150"/>
    </row>
    <row r="51" spans="1:18" ht="29.45" customHeight="1">
      <c r="A51" s="114" t="s">
        <v>279</v>
      </c>
      <c r="B51" s="115"/>
      <c r="C51" s="115"/>
      <c r="D51" s="115"/>
      <c r="E51" s="115"/>
      <c r="F51" s="115"/>
      <c r="G51" s="115"/>
      <c r="H51" s="115"/>
      <c r="I51" s="115"/>
      <c r="J51" s="115"/>
      <c r="K51" s="115"/>
      <c r="L51" s="115"/>
      <c r="M51" s="115"/>
      <c r="N51" s="115"/>
      <c r="O51" s="115"/>
      <c r="P51" s="115"/>
      <c r="Q51" s="115"/>
      <c r="R51" s="116"/>
    </row>
    <row r="52" spans="1:18" ht="13.9" customHeight="1">
      <c r="A52" s="114" t="s">
        <v>280</v>
      </c>
      <c r="B52" s="115"/>
      <c r="C52" s="115"/>
      <c r="D52" s="115"/>
      <c r="E52" s="115"/>
      <c r="F52" s="115"/>
      <c r="G52" s="115"/>
      <c r="H52" s="115"/>
      <c r="I52" s="115"/>
      <c r="J52" s="115"/>
      <c r="K52" s="115"/>
      <c r="L52" s="115"/>
      <c r="M52" s="115"/>
      <c r="N52" s="115"/>
      <c r="O52" s="115"/>
      <c r="P52" s="115"/>
      <c r="Q52" s="115"/>
      <c r="R52" s="116"/>
    </row>
    <row r="53" spans="1:18" ht="13.9" customHeight="1">
      <c r="A53" s="114" t="s">
        <v>281</v>
      </c>
      <c r="B53" s="115"/>
      <c r="C53" s="115"/>
      <c r="D53" s="115"/>
      <c r="E53" s="115"/>
      <c r="F53" s="115"/>
      <c r="G53" s="115"/>
      <c r="H53" s="115"/>
      <c r="I53" s="115"/>
      <c r="J53" s="115"/>
      <c r="K53" s="115"/>
      <c r="L53" s="115"/>
      <c r="M53" s="115"/>
      <c r="N53" s="115"/>
      <c r="O53" s="115"/>
      <c r="P53" s="115"/>
      <c r="Q53" s="115"/>
      <c r="R53" s="116"/>
    </row>
    <row r="54" spans="1:18" ht="29.45" customHeight="1">
      <c r="A54" s="114" t="s">
        <v>282</v>
      </c>
      <c r="B54" s="115"/>
      <c r="C54" s="115"/>
      <c r="D54" s="115"/>
      <c r="E54" s="115"/>
      <c r="F54" s="115"/>
      <c r="G54" s="115"/>
      <c r="H54" s="115"/>
      <c r="I54" s="115"/>
      <c r="J54" s="115"/>
      <c r="K54" s="115"/>
      <c r="L54" s="115"/>
      <c r="M54" s="115"/>
      <c r="N54" s="115"/>
      <c r="O54" s="115"/>
      <c r="P54" s="115"/>
      <c r="Q54" s="115"/>
      <c r="R54" s="116"/>
    </row>
    <row r="55" spans="1:18" s="1" customFormat="1" ht="30" customHeight="1">
      <c r="A55" s="114" t="s">
        <v>283</v>
      </c>
      <c r="B55" s="115"/>
      <c r="C55" s="115"/>
      <c r="D55" s="115"/>
      <c r="E55" s="115"/>
      <c r="F55" s="115"/>
      <c r="G55" s="115"/>
      <c r="H55" s="115"/>
      <c r="I55" s="115"/>
      <c r="J55" s="115"/>
      <c r="K55" s="115"/>
      <c r="L55" s="115"/>
      <c r="M55" s="115"/>
      <c r="N55" s="115"/>
      <c r="O55" s="115"/>
      <c r="P55" s="115"/>
      <c r="Q55" s="115"/>
      <c r="R55" s="116"/>
    </row>
    <row r="56" spans="1:18" s="1" customFormat="1" ht="14.45" customHeight="1">
      <c r="A56" s="114" t="s">
        <v>360</v>
      </c>
      <c r="B56" s="115"/>
      <c r="C56" s="115"/>
      <c r="D56" s="115"/>
      <c r="E56" s="115"/>
      <c r="F56" s="115"/>
      <c r="G56" s="115"/>
      <c r="H56" s="115"/>
      <c r="I56" s="115"/>
      <c r="J56" s="115"/>
      <c r="K56" s="115"/>
      <c r="L56" s="115"/>
      <c r="M56" s="115"/>
      <c r="N56" s="115"/>
      <c r="O56" s="115"/>
      <c r="P56" s="115"/>
      <c r="Q56" s="115"/>
      <c r="R56" s="116"/>
    </row>
    <row r="57" spans="1:18">
      <c r="A57" s="114" t="s">
        <v>361</v>
      </c>
      <c r="B57" s="115"/>
      <c r="C57" s="115"/>
      <c r="D57" s="115"/>
      <c r="E57" s="115"/>
      <c r="F57" s="115"/>
      <c r="G57" s="115"/>
      <c r="H57" s="115"/>
      <c r="I57" s="115"/>
      <c r="J57" s="115"/>
      <c r="K57" s="115"/>
      <c r="L57" s="115"/>
      <c r="M57" s="115"/>
      <c r="N57" s="115"/>
      <c r="O57" s="115"/>
      <c r="P57" s="115"/>
      <c r="Q57" s="115"/>
      <c r="R57" s="116"/>
    </row>
    <row r="58" spans="1:18">
      <c r="A58" s="114" t="s">
        <v>362</v>
      </c>
      <c r="B58" s="115"/>
      <c r="C58" s="115"/>
      <c r="D58" s="115"/>
      <c r="E58" s="115"/>
      <c r="F58" s="115"/>
      <c r="G58" s="115"/>
      <c r="H58" s="115"/>
      <c r="I58" s="115"/>
      <c r="J58" s="115"/>
      <c r="K58" s="115"/>
      <c r="L58" s="115"/>
      <c r="M58" s="115"/>
      <c r="N58" s="115"/>
      <c r="O58" s="115"/>
      <c r="P58" s="115"/>
      <c r="Q58" s="115"/>
      <c r="R58" s="116"/>
    </row>
    <row r="59" spans="1:18" ht="55.9" customHeight="1">
      <c r="A59" s="114" t="s">
        <v>363</v>
      </c>
      <c r="B59" s="115"/>
      <c r="C59" s="115"/>
      <c r="D59" s="115"/>
      <c r="E59" s="115"/>
      <c r="F59" s="115"/>
      <c r="G59" s="115"/>
      <c r="H59" s="115"/>
      <c r="I59" s="115"/>
      <c r="J59" s="115"/>
      <c r="K59" s="115"/>
      <c r="L59" s="115"/>
      <c r="M59" s="115"/>
      <c r="N59" s="115"/>
      <c r="O59" s="115"/>
      <c r="P59" s="115"/>
      <c r="Q59" s="115"/>
      <c r="R59" s="116"/>
    </row>
    <row r="60" spans="1:18">
      <c r="A60" s="114" t="s">
        <v>364</v>
      </c>
      <c r="B60" s="115"/>
      <c r="C60" s="115"/>
      <c r="D60" s="115"/>
      <c r="E60" s="115"/>
      <c r="F60" s="115"/>
      <c r="G60" s="115"/>
      <c r="H60" s="115"/>
      <c r="I60" s="115"/>
      <c r="J60" s="115"/>
      <c r="K60" s="115"/>
      <c r="L60" s="115"/>
      <c r="M60" s="115"/>
      <c r="N60" s="115"/>
      <c r="O60" s="115"/>
      <c r="P60" s="115"/>
      <c r="Q60" s="115"/>
      <c r="R60" s="116"/>
    </row>
    <row r="61" spans="1:18" ht="15.75" thickBot="1">
      <c r="A61" s="177" t="s">
        <v>365</v>
      </c>
      <c r="B61" s="178"/>
      <c r="C61" s="178"/>
      <c r="D61" s="178"/>
      <c r="E61" s="178"/>
      <c r="F61" s="178"/>
      <c r="G61" s="178"/>
      <c r="H61" s="178"/>
      <c r="I61" s="178"/>
      <c r="J61" s="178"/>
      <c r="K61" s="178"/>
      <c r="L61" s="178"/>
      <c r="M61" s="178"/>
      <c r="N61" s="178"/>
      <c r="O61" s="178"/>
      <c r="P61" s="178"/>
      <c r="Q61" s="178"/>
      <c r="R61" s="179"/>
    </row>
  </sheetData>
  <mergeCells count="95">
    <mergeCell ref="A61:R61"/>
    <mergeCell ref="A50:R50"/>
    <mergeCell ref="A51:R51"/>
    <mergeCell ref="A52:R52"/>
    <mergeCell ref="A53:R53"/>
    <mergeCell ref="A54:R54"/>
    <mergeCell ref="A55:R55"/>
    <mergeCell ref="A56:R56"/>
    <mergeCell ref="A57:R57"/>
    <mergeCell ref="A58:R58"/>
    <mergeCell ref="A59:R59"/>
    <mergeCell ref="A60:R60"/>
    <mergeCell ref="B49:F49"/>
    <mergeCell ref="G49:R49"/>
    <mergeCell ref="A39:R39"/>
    <mergeCell ref="B40:R40"/>
    <mergeCell ref="B41:R41"/>
    <mergeCell ref="B42:R42"/>
    <mergeCell ref="A43:R43"/>
    <mergeCell ref="B44:R44"/>
    <mergeCell ref="B45:R45"/>
    <mergeCell ref="B46:R46"/>
    <mergeCell ref="B47:R47"/>
    <mergeCell ref="B48:E48"/>
    <mergeCell ref="F48:R48"/>
    <mergeCell ref="B38:L38"/>
    <mergeCell ref="M38:R38"/>
    <mergeCell ref="B29:E29"/>
    <mergeCell ref="F29:R29"/>
    <mergeCell ref="B30:R30"/>
    <mergeCell ref="A31:R31"/>
    <mergeCell ref="B32:E32"/>
    <mergeCell ref="F32:R32"/>
    <mergeCell ref="B33:R33"/>
    <mergeCell ref="B34:R34"/>
    <mergeCell ref="B35:R35"/>
    <mergeCell ref="A36:R36"/>
    <mergeCell ref="B37:R37"/>
    <mergeCell ref="B28:E28"/>
    <mergeCell ref="F28:R28"/>
    <mergeCell ref="B22:E22"/>
    <mergeCell ref="F22:R22"/>
    <mergeCell ref="B23:E23"/>
    <mergeCell ref="F23:R23"/>
    <mergeCell ref="B24:E24"/>
    <mergeCell ref="F24:R24"/>
    <mergeCell ref="B25:E25"/>
    <mergeCell ref="F25:R25"/>
    <mergeCell ref="B26:E26"/>
    <mergeCell ref="F26:R26"/>
    <mergeCell ref="B27:R27"/>
    <mergeCell ref="B18:R18"/>
    <mergeCell ref="A19:R19"/>
    <mergeCell ref="B20:E20"/>
    <mergeCell ref="F20:R20"/>
    <mergeCell ref="B21:E21"/>
    <mergeCell ref="F21:R21"/>
    <mergeCell ref="A10:R10"/>
    <mergeCell ref="B11:R11"/>
    <mergeCell ref="B16:N16"/>
    <mergeCell ref="O16:R16"/>
    <mergeCell ref="B17:N17"/>
    <mergeCell ref="O17:R17"/>
    <mergeCell ref="P8:R8"/>
    <mergeCell ref="B9:C9"/>
    <mergeCell ref="D9:E9"/>
    <mergeCell ref="F9:G9"/>
    <mergeCell ref="H9:I9"/>
    <mergeCell ref="P9:R9"/>
    <mergeCell ref="B8:C8"/>
    <mergeCell ref="D8:E8"/>
    <mergeCell ref="F8:G8"/>
    <mergeCell ref="H8:I8"/>
    <mergeCell ref="J8:O9"/>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0" firstPageNumber="18" orientation="portrait" r:id="rId1"/>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4107-2700-4B94-942B-4FB626B58FC5}">
  <sheetPr codeName="Sheet24">
    <tabColor rgb="FF92D050"/>
    <pageSetUpPr fitToPage="1"/>
  </sheetPr>
  <dimension ref="A1:R61"/>
  <sheetViews>
    <sheetView workbookViewId="0">
      <selection activeCell="Y21" sqref="Y21"/>
    </sheetView>
  </sheetViews>
  <sheetFormatPr defaultColWidth="9.140625" defaultRowHeight="15"/>
  <cols>
    <col min="1" max="1" width="10.7109375" style="5" customWidth="1"/>
    <col min="2" max="18" width="5.7109375" style="5" customWidth="1"/>
    <col min="19"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71"/>
      <c r="K8" s="172"/>
      <c r="L8" s="172"/>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74"/>
      <c r="K9" s="175"/>
      <c r="L9" s="175"/>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308</v>
      </c>
      <c r="C14" s="17" t="s">
        <v>308</v>
      </c>
      <c r="D14" s="17" t="s">
        <v>308</v>
      </c>
      <c r="E14" s="17" t="s">
        <v>308</v>
      </c>
      <c r="F14" s="17">
        <v>160</v>
      </c>
      <c r="G14" s="17">
        <v>80</v>
      </c>
      <c r="H14" s="17">
        <v>80</v>
      </c>
      <c r="I14" s="17">
        <v>80</v>
      </c>
      <c r="J14" s="17">
        <v>60</v>
      </c>
      <c r="K14" s="17">
        <v>40</v>
      </c>
      <c r="L14" s="17">
        <v>40</v>
      </c>
      <c r="M14" s="17">
        <v>40</v>
      </c>
      <c r="N14" s="17">
        <v>40</v>
      </c>
      <c r="O14" s="17">
        <v>30</v>
      </c>
      <c r="P14" s="17" t="s">
        <v>232</v>
      </c>
      <c r="Q14" s="17" t="s">
        <v>232</v>
      </c>
      <c r="R14" s="66" t="s">
        <v>232</v>
      </c>
    </row>
    <row r="15" spans="1:18" s="3" customFormat="1">
      <c r="A15" s="70" t="s">
        <v>233</v>
      </c>
      <c r="B15" s="17">
        <v>7.47</v>
      </c>
      <c r="C15" s="17">
        <v>7.82</v>
      </c>
      <c r="D15" s="17">
        <v>9.09</v>
      </c>
      <c r="E15" s="17">
        <v>10.16</v>
      </c>
      <c r="F15" s="17">
        <v>8.74</v>
      </c>
      <c r="G15" s="17">
        <v>7.62</v>
      </c>
      <c r="H15" s="17">
        <v>8.56</v>
      </c>
      <c r="I15" s="17">
        <v>10.97</v>
      </c>
      <c r="J15" s="17">
        <v>10.31</v>
      </c>
      <c r="K15" s="17">
        <v>9.27</v>
      </c>
      <c r="L15" s="17">
        <v>10.31</v>
      </c>
      <c r="M15" s="17">
        <v>11.12</v>
      </c>
      <c r="N15" s="17">
        <v>12.7</v>
      </c>
      <c r="O15" s="17">
        <v>11.3</v>
      </c>
      <c r="P15" s="17">
        <v>12.7</v>
      </c>
      <c r="Q15" s="17">
        <v>12.7</v>
      </c>
      <c r="R15" s="66">
        <v>12.7</v>
      </c>
    </row>
    <row r="16" spans="1:18">
      <c r="A16" s="69" t="s">
        <v>234</v>
      </c>
      <c r="B16" s="144" t="s">
        <v>235</v>
      </c>
      <c r="C16" s="145"/>
      <c r="D16" s="145"/>
      <c r="E16" s="145"/>
      <c r="F16" s="145"/>
      <c r="G16" s="145"/>
      <c r="H16" s="145"/>
      <c r="I16" s="145"/>
      <c r="J16" s="145"/>
      <c r="K16" s="145"/>
      <c r="L16" s="145"/>
      <c r="M16" s="145"/>
      <c r="N16" s="146"/>
      <c r="O16" s="145" t="s">
        <v>236</v>
      </c>
      <c r="P16" s="145"/>
      <c r="Q16" s="145"/>
      <c r="R16" s="147"/>
    </row>
    <row r="17" spans="1:18" ht="15" customHeight="1">
      <c r="A17" s="69" t="s">
        <v>237</v>
      </c>
      <c r="B17" s="144" t="s">
        <v>238</v>
      </c>
      <c r="C17" s="145"/>
      <c r="D17" s="145"/>
      <c r="E17" s="145"/>
      <c r="F17" s="145"/>
      <c r="G17" s="145"/>
      <c r="H17" s="145"/>
      <c r="I17" s="145"/>
      <c r="J17" s="145"/>
      <c r="K17" s="145"/>
      <c r="L17" s="145"/>
      <c r="M17" s="145"/>
      <c r="N17" s="146"/>
      <c r="O17" s="145" t="s">
        <v>239</v>
      </c>
      <c r="P17" s="145"/>
      <c r="Q17" s="145"/>
      <c r="R17" s="147"/>
    </row>
    <row r="18" spans="1:18" ht="14.45" customHeight="1">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3.9" customHeight="1">
      <c r="A20" s="69" t="s">
        <v>234</v>
      </c>
      <c r="B20" s="144" t="s">
        <v>341</v>
      </c>
      <c r="C20" s="145"/>
      <c r="D20" s="145"/>
      <c r="E20" s="146"/>
      <c r="F20" s="144" t="s">
        <v>243</v>
      </c>
      <c r="G20" s="145"/>
      <c r="H20" s="145"/>
      <c r="I20" s="145"/>
      <c r="J20" s="145"/>
      <c r="K20" s="145"/>
      <c r="L20" s="145"/>
      <c r="M20" s="145"/>
      <c r="N20" s="145"/>
      <c r="O20" s="145"/>
      <c r="P20" s="145"/>
      <c r="Q20" s="145"/>
      <c r="R20" s="147"/>
    </row>
    <row r="21" spans="1:18" ht="15" customHeight="1">
      <c r="A21" s="69" t="s">
        <v>237</v>
      </c>
      <c r="B21" s="144" t="s">
        <v>342</v>
      </c>
      <c r="C21" s="145"/>
      <c r="D21" s="145"/>
      <c r="E21" s="146"/>
      <c r="F21" s="144" t="s">
        <v>343</v>
      </c>
      <c r="G21" s="145"/>
      <c r="H21" s="145"/>
      <c r="I21" s="145"/>
      <c r="J21" s="145"/>
      <c r="K21" s="145"/>
      <c r="L21" s="145"/>
      <c r="M21" s="145"/>
      <c r="N21" s="145"/>
      <c r="O21" s="145"/>
      <c r="P21" s="145"/>
      <c r="Q21" s="145"/>
      <c r="R21" s="147"/>
    </row>
    <row r="22" spans="1:18" ht="13.9" customHeight="1">
      <c r="A22" s="69" t="s">
        <v>246</v>
      </c>
      <c r="B22" s="144" t="s">
        <v>344</v>
      </c>
      <c r="C22" s="145"/>
      <c r="D22" s="145"/>
      <c r="E22" s="146"/>
      <c r="F22" s="144" t="s">
        <v>247</v>
      </c>
      <c r="G22" s="145" t="s">
        <v>247</v>
      </c>
      <c r="H22" s="145"/>
      <c r="I22" s="145"/>
      <c r="J22" s="145"/>
      <c r="K22" s="145"/>
      <c r="L22" s="145"/>
      <c r="M22" s="145"/>
      <c r="N22" s="145"/>
      <c r="O22" s="145"/>
      <c r="P22" s="145"/>
      <c r="Q22" s="145"/>
      <c r="R22" s="147"/>
    </row>
    <row r="23" spans="1:18" ht="13.9" customHeight="1">
      <c r="A23" s="69" t="s">
        <v>248</v>
      </c>
      <c r="B23" s="144" t="s">
        <v>344</v>
      </c>
      <c r="C23" s="145"/>
      <c r="D23" s="145"/>
      <c r="E23" s="146"/>
      <c r="F23" s="144" t="s">
        <v>247</v>
      </c>
      <c r="G23" s="145" t="s">
        <v>247</v>
      </c>
      <c r="H23" s="145"/>
      <c r="I23" s="145"/>
      <c r="J23" s="145"/>
      <c r="K23" s="145"/>
      <c r="L23" s="145"/>
      <c r="M23" s="145"/>
      <c r="N23" s="145"/>
      <c r="O23" s="145"/>
      <c r="P23" s="145"/>
      <c r="Q23" s="145"/>
      <c r="R23" s="147"/>
    </row>
    <row r="24" spans="1:18" ht="13.9" customHeight="1">
      <c r="A24" s="69" t="s">
        <v>249</v>
      </c>
      <c r="B24" s="144" t="s">
        <v>344</v>
      </c>
      <c r="C24" s="145"/>
      <c r="D24" s="145"/>
      <c r="E24" s="146"/>
      <c r="F24" s="144" t="s">
        <v>247</v>
      </c>
      <c r="G24" s="145" t="s">
        <v>247</v>
      </c>
      <c r="H24" s="145"/>
      <c r="I24" s="145"/>
      <c r="J24" s="145"/>
      <c r="K24" s="145"/>
      <c r="L24" s="145"/>
      <c r="M24" s="145"/>
      <c r="N24" s="145"/>
      <c r="O24" s="145"/>
      <c r="P24" s="145"/>
      <c r="Q24" s="145"/>
      <c r="R24" s="147"/>
    </row>
    <row r="25" spans="1:18" ht="13.9" customHeight="1">
      <c r="A25" s="69" t="s">
        <v>250</v>
      </c>
      <c r="B25" s="144" t="s">
        <v>344</v>
      </c>
      <c r="C25" s="145"/>
      <c r="D25" s="145"/>
      <c r="E25" s="146"/>
      <c r="F25" s="144" t="s">
        <v>247</v>
      </c>
      <c r="G25" s="145" t="s">
        <v>247</v>
      </c>
      <c r="H25" s="145"/>
      <c r="I25" s="145"/>
      <c r="J25" s="145"/>
      <c r="K25" s="145"/>
      <c r="L25" s="145"/>
      <c r="M25" s="145"/>
      <c r="N25" s="145"/>
      <c r="O25" s="145"/>
      <c r="P25" s="145"/>
      <c r="Q25" s="145"/>
      <c r="R25" s="147"/>
    </row>
    <row r="26" spans="1:18" ht="13.9" customHeight="1">
      <c r="A26" s="69" t="s">
        <v>345</v>
      </c>
      <c r="B26" s="144" t="s">
        <v>344</v>
      </c>
      <c r="C26" s="145"/>
      <c r="D26" s="145"/>
      <c r="E26" s="146"/>
      <c r="F26" s="144"/>
      <c r="G26" s="145"/>
      <c r="H26" s="145"/>
      <c r="I26" s="145"/>
      <c r="J26" s="145"/>
      <c r="K26" s="145"/>
      <c r="L26" s="145"/>
      <c r="M26" s="145"/>
      <c r="N26" s="145"/>
      <c r="O26" s="145"/>
      <c r="P26" s="145"/>
      <c r="Q26" s="145"/>
      <c r="R26" s="147"/>
    </row>
    <row r="27" spans="1:18" ht="13.9" customHeight="1">
      <c r="A27" s="69" t="s">
        <v>346</v>
      </c>
      <c r="B27" s="211" t="s">
        <v>290</v>
      </c>
      <c r="C27" s="159"/>
      <c r="D27" s="159"/>
      <c r="E27" s="159"/>
      <c r="F27" s="159"/>
      <c r="G27" s="159"/>
      <c r="H27" s="159"/>
      <c r="I27" s="159"/>
      <c r="J27" s="159"/>
      <c r="K27" s="159"/>
      <c r="L27" s="159"/>
      <c r="M27" s="159"/>
      <c r="N27" s="159"/>
      <c r="O27" s="159"/>
      <c r="P27" s="159"/>
      <c r="Q27" s="159"/>
      <c r="R27" s="160"/>
    </row>
    <row r="28" spans="1:18" ht="14.45" customHeight="1">
      <c r="A28" s="69" t="s">
        <v>347</v>
      </c>
      <c r="B28" s="144" t="s">
        <v>344</v>
      </c>
      <c r="C28" s="145"/>
      <c r="D28" s="145"/>
      <c r="E28" s="146"/>
      <c r="F28" s="144" t="s">
        <v>348</v>
      </c>
      <c r="G28" s="145" t="s">
        <v>348</v>
      </c>
      <c r="H28" s="145"/>
      <c r="I28" s="145"/>
      <c r="J28" s="145"/>
      <c r="K28" s="145"/>
      <c r="L28" s="145"/>
      <c r="M28" s="145"/>
      <c r="N28" s="145"/>
      <c r="O28" s="145"/>
      <c r="P28" s="145"/>
      <c r="Q28" s="145"/>
      <c r="R28" s="147"/>
    </row>
    <row r="29" spans="1:18" ht="13.9" customHeight="1">
      <c r="A29" s="70" t="s">
        <v>349</v>
      </c>
      <c r="B29" s="144" t="s">
        <v>350</v>
      </c>
      <c r="C29" s="145"/>
      <c r="D29" s="145"/>
      <c r="E29" s="146"/>
      <c r="F29" s="144" t="s">
        <v>351</v>
      </c>
      <c r="G29" s="145" t="s">
        <v>351</v>
      </c>
      <c r="H29" s="145"/>
      <c r="I29" s="145"/>
      <c r="J29" s="145"/>
      <c r="K29" s="145"/>
      <c r="L29" s="145"/>
      <c r="M29" s="145"/>
      <c r="N29" s="145"/>
      <c r="O29" s="145"/>
      <c r="P29" s="145"/>
      <c r="Q29" s="145"/>
      <c r="R29" s="147"/>
    </row>
    <row r="30" spans="1:18" ht="13.9" customHeight="1">
      <c r="A30" s="69" t="s">
        <v>352</v>
      </c>
      <c r="B30" s="227" t="s">
        <v>353</v>
      </c>
      <c r="C30" s="156"/>
      <c r="D30" s="156"/>
      <c r="E30" s="156"/>
      <c r="F30" s="156"/>
      <c r="G30" s="156"/>
      <c r="H30" s="156"/>
      <c r="I30" s="156"/>
      <c r="J30" s="156"/>
      <c r="K30" s="156"/>
      <c r="L30" s="156"/>
      <c r="M30" s="156"/>
      <c r="N30" s="156"/>
      <c r="O30" s="156"/>
      <c r="P30" s="156"/>
      <c r="Q30" s="156"/>
      <c r="R30" s="157"/>
    </row>
    <row r="31" spans="1:18">
      <c r="A31" s="117" t="s">
        <v>255</v>
      </c>
      <c r="B31" s="109"/>
      <c r="C31" s="109"/>
      <c r="D31" s="109"/>
      <c r="E31" s="109"/>
      <c r="F31" s="109"/>
      <c r="G31" s="109"/>
      <c r="H31" s="109"/>
      <c r="I31" s="109"/>
      <c r="J31" s="109"/>
      <c r="K31" s="109"/>
      <c r="L31" s="109"/>
      <c r="M31" s="109"/>
      <c r="N31" s="109"/>
      <c r="O31" s="109"/>
      <c r="P31" s="109"/>
      <c r="Q31" s="109"/>
      <c r="R31" s="110"/>
    </row>
    <row r="32" spans="1:18" ht="14.45" customHeight="1">
      <c r="A32" s="69" t="s">
        <v>234</v>
      </c>
      <c r="B32" s="144" t="s">
        <v>354</v>
      </c>
      <c r="C32" s="145"/>
      <c r="D32" s="145"/>
      <c r="E32" s="146"/>
      <c r="F32" s="144" t="s">
        <v>355</v>
      </c>
      <c r="G32" s="145"/>
      <c r="H32" s="145"/>
      <c r="I32" s="145"/>
      <c r="J32" s="145"/>
      <c r="K32" s="145"/>
      <c r="L32" s="145"/>
      <c r="M32" s="145"/>
      <c r="N32" s="145"/>
      <c r="O32" s="145"/>
      <c r="P32" s="145"/>
      <c r="Q32" s="145"/>
      <c r="R32" s="147"/>
    </row>
    <row r="33" spans="1:18" ht="15" customHeight="1">
      <c r="A33" s="69" t="s">
        <v>237</v>
      </c>
      <c r="B33" s="144" t="s">
        <v>356</v>
      </c>
      <c r="C33" s="145"/>
      <c r="D33" s="145"/>
      <c r="E33" s="145"/>
      <c r="F33" s="145"/>
      <c r="G33" s="145"/>
      <c r="H33" s="145"/>
      <c r="I33" s="145"/>
      <c r="J33" s="145"/>
      <c r="K33" s="145"/>
      <c r="L33" s="145"/>
      <c r="M33" s="145"/>
      <c r="N33" s="145"/>
      <c r="O33" s="145"/>
      <c r="P33" s="145"/>
      <c r="Q33" s="145"/>
      <c r="R33" s="147"/>
    </row>
    <row r="34" spans="1:18" ht="13.9" customHeight="1">
      <c r="A34" s="69" t="s">
        <v>257</v>
      </c>
      <c r="B34" s="144" t="s">
        <v>258</v>
      </c>
      <c r="C34" s="145"/>
      <c r="D34" s="145"/>
      <c r="E34" s="145"/>
      <c r="F34" s="145"/>
      <c r="G34" s="145"/>
      <c r="H34" s="145"/>
      <c r="I34" s="145"/>
      <c r="J34" s="145"/>
      <c r="K34" s="145"/>
      <c r="L34" s="145"/>
      <c r="M34" s="145"/>
      <c r="N34" s="145"/>
      <c r="O34" s="145"/>
      <c r="P34" s="145"/>
      <c r="Q34" s="145"/>
      <c r="R34" s="147"/>
    </row>
    <row r="35" spans="1:18" ht="13.9" customHeight="1">
      <c r="A35" s="69" t="s">
        <v>231</v>
      </c>
      <c r="B35" s="144" t="s">
        <v>357</v>
      </c>
      <c r="C35" s="145"/>
      <c r="D35" s="145"/>
      <c r="E35" s="145"/>
      <c r="F35" s="145"/>
      <c r="G35" s="145"/>
      <c r="H35" s="145"/>
      <c r="I35" s="145"/>
      <c r="J35" s="145"/>
      <c r="K35" s="145"/>
      <c r="L35" s="145"/>
      <c r="M35" s="145"/>
      <c r="N35" s="145"/>
      <c r="O35" s="145"/>
      <c r="P35" s="145"/>
      <c r="Q35" s="145"/>
      <c r="R35" s="147"/>
    </row>
    <row r="36" spans="1:18">
      <c r="A36" s="117" t="s">
        <v>260</v>
      </c>
      <c r="B36" s="109"/>
      <c r="C36" s="109"/>
      <c r="D36" s="109"/>
      <c r="E36" s="109"/>
      <c r="F36" s="109"/>
      <c r="G36" s="109"/>
      <c r="H36" s="109"/>
      <c r="I36" s="109"/>
      <c r="J36" s="109"/>
      <c r="K36" s="109"/>
      <c r="L36" s="109"/>
      <c r="M36" s="109"/>
      <c r="N36" s="109"/>
      <c r="O36" s="109"/>
      <c r="P36" s="109"/>
      <c r="Q36" s="109"/>
      <c r="R36" s="110"/>
    </row>
    <row r="37" spans="1:18" ht="15" customHeight="1">
      <c r="A37" s="69" t="s">
        <v>237</v>
      </c>
      <c r="B37" s="144" t="s">
        <v>356</v>
      </c>
      <c r="C37" s="145"/>
      <c r="D37" s="145"/>
      <c r="E37" s="145"/>
      <c r="F37" s="145"/>
      <c r="G37" s="145"/>
      <c r="H37" s="145"/>
      <c r="I37" s="145"/>
      <c r="J37" s="145"/>
      <c r="K37" s="145"/>
      <c r="L37" s="145"/>
      <c r="M37" s="145"/>
      <c r="N37" s="145"/>
      <c r="O37" s="145"/>
      <c r="P37" s="145"/>
      <c r="Q37" s="145"/>
      <c r="R37" s="147"/>
    </row>
    <row r="38" spans="1:18" ht="15" customHeight="1">
      <c r="A38" s="69" t="s">
        <v>261</v>
      </c>
      <c r="B38" s="144" t="s">
        <v>262</v>
      </c>
      <c r="C38" s="145"/>
      <c r="D38" s="145"/>
      <c r="E38" s="145"/>
      <c r="F38" s="145"/>
      <c r="G38" s="145"/>
      <c r="H38" s="145"/>
      <c r="I38" s="145"/>
      <c r="J38" s="145"/>
      <c r="K38" s="145"/>
      <c r="L38" s="146"/>
      <c r="M38" s="151" t="s">
        <v>327</v>
      </c>
      <c r="N38" s="152"/>
      <c r="O38" s="152"/>
      <c r="P38" s="152"/>
      <c r="Q38" s="152"/>
      <c r="R38" s="161"/>
    </row>
    <row r="39" spans="1:18">
      <c r="A39" s="117" t="s">
        <v>264</v>
      </c>
      <c r="B39" s="109"/>
      <c r="C39" s="109"/>
      <c r="D39" s="109"/>
      <c r="E39" s="109"/>
      <c r="F39" s="109"/>
      <c r="G39" s="109"/>
      <c r="H39" s="109"/>
      <c r="I39" s="109"/>
      <c r="J39" s="109"/>
      <c r="K39" s="109"/>
      <c r="L39" s="109"/>
      <c r="M39" s="109"/>
      <c r="N39" s="109"/>
      <c r="O39" s="109"/>
      <c r="P39" s="109"/>
      <c r="Q39" s="109"/>
      <c r="R39" s="110"/>
    </row>
    <row r="40" spans="1:18" ht="13.9" customHeight="1">
      <c r="A40" s="69" t="s">
        <v>358</v>
      </c>
      <c r="B40" s="109" t="s">
        <v>266</v>
      </c>
      <c r="C40" s="109"/>
      <c r="D40" s="109"/>
      <c r="E40" s="109"/>
      <c r="F40" s="109"/>
      <c r="G40" s="109"/>
      <c r="H40" s="109"/>
      <c r="I40" s="109"/>
      <c r="J40" s="109"/>
      <c r="K40" s="109"/>
      <c r="L40" s="109"/>
      <c r="M40" s="109"/>
      <c r="N40" s="109"/>
      <c r="O40" s="109"/>
      <c r="P40" s="109"/>
      <c r="Q40" s="109"/>
      <c r="R40" s="110"/>
    </row>
    <row r="41" spans="1:18" ht="13.9" customHeight="1">
      <c r="A41" s="69" t="s">
        <v>267</v>
      </c>
      <c r="B41" s="109" t="s">
        <v>268</v>
      </c>
      <c r="C41" s="109"/>
      <c r="D41" s="109"/>
      <c r="E41" s="109"/>
      <c r="F41" s="109"/>
      <c r="G41" s="109"/>
      <c r="H41" s="109"/>
      <c r="I41" s="109"/>
      <c r="J41" s="109"/>
      <c r="K41" s="109"/>
      <c r="L41" s="109"/>
      <c r="M41" s="109"/>
      <c r="N41" s="109"/>
      <c r="O41" s="109"/>
      <c r="P41" s="109"/>
      <c r="Q41" s="109"/>
      <c r="R41" s="110"/>
    </row>
    <row r="42" spans="1:18">
      <c r="A42" s="69" t="s">
        <v>269</v>
      </c>
      <c r="B42" s="109" t="s">
        <v>359</v>
      </c>
      <c r="C42" s="109"/>
      <c r="D42" s="109"/>
      <c r="E42" s="109"/>
      <c r="F42" s="109"/>
      <c r="G42" s="109"/>
      <c r="H42" s="109"/>
      <c r="I42" s="109"/>
      <c r="J42" s="109"/>
      <c r="K42" s="109"/>
      <c r="L42" s="109"/>
      <c r="M42" s="109"/>
      <c r="N42" s="109"/>
      <c r="O42" s="109"/>
      <c r="P42" s="109"/>
      <c r="Q42" s="109"/>
      <c r="R42" s="110"/>
    </row>
    <row r="43" spans="1:18" s="1" customFormat="1" ht="14.45" customHeight="1">
      <c r="A43" s="141" t="s">
        <v>271</v>
      </c>
      <c r="B43" s="142"/>
      <c r="C43" s="142"/>
      <c r="D43" s="142"/>
      <c r="E43" s="142"/>
      <c r="F43" s="142"/>
      <c r="G43" s="142"/>
      <c r="H43" s="142"/>
      <c r="I43" s="142"/>
      <c r="J43" s="142"/>
      <c r="K43" s="142"/>
      <c r="L43" s="142"/>
      <c r="M43" s="142"/>
      <c r="N43" s="142"/>
      <c r="O43" s="142"/>
      <c r="P43" s="142"/>
      <c r="Q43" s="142"/>
      <c r="R43" s="143"/>
    </row>
    <row r="44" spans="1:18" s="1" customFormat="1">
      <c r="A44" s="69" t="s">
        <v>272</v>
      </c>
      <c r="B44" s="109" t="e">
        <f ca="1">VLOOKUP(F3,INDEX!B:J,2,0)&amp;", RF"</f>
        <v>#VALUE!</v>
      </c>
      <c r="C44" s="109"/>
      <c r="D44" s="109"/>
      <c r="E44" s="109"/>
      <c r="F44" s="109"/>
      <c r="G44" s="109"/>
      <c r="H44" s="109"/>
      <c r="I44" s="109"/>
      <c r="J44" s="109"/>
      <c r="K44" s="109"/>
      <c r="L44" s="109"/>
      <c r="M44" s="109"/>
      <c r="N44" s="109"/>
      <c r="O44" s="109"/>
      <c r="P44" s="109"/>
      <c r="Q44" s="109"/>
      <c r="R44" s="110"/>
    </row>
    <row r="45" spans="1:18" ht="13.9" customHeight="1">
      <c r="A45" s="69" t="s">
        <v>273</v>
      </c>
      <c r="B45" s="109" t="e">
        <f ca="1">"BSR"&amp;VLOOKUP(F3,INDEX!B:AH,33,0)&amp;"R"&amp;", BSF"&amp;VLOOKUP(F3,INDEX!B:AH,33,0)&amp;"R"</f>
        <v>#VALUE!</v>
      </c>
      <c r="C45" s="109"/>
      <c r="D45" s="109"/>
      <c r="E45" s="109"/>
      <c r="F45" s="109"/>
      <c r="G45" s="109"/>
      <c r="H45" s="109"/>
      <c r="I45" s="109"/>
      <c r="J45" s="109"/>
      <c r="K45" s="109"/>
      <c r="L45" s="109"/>
      <c r="M45" s="109"/>
      <c r="N45" s="109"/>
      <c r="O45" s="109"/>
      <c r="P45" s="109"/>
      <c r="Q45" s="109"/>
      <c r="R45" s="110"/>
    </row>
    <row r="46" spans="1:18" ht="13.9" customHeight="1">
      <c r="A46" s="69" t="s">
        <v>274</v>
      </c>
      <c r="B46" s="109" t="e">
        <f ca="1">"GAW"&amp;VLOOKUP(F3,INDEX!B:AH,33,0)&amp;"R"</f>
        <v>#VALUE!</v>
      </c>
      <c r="C46" s="109"/>
      <c r="D46" s="109"/>
      <c r="E46" s="109"/>
      <c r="F46" s="109"/>
      <c r="G46" s="109"/>
      <c r="H46" s="109"/>
      <c r="I46" s="109"/>
      <c r="J46" s="109"/>
      <c r="K46" s="109"/>
      <c r="L46" s="109"/>
      <c r="M46" s="109"/>
      <c r="N46" s="109"/>
      <c r="O46" s="109"/>
      <c r="P46" s="109"/>
      <c r="Q46" s="109"/>
      <c r="R46" s="110"/>
    </row>
    <row r="47" spans="1:18" ht="13.9" customHeight="1">
      <c r="A47" s="69" t="s">
        <v>275</v>
      </c>
      <c r="B47" s="109" t="e">
        <f ca="1">"GLS"&amp;VLOOKUP(F3,INDEX!B:AH,33,0)&amp;"R"</f>
        <v>#VALUE!</v>
      </c>
      <c r="C47" s="109"/>
      <c r="D47" s="109"/>
      <c r="E47" s="109"/>
      <c r="F47" s="109"/>
      <c r="G47" s="109"/>
      <c r="H47" s="109"/>
      <c r="I47" s="109"/>
      <c r="J47" s="109"/>
      <c r="K47" s="109"/>
      <c r="L47" s="109"/>
      <c r="M47" s="109"/>
      <c r="N47" s="109"/>
      <c r="O47" s="109"/>
      <c r="P47" s="109"/>
      <c r="Q47" s="109"/>
      <c r="R47" s="110"/>
    </row>
    <row r="48" spans="1:18" ht="13.9" customHeight="1">
      <c r="A48" s="69" t="s">
        <v>276</v>
      </c>
      <c r="B48" s="144" t="e">
        <f ca="1">"CHP"&amp;VLOOKUP(F3,INDEX!B:AH,33,0)&amp;"R"</f>
        <v>#VALUE!</v>
      </c>
      <c r="C48" s="145"/>
      <c r="D48" s="145"/>
      <c r="E48" s="146"/>
      <c r="F48" s="144" t="e">
        <f ca="1">"CSW"&amp;VLOOKUP(F3,INDEX!B:AH,33,0)&amp;"R"&amp;", CDP"&amp;VLOOKUP(F3,INDEX!B:AH,33,0)&amp;"R"</f>
        <v>#VALUE!</v>
      </c>
      <c r="G48" s="145"/>
      <c r="H48" s="145"/>
      <c r="I48" s="145"/>
      <c r="J48" s="145"/>
      <c r="K48" s="145"/>
      <c r="L48" s="145"/>
      <c r="M48" s="145"/>
      <c r="N48" s="145"/>
      <c r="O48" s="145"/>
      <c r="P48" s="145"/>
      <c r="Q48" s="145"/>
      <c r="R48" s="147"/>
    </row>
    <row r="49" spans="1:18" ht="13.9" customHeight="1">
      <c r="A49" s="69" t="s">
        <v>277</v>
      </c>
      <c r="B49" s="144"/>
      <c r="C49" s="145"/>
      <c r="D49" s="145"/>
      <c r="E49" s="145"/>
      <c r="F49" s="146"/>
      <c r="G49" s="145" t="e">
        <f ca="1">"BFD"&amp;VLOOKUP(F3,INDEX!B:AH,33,0)&amp;"WR"</f>
        <v>#VALUE!</v>
      </c>
      <c r="H49" s="145"/>
      <c r="I49" s="145"/>
      <c r="J49" s="145"/>
      <c r="K49" s="145"/>
      <c r="L49" s="145"/>
      <c r="M49" s="145"/>
      <c r="N49" s="145"/>
      <c r="O49" s="145"/>
      <c r="P49" s="145"/>
      <c r="Q49" s="145"/>
      <c r="R49" s="147"/>
    </row>
    <row r="50" spans="1:18" ht="13.9" customHeight="1">
      <c r="A50" s="148" t="s">
        <v>278</v>
      </c>
      <c r="B50" s="149"/>
      <c r="C50" s="149"/>
      <c r="D50" s="149"/>
      <c r="E50" s="149"/>
      <c r="F50" s="149"/>
      <c r="G50" s="149"/>
      <c r="H50" s="149"/>
      <c r="I50" s="149"/>
      <c r="J50" s="149"/>
      <c r="K50" s="149"/>
      <c r="L50" s="149"/>
      <c r="M50" s="149"/>
      <c r="N50" s="149"/>
      <c r="O50" s="149"/>
      <c r="P50" s="149"/>
      <c r="Q50" s="149"/>
      <c r="R50" s="150"/>
    </row>
    <row r="51" spans="1:18" ht="29.45" customHeight="1">
      <c r="A51" s="114" t="s">
        <v>279</v>
      </c>
      <c r="B51" s="115"/>
      <c r="C51" s="115"/>
      <c r="D51" s="115"/>
      <c r="E51" s="115"/>
      <c r="F51" s="115"/>
      <c r="G51" s="115"/>
      <c r="H51" s="115"/>
      <c r="I51" s="115"/>
      <c r="J51" s="115"/>
      <c r="K51" s="115"/>
      <c r="L51" s="115"/>
      <c r="M51" s="115"/>
      <c r="N51" s="115"/>
      <c r="O51" s="115"/>
      <c r="P51" s="115"/>
      <c r="Q51" s="115"/>
      <c r="R51" s="116"/>
    </row>
    <row r="52" spans="1:18" ht="13.9" customHeight="1">
      <c r="A52" s="114" t="s">
        <v>280</v>
      </c>
      <c r="B52" s="115"/>
      <c r="C52" s="115"/>
      <c r="D52" s="115"/>
      <c r="E52" s="115"/>
      <c r="F52" s="115"/>
      <c r="G52" s="115"/>
      <c r="H52" s="115"/>
      <c r="I52" s="115"/>
      <c r="J52" s="115"/>
      <c r="K52" s="115"/>
      <c r="L52" s="115"/>
      <c r="M52" s="115"/>
      <c r="N52" s="115"/>
      <c r="O52" s="115"/>
      <c r="P52" s="115"/>
      <c r="Q52" s="115"/>
      <c r="R52" s="116"/>
    </row>
    <row r="53" spans="1:18" ht="13.9" customHeight="1">
      <c r="A53" s="114" t="s">
        <v>281</v>
      </c>
      <c r="B53" s="115"/>
      <c r="C53" s="115"/>
      <c r="D53" s="115"/>
      <c r="E53" s="115"/>
      <c r="F53" s="115"/>
      <c r="G53" s="115"/>
      <c r="H53" s="115"/>
      <c r="I53" s="115"/>
      <c r="J53" s="115"/>
      <c r="K53" s="115"/>
      <c r="L53" s="115"/>
      <c r="M53" s="115"/>
      <c r="N53" s="115"/>
      <c r="O53" s="115"/>
      <c r="P53" s="115"/>
      <c r="Q53" s="115"/>
      <c r="R53" s="116"/>
    </row>
    <row r="54" spans="1:18" ht="29.45" customHeight="1">
      <c r="A54" s="114" t="s">
        <v>282</v>
      </c>
      <c r="B54" s="115"/>
      <c r="C54" s="115"/>
      <c r="D54" s="115"/>
      <c r="E54" s="115"/>
      <c r="F54" s="115"/>
      <c r="G54" s="115"/>
      <c r="H54" s="115"/>
      <c r="I54" s="115"/>
      <c r="J54" s="115"/>
      <c r="K54" s="115"/>
      <c r="L54" s="115"/>
      <c r="M54" s="115"/>
      <c r="N54" s="115"/>
      <c r="O54" s="115"/>
      <c r="P54" s="115"/>
      <c r="Q54" s="115"/>
      <c r="R54" s="116"/>
    </row>
    <row r="55" spans="1:18" s="1" customFormat="1" ht="30" customHeight="1">
      <c r="A55" s="114" t="s">
        <v>283</v>
      </c>
      <c r="B55" s="115"/>
      <c r="C55" s="115"/>
      <c r="D55" s="115"/>
      <c r="E55" s="115"/>
      <c r="F55" s="115"/>
      <c r="G55" s="115"/>
      <c r="H55" s="115"/>
      <c r="I55" s="115"/>
      <c r="J55" s="115"/>
      <c r="K55" s="115"/>
      <c r="L55" s="115"/>
      <c r="M55" s="115"/>
      <c r="N55" s="115"/>
      <c r="O55" s="115"/>
      <c r="P55" s="115"/>
      <c r="Q55" s="115"/>
      <c r="R55" s="116"/>
    </row>
    <row r="56" spans="1:18" s="1" customFormat="1" ht="14.45" customHeight="1">
      <c r="A56" s="114" t="s">
        <v>360</v>
      </c>
      <c r="B56" s="115"/>
      <c r="C56" s="115"/>
      <c r="D56" s="115"/>
      <c r="E56" s="115"/>
      <c r="F56" s="115"/>
      <c r="G56" s="115"/>
      <c r="H56" s="115"/>
      <c r="I56" s="115"/>
      <c r="J56" s="115"/>
      <c r="K56" s="115"/>
      <c r="L56" s="115"/>
      <c r="M56" s="115"/>
      <c r="N56" s="115"/>
      <c r="O56" s="115"/>
      <c r="P56" s="115"/>
      <c r="Q56" s="115"/>
      <c r="R56" s="116"/>
    </row>
    <row r="57" spans="1:18">
      <c r="A57" s="114" t="s">
        <v>361</v>
      </c>
      <c r="B57" s="115"/>
      <c r="C57" s="115"/>
      <c r="D57" s="115"/>
      <c r="E57" s="115"/>
      <c r="F57" s="115"/>
      <c r="G57" s="115"/>
      <c r="H57" s="115"/>
      <c r="I57" s="115"/>
      <c r="J57" s="115"/>
      <c r="K57" s="115"/>
      <c r="L57" s="115"/>
      <c r="M57" s="115"/>
      <c r="N57" s="115"/>
      <c r="O57" s="115"/>
      <c r="P57" s="115"/>
      <c r="Q57" s="115"/>
      <c r="R57" s="116"/>
    </row>
    <row r="58" spans="1:18">
      <c r="A58" s="114" t="s">
        <v>362</v>
      </c>
      <c r="B58" s="115"/>
      <c r="C58" s="115"/>
      <c r="D58" s="115"/>
      <c r="E58" s="115"/>
      <c r="F58" s="115"/>
      <c r="G58" s="115"/>
      <c r="H58" s="115"/>
      <c r="I58" s="115"/>
      <c r="J58" s="115"/>
      <c r="K58" s="115"/>
      <c r="L58" s="115"/>
      <c r="M58" s="115"/>
      <c r="N58" s="115"/>
      <c r="O58" s="115"/>
      <c r="P58" s="115"/>
      <c r="Q58" s="115"/>
      <c r="R58" s="116"/>
    </row>
    <row r="59" spans="1:18" ht="55.9" customHeight="1">
      <c r="A59" s="114" t="s">
        <v>363</v>
      </c>
      <c r="B59" s="115"/>
      <c r="C59" s="115"/>
      <c r="D59" s="115"/>
      <c r="E59" s="115"/>
      <c r="F59" s="115"/>
      <c r="G59" s="115"/>
      <c r="H59" s="115"/>
      <c r="I59" s="115"/>
      <c r="J59" s="115"/>
      <c r="K59" s="115"/>
      <c r="L59" s="115"/>
      <c r="M59" s="115"/>
      <c r="N59" s="115"/>
      <c r="O59" s="115"/>
      <c r="P59" s="115"/>
      <c r="Q59" s="115"/>
      <c r="R59" s="116"/>
    </row>
    <row r="60" spans="1:18">
      <c r="A60" s="114" t="s">
        <v>364</v>
      </c>
      <c r="B60" s="115"/>
      <c r="C60" s="115"/>
      <c r="D60" s="115"/>
      <c r="E60" s="115"/>
      <c r="F60" s="115"/>
      <c r="G60" s="115"/>
      <c r="H60" s="115"/>
      <c r="I60" s="115"/>
      <c r="J60" s="115"/>
      <c r="K60" s="115"/>
      <c r="L60" s="115"/>
      <c r="M60" s="115"/>
      <c r="N60" s="115"/>
      <c r="O60" s="115"/>
      <c r="P60" s="115"/>
      <c r="Q60" s="115"/>
      <c r="R60" s="116"/>
    </row>
    <row r="61" spans="1:18" ht="15.75" thickBot="1">
      <c r="A61" s="177" t="s">
        <v>365</v>
      </c>
      <c r="B61" s="178"/>
      <c r="C61" s="178"/>
      <c r="D61" s="178"/>
      <c r="E61" s="178"/>
      <c r="F61" s="178"/>
      <c r="G61" s="178"/>
      <c r="H61" s="178"/>
      <c r="I61" s="178"/>
      <c r="J61" s="178"/>
      <c r="K61" s="178"/>
      <c r="L61" s="178"/>
      <c r="M61" s="178"/>
      <c r="N61" s="178"/>
      <c r="O61" s="178"/>
      <c r="P61" s="178"/>
      <c r="Q61" s="178"/>
      <c r="R61" s="179"/>
    </row>
  </sheetData>
  <mergeCells count="95">
    <mergeCell ref="A61:R61"/>
    <mergeCell ref="A50:R50"/>
    <mergeCell ref="A51:R51"/>
    <mergeCell ref="A52:R52"/>
    <mergeCell ref="A53:R53"/>
    <mergeCell ref="A54:R54"/>
    <mergeCell ref="A55:R55"/>
    <mergeCell ref="A56:R56"/>
    <mergeCell ref="A57:R57"/>
    <mergeCell ref="A58:R58"/>
    <mergeCell ref="A59:R59"/>
    <mergeCell ref="A60:R60"/>
    <mergeCell ref="B49:F49"/>
    <mergeCell ref="G49:R49"/>
    <mergeCell ref="A39:R39"/>
    <mergeCell ref="B40:R40"/>
    <mergeCell ref="B41:R41"/>
    <mergeCell ref="B42:R42"/>
    <mergeCell ref="A43:R43"/>
    <mergeCell ref="B44:R44"/>
    <mergeCell ref="B45:R45"/>
    <mergeCell ref="B46:R46"/>
    <mergeCell ref="B47:R47"/>
    <mergeCell ref="B48:E48"/>
    <mergeCell ref="F48:R48"/>
    <mergeCell ref="B38:L38"/>
    <mergeCell ref="M38:R38"/>
    <mergeCell ref="B29:E29"/>
    <mergeCell ref="F29:R29"/>
    <mergeCell ref="B30:R30"/>
    <mergeCell ref="A31:R31"/>
    <mergeCell ref="B32:E32"/>
    <mergeCell ref="F32:R32"/>
    <mergeCell ref="B33:R33"/>
    <mergeCell ref="B34:R34"/>
    <mergeCell ref="B35:R35"/>
    <mergeCell ref="A36:R36"/>
    <mergeCell ref="B37:R37"/>
    <mergeCell ref="B28:E28"/>
    <mergeCell ref="F28:R28"/>
    <mergeCell ref="B22:E22"/>
    <mergeCell ref="F22:R22"/>
    <mergeCell ref="B23:E23"/>
    <mergeCell ref="F23:R23"/>
    <mergeCell ref="B24:E24"/>
    <mergeCell ref="F24:R24"/>
    <mergeCell ref="B25:E25"/>
    <mergeCell ref="F25:R25"/>
    <mergeCell ref="B26:E26"/>
    <mergeCell ref="F26:R26"/>
    <mergeCell ref="B27:R27"/>
    <mergeCell ref="B18:R18"/>
    <mergeCell ref="A19:R19"/>
    <mergeCell ref="B20:E20"/>
    <mergeCell ref="F20:R20"/>
    <mergeCell ref="B21:E21"/>
    <mergeCell ref="F21:R21"/>
    <mergeCell ref="A10:R10"/>
    <mergeCell ref="B11:R11"/>
    <mergeCell ref="B16:N16"/>
    <mergeCell ref="O16:R16"/>
    <mergeCell ref="B17:N17"/>
    <mergeCell ref="O17:R17"/>
    <mergeCell ref="P8:R8"/>
    <mergeCell ref="B9:C9"/>
    <mergeCell ref="D9:E9"/>
    <mergeCell ref="F9:G9"/>
    <mergeCell ref="H9:I9"/>
    <mergeCell ref="P9:R9"/>
    <mergeCell ref="B8:C8"/>
    <mergeCell ref="D8:E8"/>
    <mergeCell ref="F8:G8"/>
    <mergeCell ref="H8:I8"/>
    <mergeCell ref="J8:O9"/>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1" firstPageNumber="18" orientation="portrait" r:id="rId1"/>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5FA20-AC26-4635-A93B-C6D5A08CA332}">
  <sheetPr codeName="Sheet25">
    <tabColor rgb="FF00B0F0"/>
    <pageSetUpPr fitToPage="1"/>
  </sheetPr>
  <dimension ref="A1:R56"/>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367</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t="s">
        <v>368</v>
      </c>
      <c r="E14" s="17" t="s">
        <v>368</v>
      </c>
      <c r="F14" s="17" t="s">
        <v>368</v>
      </c>
      <c r="G14" s="17" t="s">
        <v>369</v>
      </c>
      <c r="H14" s="17" t="s">
        <v>369</v>
      </c>
      <c r="I14" s="17" t="s">
        <v>369</v>
      </c>
      <c r="J14" s="17" t="s">
        <v>369</v>
      </c>
      <c r="K14" s="17" t="s">
        <v>369</v>
      </c>
      <c r="L14" s="17" t="s">
        <v>369</v>
      </c>
      <c r="M14" s="17" t="s">
        <v>369</v>
      </c>
      <c r="N14" s="17" t="s">
        <v>369</v>
      </c>
      <c r="O14" s="17" t="s">
        <v>369</v>
      </c>
      <c r="P14" s="17" t="s">
        <v>369</v>
      </c>
      <c r="Q14" s="17" t="s">
        <v>231</v>
      </c>
      <c r="R14" s="66" t="s">
        <v>369</v>
      </c>
    </row>
    <row r="15" spans="1:18" s="12" customFormat="1">
      <c r="A15" s="70" t="s">
        <v>233</v>
      </c>
      <c r="B15" s="17">
        <v>4.78</v>
      </c>
      <c r="C15" s="17">
        <v>5.56</v>
      </c>
      <c r="D15" s="17">
        <v>4.55</v>
      </c>
      <c r="E15" s="17">
        <v>5.08</v>
      </c>
      <c r="F15" s="17">
        <v>5.54</v>
      </c>
      <c r="G15" s="17">
        <v>5.49</v>
      </c>
      <c r="H15" s="17">
        <v>6.02</v>
      </c>
      <c r="I15" s="17">
        <v>7.11</v>
      </c>
      <c r="J15" s="17">
        <v>8.18</v>
      </c>
      <c r="K15" s="17">
        <v>9.27</v>
      </c>
      <c r="L15" s="17">
        <v>9.5299999999999994</v>
      </c>
      <c r="M15" s="17">
        <v>9.5299999999999994</v>
      </c>
      <c r="N15" s="17">
        <v>9.5299999999999994</v>
      </c>
      <c r="O15" s="17">
        <v>9.5299999999999994</v>
      </c>
      <c r="P15" s="17">
        <v>9.5299999999999994</v>
      </c>
      <c r="Q15" s="17">
        <v>9.5299999999999994</v>
      </c>
      <c r="R15" s="66">
        <v>9.5299999999999994</v>
      </c>
    </row>
    <row r="16" spans="1:18">
      <c r="A16" s="69" t="s">
        <v>234</v>
      </c>
      <c r="B16" s="109" t="s">
        <v>235</v>
      </c>
      <c r="C16" s="109"/>
      <c r="D16" s="109"/>
      <c r="E16" s="109"/>
      <c r="F16" s="109"/>
      <c r="G16" s="109"/>
      <c r="H16" s="109"/>
      <c r="I16" s="109"/>
      <c r="J16" s="109"/>
      <c r="K16" s="144" t="s">
        <v>287</v>
      </c>
      <c r="L16" s="145"/>
      <c r="M16" s="145"/>
      <c r="N16" s="145"/>
      <c r="O16" s="145"/>
      <c r="P16" s="145"/>
      <c r="Q16" s="145"/>
      <c r="R16" s="147"/>
    </row>
    <row r="17" spans="1:18" ht="13.9" customHeight="1">
      <c r="A17" s="69" t="s">
        <v>237</v>
      </c>
      <c r="B17" s="109" t="s">
        <v>370</v>
      </c>
      <c r="C17" s="109"/>
      <c r="D17" s="109"/>
      <c r="E17" s="109"/>
      <c r="F17" s="109"/>
      <c r="G17" s="109"/>
      <c r="H17" s="109"/>
      <c r="I17" s="109"/>
      <c r="J17" s="109"/>
      <c r="K17" s="144" t="s">
        <v>371</v>
      </c>
      <c r="L17" s="145"/>
      <c r="M17" s="145"/>
      <c r="N17" s="145"/>
      <c r="O17" s="145"/>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75" customHeight="1">
      <c r="A21" s="69" t="s">
        <v>237</v>
      </c>
      <c r="B21" s="144" t="s">
        <v>372</v>
      </c>
      <c r="C21" s="145"/>
      <c r="D21" s="145"/>
      <c r="E21" s="145"/>
      <c r="F21" s="145"/>
      <c r="G21" s="145"/>
      <c r="H21" s="145"/>
      <c r="I21" s="145"/>
      <c r="J21" s="145"/>
      <c r="K21" s="145"/>
      <c r="L21" s="145"/>
      <c r="M21" s="145"/>
      <c r="N21" s="145"/>
      <c r="O21" s="145"/>
      <c r="P21" s="145"/>
      <c r="Q21" s="145"/>
      <c r="R21" s="147"/>
    </row>
    <row r="22" spans="1:18" ht="15.75" customHeight="1">
      <c r="A22" s="69" t="s">
        <v>246</v>
      </c>
      <c r="B22" s="144" t="s">
        <v>247</v>
      </c>
      <c r="C22" s="145"/>
      <c r="D22" s="145"/>
      <c r="E22" s="145"/>
      <c r="F22" s="145"/>
      <c r="G22" s="145"/>
      <c r="H22" s="145"/>
      <c r="I22" s="145"/>
      <c r="J22" s="145"/>
      <c r="K22" s="145"/>
      <c r="L22" s="145"/>
      <c r="M22" s="145"/>
      <c r="N22" s="145"/>
      <c r="O22" s="145"/>
      <c r="P22" s="145"/>
      <c r="Q22" s="145"/>
      <c r="R22" s="147"/>
    </row>
    <row r="23" spans="1:18" ht="15.75" customHeight="1">
      <c r="A23" s="69" t="s">
        <v>248</v>
      </c>
      <c r="B23" s="144" t="s">
        <v>247</v>
      </c>
      <c r="C23" s="145"/>
      <c r="D23" s="145"/>
      <c r="E23" s="145"/>
      <c r="F23" s="145"/>
      <c r="G23" s="145"/>
      <c r="H23" s="145"/>
      <c r="I23" s="145"/>
      <c r="J23" s="145"/>
      <c r="K23" s="145"/>
      <c r="L23" s="145"/>
      <c r="M23" s="145"/>
      <c r="N23" s="145"/>
      <c r="O23" s="145"/>
      <c r="P23" s="145"/>
      <c r="Q23" s="145"/>
      <c r="R23" s="147"/>
    </row>
    <row r="24" spans="1:18" ht="15.75" customHeight="1">
      <c r="A24" s="69" t="s">
        <v>249</v>
      </c>
      <c r="B24" s="144" t="s">
        <v>247</v>
      </c>
      <c r="C24" s="145"/>
      <c r="D24" s="145"/>
      <c r="E24" s="145"/>
      <c r="F24" s="145"/>
      <c r="G24" s="145"/>
      <c r="H24" s="145"/>
      <c r="I24" s="145"/>
      <c r="J24" s="145"/>
      <c r="K24" s="145"/>
      <c r="L24" s="145"/>
      <c r="M24" s="145"/>
      <c r="N24" s="145"/>
      <c r="O24" s="145"/>
      <c r="P24" s="145"/>
      <c r="Q24" s="145"/>
      <c r="R24" s="147"/>
    </row>
    <row r="25" spans="1:18" ht="15.75" customHeight="1">
      <c r="A25" s="69" t="s">
        <v>250</v>
      </c>
      <c r="B25" s="144" t="s">
        <v>247</v>
      </c>
      <c r="C25" s="145"/>
      <c r="D25" s="145"/>
      <c r="E25" s="145"/>
      <c r="F25" s="145"/>
      <c r="G25" s="145"/>
      <c r="H25" s="145"/>
      <c r="I25" s="145"/>
      <c r="J25" s="145"/>
      <c r="K25" s="145"/>
      <c r="L25" s="145"/>
      <c r="M25" s="145"/>
      <c r="N25" s="145"/>
      <c r="O25" s="145"/>
      <c r="P25" s="145"/>
      <c r="Q25" s="145"/>
      <c r="R25" s="147"/>
    </row>
    <row r="26" spans="1:18" ht="15.75" customHeight="1">
      <c r="A26" s="69" t="s">
        <v>251</v>
      </c>
      <c r="B26" s="151" t="s">
        <v>290</v>
      </c>
      <c r="C26" s="152"/>
      <c r="D26" s="152"/>
      <c r="E26" s="127"/>
      <c r="F26" s="144"/>
      <c r="G26" s="145"/>
      <c r="H26" s="145"/>
      <c r="I26" s="145"/>
      <c r="J26" s="145"/>
      <c r="K26" s="145"/>
      <c r="L26" s="145"/>
      <c r="M26" s="145"/>
      <c r="N26" s="145"/>
      <c r="O26" s="145"/>
      <c r="P26" s="145"/>
      <c r="Q26" s="145"/>
      <c r="R26" s="147"/>
    </row>
    <row r="27" spans="1:18" ht="15.75" customHeight="1">
      <c r="A27" s="69" t="s">
        <v>253</v>
      </c>
      <c r="B27" s="144" t="s">
        <v>373</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5" customHeight="1">
      <c r="A29" s="69" t="s">
        <v>237</v>
      </c>
      <c r="B29" s="144" t="s">
        <v>374</v>
      </c>
      <c r="C29" s="145"/>
      <c r="D29" s="145"/>
      <c r="E29" s="145"/>
      <c r="F29" s="145"/>
      <c r="G29" s="145"/>
      <c r="H29" s="145"/>
      <c r="I29" s="145"/>
      <c r="J29" s="145"/>
      <c r="K29" s="145"/>
      <c r="L29" s="145"/>
      <c r="M29" s="145"/>
      <c r="N29" s="145"/>
      <c r="O29" s="145"/>
      <c r="P29" s="145"/>
      <c r="Q29" s="145"/>
      <c r="R29" s="147"/>
    </row>
    <row r="30" spans="1:18" s="5" customFormat="1" ht="13.9" customHeight="1">
      <c r="A30" s="69" t="s">
        <v>257</v>
      </c>
      <c r="B30" s="144" t="s">
        <v>258</v>
      </c>
      <c r="C30" s="145"/>
      <c r="D30" s="145"/>
      <c r="E30" s="145"/>
      <c r="F30" s="145"/>
      <c r="G30" s="145"/>
      <c r="H30" s="145"/>
      <c r="I30" s="145"/>
      <c r="J30" s="145"/>
      <c r="K30" s="145"/>
      <c r="L30" s="145"/>
      <c r="M30" s="145"/>
      <c r="N30" s="145"/>
      <c r="O30" s="145"/>
      <c r="P30" s="145"/>
      <c r="Q30" s="145"/>
      <c r="R30" s="147"/>
    </row>
    <row r="31" spans="1:18" s="5" customFormat="1" ht="13.9" customHeight="1">
      <c r="A31" s="69" t="s">
        <v>234</v>
      </c>
      <c r="B31" s="144" t="s">
        <v>292</v>
      </c>
      <c r="C31" s="145"/>
      <c r="D31" s="145"/>
      <c r="E31" s="145"/>
      <c r="F31" s="145"/>
      <c r="G31" s="145"/>
      <c r="H31" s="145"/>
      <c r="I31" s="145"/>
      <c r="J31" s="145"/>
      <c r="K31" s="145"/>
      <c r="L31" s="145"/>
      <c r="M31" s="145"/>
      <c r="N31" s="145"/>
      <c r="O31" s="145"/>
      <c r="P31" s="145"/>
      <c r="Q31" s="145"/>
      <c r="R31" s="147"/>
    </row>
    <row r="32" spans="1:18">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374</v>
      </c>
      <c r="C33" s="109"/>
      <c r="D33" s="109"/>
      <c r="E33" s="109"/>
      <c r="F33" s="109"/>
      <c r="G33" s="109"/>
      <c r="H33" s="109"/>
      <c r="I33" s="109"/>
      <c r="J33" s="109"/>
      <c r="K33" s="109"/>
      <c r="L33" s="109"/>
      <c r="M33" s="109"/>
      <c r="N33" s="109"/>
      <c r="O33" s="109"/>
      <c r="P33" s="109"/>
      <c r="Q33" s="109"/>
      <c r="R33" s="110"/>
    </row>
    <row r="34" spans="1:18" ht="14.4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18">
      <c r="A35" s="117" t="s">
        <v>264</v>
      </c>
      <c r="B35" s="109"/>
      <c r="C35" s="109"/>
      <c r="D35" s="109"/>
      <c r="E35" s="109"/>
      <c r="F35" s="109"/>
      <c r="G35" s="109"/>
      <c r="H35" s="109"/>
      <c r="I35" s="109"/>
      <c r="J35" s="109"/>
      <c r="K35" s="109"/>
      <c r="L35" s="109"/>
      <c r="M35" s="109"/>
      <c r="N35" s="109"/>
      <c r="O35" s="109"/>
      <c r="P35" s="109"/>
      <c r="Q35" s="109"/>
      <c r="R35" s="110"/>
    </row>
    <row r="36" spans="1:18" ht="14.45" customHeight="1">
      <c r="A36" s="69" t="s">
        <v>265</v>
      </c>
      <c r="B36" s="144" t="s">
        <v>328</v>
      </c>
      <c r="C36" s="145"/>
      <c r="D36" s="145"/>
      <c r="E36" s="145"/>
      <c r="F36" s="145"/>
      <c r="G36" s="145"/>
      <c r="H36" s="145"/>
      <c r="I36" s="145"/>
      <c r="J36" s="145"/>
      <c r="K36" s="145"/>
      <c r="L36" s="145"/>
      <c r="M36" s="145"/>
      <c r="N36" s="145"/>
      <c r="O36" s="145"/>
      <c r="P36" s="145"/>
      <c r="Q36" s="145"/>
      <c r="R36" s="147"/>
    </row>
    <row r="37" spans="1:18" ht="14.45" customHeight="1">
      <c r="A37" s="69" t="s">
        <v>267</v>
      </c>
      <c r="B37" s="144" t="s">
        <v>329</v>
      </c>
      <c r="C37" s="145"/>
      <c r="D37" s="145"/>
      <c r="E37" s="145"/>
      <c r="F37" s="145"/>
      <c r="G37" s="145"/>
      <c r="H37" s="145"/>
      <c r="I37" s="145"/>
      <c r="J37" s="145"/>
      <c r="K37" s="145"/>
      <c r="L37" s="145"/>
      <c r="M37" s="145"/>
      <c r="N37" s="145"/>
      <c r="O37" s="145"/>
      <c r="P37" s="145"/>
      <c r="Q37" s="145"/>
      <c r="R37" s="147"/>
    </row>
    <row r="38" spans="1:18" ht="14.45" customHeight="1">
      <c r="A38" s="69" t="s">
        <v>269</v>
      </c>
      <c r="B38" s="144" t="s">
        <v>330</v>
      </c>
      <c r="C38" s="149"/>
      <c r="D38" s="149"/>
      <c r="E38" s="149"/>
      <c r="F38" s="149"/>
      <c r="G38" s="149"/>
      <c r="H38" s="149"/>
      <c r="I38" s="149"/>
      <c r="J38" s="149"/>
      <c r="K38" s="149"/>
      <c r="L38" s="149"/>
      <c r="M38" s="149"/>
      <c r="N38" s="149"/>
      <c r="O38" s="149"/>
      <c r="P38" s="149"/>
      <c r="Q38" s="149"/>
      <c r="R38" s="150"/>
    </row>
    <row r="39" spans="1:18" s="5"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18"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s="5" customFormat="1" ht="13.9" customHeight="1">
      <c r="A45" s="69" t="s">
        <v>277</v>
      </c>
      <c r="B45" s="144"/>
      <c r="C45" s="145"/>
      <c r="D45" s="145"/>
      <c r="E45" s="145"/>
      <c r="F45" s="146"/>
      <c r="G45" s="145" t="e">
        <f ca="1">"BFD"&amp;VLOOKUP(F3,INDEX!B:AH,33,0)&amp;"WR"</f>
        <v>#VALUE!</v>
      </c>
      <c r="H45" s="145"/>
      <c r="I45" s="145"/>
      <c r="J45" s="145"/>
      <c r="K45" s="145"/>
      <c r="L45" s="145"/>
      <c r="M45" s="145"/>
      <c r="N45" s="145"/>
      <c r="O45" s="145"/>
      <c r="P45" s="145"/>
      <c r="Q45" s="145"/>
      <c r="R45" s="147"/>
    </row>
    <row r="46" spans="1:18" s="5" customFormat="1" ht="13.9" customHeight="1">
      <c r="A46" s="69"/>
      <c r="B46" s="109"/>
      <c r="C46" s="109"/>
      <c r="D46" s="109"/>
      <c r="E46" s="109"/>
      <c r="F46" s="109"/>
      <c r="G46" s="109"/>
      <c r="H46" s="109"/>
      <c r="I46" s="109"/>
      <c r="J46" s="109"/>
      <c r="K46" s="109"/>
      <c r="L46" s="109"/>
      <c r="M46" s="109"/>
      <c r="N46" s="109"/>
      <c r="O46" s="109"/>
      <c r="P46" s="109"/>
      <c r="Q46" s="109"/>
      <c r="R46" s="110"/>
    </row>
    <row r="47" spans="1:18" s="5" customFormat="1">
      <c r="A47" s="148" t="s">
        <v>278</v>
      </c>
      <c r="B47" s="149"/>
      <c r="C47" s="149"/>
      <c r="D47" s="149"/>
      <c r="E47" s="149"/>
      <c r="F47" s="149"/>
      <c r="G47" s="149"/>
      <c r="H47" s="149"/>
      <c r="I47" s="149"/>
      <c r="J47" s="149"/>
      <c r="K47" s="149"/>
      <c r="L47" s="149"/>
      <c r="M47" s="149"/>
      <c r="N47" s="149"/>
      <c r="O47" s="149"/>
      <c r="P47" s="149"/>
      <c r="Q47" s="149"/>
      <c r="R47" s="150"/>
    </row>
    <row r="48" spans="1:18" s="5" customFormat="1" ht="28.15" customHeight="1">
      <c r="A48" s="111" t="s">
        <v>279</v>
      </c>
      <c r="B48" s="112"/>
      <c r="C48" s="112"/>
      <c r="D48" s="112"/>
      <c r="E48" s="112"/>
      <c r="F48" s="112"/>
      <c r="G48" s="112"/>
      <c r="H48" s="112"/>
      <c r="I48" s="112"/>
      <c r="J48" s="112"/>
      <c r="K48" s="112"/>
      <c r="L48" s="112"/>
      <c r="M48" s="112"/>
      <c r="N48" s="112"/>
      <c r="O48" s="112"/>
      <c r="P48" s="112"/>
      <c r="Q48" s="112"/>
      <c r="R48" s="113"/>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s="5" customFormat="1">
      <c r="A50" s="114" t="s">
        <v>281</v>
      </c>
      <c r="B50" s="115"/>
      <c r="C50" s="115"/>
      <c r="D50" s="115"/>
      <c r="E50" s="115"/>
      <c r="F50" s="115"/>
      <c r="G50" s="115"/>
      <c r="H50" s="115"/>
      <c r="I50" s="115"/>
      <c r="J50" s="115"/>
      <c r="K50" s="115"/>
      <c r="L50" s="115"/>
      <c r="M50" s="115"/>
      <c r="N50" s="115"/>
      <c r="O50" s="115"/>
      <c r="P50" s="115"/>
      <c r="Q50" s="115"/>
      <c r="R50" s="116"/>
    </row>
    <row r="51" spans="1:18" s="5" customFormat="1" ht="28.9" customHeight="1">
      <c r="A51" s="114" t="s">
        <v>282</v>
      </c>
      <c r="B51" s="115"/>
      <c r="C51" s="115"/>
      <c r="D51" s="115"/>
      <c r="E51" s="115"/>
      <c r="F51" s="115"/>
      <c r="G51" s="115"/>
      <c r="H51" s="115"/>
      <c r="I51" s="115"/>
      <c r="J51" s="115"/>
      <c r="K51" s="115"/>
      <c r="L51" s="115"/>
      <c r="M51" s="115"/>
      <c r="N51" s="115"/>
      <c r="O51" s="115"/>
      <c r="P51" s="115"/>
      <c r="Q51" s="115"/>
      <c r="R51" s="116"/>
    </row>
    <row r="52" spans="1:18" s="5" customFormat="1" ht="26.4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c r="A53" s="114" t="s">
        <v>284</v>
      </c>
      <c r="B53" s="115"/>
      <c r="C53" s="115"/>
      <c r="D53" s="115"/>
      <c r="E53" s="115"/>
      <c r="F53" s="115"/>
      <c r="G53" s="115"/>
      <c r="H53" s="115"/>
      <c r="I53" s="115"/>
      <c r="J53" s="115"/>
      <c r="K53" s="115"/>
      <c r="L53" s="115"/>
      <c r="M53" s="115"/>
      <c r="N53" s="115"/>
      <c r="O53" s="115"/>
      <c r="P53" s="115"/>
      <c r="Q53" s="115"/>
      <c r="R53" s="116"/>
    </row>
    <row r="54" spans="1:18" s="5" customFormat="1">
      <c r="A54" s="114" t="s">
        <v>285</v>
      </c>
      <c r="B54" s="115"/>
      <c r="C54" s="115"/>
      <c r="D54" s="115"/>
      <c r="E54" s="115"/>
      <c r="F54" s="115"/>
      <c r="G54" s="115"/>
      <c r="H54" s="115"/>
      <c r="I54" s="115"/>
      <c r="J54" s="115"/>
      <c r="K54" s="115"/>
      <c r="L54" s="115"/>
      <c r="M54" s="115"/>
      <c r="N54" s="115"/>
      <c r="O54" s="115"/>
      <c r="P54" s="115"/>
      <c r="Q54" s="115"/>
      <c r="R54" s="116"/>
    </row>
    <row r="55" spans="1:18" s="5" customFormat="1">
      <c r="A55" s="114" t="s">
        <v>286</v>
      </c>
      <c r="B55" s="115"/>
      <c r="C55" s="115"/>
      <c r="D55" s="115"/>
      <c r="E55" s="115"/>
      <c r="F55" s="115"/>
      <c r="G55" s="115"/>
      <c r="H55" s="115"/>
      <c r="I55" s="115"/>
      <c r="J55" s="115"/>
      <c r="K55" s="115"/>
      <c r="L55" s="115"/>
      <c r="M55" s="115"/>
      <c r="N55" s="115"/>
      <c r="O55" s="115"/>
      <c r="P55" s="115"/>
      <c r="Q55" s="115"/>
      <c r="R55" s="116"/>
    </row>
    <row r="56" spans="1:18" s="5" customFormat="1" ht="15.75" thickBot="1">
      <c r="A56" s="177"/>
      <c r="B56" s="178"/>
      <c r="C56" s="178"/>
      <c r="D56" s="178"/>
      <c r="E56" s="178"/>
      <c r="F56" s="178"/>
      <c r="G56" s="178"/>
      <c r="H56" s="178"/>
      <c r="I56" s="178"/>
      <c r="J56" s="178"/>
      <c r="K56" s="178"/>
      <c r="L56" s="178"/>
      <c r="M56" s="178"/>
      <c r="N56" s="178"/>
      <c r="O56" s="178"/>
      <c r="P56" s="178"/>
      <c r="Q56" s="178"/>
      <c r="R56" s="179"/>
    </row>
  </sheetData>
  <mergeCells count="91">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A10:R10"/>
    <mergeCell ref="B11:R11"/>
    <mergeCell ref="B16:J16"/>
    <mergeCell ref="K16:R16"/>
    <mergeCell ref="B17:J17"/>
    <mergeCell ref="K17:R17"/>
    <mergeCell ref="B18:R18"/>
    <mergeCell ref="A19:R19"/>
    <mergeCell ref="B20:J20"/>
    <mergeCell ref="K20:R20"/>
    <mergeCell ref="B21:P21"/>
    <mergeCell ref="Q21:R21"/>
    <mergeCell ref="B31:R31"/>
    <mergeCell ref="A32:R32"/>
    <mergeCell ref="B22:P22"/>
    <mergeCell ref="Q22:R22"/>
    <mergeCell ref="B23:P23"/>
    <mergeCell ref="Q23:R23"/>
    <mergeCell ref="B24:P24"/>
    <mergeCell ref="Q24:R24"/>
    <mergeCell ref="Q26:R26"/>
    <mergeCell ref="B27:P27"/>
    <mergeCell ref="Q27:R27"/>
    <mergeCell ref="A28:R28"/>
    <mergeCell ref="B29:R29"/>
    <mergeCell ref="A50:R50"/>
    <mergeCell ref="A51:R51"/>
    <mergeCell ref="A39:R39"/>
    <mergeCell ref="B40:R40"/>
    <mergeCell ref="B41:R41"/>
    <mergeCell ref="B42:R42"/>
    <mergeCell ref="B43:R43"/>
    <mergeCell ref="B44:E44"/>
    <mergeCell ref="F44:R44"/>
    <mergeCell ref="B46:R46"/>
    <mergeCell ref="B45:F45"/>
    <mergeCell ref="G45:R45"/>
    <mergeCell ref="B9:C9"/>
    <mergeCell ref="A47:R47"/>
    <mergeCell ref="A48:R48"/>
    <mergeCell ref="A49:R49"/>
    <mergeCell ref="B34:L34"/>
    <mergeCell ref="M34:R34"/>
    <mergeCell ref="A35:R35"/>
    <mergeCell ref="B36:R36"/>
    <mergeCell ref="B37:R37"/>
    <mergeCell ref="B38:R38"/>
    <mergeCell ref="B33:R33"/>
    <mergeCell ref="B25:P25"/>
    <mergeCell ref="Q25:R25"/>
    <mergeCell ref="B26:E26"/>
    <mergeCell ref="F26:P26"/>
    <mergeCell ref="B30:R30"/>
    <mergeCell ref="A55:R55"/>
    <mergeCell ref="A52:R52"/>
    <mergeCell ref="A53:R53"/>
    <mergeCell ref="A54:R54"/>
    <mergeCell ref="A56:R56"/>
  </mergeCells>
  <printOptions horizontalCentered="1"/>
  <pageMargins left="0.7" right="0.7" top="0.75" bottom="0.75" header="0.3" footer="0.3"/>
  <pageSetup paperSize="9" scale="88" firstPageNumber="18" orientation="portrait" r:id="rId1"/>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BDA1-10C9-4404-AB95-A2F22F4AADF9}">
  <sheetPr codeName="Sheet26">
    <tabColor rgb="FF00B0F0"/>
    <pageSetUpPr fitToPage="1"/>
  </sheetPr>
  <dimension ref="A1:S55"/>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375</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t="s">
        <v>368</v>
      </c>
      <c r="G14" s="17" t="s">
        <v>369</v>
      </c>
      <c r="H14" s="17" t="s">
        <v>369</v>
      </c>
      <c r="I14" s="17" t="s">
        <v>369</v>
      </c>
      <c r="J14" s="17" t="s">
        <v>369</v>
      </c>
      <c r="K14" s="17" t="s">
        <v>369</v>
      </c>
      <c r="L14" s="17" t="s">
        <v>369</v>
      </c>
      <c r="M14" s="17" t="s">
        <v>369</v>
      </c>
      <c r="N14" s="17" t="s">
        <v>369</v>
      </c>
      <c r="O14" s="17" t="s">
        <v>369</v>
      </c>
      <c r="P14" s="17" t="s">
        <v>368</v>
      </c>
      <c r="Q14" s="17" t="s">
        <v>232</v>
      </c>
      <c r="R14" s="66" t="s">
        <v>368</v>
      </c>
    </row>
    <row r="15" spans="1:18" s="12" customFormat="1">
      <c r="A15" s="70" t="s">
        <v>233</v>
      </c>
      <c r="B15" s="17">
        <v>4.78</v>
      </c>
      <c r="C15" s="17">
        <v>5.56</v>
      </c>
      <c r="D15" s="17">
        <v>6.4</v>
      </c>
      <c r="E15" s="17">
        <v>7.14</v>
      </c>
      <c r="F15" s="17">
        <v>5.54</v>
      </c>
      <c r="G15" s="17">
        <v>5.49</v>
      </c>
      <c r="H15" s="17">
        <v>6.02</v>
      </c>
      <c r="I15" s="17">
        <v>7.11</v>
      </c>
      <c r="J15" s="17">
        <v>8.18</v>
      </c>
      <c r="K15" s="17">
        <v>9.27</v>
      </c>
      <c r="L15" s="17">
        <v>9.5299999999999994</v>
      </c>
      <c r="M15" s="17">
        <v>9.5299999999999994</v>
      </c>
      <c r="N15" s="17">
        <v>9.5299999999999994</v>
      </c>
      <c r="O15" s="17">
        <v>9.5299999999999994</v>
      </c>
      <c r="P15" s="17">
        <v>12.7</v>
      </c>
      <c r="Q15" s="17">
        <v>12.7</v>
      </c>
      <c r="R15" s="66">
        <v>12.7</v>
      </c>
    </row>
    <row r="16" spans="1:18">
      <c r="A16" s="69" t="s">
        <v>234</v>
      </c>
      <c r="B16" s="109" t="s">
        <v>235</v>
      </c>
      <c r="C16" s="109"/>
      <c r="D16" s="109"/>
      <c r="E16" s="109"/>
      <c r="F16" s="109"/>
      <c r="G16" s="109"/>
      <c r="H16" s="109"/>
      <c r="I16" s="109"/>
      <c r="J16" s="109"/>
      <c r="K16" s="109" t="s">
        <v>287</v>
      </c>
      <c r="L16" s="109"/>
      <c r="M16" s="109"/>
      <c r="N16" s="109"/>
      <c r="O16" s="109"/>
      <c r="P16" s="109"/>
      <c r="Q16" s="109"/>
      <c r="R16" s="110"/>
    </row>
    <row r="17" spans="1:18" ht="15" customHeight="1">
      <c r="A17" s="69" t="s">
        <v>237</v>
      </c>
      <c r="B17" s="109" t="s">
        <v>370</v>
      </c>
      <c r="C17" s="109"/>
      <c r="D17" s="109"/>
      <c r="E17" s="109"/>
      <c r="F17" s="109"/>
      <c r="G17" s="109"/>
      <c r="H17" s="109"/>
      <c r="I17" s="109"/>
      <c r="J17" s="109"/>
      <c r="K17" s="109" t="s">
        <v>371</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48" t="s">
        <v>242</v>
      </c>
      <c r="B19" s="145"/>
      <c r="C19" s="145"/>
      <c r="D19" s="145"/>
      <c r="E19" s="145"/>
      <c r="F19" s="145"/>
      <c r="G19" s="145"/>
      <c r="H19" s="145"/>
      <c r="I19" s="145"/>
      <c r="J19" s="145"/>
      <c r="K19" s="145"/>
      <c r="L19" s="145"/>
      <c r="M19" s="145"/>
      <c r="N19" s="145"/>
      <c r="O19" s="145"/>
      <c r="P19" s="145"/>
      <c r="Q19" s="145"/>
      <c r="R19" s="147"/>
    </row>
    <row r="20" spans="1:18" ht="15" customHeight="1">
      <c r="A20" s="69" t="s">
        <v>234</v>
      </c>
      <c r="B20" s="109" t="s">
        <v>243</v>
      </c>
      <c r="C20" s="109"/>
      <c r="D20" s="109"/>
      <c r="E20" s="109"/>
      <c r="F20" s="109"/>
      <c r="G20" s="109"/>
      <c r="H20" s="109"/>
      <c r="I20" s="109"/>
      <c r="J20" s="109"/>
      <c r="K20" s="144" t="s">
        <v>244</v>
      </c>
      <c r="L20" s="145"/>
      <c r="M20" s="145"/>
      <c r="N20" s="145"/>
      <c r="O20" s="145"/>
      <c r="P20" s="145"/>
      <c r="Q20" s="145"/>
      <c r="R20" s="147"/>
    </row>
    <row r="21" spans="1:18" ht="15.75" customHeight="1">
      <c r="A21" s="69" t="s">
        <v>237</v>
      </c>
      <c r="B21" s="144" t="s">
        <v>372</v>
      </c>
      <c r="C21" s="145"/>
      <c r="D21" s="145"/>
      <c r="E21" s="145"/>
      <c r="F21" s="145"/>
      <c r="G21" s="145"/>
      <c r="H21" s="145"/>
      <c r="I21" s="145"/>
      <c r="J21" s="145"/>
      <c r="K21" s="145"/>
      <c r="L21" s="145"/>
      <c r="M21" s="145"/>
      <c r="N21" s="145"/>
      <c r="O21" s="145"/>
      <c r="P21" s="145"/>
      <c r="Q21" s="145"/>
      <c r="R21" s="147"/>
    </row>
    <row r="22" spans="1:18" ht="15.75" customHeight="1">
      <c r="A22" s="69" t="s">
        <v>246</v>
      </c>
      <c r="B22" s="144" t="s">
        <v>247</v>
      </c>
      <c r="C22" s="145"/>
      <c r="D22" s="145"/>
      <c r="E22" s="145"/>
      <c r="F22" s="145"/>
      <c r="G22" s="145"/>
      <c r="H22" s="145"/>
      <c r="I22" s="145"/>
      <c r="J22" s="145"/>
      <c r="K22" s="145"/>
      <c r="L22" s="145"/>
      <c r="M22" s="145"/>
      <c r="N22" s="145"/>
      <c r="O22" s="145"/>
      <c r="P22" s="145"/>
      <c r="Q22" s="145"/>
      <c r="R22" s="147"/>
    </row>
    <row r="23" spans="1:18" ht="15.75" customHeight="1">
      <c r="A23" s="69" t="s">
        <v>248</v>
      </c>
      <c r="B23" s="144" t="s">
        <v>247</v>
      </c>
      <c r="C23" s="145"/>
      <c r="D23" s="145"/>
      <c r="E23" s="145"/>
      <c r="F23" s="145"/>
      <c r="G23" s="145"/>
      <c r="H23" s="145"/>
      <c r="I23" s="145"/>
      <c r="J23" s="145"/>
      <c r="K23" s="145"/>
      <c r="L23" s="145"/>
      <c r="M23" s="145"/>
      <c r="N23" s="145"/>
      <c r="O23" s="145"/>
      <c r="P23" s="145"/>
      <c r="Q23" s="145"/>
      <c r="R23" s="147"/>
    </row>
    <row r="24" spans="1:18" ht="15.75" customHeight="1">
      <c r="A24" s="69" t="s">
        <v>249</v>
      </c>
      <c r="B24" s="144" t="s">
        <v>247</v>
      </c>
      <c r="C24" s="145"/>
      <c r="D24" s="145"/>
      <c r="E24" s="145"/>
      <c r="F24" s="145"/>
      <c r="G24" s="145"/>
      <c r="H24" s="145"/>
      <c r="I24" s="145"/>
      <c r="J24" s="145"/>
      <c r="K24" s="145"/>
      <c r="L24" s="145"/>
      <c r="M24" s="145"/>
      <c r="N24" s="145"/>
      <c r="O24" s="145"/>
      <c r="P24" s="145"/>
      <c r="Q24" s="145"/>
      <c r="R24" s="147"/>
    </row>
    <row r="25" spans="1:18" ht="15.75" customHeight="1">
      <c r="A25" s="69" t="s">
        <v>250</v>
      </c>
      <c r="B25" s="144" t="s">
        <v>247</v>
      </c>
      <c r="C25" s="145"/>
      <c r="D25" s="145"/>
      <c r="E25" s="145"/>
      <c r="F25" s="145"/>
      <c r="G25" s="145"/>
      <c r="H25" s="145"/>
      <c r="I25" s="145"/>
      <c r="J25" s="145"/>
      <c r="K25" s="145"/>
      <c r="L25" s="145"/>
      <c r="M25" s="145"/>
      <c r="N25" s="145"/>
      <c r="O25" s="145"/>
      <c r="P25" s="145"/>
      <c r="Q25" s="145"/>
      <c r="R25" s="147"/>
    </row>
    <row r="26" spans="1:18" ht="15.75" customHeight="1">
      <c r="A26" s="69" t="s">
        <v>251</v>
      </c>
      <c r="B26" s="151" t="s">
        <v>290</v>
      </c>
      <c r="C26" s="152"/>
      <c r="D26" s="152"/>
      <c r="E26" s="127"/>
      <c r="F26" s="144"/>
      <c r="G26" s="145"/>
      <c r="H26" s="145"/>
      <c r="I26" s="145"/>
      <c r="J26" s="145"/>
      <c r="K26" s="145"/>
      <c r="L26" s="145"/>
      <c r="M26" s="145"/>
      <c r="N26" s="145"/>
      <c r="O26" s="145"/>
      <c r="P26" s="145"/>
      <c r="Q26" s="145"/>
      <c r="R26" s="147"/>
    </row>
    <row r="27" spans="1:18" ht="15.75" customHeight="1">
      <c r="A27" s="69" t="s">
        <v>253</v>
      </c>
      <c r="B27" s="144" t="s">
        <v>373</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4.45" customHeight="1">
      <c r="A29" s="69" t="s">
        <v>237</v>
      </c>
      <c r="B29" s="144" t="s">
        <v>374</v>
      </c>
      <c r="C29" s="145"/>
      <c r="D29" s="145"/>
      <c r="E29" s="145"/>
      <c r="F29" s="145"/>
      <c r="G29" s="145"/>
      <c r="H29" s="145"/>
      <c r="I29" s="145"/>
      <c r="J29" s="145"/>
      <c r="K29" s="145"/>
      <c r="L29" s="145"/>
      <c r="M29" s="145"/>
      <c r="N29" s="145"/>
      <c r="O29" s="145"/>
      <c r="P29" s="145"/>
      <c r="Q29" s="145"/>
      <c r="R29" s="147"/>
    </row>
    <row r="30" spans="1:18" s="5" customFormat="1" ht="13.9" customHeight="1">
      <c r="A30" s="69" t="s">
        <v>257</v>
      </c>
      <c r="B30" s="144" t="s">
        <v>291</v>
      </c>
      <c r="C30" s="145"/>
      <c r="D30" s="145"/>
      <c r="E30" s="145"/>
      <c r="F30" s="145"/>
      <c r="G30" s="145"/>
      <c r="H30" s="145"/>
      <c r="I30" s="145"/>
      <c r="J30" s="145"/>
      <c r="K30" s="145"/>
      <c r="L30" s="145"/>
      <c r="M30" s="145"/>
      <c r="N30" s="145"/>
      <c r="O30" s="145"/>
      <c r="P30" s="145"/>
      <c r="Q30" s="145"/>
      <c r="R30" s="147"/>
    </row>
    <row r="31" spans="1:18" ht="15" customHeight="1">
      <c r="A31" s="69" t="s">
        <v>234</v>
      </c>
      <c r="B31" s="144" t="s">
        <v>292</v>
      </c>
      <c r="C31" s="145"/>
      <c r="D31" s="145"/>
      <c r="E31" s="145"/>
      <c r="F31" s="145"/>
      <c r="G31" s="145"/>
      <c r="H31" s="145"/>
      <c r="I31" s="145"/>
      <c r="J31" s="145"/>
      <c r="K31" s="145"/>
      <c r="L31" s="145"/>
      <c r="M31" s="145"/>
      <c r="N31" s="145"/>
      <c r="O31" s="145"/>
      <c r="P31" s="145"/>
      <c r="Q31" s="145"/>
      <c r="R31" s="147"/>
    </row>
    <row r="32" spans="1:18" ht="14.45" customHeight="1">
      <c r="A32" s="117" t="s">
        <v>260</v>
      </c>
      <c r="B32" s="109"/>
      <c r="C32" s="109"/>
      <c r="D32" s="109"/>
      <c r="E32" s="109"/>
      <c r="F32" s="109"/>
      <c r="G32" s="109"/>
      <c r="H32" s="109"/>
      <c r="I32" s="109"/>
      <c r="J32" s="109"/>
      <c r="K32" s="109"/>
      <c r="L32" s="109"/>
      <c r="M32" s="109"/>
      <c r="N32" s="109"/>
      <c r="O32" s="109"/>
      <c r="P32" s="109"/>
      <c r="Q32" s="109"/>
      <c r="R32" s="110"/>
    </row>
    <row r="33" spans="1:19" ht="13.9" customHeight="1">
      <c r="A33" s="69" t="s">
        <v>237</v>
      </c>
      <c r="B33" s="109" t="s">
        <v>374</v>
      </c>
      <c r="C33" s="109"/>
      <c r="D33" s="109"/>
      <c r="E33" s="109"/>
      <c r="F33" s="109"/>
      <c r="G33" s="109"/>
      <c r="H33" s="109"/>
      <c r="I33" s="109"/>
      <c r="J33" s="109"/>
      <c r="K33" s="109"/>
      <c r="L33" s="109"/>
      <c r="M33" s="109"/>
      <c r="N33" s="109"/>
      <c r="O33" s="109"/>
      <c r="P33" s="109"/>
      <c r="Q33" s="109"/>
      <c r="R33" s="110"/>
    </row>
    <row r="34" spans="1:19"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19" ht="14.45" customHeight="1">
      <c r="A35" s="117" t="s">
        <v>264</v>
      </c>
      <c r="B35" s="109"/>
      <c r="C35" s="109"/>
      <c r="D35" s="109"/>
      <c r="E35" s="109"/>
      <c r="F35" s="109"/>
      <c r="G35" s="109"/>
      <c r="H35" s="109"/>
      <c r="I35" s="109"/>
      <c r="J35" s="109"/>
      <c r="K35" s="109"/>
      <c r="L35" s="109"/>
      <c r="M35" s="109"/>
      <c r="N35" s="109"/>
      <c r="O35" s="109"/>
      <c r="P35" s="109"/>
      <c r="Q35" s="109"/>
      <c r="R35" s="110"/>
    </row>
    <row r="36" spans="1:19" ht="15" customHeight="1">
      <c r="A36" s="69" t="s">
        <v>265</v>
      </c>
      <c r="B36" s="144" t="s">
        <v>328</v>
      </c>
      <c r="C36" s="145"/>
      <c r="D36" s="145"/>
      <c r="E36" s="145"/>
      <c r="F36" s="145"/>
      <c r="G36" s="145"/>
      <c r="H36" s="145"/>
      <c r="I36" s="145"/>
      <c r="J36" s="145"/>
      <c r="K36" s="145"/>
      <c r="L36" s="145"/>
      <c r="M36" s="145"/>
      <c r="N36" s="145"/>
      <c r="O36" s="145"/>
      <c r="P36" s="145"/>
      <c r="Q36" s="145"/>
      <c r="R36" s="147"/>
    </row>
    <row r="37" spans="1:19" ht="15" customHeight="1">
      <c r="A37" s="69" t="s">
        <v>267</v>
      </c>
      <c r="B37" s="144" t="s">
        <v>329</v>
      </c>
      <c r="C37" s="145"/>
      <c r="D37" s="145"/>
      <c r="E37" s="145"/>
      <c r="F37" s="145"/>
      <c r="G37" s="145"/>
      <c r="H37" s="145"/>
      <c r="I37" s="145"/>
      <c r="J37" s="145"/>
      <c r="K37" s="145"/>
      <c r="L37" s="145"/>
      <c r="M37" s="145"/>
      <c r="N37" s="145"/>
      <c r="O37" s="145"/>
      <c r="P37" s="145"/>
      <c r="Q37" s="145"/>
      <c r="R37" s="147"/>
    </row>
    <row r="38" spans="1:19" ht="15" customHeight="1">
      <c r="A38" s="69" t="s">
        <v>269</v>
      </c>
      <c r="B38" s="144" t="s">
        <v>330</v>
      </c>
      <c r="C38" s="149"/>
      <c r="D38" s="149"/>
      <c r="E38" s="149"/>
      <c r="F38" s="149"/>
      <c r="G38" s="149"/>
      <c r="H38" s="149"/>
      <c r="I38" s="149"/>
      <c r="J38" s="149"/>
      <c r="K38" s="149"/>
      <c r="L38" s="149"/>
      <c r="M38" s="149"/>
      <c r="N38" s="149"/>
      <c r="O38" s="149"/>
      <c r="P38" s="149"/>
      <c r="Q38" s="149"/>
      <c r="R38" s="150"/>
    </row>
    <row r="39" spans="1:19" ht="15" customHeight="1">
      <c r="A39" s="141" t="s">
        <v>271</v>
      </c>
      <c r="B39" s="142"/>
      <c r="C39" s="142"/>
      <c r="D39" s="142"/>
      <c r="E39" s="142"/>
      <c r="F39" s="142"/>
      <c r="G39" s="142"/>
      <c r="H39" s="142"/>
      <c r="I39" s="142"/>
      <c r="J39" s="142"/>
      <c r="K39" s="142"/>
      <c r="L39" s="142"/>
      <c r="M39" s="142"/>
      <c r="N39" s="142"/>
      <c r="O39" s="142"/>
      <c r="P39" s="142"/>
      <c r="Q39" s="142"/>
      <c r="R39" s="143"/>
    </row>
    <row r="40" spans="1:19" ht="14.45"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9"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9"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c r="S42" s="6"/>
    </row>
    <row r="43" spans="1:19" s="5" customFormat="1" ht="14.45"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c r="S43" s="6"/>
    </row>
    <row r="44" spans="1:19"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c r="S44" s="6"/>
    </row>
    <row r="45" spans="1:19" s="5" customFormat="1" ht="13.9" customHeight="1">
      <c r="A45" s="69"/>
      <c r="B45" s="109"/>
      <c r="C45" s="109"/>
      <c r="D45" s="109"/>
      <c r="E45" s="109"/>
      <c r="F45" s="109"/>
      <c r="G45" s="109"/>
      <c r="H45" s="109"/>
      <c r="I45" s="109"/>
      <c r="J45" s="109"/>
      <c r="K45" s="109"/>
      <c r="L45" s="109"/>
      <c r="M45" s="109"/>
      <c r="N45" s="109"/>
      <c r="O45" s="109"/>
      <c r="P45" s="109"/>
      <c r="Q45" s="109"/>
      <c r="R45" s="110"/>
      <c r="S45" s="6"/>
    </row>
    <row r="46" spans="1:19" s="5" customFormat="1" ht="13.9" customHeight="1">
      <c r="A46" s="69"/>
      <c r="B46" s="109"/>
      <c r="C46" s="109"/>
      <c r="D46" s="109"/>
      <c r="E46" s="109"/>
      <c r="F46" s="109"/>
      <c r="G46" s="109"/>
      <c r="H46" s="109"/>
      <c r="I46" s="109"/>
      <c r="J46" s="109"/>
      <c r="K46" s="109"/>
      <c r="L46" s="109"/>
      <c r="M46" s="109"/>
      <c r="N46" s="109"/>
      <c r="O46" s="109"/>
      <c r="P46" s="109"/>
      <c r="Q46" s="109"/>
      <c r="R46" s="110"/>
      <c r="S46" s="6"/>
    </row>
    <row r="47" spans="1:19" s="5" customFormat="1">
      <c r="A47" s="148" t="s">
        <v>278</v>
      </c>
      <c r="B47" s="149"/>
      <c r="C47" s="149"/>
      <c r="D47" s="149"/>
      <c r="E47" s="149"/>
      <c r="F47" s="149"/>
      <c r="G47" s="149"/>
      <c r="H47" s="149"/>
      <c r="I47" s="149"/>
      <c r="J47" s="149"/>
      <c r="K47" s="149"/>
      <c r="L47" s="149"/>
      <c r="M47" s="149"/>
      <c r="N47" s="149"/>
      <c r="O47" s="149"/>
      <c r="P47" s="149"/>
      <c r="Q47" s="149"/>
      <c r="R47" s="150"/>
      <c r="S47" s="6"/>
    </row>
    <row r="48" spans="1:19" s="5" customFormat="1" ht="28.9" customHeight="1">
      <c r="A48" s="114" t="s">
        <v>279</v>
      </c>
      <c r="B48" s="115"/>
      <c r="C48" s="115"/>
      <c r="D48" s="115"/>
      <c r="E48" s="115"/>
      <c r="F48" s="115"/>
      <c r="G48" s="115"/>
      <c r="H48" s="115"/>
      <c r="I48" s="115"/>
      <c r="J48" s="115"/>
      <c r="K48" s="115"/>
      <c r="L48" s="115"/>
      <c r="M48" s="115"/>
      <c r="N48" s="115"/>
      <c r="O48" s="115"/>
      <c r="P48" s="115"/>
      <c r="Q48" s="115"/>
      <c r="R48" s="116"/>
      <c r="S48" s="6"/>
    </row>
    <row r="49" spans="1:19" s="5" customFormat="1" ht="13.9" customHeight="1">
      <c r="A49" s="114" t="s">
        <v>280</v>
      </c>
      <c r="B49" s="115"/>
      <c r="C49" s="115"/>
      <c r="D49" s="115"/>
      <c r="E49" s="115"/>
      <c r="F49" s="115"/>
      <c r="G49" s="115"/>
      <c r="H49" s="115"/>
      <c r="I49" s="115"/>
      <c r="J49" s="115"/>
      <c r="K49" s="115"/>
      <c r="L49" s="115"/>
      <c r="M49" s="115"/>
      <c r="N49" s="115"/>
      <c r="O49" s="115"/>
      <c r="P49" s="115"/>
      <c r="Q49" s="115"/>
      <c r="R49" s="116"/>
      <c r="S49" s="6"/>
    </row>
    <row r="50" spans="1:19" ht="14.45" customHeight="1">
      <c r="A50" s="114" t="s">
        <v>281</v>
      </c>
      <c r="B50" s="115"/>
      <c r="C50" s="115"/>
      <c r="D50" s="115"/>
      <c r="E50" s="115"/>
      <c r="F50" s="115"/>
      <c r="G50" s="115"/>
      <c r="H50" s="115"/>
      <c r="I50" s="115"/>
      <c r="J50" s="115"/>
      <c r="K50" s="115"/>
      <c r="L50" s="115"/>
      <c r="M50" s="115"/>
      <c r="N50" s="115"/>
      <c r="O50" s="115"/>
      <c r="P50" s="115"/>
      <c r="Q50" s="115"/>
      <c r="R50" s="116"/>
    </row>
    <row r="51" spans="1:19" ht="14.45" customHeight="1">
      <c r="A51" s="114" t="s">
        <v>282</v>
      </c>
      <c r="B51" s="115"/>
      <c r="C51" s="115"/>
      <c r="D51" s="115"/>
      <c r="E51" s="115"/>
      <c r="F51" s="115"/>
      <c r="G51" s="115"/>
      <c r="H51" s="115"/>
      <c r="I51" s="115"/>
      <c r="J51" s="115"/>
      <c r="K51" s="115"/>
      <c r="L51" s="115"/>
      <c r="M51" s="115"/>
      <c r="N51" s="115"/>
      <c r="O51" s="115"/>
      <c r="P51" s="115"/>
      <c r="Q51" s="115"/>
      <c r="R51" s="116"/>
    </row>
    <row r="52" spans="1:19" ht="14.45" customHeight="1">
      <c r="A52" s="114" t="s">
        <v>283</v>
      </c>
      <c r="B52" s="115"/>
      <c r="C52" s="115"/>
      <c r="D52" s="115"/>
      <c r="E52" s="115"/>
      <c r="F52" s="115"/>
      <c r="G52" s="115"/>
      <c r="H52" s="115"/>
      <c r="I52" s="115"/>
      <c r="J52" s="115"/>
      <c r="K52" s="115"/>
      <c r="L52" s="115"/>
      <c r="M52" s="115"/>
      <c r="N52" s="115"/>
      <c r="O52" s="115"/>
      <c r="P52" s="115"/>
      <c r="Q52" s="115"/>
      <c r="R52" s="116"/>
    </row>
    <row r="53" spans="1:19" ht="14.45" customHeight="1">
      <c r="A53" s="114" t="s">
        <v>284</v>
      </c>
      <c r="B53" s="115"/>
      <c r="C53" s="115"/>
      <c r="D53" s="115"/>
      <c r="E53" s="115"/>
      <c r="F53" s="115"/>
      <c r="G53" s="115"/>
      <c r="H53" s="115"/>
      <c r="I53" s="115"/>
      <c r="J53" s="115"/>
      <c r="K53" s="115"/>
      <c r="L53" s="115"/>
      <c r="M53" s="115"/>
      <c r="N53" s="115"/>
      <c r="O53" s="115"/>
      <c r="P53" s="115"/>
      <c r="Q53" s="115"/>
      <c r="R53" s="116"/>
    </row>
    <row r="54" spans="1:19" ht="14.45" customHeight="1">
      <c r="A54" s="114" t="s">
        <v>285</v>
      </c>
      <c r="B54" s="115"/>
      <c r="C54" s="115"/>
      <c r="D54" s="115"/>
      <c r="E54" s="115"/>
      <c r="F54" s="115"/>
      <c r="G54" s="115"/>
      <c r="H54" s="115"/>
      <c r="I54" s="115"/>
      <c r="J54" s="115"/>
      <c r="K54" s="115"/>
      <c r="L54" s="115"/>
      <c r="M54" s="115"/>
      <c r="N54" s="115"/>
      <c r="O54" s="115"/>
      <c r="P54" s="115"/>
      <c r="Q54" s="115"/>
      <c r="R54" s="116"/>
    </row>
    <row r="55" spans="1:19" ht="15.75" thickBot="1">
      <c r="A55" s="177"/>
      <c r="B55" s="178"/>
      <c r="C55" s="178"/>
      <c r="D55" s="178"/>
      <c r="E55" s="178"/>
      <c r="F55" s="178"/>
      <c r="G55" s="178"/>
      <c r="H55" s="178"/>
      <c r="I55" s="178"/>
      <c r="J55" s="178"/>
      <c r="K55" s="178"/>
      <c r="L55" s="178"/>
      <c r="M55" s="178"/>
      <c r="N55" s="178"/>
      <c r="O55" s="178"/>
      <c r="P55" s="178"/>
      <c r="Q55" s="178"/>
      <c r="R55" s="179"/>
    </row>
  </sheetData>
  <mergeCells count="82">
    <mergeCell ref="B46:R46"/>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B22:R22"/>
    <mergeCell ref="A10:R10"/>
    <mergeCell ref="B11:R11"/>
    <mergeCell ref="B16:J16"/>
    <mergeCell ref="K16:R16"/>
    <mergeCell ref="B17:J17"/>
    <mergeCell ref="K17:R17"/>
    <mergeCell ref="B18:R18"/>
    <mergeCell ref="A19:R19"/>
    <mergeCell ref="B20:J20"/>
    <mergeCell ref="K20:R20"/>
    <mergeCell ref="B21:R21"/>
    <mergeCell ref="B33:R33"/>
    <mergeCell ref="B23:R23"/>
    <mergeCell ref="B24:R24"/>
    <mergeCell ref="B25:R25"/>
    <mergeCell ref="B26:E26"/>
    <mergeCell ref="F26:R26"/>
    <mergeCell ref="B27:R27"/>
    <mergeCell ref="A28:R28"/>
    <mergeCell ref="B29:R29"/>
    <mergeCell ref="B30:R30"/>
    <mergeCell ref="B31:R31"/>
    <mergeCell ref="A32:R32"/>
    <mergeCell ref="B44:E44"/>
    <mergeCell ref="F44:R44"/>
    <mergeCell ref="B34:L34"/>
    <mergeCell ref="M34:R34"/>
    <mergeCell ref="A35:R35"/>
    <mergeCell ref="B36:R36"/>
    <mergeCell ref="B37:R37"/>
    <mergeCell ref="B38:R38"/>
    <mergeCell ref="A52:R52"/>
    <mergeCell ref="A53:R53"/>
    <mergeCell ref="A54:R54"/>
    <mergeCell ref="A55:R55"/>
    <mergeCell ref="B9:C9"/>
    <mergeCell ref="B45:R45"/>
    <mergeCell ref="A47:R47"/>
    <mergeCell ref="A48:R48"/>
    <mergeCell ref="A49:R49"/>
    <mergeCell ref="A50:R50"/>
    <mergeCell ref="A51:R51"/>
    <mergeCell ref="A39:R39"/>
    <mergeCell ref="B40:R40"/>
    <mergeCell ref="B41:R41"/>
    <mergeCell ref="B42:R42"/>
    <mergeCell ref="B43:R43"/>
  </mergeCells>
  <printOptions horizontalCentered="1"/>
  <pageMargins left="0.7" right="0.7" top="0.75" bottom="0.75" header="0.3" footer="0.3"/>
  <pageSetup paperSize="9" scale="88" firstPageNumber="18" orientation="portrait" r:id="rId1"/>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79FF0-7C93-44AC-9931-586762731EFA}">
  <sheetPr codeName="Sheet27">
    <tabColor rgb="FF00B0F0"/>
    <pageSetUpPr fitToPage="1"/>
  </sheetPr>
  <dimension ref="A1:AA55"/>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375</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t="s">
        <v>368</v>
      </c>
      <c r="G14" s="17" t="s">
        <v>368</v>
      </c>
      <c r="H14" s="17" t="s">
        <v>368</v>
      </c>
      <c r="I14" s="17" t="s">
        <v>368</v>
      </c>
      <c r="J14" s="17" t="s">
        <v>368</v>
      </c>
      <c r="K14" s="17" t="s">
        <v>368</v>
      </c>
      <c r="L14" s="17">
        <v>60</v>
      </c>
      <c r="M14" s="17">
        <v>60</v>
      </c>
      <c r="N14" s="17">
        <v>60</v>
      </c>
      <c r="O14" s="17">
        <v>60</v>
      </c>
      <c r="P14" s="17">
        <v>60</v>
      </c>
      <c r="Q14" s="17" t="s">
        <v>174</v>
      </c>
      <c r="R14" s="66">
        <v>60</v>
      </c>
    </row>
    <row r="15" spans="1:18" s="12" customFormat="1">
      <c r="A15" s="70" t="s">
        <v>233</v>
      </c>
      <c r="B15" s="17">
        <v>4.78</v>
      </c>
      <c r="C15" s="17">
        <v>5.56</v>
      </c>
      <c r="D15" s="17">
        <v>6.4</v>
      </c>
      <c r="E15" s="17">
        <v>7.14</v>
      </c>
      <c r="F15" s="17">
        <v>5.54</v>
      </c>
      <c r="G15" s="17">
        <v>7.62</v>
      </c>
      <c r="H15" s="17">
        <v>8.56</v>
      </c>
      <c r="I15" s="17">
        <v>10.97</v>
      </c>
      <c r="J15" s="17">
        <v>12.7</v>
      </c>
      <c r="K15" s="17">
        <v>12.7</v>
      </c>
      <c r="L15" s="17">
        <v>14.27</v>
      </c>
      <c r="M15" s="17">
        <v>15.09</v>
      </c>
      <c r="N15" s="17">
        <v>16.66</v>
      </c>
      <c r="O15" s="17">
        <v>19.05</v>
      </c>
      <c r="P15" s="17">
        <v>20.62</v>
      </c>
      <c r="Q15" s="17">
        <v>23.83</v>
      </c>
      <c r="R15" s="66">
        <v>24.61</v>
      </c>
    </row>
    <row r="16" spans="1:18">
      <c r="A16" s="69" t="s">
        <v>234</v>
      </c>
      <c r="B16" s="109" t="s">
        <v>235</v>
      </c>
      <c r="C16" s="109"/>
      <c r="D16" s="109"/>
      <c r="E16" s="109"/>
      <c r="F16" s="109"/>
      <c r="G16" s="109"/>
      <c r="H16" s="109"/>
      <c r="I16" s="109"/>
      <c r="J16" s="109"/>
      <c r="K16" s="109" t="s">
        <v>287</v>
      </c>
      <c r="L16" s="109"/>
      <c r="M16" s="109"/>
      <c r="N16" s="109"/>
      <c r="O16" s="109"/>
      <c r="P16" s="109"/>
      <c r="Q16" s="109"/>
      <c r="R16" s="110"/>
    </row>
    <row r="17" spans="1:27" ht="13.9" customHeight="1">
      <c r="A17" s="69" t="s">
        <v>237</v>
      </c>
      <c r="B17" s="109" t="s">
        <v>370</v>
      </c>
      <c r="C17" s="109"/>
      <c r="D17" s="109"/>
      <c r="E17" s="109"/>
      <c r="F17" s="109"/>
      <c r="G17" s="109"/>
      <c r="H17" s="109"/>
      <c r="I17" s="109"/>
      <c r="J17" s="109"/>
      <c r="K17" s="109" t="s">
        <v>371</v>
      </c>
      <c r="L17" s="109"/>
      <c r="M17" s="109"/>
      <c r="N17" s="109"/>
      <c r="O17" s="109"/>
      <c r="P17" s="109"/>
      <c r="Q17" s="109"/>
      <c r="R17" s="110"/>
      <c r="U17" s="3"/>
      <c r="V17" s="3"/>
      <c r="X17" s="12"/>
      <c r="Y17" s="12"/>
      <c r="Z17" s="12"/>
      <c r="AA17" s="12"/>
    </row>
    <row r="18" spans="1:27">
      <c r="A18" s="69" t="s">
        <v>240</v>
      </c>
      <c r="B18" s="144" t="s">
        <v>241</v>
      </c>
      <c r="C18" s="145"/>
      <c r="D18" s="145"/>
      <c r="E18" s="145"/>
      <c r="F18" s="145"/>
      <c r="G18" s="145"/>
      <c r="H18" s="145"/>
      <c r="I18" s="145"/>
      <c r="J18" s="145"/>
      <c r="K18" s="145"/>
      <c r="L18" s="145"/>
      <c r="M18" s="145"/>
      <c r="N18" s="145"/>
      <c r="O18" s="145"/>
      <c r="P18" s="145"/>
      <c r="Q18" s="145"/>
      <c r="R18" s="147"/>
    </row>
    <row r="19" spans="1:27">
      <c r="A19" s="117" t="s">
        <v>242</v>
      </c>
      <c r="B19" s="109"/>
      <c r="C19" s="109"/>
      <c r="D19" s="109"/>
      <c r="E19" s="109"/>
      <c r="F19" s="109"/>
      <c r="G19" s="109"/>
      <c r="H19" s="109"/>
      <c r="I19" s="109"/>
      <c r="J19" s="109"/>
      <c r="K19" s="109"/>
      <c r="L19" s="109"/>
      <c r="M19" s="109"/>
      <c r="N19" s="109"/>
      <c r="O19" s="109"/>
      <c r="P19" s="109"/>
      <c r="Q19" s="109"/>
      <c r="R19" s="110"/>
    </row>
    <row r="20" spans="1:27"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27" ht="15.75" customHeight="1">
      <c r="A21" s="69" t="s">
        <v>237</v>
      </c>
      <c r="B21" s="144" t="s">
        <v>372</v>
      </c>
      <c r="C21" s="145"/>
      <c r="D21" s="145"/>
      <c r="E21" s="145"/>
      <c r="F21" s="145"/>
      <c r="G21" s="145"/>
      <c r="H21" s="145"/>
      <c r="I21" s="145"/>
      <c r="J21" s="145"/>
      <c r="K21" s="145"/>
      <c r="L21" s="145"/>
      <c r="M21" s="145"/>
      <c r="N21" s="145"/>
      <c r="O21" s="145"/>
      <c r="P21" s="145"/>
      <c r="Q21" s="145"/>
      <c r="R21" s="147"/>
    </row>
    <row r="22" spans="1:27" ht="15.75" customHeight="1">
      <c r="A22" s="69" t="s">
        <v>246</v>
      </c>
      <c r="B22" s="230" t="s">
        <v>247</v>
      </c>
      <c r="C22" s="231"/>
      <c r="D22" s="231"/>
      <c r="E22" s="231"/>
      <c r="F22" s="231"/>
      <c r="G22" s="231"/>
      <c r="H22" s="231"/>
      <c r="I22" s="231"/>
      <c r="J22" s="231"/>
      <c r="K22" s="231"/>
      <c r="L22" s="231"/>
      <c r="M22" s="231"/>
      <c r="N22" s="231"/>
      <c r="O22" s="231"/>
      <c r="P22" s="231"/>
      <c r="Q22" s="231"/>
      <c r="R22" s="232"/>
    </row>
    <row r="23" spans="1:27" ht="15.75" customHeight="1">
      <c r="A23" s="69" t="s">
        <v>248</v>
      </c>
      <c r="B23" s="230" t="s">
        <v>247</v>
      </c>
      <c r="C23" s="231"/>
      <c r="D23" s="231"/>
      <c r="E23" s="231"/>
      <c r="F23" s="231"/>
      <c r="G23" s="231"/>
      <c r="H23" s="231"/>
      <c r="I23" s="231"/>
      <c r="J23" s="231"/>
      <c r="K23" s="231"/>
      <c r="L23" s="231"/>
      <c r="M23" s="231"/>
      <c r="N23" s="231"/>
      <c r="O23" s="231"/>
      <c r="P23" s="231"/>
      <c r="Q23" s="231"/>
      <c r="R23" s="232"/>
    </row>
    <row r="24" spans="1:27" ht="15.75" customHeight="1">
      <c r="A24" s="69" t="s">
        <v>249</v>
      </c>
      <c r="B24" s="230" t="s">
        <v>247</v>
      </c>
      <c r="C24" s="231"/>
      <c r="D24" s="231"/>
      <c r="E24" s="231"/>
      <c r="F24" s="231"/>
      <c r="G24" s="231"/>
      <c r="H24" s="231"/>
      <c r="I24" s="231"/>
      <c r="J24" s="231"/>
      <c r="K24" s="231"/>
      <c r="L24" s="231"/>
      <c r="M24" s="231"/>
      <c r="N24" s="231"/>
      <c r="O24" s="231"/>
      <c r="P24" s="231"/>
      <c r="Q24" s="231"/>
      <c r="R24" s="232"/>
    </row>
    <row r="25" spans="1:27" ht="15.75" customHeight="1">
      <c r="A25" s="69" t="s">
        <v>250</v>
      </c>
      <c r="B25" s="230" t="s">
        <v>247</v>
      </c>
      <c r="C25" s="231"/>
      <c r="D25" s="231"/>
      <c r="E25" s="231"/>
      <c r="F25" s="231"/>
      <c r="G25" s="231"/>
      <c r="H25" s="231"/>
      <c r="I25" s="231"/>
      <c r="J25" s="231"/>
      <c r="K25" s="231"/>
      <c r="L25" s="231"/>
      <c r="M25" s="231"/>
      <c r="N25" s="231"/>
      <c r="O25" s="231"/>
      <c r="P25" s="231"/>
      <c r="Q25" s="231"/>
      <c r="R25" s="232"/>
    </row>
    <row r="26" spans="1:27" ht="15.75" customHeight="1">
      <c r="A26" s="69" t="s">
        <v>251</v>
      </c>
      <c r="B26" s="151" t="s">
        <v>290</v>
      </c>
      <c r="C26" s="145"/>
      <c r="D26" s="145"/>
      <c r="E26" s="146"/>
      <c r="F26" s="144"/>
      <c r="G26" s="145"/>
      <c r="H26" s="145"/>
      <c r="I26" s="145"/>
      <c r="J26" s="145"/>
      <c r="K26" s="145"/>
      <c r="L26" s="145"/>
      <c r="M26" s="145"/>
      <c r="N26" s="145"/>
      <c r="O26" s="145"/>
      <c r="P26" s="145"/>
      <c r="Q26" s="145"/>
      <c r="R26" s="147"/>
    </row>
    <row r="27" spans="1:27" ht="15.75" customHeight="1">
      <c r="A27" s="69" t="s">
        <v>253</v>
      </c>
      <c r="B27" s="230" t="s">
        <v>373</v>
      </c>
      <c r="C27" s="231"/>
      <c r="D27" s="231"/>
      <c r="E27" s="231"/>
      <c r="F27" s="231"/>
      <c r="G27" s="231"/>
      <c r="H27" s="231"/>
      <c r="I27" s="231"/>
      <c r="J27" s="231"/>
      <c r="K27" s="231"/>
      <c r="L27" s="231"/>
      <c r="M27" s="231"/>
      <c r="N27" s="231"/>
      <c r="O27" s="231"/>
      <c r="P27" s="231"/>
      <c r="Q27" s="231"/>
      <c r="R27" s="232"/>
    </row>
    <row r="28" spans="1:27">
      <c r="A28" s="117" t="s">
        <v>255</v>
      </c>
      <c r="B28" s="109"/>
      <c r="C28" s="109"/>
      <c r="D28" s="109"/>
      <c r="E28" s="109"/>
      <c r="F28" s="109"/>
      <c r="G28" s="109"/>
      <c r="H28" s="109"/>
      <c r="I28" s="109"/>
      <c r="J28" s="109"/>
      <c r="K28" s="109"/>
      <c r="L28" s="109"/>
      <c r="M28" s="109"/>
      <c r="N28" s="109"/>
      <c r="O28" s="109"/>
      <c r="P28" s="109"/>
      <c r="Q28" s="109"/>
      <c r="R28" s="110"/>
    </row>
    <row r="29" spans="1:27">
      <c r="A29" s="69" t="s">
        <v>237</v>
      </c>
      <c r="B29" s="144" t="s">
        <v>374</v>
      </c>
      <c r="C29" s="145"/>
      <c r="D29" s="145"/>
      <c r="E29" s="145"/>
      <c r="F29" s="145"/>
      <c r="G29" s="145"/>
      <c r="H29" s="145"/>
      <c r="I29" s="145"/>
      <c r="J29" s="145"/>
      <c r="K29" s="145"/>
      <c r="L29" s="145"/>
      <c r="M29" s="145"/>
      <c r="N29" s="145"/>
      <c r="O29" s="145"/>
      <c r="P29" s="145"/>
      <c r="Q29" s="145"/>
      <c r="R29" s="147"/>
    </row>
    <row r="30" spans="1:27" ht="15.75" customHeight="1">
      <c r="A30" s="69" t="s">
        <v>257</v>
      </c>
      <c r="B30" s="144" t="s">
        <v>298</v>
      </c>
      <c r="C30" s="145"/>
      <c r="D30" s="145"/>
      <c r="E30" s="145"/>
      <c r="F30" s="145"/>
      <c r="G30" s="145"/>
      <c r="H30" s="145"/>
      <c r="I30" s="145"/>
      <c r="J30" s="145"/>
      <c r="K30" s="145"/>
      <c r="L30" s="145"/>
      <c r="M30" s="145"/>
      <c r="N30" s="145"/>
      <c r="O30" s="145"/>
      <c r="P30" s="145"/>
      <c r="Q30" s="145"/>
      <c r="R30" s="147"/>
    </row>
    <row r="31" spans="1:27" ht="15.75" customHeight="1">
      <c r="A31" s="69" t="s">
        <v>234</v>
      </c>
      <c r="B31" s="144" t="s">
        <v>292</v>
      </c>
      <c r="C31" s="145"/>
      <c r="D31" s="145"/>
      <c r="E31" s="145"/>
      <c r="F31" s="145"/>
      <c r="G31" s="145"/>
      <c r="H31" s="145"/>
      <c r="I31" s="145"/>
      <c r="J31" s="145"/>
      <c r="K31" s="145"/>
      <c r="L31" s="145"/>
      <c r="M31" s="145"/>
      <c r="N31" s="145"/>
      <c r="O31" s="145"/>
      <c r="P31" s="145"/>
      <c r="Q31" s="145"/>
      <c r="R31" s="147"/>
    </row>
    <row r="32" spans="1:27" ht="15.75" customHeight="1">
      <c r="A32" s="117" t="s">
        <v>260</v>
      </c>
      <c r="B32" s="109"/>
      <c r="C32" s="109"/>
      <c r="D32" s="109"/>
      <c r="E32" s="109"/>
      <c r="F32" s="109"/>
      <c r="G32" s="109"/>
      <c r="H32" s="109"/>
      <c r="I32" s="109"/>
      <c r="J32" s="109"/>
      <c r="K32" s="109"/>
      <c r="L32" s="109"/>
      <c r="M32" s="109"/>
      <c r="N32" s="109"/>
      <c r="O32" s="109"/>
      <c r="P32" s="109"/>
      <c r="Q32" s="109"/>
      <c r="R32" s="110"/>
    </row>
    <row r="33" spans="1:20" ht="13.9" customHeight="1">
      <c r="A33" s="69" t="s">
        <v>237</v>
      </c>
      <c r="B33" s="109" t="s">
        <v>374</v>
      </c>
      <c r="C33" s="109"/>
      <c r="D33" s="109"/>
      <c r="E33" s="109"/>
      <c r="F33" s="109"/>
      <c r="G33" s="109"/>
      <c r="H33" s="109"/>
      <c r="I33" s="109"/>
      <c r="J33" s="109"/>
      <c r="K33" s="109"/>
      <c r="L33" s="109"/>
      <c r="M33" s="109"/>
      <c r="N33" s="109"/>
      <c r="O33" s="109"/>
      <c r="P33" s="109"/>
      <c r="Q33" s="109"/>
      <c r="R33" s="110"/>
    </row>
    <row r="34" spans="1:20"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20" ht="15" customHeight="1">
      <c r="A35" s="117" t="s">
        <v>264</v>
      </c>
      <c r="B35" s="109"/>
      <c r="C35" s="109"/>
      <c r="D35" s="109"/>
      <c r="E35" s="109"/>
      <c r="F35" s="109"/>
      <c r="G35" s="109"/>
      <c r="H35" s="109"/>
      <c r="I35" s="109"/>
      <c r="J35" s="109"/>
      <c r="K35" s="109"/>
      <c r="L35" s="109"/>
      <c r="M35" s="109"/>
      <c r="N35" s="109"/>
      <c r="O35" s="109"/>
      <c r="P35" s="109"/>
      <c r="Q35" s="109"/>
      <c r="R35" s="110"/>
    </row>
    <row r="36" spans="1:20" ht="13.9" customHeight="1">
      <c r="A36" s="69" t="s">
        <v>265</v>
      </c>
      <c r="B36" s="144" t="s">
        <v>328</v>
      </c>
      <c r="C36" s="145"/>
      <c r="D36" s="145"/>
      <c r="E36" s="145"/>
      <c r="F36" s="145"/>
      <c r="G36" s="145"/>
      <c r="H36" s="145"/>
      <c r="I36" s="145"/>
      <c r="J36" s="145"/>
      <c r="K36" s="145"/>
      <c r="L36" s="145"/>
      <c r="M36" s="145"/>
      <c r="N36" s="145"/>
      <c r="O36" s="145"/>
      <c r="P36" s="145"/>
      <c r="Q36" s="145"/>
      <c r="R36" s="147"/>
    </row>
    <row r="37" spans="1:20" ht="13.9" customHeight="1">
      <c r="A37" s="69" t="s">
        <v>267</v>
      </c>
      <c r="B37" s="144" t="s">
        <v>329</v>
      </c>
      <c r="C37" s="145"/>
      <c r="D37" s="145"/>
      <c r="E37" s="145"/>
      <c r="F37" s="145"/>
      <c r="G37" s="145"/>
      <c r="H37" s="145"/>
      <c r="I37" s="145"/>
      <c r="J37" s="145"/>
      <c r="K37" s="145"/>
      <c r="L37" s="145"/>
      <c r="M37" s="145"/>
      <c r="N37" s="145"/>
      <c r="O37" s="145"/>
      <c r="P37" s="145"/>
      <c r="Q37" s="145"/>
      <c r="R37" s="147"/>
    </row>
    <row r="38" spans="1:20" ht="13.9" customHeight="1">
      <c r="A38" s="69" t="s">
        <v>269</v>
      </c>
      <c r="B38" s="144" t="s">
        <v>330</v>
      </c>
      <c r="C38" s="149"/>
      <c r="D38" s="149"/>
      <c r="E38" s="149"/>
      <c r="F38" s="149"/>
      <c r="G38" s="149"/>
      <c r="H38" s="149"/>
      <c r="I38" s="149"/>
      <c r="J38" s="149"/>
      <c r="K38" s="149"/>
      <c r="L38" s="149"/>
      <c r="M38" s="149"/>
      <c r="N38" s="149"/>
      <c r="O38" s="149"/>
      <c r="P38" s="149"/>
      <c r="Q38" s="149"/>
      <c r="R38" s="150"/>
    </row>
    <row r="39" spans="1:20" ht="13.9" customHeight="1">
      <c r="A39" s="141" t="s">
        <v>271</v>
      </c>
      <c r="B39" s="142"/>
      <c r="C39" s="142"/>
      <c r="D39" s="142"/>
      <c r="E39" s="142"/>
      <c r="F39" s="142"/>
      <c r="G39" s="142"/>
      <c r="H39" s="142"/>
      <c r="I39" s="142"/>
      <c r="J39" s="142"/>
      <c r="K39" s="142"/>
      <c r="L39" s="142"/>
      <c r="M39" s="142"/>
      <c r="N39" s="142"/>
      <c r="O39" s="142"/>
      <c r="P39" s="142"/>
      <c r="Q39" s="142"/>
      <c r="R39" s="143"/>
    </row>
    <row r="40" spans="1:20">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20" s="5" customFormat="1" ht="14.45"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20" s="5" customFormat="1" ht="14.45"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c r="T42" s="6"/>
    </row>
    <row r="43" spans="1:20" s="5" customForma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20" s="5" customForma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20" s="5" customFormat="1" ht="14.45" customHeight="1">
      <c r="A45" s="69"/>
      <c r="B45" s="109"/>
      <c r="C45" s="109"/>
      <c r="D45" s="109"/>
      <c r="E45" s="109"/>
      <c r="F45" s="109"/>
      <c r="G45" s="109"/>
      <c r="H45" s="109"/>
      <c r="I45" s="109"/>
      <c r="J45" s="109"/>
      <c r="K45" s="109"/>
      <c r="L45" s="109"/>
      <c r="M45" s="109"/>
      <c r="N45" s="109"/>
      <c r="O45" s="109"/>
      <c r="P45" s="109"/>
      <c r="Q45" s="109"/>
      <c r="R45" s="110"/>
    </row>
    <row r="46" spans="1:20" s="5" customFormat="1" ht="14.45" customHeight="1">
      <c r="A46" s="69"/>
      <c r="B46" s="109"/>
      <c r="C46" s="109"/>
      <c r="D46" s="109"/>
      <c r="E46" s="109"/>
      <c r="F46" s="109"/>
      <c r="G46" s="109"/>
      <c r="H46" s="109"/>
      <c r="I46" s="109"/>
      <c r="J46" s="109"/>
      <c r="K46" s="109"/>
      <c r="L46" s="109"/>
      <c r="M46" s="109"/>
      <c r="N46" s="109"/>
      <c r="O46" s="109"/>
      <c r="P46" s="109"/>
      <c r="Q46" s="109"/>
      <c r="R46" s="110"/>
    </row>
    <row r="47" spans="1:20" s="5" customFormat="1">
      <c r="A47" s="148" t="s">
        <v>278</v>
      </c>
      <c r="B47" s="149"/>
      <c r="C47" s="149"/>
      <c r="D47" s="149"/>
      <c r="E47" s="149"/>
      <c r="F47" s="149"/>
      <c r="G47" s="149"/>
      <c r="H47" s="149"/>
      <c r="I47" s="149"/>
      <c r="J47" s="149"/>
      <c r="K47" s="149"/>
      <c r="L47" s="149"/>
      <c r="M47" s="149"/>
      <c r="N47" s="149"/>
      <c r="O47" s="149"/>
      <c r="P47" s="149"/>
      <c r="Q47" s="149"/>
      <c r="R47" s="150"/>
    </row>
    <row r="48" spans="1:20" s="5" customFormat="1" ht="27"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c r="A51" s="114" t="s">
        <v>282</v>
      </c>
      <c r="B51" s="115"/>
      <c r="C51" s="115"/>
      <c r="D51" s="115"/>
      <c r="E51" s="115"/>
      <c r="F51" s="115"/>
      <c r="G51" s="115"/>
      <c r="H51" s="115"/>
      <c r="I51" s="115"/>
      <c r="J51" s="115"/>
      <c r="K51" s="115"/>
      <c r="L51" s="115"/>
      <c r="M51" s="115"/>
      <c r="N51" s="115"/>
      <c r="O51" s="115"/>
      <c r="P51" s="115"/>
      <c r="Q51" s="115"/>
      <c r="R51" s="116"/>
    </row>
    <row r="52" spans="1:18">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3">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B21:R21"/>
    <mergeCell ref="A10:R10"/>
    <mergeCell ref="B11:R11"/>
    <mergeCell ref="B16:J16"/>
    <mergeCell ref="K16:R16"/>
    <mergeCell ref="B17:J17"/>
    <mergeCell ref="K17:R17"/>
    <mergeCell ref="B18:R18"/>
    <mergeCell ref="A19:J19"/>
    <mergeCell ref="K19:R19"/>
    <mergeCell ref="B20:J20"/>
    <mergeCell ref="K20:R20"/>
    <mergeCell ref="B22:R22"/>
    <mergeCell ref="B23:R23"/>
    <mergeCell ref="B24:R24"/>
    <mergeCell ref="B25:R25"/>
    <mergeCell ref="B26:E26"/>
    <mergeCell ref="F26:R26"/>
    <mergeCell ref="B37:R37"/>
    <mergeCell ref="B27:R27"/>
    <mergeCell ref="A28:R28"/>
    <mergeCell ref="B29:R29"/>
    <mergeCell ref="B30:R30"/>
    <mergeCell ref="B31:R31"/>
    <mergeCell ref="A32:R32"/>
    <mergeCell ref="A54:R54"/>
    <mergeCell ref="A55:R55"/>
    <mergeCell ref="B44:E44"/>
    <mergeCell ref="F44:R44"/>
    <mergeCell ref="B45:R45"/>
    <mergeCell ref="A47:R47"/>
    <mergeCell ref="A48:R48"/>
    <mergeCell ref="A49:R49"/>
    <mergeCell ref="B46:R46"/>
    <mergeCell ref="B9:C9"/>
    <mergeCell ref="A50:R50"/>
    <mergeCell ref="A51:R51"/>
    <mergeCell ref="A52:R52"/>
    <mergeCell ref="A53:R53"/>
    <mergeCell ref="B38:R38"/>
    <mergeCell ref="A39:R39"/>
    <mergeCell ref="B40:R40"/>
    <mergeCell ref="B41:R41"/>
    <mergeCell ref="B42:R42"/>
    <mergeCell ref="B43:R43"/>
    <mergeCell ref="B33:R33"/>
    <mergeCell ref="B34:L34"/>
    <mergeCell ref="M34:R34"/>
    <mergeCell ref="A35:R35"/>
    <mergeCell ref="B36:R36"/>
  </mergeCells>
  <printOptions horizontalCentered="1"/>
  <pageMargins left="0.7" right="0.7" top="0.75" bottom="0.75" header="0.3" footer="0.3"/>
  <pageSetup paperSize="9" scale="88" firstPageNumber="18" orientation="portrait" r:id="rId1"/>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BD67-B1C3-4F2E-B1EE-8B8EF75AB18D}">
  <sheetPr codeName="Sheet28">
    <tabColor rgb="FF00B0F0"/>
    <pageSetUpPr fitToPage="1"/>
  </sheetPr>
  <dimension ref="A1:V57"/>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22"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22"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22"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22"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22"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22"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22" s="5" customFormat="1" ht="14.45" customHeight="1">
      <c r="A7" s="167" t="s">
        <v>221</v>
      </c>
      <c r="B7" s="168"/>
      <c r="C7" s="168"/>
      <c r="D7" s="168"/>
      <c r="E7" s="168"/>
      <c r="F7" s="169"/>
      <c r="G7" s="169"/>
      <c r="H7" s="169"/>
      <c r="I7" s="169"/>
      <c r="J7" s="169"/>
      <c r="K7" s="169"/>
      <c r="L7" s="169"/>
      <c r="M7" s="169"/>
      <c r="N7" s="169"/>
      <c r="O7" s="169"/>
      <c r="P7" s="169"/>
      <c r="Q7" s="169"/>
      <c r="R7" s="170"/>
    </row>
    <row r="8" spans="1:22"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22"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22" s="3" customFormat="1">
      <c r="A10" s="162" t="s">
        <v>225</v>
      </c>
      <c r="B10" s="163"/>
      <c r="C10" s="163"/>
      <c r="D10" s="163"/>
      <c r="E10" s="163"/>
      <c r="F10" s="163"/>
      <c r="G10" s="163"/>
      <c r="H10" s="163"/>
      <c r="I10" s="163"/>
      <c r="J10" s="163"/>
      <c r="K10" s="163"/>
      <c r="L10" s="163"/>
      <c r="M10" s="163"/>
      <c r="N10" s="163"/>
      <c r="O10" s="163"/>
      <c r="P10" s="163"/>
      <c r="Q10" s="163"/>
      <c r="R10" s="164"/>
    </row>
    <row r="11" spans="1:22">
      <c r="A11" s="69" t="s">
        <v>226</v>
      </c>
      <c r="B11" s="109" t="s">
        <v>375</v>
      </c>
      <c r="C11" s="109"/>
      <c r="D11" s="109"/>
      <c r="E11" s="109"/>
      <c r="F11" s="109"/>
      <c r="G11" s="109"/>
      <c r="H11" s="109"/>
      <c r="I11" s="109"/>
      <c r="J11" s="109"/>
      <c r="K11" s="109"/>
      <c r="L11" s="109"/>
      <c r="M11" s="109"/>
      <c r="N11" s="109"/>
      <c r="O11" s="109"/>
      <c r="P11" s="109"/>
      <c r="Q11" s="109"/>
      <c r="R11" s="110"/>
    </row>
    <row r="12" spans="1:22"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22"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22" s="12" customFormat="1">
      <c r="A14" s="70" t="s">
        <v>230</v>
      </c>
      <c r="B14" s="17">
        <v>160</v>
      </c>
      <c r="C14" s="17">
        <v>160</v>
      </c>
      <c r="D14" s="17">
        <v>160</v>
      </c>
      <c r="E14" s="17">
        <v>160</v>
      </c>
      <c r="F14" s="17" t="s">
        <v>368</v>
      </c>
      <c r="G14" s="17" t="s">
        <v>368</v>
      </c>
      <c r="H14" s="17" t="s">
        <v>368</v>
      </c>
      <c r="I14" s="17" t="s">
        <v>368</v>
      </c>
      <c r="J14" s="17">
        <v>100</v>
      </c>
      <c r="K14" s="17">
        <v>100</v>
      </c>
      <c r="L14" s="17">
        <v>100</v>
      </c>
      <c r="M14" s="17">
        <v>100</v>
      </c>
      <c r="N14" s="17">
        <v>100</v>
      </c>
      <c r="O14" s="17">
        <v>100</v>
      </c>
      <c r="P14" s="17">
        <v>100</v>
      </c>
      <c r="Q14" s="17">
        <v>100</v>
      </c>
      <c r="R14" s="66">
        <v>100</v>
      </c>
    </row>
    <row r="15" spans="1:22" s="12" customFormat="1">
      <c r="A15" s="70" t="s">
        <v>233</v>
      </c>
      <c r="B15" s="17">
        <v>4.78</v>
      </c>
      <c r="C15" s="17">
        <v>5.56</v>
      </c>
      <c r="D15" s="17">
        <v>6.4</v>
      </c>
      <c r="E15" s="17">
        <v>7.14</v>
      </c>
      <c r="F15" s="17">
        <v>5.54</v>
      </c>
      <c r="G15" s="17">
        <v>7.62</v>
      </c>
      <c r="H15" s="17">
        <v>8.56</v>
      </c>
      <c r="I15" s="17">
        <v>10.97</v>
      </c>
      <c r="J15" s="17">
        <v>15.09</v>
      </c>
      <c r="K15" s="17">
        <v>18.260000000000002</v>
      </c>
      <c r="L15" s="17">
        <v>21.44</v>
      </c>
      <c r="M15" s="17">
        <v>23.83</v>
      </c>
      <c r="N15" s="17">
        <v>26.19</v>
      </c>
      <c r="O15" s="17">
        <v>29.36</v>
      </c>
      <c r="P15" s="17">
        <v>32.54</v>
      </c>
      <c r="Q15" s="17">
        <v>34.93</v>
      </c>
      <c r="R15" s="66">
        <v>38.89</v>
      </c>
      <c r="T15" s="3"/>
      <c r="U15" s="3"/>
      <c r="V15" s="1"/>
    </row>
    <row r="16" spans="1:22" ht="14.45" customHeight="1">
      <c r="A16" s="69" t="s">
        <v>234</v>
      </c>
      <c r="B16" s="109" t="s">
        <v>235</v>
      </c>
      <c r="C16" s="109"/>
      <c r="D16" s="109"/>
      <c r="E16" s="109"/>
      <c r="F16" s="109"/>
      <c r="G16" s="109"/>
      <c r="H16" s="109"/>
      <c r="I16" s="109"/>
      <c r="J16" s="109"/>
      <c r="K16" s="109" t="s">
        <v>287</v>
      </c>
      <c r="L16" s="109"/>
      <c r="M16" s="109"/>
      <c r="N16" s="109"/>
      <c r="O16" s="109"/>
      <c r="P16" s="109"/>
      <c r="Q16" s="109"/>
      <c r="R16" s="110"/>
    </row>
    <row r="17" spans="1:18" ht="14.45" customHeight="1">
      <c r="A17" s="69" t="s">
        <v>237</v>
      </c>
      <c r="B17" s="109" t="s">
        <v>370</v>
      </c>
      <c r="C17" s="109"/>
      <c r="D17" s="109"/>
      <c r="E17" s="109"/>
      <c r="F17" s="109"/>
      <c r="G17" s="109"/>
      <c r="H17" s="109"/>
      <c r="I17" s="109"/>
      <c r="J17" s="109"/>
      <c r="K17" s="109" t="s">
        <v>371</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4.45" customHeight="1">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372</v>
      </c>
      <c r="C21" s="145"/>
      <c r="D21" s="145"/>
      <c r="E21" s="145"/>
      <c r="F21" s="145"/>
      <c r="G21" s="145"/>
      <c r="H21" s="145"/>
      <c r="I21" s="145"/>
      <c r="J21" s="145"/>
      <c r="K21" s="145"/>
      <c r="L21" s="145"/>
      <c r="M21" s="145"/>
      <c r="N21" s="145"/>
      <c r="O21" s="145"/>
      <c r="P21" s="145"/>
      <c r="Q21" s="145"/>
      <c r="R21" s="147"/>
    </row>
    <row r="22" spans="1:18" ht="15" customHeight="1">
      <c r="A22" s="69" t="s">
        <v>246</v>
      </c>
      <c r="B22" s="230" t="s">
        <v>247</v>
      </c>
      <c r="C22" s="231"/>
      <c r="D22" s="231"/>
      <c r="E22" s="231"/>
      <c r="F22" s="231"/>
      <c r="G22" s="231"/>
      <c r="H22" s="231"/>
      <c r="I22" s="231"/>
      <c r="J22" s="231"/>
      <c r="K22" s="231"/>
      <c r="L22" s="231"/>
      <c r="M22" s="231"/>
      <c r="N22" s="231"/>
      <c r="O22" s="231"/>
      <c r="P22" s="231"/>
      <c r="Q22" s="231"/>
      <c r="R22" s="232"/>
    </row>
    <row r="23" spans="1:18" ht="15" customHeight="1">
      <c r="A23" s="69" t="s">
        <v>248</v>
      </c>
      <c r="B23" s="230" t="s">
        <v>247</v>
      </c>
      <c r="C23" s="231"/>
      <c r="D23" s="231"/>
      <c r="E23" s="231"/>
      <c r="F23" s="231"/>
      <c r="G23" s="231"/>
      <c r="H23" s="231"/>
      <c r="I23" s="231"/>
      <c r="J23" s="231"/>
      <c r="K23" s="231"/>
      <c r="L23" s="231"/>
      <c r="M23" s="231"/>
      <c r="N23" s="231"/>
      <c r="O23" s="231"/>
      <c r="P23" s="231"/>
      <c r="Q23" s="231"/>
      <c r="R23" s="232"/>
    </row>
    <row r="24" spans="1:18" ht="15" customHeight="1">
      <c r="A24" s="69" t="s">
        <v>249</v>
      </c>
      <c r="B24" s="230" t="s">
        <v>247</v>
      </c>
      <c r="C24" s="231"/>
      <c r="D24" s="231"/>
      <c r="E24" s="231"/>
      <c r="F24" s="231"/>
      <c r="G24" s="231"/>
      <c r="H24" s="231"/>
      <c r="I24" s="231"/>
      <c r="J24" s="231"/>
      <c r="K24" s="231"/>
      <c r="L24" s="231"/>
      <c r="M24" s="231"/>
      <c r="N24" s="231"/>
      <c r="O24" s="231"/>
      <c r="P24" s="231"/>
      <c r="Q24" s="231"/>
      <c r="R24" s="232"/>
    </row>
    <row r="25" spans="1:18" ht="15" customHeight="1">
      <c r="A25" s="69" t="s">
        <v>250</v>
      </c>
      <c r="B25" s="230" t="s">
        <v>247</v>
      </c>
      <c r="C25" s="231"/>
      <c r="D25" s="231"/>
      <c r="E25" s="231"/>
      <c r="F25" s="231"/>
      <c r="G25" s="231"/>
      <c r="H25" s="231"/>
      <c r="I25" s="231"/>
      <c r="J25" s="231"/>
      <c r="K25" s="231"/>
      <c r="L25" s="231"/>
      <c r="M25" s="231"/>
      <c r="N25" s="231"/>
      <c r="O25" s="231"/>
      <c r="P25" s="231"/>
      <c r="Q25" s="231"/>
      <c r="R25" s="232"/>
    </row>
    <row r="26" spans="1:18" ht="15"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373</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c r="A29" s="69" t="s">
        <v>237</v>
      </c>
      <c r="B29" s="144" t="s">
        <v>374</v>
      </c>
      <c r="C29" s="145"/>
      <c r="D29" s="145"/>
      <c r="E29" s="145"/>
      <c r="F29" s="145"/>
      <c r="G29" s="145"/>
      <c r="H29" s="145"/>
      <c r="I29" s="145"/>
      <c r="J29" s="145"/>
      <c r="K29" s="145"/>
      <c r="L29" s="145"/>
      <c r="M29" s="145"/>
      <c r="N29" s="145"/>
      <c r="O29" s="145"/>
      <c r="P29" s="145"/>
      <c r="Q29" s="145"/>
      <c r="R29" s="147"/>
    </row>
    <row r="30" spans="1:18" ht="15.75" customHeight="1">
      <c r="A30" s="69" t="s">
        <v>257</v>
      </c>
      <c r="B30" s="144" t="s">
        <v>299</v>
      </c>
      <c r="C30" s="145"/>
      <c r="D30" s="145"/>
      <c r="E30" s="146"/>
      <c r="F30" s="144" t="s">
        <v>300</v>
      </c>
      <c r="G30" s="145"/>
      <c r="H30" s="145"/>
      <c r="I30" s="145"/>
      <c r="J30" s="145"/>
      <c r="K30" s="145"/>
      <c r="L30" s="145"/>
      <c r="M30" s="145"/>
      <c r="N30" s="145"/>
      <c r="O30" s="145"/>
      <c r="P30" s="145"/>
      <c r="Q30" s="145"/>
      <c r="R30" s="147"/>
    </row>
    <row r="31" spans="1:18" ht="15.75" customHeight="1">
      <c r="A31" s="69" t="s">
        <v>234</v>
      </c>
      <c r="B31" s="144" t="s">
        <v>376</v>
      </c>
      <c r="C31" s="145"/>
      <c r="D31" s="145"/>
      <c r="E31" s="145"/>
      <c r="F31" s="145"/>
      <c r="G31" s="145"/>
      <c r="H31" s="145"/>
      <c r="I31" s="145"/>
      <c r="J31" s="145"/>
      <c r="K31" s="145"/>
      <c r="L31" s="145"/>
      <c r="M31" s="145"/>
      <c r="N31" s="145"/>
      <c r="O31" s="145"/>
      <c r="P31" s="145"/>
      <c r="Q31" s="145"/>
      <c r="R31" s="147"/>
    </row>
    <row r="32" spans="1:18" ht="15.75" customHeight="1">
      <c r="A32" s="117" t="s">
        <v>260</v>
      </c>
      <c r="B32" s="109"/>
      <c r="C32" s="109"/>
      <c r="D32" s="109"/>
      <c r="E32" s="109"/>
      <c r="F32" s="109"/>
      <c r="G32" s="109"/>
      <c r="H32" s="109"/>
      <c r="I32" s="109"/>
      <c r="J32" s="109"/>
      <c r="K32" s="109"/>
      <c r="L32" s="109"/>
      <c r="M32" s="109"/>
      <c r="N32" s="109"/>
      <c r="O32" s="109"/>
      <c r="P32" s="109"/>
      <c r="Q32" s="109"/>
      <c r="R32" s="110"/>
    </row>
    <row r="33" spans="1:20" ht="13.9" customHeight="1">
      <c r="A33" s="69" t="s">
        <v>237</v>
      </c>
      <c r="B33" s="109" t="s">
        <v>374</v>
      </c>
      <c r="C33" s="109"/>
      <c r="D33" s="109"/>
      <c r="E33" s="109"/>
      <c r="F33" s="109"/>
      <c r="G33" s="109"/>
      <c r="H33" s="109"/>
      <c r="I33" s="109"/>
      <c r="J33" s="109"/>
      <c r="K33" s="109"/>
      <c r="L33" s="109"/>
      <c r="M33" s="109"/>
      <c r="N33" s="109"/>
      <c r="O33" s="109"/>
      <c r="P33" s="109"/>
      <c r="Q33" s="109"/>
      <c r="R33" s="110"/>
    </row>
    <row r="34" spans="1:20"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20" ht="15" customHeight="1">
      <c r="A35" s="117" t="s">
        <v>264</v>
      </c>
      <c r="B35" s="109"/>
      <c r="C35" s="109"/>
      <c r="D35" s="109"/>
      <c r="E35" s="109"/>
      <c r="F35" s="109"/>
      <c r="G35" s="109"/>
      <c r="H35" s="109"/>
      <c r="I35" s="109"/>
      <c r="J35" s="109"/>
      <c r="K35" s="109"/>
      <c r="L35" s="109"/>
      <c r="M35" s="109"/>
      <c r="N35" s="109"/>
      <c r="O35" s="109"/>
      <c r="P35" s="109"/>
      <c r="Q35" s="109"/>
      <c r="R35" s="110"/>
    </row>
    <row r="36" spans="1:20" ht="13.9" customHeight="1">
      <c r="A36" s="69" t="s">
        <v>265</v>
      </c>
      <c r="B36" s="144" t="s">
        <v>328</v>
      </c>
      <c r="C36" s="145"/>
      <c r="D36" s="145"/>
      <c r="E36" s="145"/>
      <c r="F36" s="145"/>
      <c r="G36" s="145"/>
      <c r="H36" s="145"/>
      <c r="I36" s="145"/>
      <c r="J36" s="145"/>
      <c r="K36" s="145"/>
      <c r="L36" s="145"/>
      <c r="M36" s="145"/>
      <c r="N36" s="145"/>
      <c r="O36" s="145"/>
      <c r="P36" s="145"/>
      <c r="Q36" s="145"/>
      <c r="R36" s="147"/>
    </row>
    <row r="37" spans="1:20" ht="13.9" customHeight="1">
      <c r="A37" s="69" t="s">
        <v>267</v>
      </c>
      <c r="B37" s="144" t="s">
        <v>329</v>
      </c>
      <c r="C37" s="145"/>
      <c r="D37" s="145"/>
      <c r="E37" s="145"/>
      <c r="F37" s="145"/>
      <c r="G37" s="145"/>
      <c r="H37" s="145"/>
      <c r="I37" s="145"/>
      <c r="J37" s="145"/>
      <c r="K37" s="145"/>
      <c r="L37" s="145"/>
      <c r="M37" s="145"/>
      <c r="N37" s="145"/>
      <c r="O37" s="145"/>
      <c r="P37" s="145"/>
      <c r="Q37" s="145"/>
      <c r="R37" s="147"/>
    </row>
    <row r="38" spans="1:20" ht="13.9" customHeight="1">
      <c r="A38" s="69" t="s">
        <v>269</v>
      </c>
      <c r="B38" s="144" t="s">
        <v>377</v>
      </c>
      <c r="C38" s="149"/>
      <c r="D38" s="149"/>
      <c r="E38" s="149"/>
      <c r="F38" s="149"/>
      <c r="G38" s="149"/>
      <c r="H38" s="149"/>
      <c r="I38" s="149"/>
      <c r="J38" s="149"/>
      <c r="K38" s="149"/>
      <c r="L38" s="149"/>
      <c r="M38" s="149"/>
      <c r="N38" s="149"/>
      <c r="O38" s="149"/>
      <c r="P38" s="149"/>
      <c r="Q38" s="149"/>
      <c r="R38" s="150"/>
    </row>
    <row r="39" spans="1:20" ht="13.9" customHeight="1">
      <c r="A39" s="141" t="s">
        <v>271</v>
      </c>
      <c r="B39" s="142"/>
      <c r="C39" s="142"/>
      <c r="D39" s="142"/>
      <c r="E39" s="142"/>
      <c r="F39" s="142"/>
      <c r="G39" s="142"/>
      <c r="H39" s="142"/>
      <c r="I39" s="142"/>
      <c r="J39" s="142"/>
      <c r="K39" s="142"/>
      <c r="L39" s="142"/>
      <c r="M39" s="142"/>
      <c r="N39" s="142"/>
      <c r="O39" s="142"/>
      <c r="P39" s="142"/>
      <c r="Q39" s="142"/>
      <c r="R39" s="143"/>
    </row>
    <row r="40" spans="1:20">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20" s="5" customFormat="1" ht="14.45"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20" s="5" customFormat="1" ht="14.45"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c r="T42" s="6"/>
    </row>
    <row r="43" spans="1:20" s="5" customFormat="1">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20" s="5" customFormat="1">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20" s="5" customFormat="1"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20" s="5" customFormat="1"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20" s="5" customFormat="1">
      <c r="A47" s="148" t="s">
        <v>278</v>
      </c>
      <c r="B47" s="149"/>
      <c r="C47" s="149"/>
      <c r="D47" s="149"/>
      <c r="E47" s="149"/>
      <c r="F47" s="149"/>
      <c r="G47" s="149"/>
      <c r="H47" s="149"/>
      <c r="I47" s="149"/>
      <c r="J47" s="149"/>
      <c r="K47" s="149"/>
      <c r="L47" s="149"/>
      <c r="M47" s="149"/>
      <c r="N47" s="149"/>
      <c r="O47" s="149"/>
      <c r="P47" s="149"/>
      <c r="Q47" s="149"/>
      <c r="R47" s="150"/>
    </row>
    <row r="48" spans="1:20" s="5" customFormat="1" ht="28.1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7.6" customHeight="1">
      <c r="A51" s="114" t="s">
        <v>324</v>
      </c>
      <c r="B51" s="115"/>
      <c r="C51" s="115"/>
      <c r="D51" s="115"/>
      <c r="E51" s="115"/>
      <c r="F51" s="115"/>
      <c r="G51" s="115"/>
      <c r="H51" s="115"/>
      <c r="I51" s="115"/>
      <c r="J51" s="115"/>
      <c r="K51" s="115"/>
      <c r="L51" s="115"/>
      <c r="M51" s="115"/>
      <c r="N51" s="115"/>
      <c r="O51" s="115"/>
      <c r="P51" s="115"/>
      <c r="Q51" s="115"/>
      <c r="R51" s="116"/>
    </row>
    <row r="52" spans="1:18" ht="28.1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c r="A53" s="114" t="s">
        <v>378</v>
      </c>
      <c r="B53" s="115"/>
      <c r="C53" s="115"/>
      <c r="D53" s="115"/>
      <c r="E53" s="115"/>
      <c r="F53" s="115"/>
      <c r="G53" s="115"/>
      <c r="H53" s="115"/>
      <c r="I53" s="115"/>
      <c r="J53" s="115"/>
      <c r="K53" s="115"/>
      <c r="L53" s="115"/>
      <c r="M53" s="115"/>
      <c r="N53" s="115"/>
      <c r="O53" s="115"/>
      <c r="P53" s="115"/>
      <c r="Q53" s="115"/>
      <c r="R53" s="116"/>
    </row>
    <row r="54" spans="1:18" s="5" customFormat="1">
      <c r="A54" s="114" t="s">
        <v>379</v>
      </c>
      <c r="B54" s="115"/>
      <c r="C54" s="115"/>
      <c r="D54" s="115"/>
      <c r="E54" s="115"/>
      <c r="F54" s="115"/>
      <c r="G54" s="115"/>
      <c r="H54" s="115"/>
      <c r="I54" s="115"/>
      <c r="J54" s="115"/>
      <c r="K54" s="115"/>
      <c r="L54" s="115"/>
      <c r="M54" s="115"/>
      <c r="N54" s="115"/>
      <c r="O54" s="115"/>
      <c r="P54" s="115"/>
      <c r="Q54" s="115"/>
      <c r="R54" s="116"/>
    </row>
    <row r="55" spans="1:18">
      <c r="A55" s="114" t="s">
        <v>380</v>
      </c>
      <c r="B55" s="115"/>
      <c r="C55" s="115"/>
      <c r="D55" s="115"/>
      <c r="E55" s="115"/>
      <c r="F55" s="115"/>
      <c r="G55" s="115"/>
      <c r="H55" s="115"/>
      <c r="I55" s="115"/>
      <c r="J55" s="115"/>
      <c r="K55" s="115"/>
      <c r="L55" s="115"/>
      <c r="M55" s="115"/>
      <c r="N55" s="115"/>
      <c r="O55" s="115"/>
      <c r="P55" s="115"/>
      <c r="Q55" s="115"/>
      <c r="R55" s="116"/>
    </row>
    <row r="56" spans="1:18">
      <c r="A56" s="114" t="s">
        <v>381</v>
      </c>
      <c r="B56" s="115"/>
      <c r="C56" s="115"/>
      <c r="D56" s="115"/>
      <c r="E56" s="115"/>
      <c r="F56" s="115"/>
      <c r="G56" s="115"/>
      <c r="H56" s="115"/>
      <c r="I56" s="115"/>
      <c r="J56" s="115"/>
      <c r="K56" s="115"/>
      <c r="L56" s="115"/>
      <c r="M56" s="115"/>
      <c r="N56" s="115"/>
      <c r="O56" s="115"/>
      <c r="P56" s="115"/>
      <c r="Q56" s="115"/>
      <c r="R56" s="116"/>
    </row>
    <row r="57" spans="1:18" ht="15.75" thickBot="1">
      <c r="A57" s="177"/>
      <c r="B57" s="178"/>
      <c r="C57" s="178"/>
      <c r="D57" s="178"/>
      <c r="E57" s="178"/>
      <c r="F57" s="178"/>
      <c r="G57" s="178"/>
      <c r="H57" s="178"/>
      <c r="I57" s="178"/>
      <c r="J57" s="178"/>
      <c r="K57" s="178"/>
      <c r="L57" s="178"/>
      <c r="M57" s="178"/>
      <c r="N57" s="178"/>
      <c r="O57" s="178"/>
      <c r="P57" s="178"/>
      <c r="Q57" s="178"/>
      <c r="R57" s="179"/>
    </row>
  </sheetData>
  <mergeCells count="88">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B18:R18"/>
    <mergeCell ref="A10:R10"/>
    <mergeCell ref="B11:R11"/>
    <mergeCell ref="B16:J16"/>
    <mergeCell ref="K16:R16"/>
    <mergeCell ref="B17:J17"/>
    <mergeCell ref="K17:R17"/>
    <mergeCell ref="B21:R21"/>
    <mergeCell ref="B22:R22"/>
    <mergeCell ref="B23:R23"/>
    <mergeCell ref="A19:J19"/>
    <mergeCell ref="K19:R19"/>
    <mergeCell ref="B20:J20"/>
    <mergeCell ref="K20:R20"/>
    <mergeCell ref="B27:R27"/>
    <mergeCell ref="B26:E26"/>
    <mergeCell ref="B24:R24"/>
    <mergeCell ref="B25:R25"/>
    <mergeCell ref="F26:R26"/>
    <mergeCell ref="A35:R35"/>
    <mergeCell ref="A28:R28"/>
    <mergeCell ref="B29:R29"/>
    <mergeCell ref="B30:E30"/>
    <mergeCell ref="F30:R30"/>
    <mergeCell ref="B31:R31"/>
    <mergeCell ref="A32:R32"/>
    <mergeCell ref="B33:R33"/>
    <mergeCell ref="B34:L34"/>
    <mergeCell ref="M34:R34"/>
    <mergeCell ref="B41:E41"/>
    <mergeCell ref="F41:R41"/>
    <mergeCell ref="B46:R46"/>
    <mergeCell ref="B45:F45"/>
    <mergeCell ref="G45:R45"/>
    <mergeCell ref="B36:R36"/>
    <mergeCell ref="B37:R37"/>
    <mergeCell ref="B38:R38"/>
    <mergeCell ref="A39:R39"/>
    <mergeCell ref="B40:R40"/>
    <mergeCell ref="A54:R54"/>
    <mergeCell ref="A55:R55"/>
    <mergeCell ref="A56:R56"/>
    <mergeCell ref="A57:R57"/>
    <mergeCell ref="B9:C9"/>
    <mergeCell ref="A48:R48"/>
    <mergeCell ref="A49:R49"/>
    <mergeCell ref="A50:R50"/>
    <mergeCell ref="A51:R51"/>
    <mergeCell ref="A52:R52"/>
    <mergeCell ref="A53:R53"/>
    <mergeCell ref="B42:R42"/>
    <mergeCell ref="B43:R43"/>
    <mergeCell ref="B44:E44"/>
    <mergeCell ref="F44:R44"/>
    <mergeCell ref="A47:R47"/>
  </mergeCells>
  <printOptions horizontalCentered="1"/>
  <pageMargins left="0.7" right="0.7" top="0.75" bottom="0.75" header="0.3" footer="0.3"/>
  <pageSetup paperSize="9" scale="88" firstPageNumber="18" orientation="portrait" r:id="rId1"/>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D1C1-F7AD-45F9-9562-3E4A81528AB5}">
  <sheetPr codeName="Sheet29">
    <tabColor rgb="FF00B0F0"/>
    <pageSetUpPr fitToPage="1"/>
  </sheetPr>
  <dimension ref="A1:R59"/>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ht="13.9" customHeight="1">
      <c r="A11" s="69" t="s">
        <v>226</v>
      </c>
      <c r="B11" s="109" t="s">
        <v>375</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v>160</v>
      </c>
      <c r="G14" s="17">
        <v>160</v>
      </c>
      <c r="H14" s="17">
        <v>160</v>
      </c>
      <c r="I14" s="17">
        <v>160</v>
      </c>
      <c r="J14" s="17">
        <v>160</v>
      </c>
      <c r="K14" s="17">
        <v>160</v>
      </c>
      <c r="L14" s="17">
        <v>160</v>
      </c>
      <c r="M14" s="17">
        <v>160</v>
      </c>
      <c r="N14" s="17">
        <v>160</v>
      </c>
      <c r="O14" s="17">
        <v>160</v>
      </c>
      <c r="P14" s="17">
        <v>160</v>
      </c>
      <c r="Q14" s="17">
        <v>160</v>
      </c>
      <c r="R14" s="66">
        <v>160</v>
      </c>
    </row>
    <row r="15" spans="1:18" s="12" customFormat="1">
      <c r="A15" s="70" t="s">
        <v>233</v>
      </c>
      <c r="B15" s="17">
        <v>4.78</v>
      </c>
      <c r="C15" s="17">
        <v>5.56</v>
      </c>
      <c r="D15" s="17">
        <v>6.35</v>
      </c>
      <c r="E15" s="17">
        <v>7.14</v>
      </c>
      <c r="F15" s="17">
        <v>8.74</v>
      </c>
      <c r="G15" s="17">
        <v>11.13</v>
      </c>
      <c r="H15" s="17">
        <v>13.49</v>
      </c>
      <c r="I15" s="17">
        <v>18.260000000000002</v>
      </c>
      <c r="J15" s="17">
        <v>23.01</v>
      </c>
      <c r="K15" s="17">
        <v>28.58</v>
      </c>
      <c r="L15" s="17">
        <v>33.32</v>
      </c>
      <c r="M15" s="17">
        <v>35.71</v>
      </c>
      <c r="N15" s="17">
        <v>40.49</v>
      </c>
      <c r="O15" s="17">
        <v>45.24</v>
      </c>
      <c r="P15" s="17">
        <v>50.01</v>
      </c>
      <c r="Q15" s="17">
        <v>53.98</v>
      </c>
      <c r="R15" s="66">
        <v>59.54</v>
      </c>
    </row>
    <row r="16" spans="1:18" ht="14.45" customHeight="1">
      <c r="A16" s="69" t="s">
        <v>234</v>
      </c>
      <c r="B16" s="109" t="s">
        <v>235</v>
      </c>
      <c r="C16" s="109"/>
      <c r="D16" s="109"/>
      <c r="E16" s="109"/>
      <c r="F16" s="109"/>
      <c r="G16" s="109"/>
      <c r="H16" s="109"/>
      <c r="I16" s="109"/>
      <c r="J16" s="109"/>
      <c r="K16" s="109" t="s">
        <v>287</v>
      </c>
      <c r="L16" s="109"/>
      <c r="M16" s="109"/>
      <c r="N16" s="109"/>
      <c r="O16" s="109"/>
      <c r="P16" s="109"/>
      <c r="Q16" s="109"/>
      <c r="R16" s="110"/>
    </row>
    <row r="17" spans="1:18" ht="14.45" customHeight="1">
      <c r="A17" s="69" t="s">
        <v>237</v>
      </c>
      <c r="B17" s="109" t="s">
        <v>370</v>
      </c>
      <c r="C17" s="109"/>
      <c r="D17" s="109"/>
      <c r="E17" s="109"/>
      <c r="F17" s="109"/>
      <c r="G17" s="109"/>
      <c r="H17" s="109"/>
      <c r="I17" s="109"/>
      <c r="J17" s="109"/>
      <c r="K17" s="109" t="s">
        <v>371</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4.45" customHeight="1">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372</v>
      </c>
      <c r="C21" s="145"/>
      <c r="D21" s="145"/>
      <c r="E21" s="145"/>
      <c r="F21" s="145"/>
      <c r="G21" s="145"/>
      <c r="H21" s="145"/>
      <c r="I21" s="145"/>
      <c r="J21" s="145"/>
      <c r="K21" s="145"/>
      <c r="L21" s="145"/>
      <c r="M21" s="145"/>
      <c r="N21" s="145"/>
      <c r="O21" s="145"/>
      <c r="P21" s="145"/>
      <c r="Q21" s="145"/>
      <c r="R21" s="147"/>
    </row>
    <row r="22" spans="1:18" ht="15" customHeight="1">
      <c r="A22" s="69" t="s">
        <v>246</v>
      </c>
      <c r="B22" s="230" t="s">
        <v>247</v>
      </c>
      <c r="C22" s="231"/>
      <c r="D22" s="231"/>
      <c r="E22" s="231"/>
      <c r="F22" s="231"/>
      <c r="G22" s="231"/>
      <c r="H22" s="231"/>
      <c r="I22" s="231"/>
      <c r="J22" s="231"/>
      <c r="K22" s="231"/>
      <c r="L22" s="231"/>
      <c r="M22" s="231"/>
      <c r="N22" s="231"/>
      <c r="O22" s="231"/>
      <c r="P22" s="231"/>
      <c r="Q22" s="231"/>
      <c r="R22" s="232"/>
    </row>
    <row r="23" spans="1:18" ht="15" customHeight="1">
      <c r="A23" s="69" t="s">
        <v>248</v>
      </c>
      <c r="B23" s="230" t="s">
        <v>247</v>
      </c>
      <c r="C23" s="231"/>
      <c r="D23" s="231"/>
      <c r="E23" s="231"/>
      <c r="F23" s="231"/>
      <c r="G23" s="231"/>
      <c r="H23" s="231"/>
      <c r="I23" s="231"/>
      <c r="J23" s="231"/>
      <c r="K23" s="231"/>
      <c r="L23" s="231"/>
      <c r="M23" s="231"/>
      <c r="N23" s="231"/>
      <c r="O23" s="231"/>
      <c r="P23" s="231"/>
      <c r="Q23" s="231"/>
      <c r="R23" s="232"/>
    </row>
    <row r="24" spans="1:18" ht="15" customHeight="1">
      <c r="A24" s="69" t="s">
        <v>249</v>
      </c>
      <c r="B24" s="230" t="s">
        <v>247</v>
      </c>
      <c r="C24" s="231"/>
      <c r="D24" s="231"/>
      <c r="E24" s="231"/>
      <c r="F24" s="231"/>
      <c r="G24" s="231"/>
      <c r="H24" s="231"/>
      <c r="I24" s="231"/>
      <c r="J24" s="231"/>
      <c r="K24" s="231"/>
      <c r="L24" s="231"/>
      <c r="M24" s="231"/>
      <c r="N24" s="231"/>
      <c r="O24" s="231"/>
      <c r="P24" s="231"/>
      <c r="Q24" s="231"/>
      <c r="R24" s="232"/>
    </row>
    <row r="25" spans="1:18" ht="15" customHeight="1">
      <c r="A25" s="69" t="s">
        <v>250</v>
      </c>
      <c r="B25" s="230" t="s">
        <v>247</v>
      </c>
      <c r="C25" s="231"/>
      <c r="D25" s="231"/>
      <c r="E25" s="231"/>
      <c r="F25" s="231"/>
      <c r="G25" s="231"/>
      <c r="H25" s="231"/>
      <c r="I25" s="231"/>
      <c r="J25" s="231"/>
      <c r="K25" s="231"/>
      <c r="L25" s="231"/>
      <c r="M25" s="231"/>
      <c r="N25" s="231"/>
      <c r="O25" s="231"/>
      <c r="P25" s="231"/>
      <c r="Q25" s="231"/>
      <c r="R25" s="232"/>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373</v>
      </c>
      <c r="C27" s="145"/>
      <c r="D27" s="145"/>
      <c r="E27" s="145"/>
      <c r="F27" s="145"/>
      <c r="G27" s="145"/>
      <c r="H27" s="145"/>
      <c r="I27" s="145"/>
      <c r="J27" s="145"/>
      <c r="K27" s="145"/>
      <c r="L27" s="145"/>
      <c r="M27" s="145"/>
      <c r="N27" s="145"/>
      <c r="O27" s="145"/>
      <c r="P27" s="145"/>
      <c r="Q27" s="145"/>
      <c r="R27" s="147"/>
    </row>
    <row r="28" spans="1:18" ht="15" customHeight="1">
      <c r="A28" s="117" t="s">
        <v>255</v>
      </c>
      <c r="B28" s="109"/>
      <c r="C28" s="109"/>
      <c r="D28" s="109"/>
      <c r="E28" s="109"/>
      <c r="F28" s="109"/>
      <c r="G28" s="109"/>
      <c r="H28" s="109"/>
      <c r="I28" s="109"/>
      <c r="J28" s="109"/>
      <c r="K28" s="109"/>
      <c r="L28" s="109"/>
      <c r="M28" s="109"/>
      <c r="N28" s="109"/>
      <c r="O28" s="109"/>
      <c r="P28" s="109"/>
      <c r="Q28" s="109"/>
      <c r="R28" s="110"/>
    </row>
    <row r="29" spans="1:18" s="5" customFormat="1" ht="13.9" customHeight="1">
      <c r="A29" s="69" t="s">
        <v>237</v>
      </c>
      <c r="B29" s="144" t="s">
        <v>374</v>
      </c>
      <c r="C29" s="145"/>
      <c r="D29" s="145"/>
      <c r="E29" s="145"/>
      <c r="F29" s="145"/>
      <c r="G29" s="145"/>
      <c r="H29" s="145"/>
      <c r="I29" s="145"/>
      <c r="J29" s="145"/>
      <c r="K29" s="145"/>
      <c r="L29" s="145"/>
      <c r="M29" s="145"/>
      <c r="N29" s="145"/>
      <c r="O29" s="145"/>
      <c r="P29" s="145"/>
      <c r="Q29" s="145"/>
      <c r="R29" s="147"/>
    </row>
    <row r="30" spans="1:18" s="5" customFormat="1" ht="14.45" customHeight="1">
      <c r="A30" s="69" t="s">
        <v>257</v>
      </c>
      <c r="B30" s="144" t="s">
        <v>299</v>
      </c>
      <c r="C30" s="145"/>
      <c r="D30" s="145"/>
      <c r="E30" s="145"/>
      <c r="F30" s="145"/>
      <c r="G30" s="145"/>
      <c r="H30" s="145"/>
      <c r="I30" s="145"/>
      <c r="J30" s="145"/>
      <c r="K30" s="145"/>
      <c r="L30" s="145"/>
      <c r="M30" s="145"/>
      <c r="N30" s="145"/>
      <c r="O30" s="145"/>
      <c r="P30" s="145"/>
      <c r="Q30" s="145"/>
      <c r="R30" s="147"/>
    </row>
    <row r="31" spans="1:18" ht="14.45" customHeight="1">
      <c r="A31" s="69" t="s">
        <v>234</v>
      </c>
      <c r="B31" s="144" t="s">
        <v>376</v>
      </c>
      <c r="C31" s="145"/>
      <c r="D31" s="145"/>
      <c r="E31" s="145"/>
      <c r="F31" s="145"/>
      <c r="G31" s="145"/>
      <c r="H31" s="145"/>
      <c r="I31" s="145"/>
      <c r="J31" s="145"/>
      <c r="K31" s="145"/>
      <c r="L31" s="145"/>
      <c r="M31" s="145"/>
      <c r="N31" s="145"/>
      <c r="O31" s="145"/>
      <c r="P31" s="145"/>
      <c r="Q31" s="145"/>
      <c r="R31" s="147"/>
    </row>
    <row r="32" spans="1:18" ht="30">
      <c r="A32" s="69" t="s">
        <v>315</v>
      </c>
      <c r="B32" s="144"/>
      <c r="C32" s="145"/>
      <c r="D32" s="145"/>
      <c r="E32" s="145"/>
      <c r="F32" s="146"/>
      <c r="G32" s="144" t="s">
        <v>316</v>
      </c>
      <c r="H32" s="145"/>
      <c r="I32" s="145"/>
      <c r="J32" s="145"/>
      <c r="K32" s="145"/>
      <c r="L32" s="145"/>
      <c r="M32" s="145"/>
      <c r="N32" s="145"/>
      <c r="O32" s="145"/>
      <c r="P32" s="145"/>
      <c r="Q32" s="145"/>
      <c r="R32" s="147"/>
    </row>
    <row r="33" spans="1:18" ht="42.6" customHeight="1">
      <c r="A33" s="69" t="s">
        <v>317</v>
      </c>
      <c r="B33" s="144"/>
      <c r="C33" s="145"/>
      <c r="D33" s="145"/>
      <c r="E33" s="145"/>
      <c r="F33" s="146"/>
      <c r="G33" s="144" t="s">
        <v>382</v>
      </c>
      <c r="H33" s="145"/>
      <c r="I33" s="145"/>
      <c r="J33" s="145"/>
      <c r="K33" s="145"/>
      <c r="L33" s="145"/>
      <c r="M33" s="145"/>
      <c r="N33" s="145"/>
      <c r="O33" s="145"/>
      <c r="P33" s="145"/>
      <c r="Q33" s="145"/>
      <c r="R33" s="147"/>
    </row>
    <row r="34" spans="1:18" ht="14.45" customHeight="1">
      <c r="A34" s="117" t="s">
        <v>260</v>
      </c>
      <c r="B34" s="109"/>
      <c r="C34" s="109"/>
      <c r="D34" s="109"/>
      <c r="E34" s="109"/>
      <c r="F34" s="109"/>
      <c r="G34" s="109"/>
      <c r="H34" s="109"/>
      <c r="I34" s="109"/>
      <c r="J34" s="109"/>
      <c r="K34" s="109"/>
      <c r="L34" s="109"/>
      <c r="M34" s="109"/>
      <c r="N34" s="109"/>
      <c r="O34" s="109"/>
      <c r="P34" s="109"/>
      <c r="Q34" s="109"/>
      <c r="R34" s="110"/>
    </row>
    <row r="35" spans="1:18" ht="14.45" customHeight="1">
      <c r="A35" s="69" t="s">
        <v>237</v>
      </c>
      <c r="B35" s="109" t="s">
        <v>374</v>
      </c>
      <c r="C35" s="109"/>
      <c r="D35" s="109"/>
      <c r="E35" s="109"/>
      <c r="F35" s="109"/>
      <c r="G35" s="109"/>
      <c r="H35" s="109"/>
      <c r="I35" s="109"/>
      <c r="J35" s="109"/>
      <c r="K35" s="109"/>
      <c r="L35" s="109"/>
      <c r="M35" s="109"/>
      <c r="N35" s="109"/>
      <c r="O35" s="109"/>
      <c r="P35" s="109"/>
      <c r="Q35" s="109"/>
      <c r="R35" s="110"/>
    </row>
    <row r="36" spans="1:18" ht="14.45"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18" ht="13.9" customHeight="1">
      <c r="A37" s="117" t="s">
        <v>264</v>
      </c>
      <c r="B37" s="109"/>
      <c r="C37" s="109"/>
      <c r="D37" s="109"/>
      <c r="E37" s="109"/>
      <c r="F37" s="109"/>
      <c r="G37" s="109"/>
      <c r="H37" s="109"/>
      <c r="I37" s="109"/>
      <c r="J37" s="109"/>
      <c r="K37" s="109"/>
      <c r="L37" s="109"/>
      <c r="M37" s="109"/>
      <c r="N37" s="109"/>
      <c r="O37" s="109"/>
      <c r="P37" s="109"/>
      <c r="Q37" s="109"/>
      <c r="R37" s="110"/>
    </row>
    <row r="38" spans="1:18">
      <c r="A38" s="69" t="s">
        <v>265</v>
      </c>
      <c r="B38" s="144" t="s">
        <v>328</v>
      </c>
      <c r="C38" s="145"/>
      <c r="D38" s="145"/>
      <c r="E38" s="145"/>
      <c r="F38" s="145"/>
      <c r="G38" s="145"/>
      <c r="H38" s="145"/>
      <c r="I38" s="145"/>
      <c r="J38" s="145"/>
      <c r="K38" s="145"/>
      <c r="L38" s="145"/>
      <c r="M38" s="145"/>
      <c r="N38" s="145"/>
      <c r="O38" s="145"/>
      <c r="P38" s="145"/>
      <c r="Q38" s="145"/>
      <c r="R38" s="147"/>
    </row>
    <row r="39" spans="1:18" s="5" customFormat="1" ht="14.45" customHeight="1">
      <c r="A39" s="69" t="s">
        <v>267</v>
      </c>
      <c r="B39" s="144" t="s">
        <v>329</v>
      </c>
      <c r="C39" s="145"/>
      <c r="D39" s="145"/>
      <c r="E39" s="145"/>
      <c r="F39" s="145"/>
      <c r="G39" s="145"/>
      <c r="H39" s="145"/>
      <c r="I39" s="145"/>
      <c r="J39" s="145"/>
      <c r="K39" s="145"/>
      <c r="L39" s="145"/>
      <c r="M39" s="145"/>
      <c r="N39" s="145"/>
      <c r="O39" s="145"/>
      <c r="P39" s="145"/>
      <c r="Q39" s="145"/>
      <c r="R39" s="147"/>
    </row>
    <row r="40" spans="1:18" s="5" customFormat="1" ht="14.45" customHeight="1">
      <c r="A40" s="69" t="s">
        <v>269</v>
      </c>
      <c r="B40" s="144" t="s">
        <v>377</v>
      </c>
      <c r="C40" s="149"/>
      <c r="D40" s="149"/>
      <c r="E40" s="149"/>
      <c r="F40" s="149"/>
      <c r="G40" s="149"/>
      <c r="H40" s="149"/>
      <c r="I40" s="149"/>
      <c r="J40" s="149"/>
      <c r="K40" s="149"/>
      <c r="L40" s="149"/>
      <c r="M40" s="149"/>
      <c r="N40" s="149"/>
      <c r="O40" s="149"/>
      <c r="P40" s="149"/>
      <c r="Q40" s="149"/>
      <c r="R40" s="150"/>
    </row>
    <row r="41" spans="1:18" s="5" customFormat="1" ht="14.45" customHeight="1">
      <c r="A41" s="141" t="s">
        <v>271</v>
      </c>
      <c r="B41" s="142"/>
      <c r="C41" s="142"/>
      <c r="D41" s="142"/>
      <c r="E41" s="142"/>
      <c r="F41" s="142"/>
      <c r="G41" s="142"/>
      <c r="H41" s="142"/>
      <c r="I41" s="142"/>
      <c r="J41" s="142"/>
      <c r="K41" s="142"/>
      <c r="L41" s="142"/>
      <c r="M41" s="142"/>
      <c r="N41" s="142"/>
      <c r="O41" s="142"/>
      <c r="P41" s="142"/>
      <c r="Q41" s="142"/>
      <c r="R41" s="143"/>
    </row>
    <row r="42" spans="1:18" s="5" customFormat="1"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s="5" customFormat="1" ht="14.45"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s="5" customFormat="1" ht="14.45"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s="5" customFormat="1"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s="5" customFormat="1"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s="5" customFormat="1" ht="20.45"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s="5" customFormat="1" ht="28.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s="5" customFormat="1">
      <c r="A49" s="148" t="s">
        <v>278</v>
      </c>
      <c r="B49" s="149"/>
      <c r="C49" s="149"/>
      <c r="D49" s="149"/>
      <c r="E49" s="149"/>
      <c r="F49" s="149"/>
      <c r="G49" s="149"/>
      <c r="H49" s="149"/>
      <c r="I49" s="149"/>
      <c r="J49" s="149"/>
      <c r="K49" s="149"/>
      <c r="L49" s="149"/>
      <c r="M49" s="149"/>
      <c r="N49" s="149"/>
      <c r="O49" s="149"/>
      <c r="P49" s="149"/>
      <c r="Q49" s="149"/>
      <c r="R49" s="150"/>
    </row>
    <row r="50" spans="1:18" s="5" customFormat="1" ht="28.1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c r="A54" s="114" t="s">
        <v>283</v>
      </c>
      <c r="B54" s="115"/>
      <c r="C54" s="115"/>
      <c r="D54" s="115"/>
      <c r="E54" s="115"/>
      <c r="F54" s="115"/>
      <c r="G54" s="115"/>
      <c r="H54" s="115"/>
      <c r="I54" s="115"/>
      <c r="J54" s="115"/>
      <c r="K54" s="115"/>
      <c r="L54" s="115"/>
      <c r="M54" s="115"/>
      <c r="N54" s="115"/>
      <c r="O54" s="115"/>
      <c r="P54" s="115"/>
      <c r="Q54" s="115"/>
      <c r="R54" s="116"/>
    </row>
    <row r="55" spans="1:18">
      <c r="A55" s="114" t="s">
        <v>378</v>
      </c>
      <c r="B55" s="115"/>
      <c r="C55" s="115"/>
      <c r="D55" s="115"/>
      <c r="E55" s="115"/>
      <c r="F55" s="115"/>
      <c r="G55" s="115"/>
      <c r="H55" s="115"/>
      <c r="I55" s="115"/>
      <c r="J55" s="115"/>
      <c r="K55" s="115"/>
      <c r="L55" s="115"/>
      <c r="M55" s="115"/>
      <c r="N55" s="115"/>
      <c r="O55" s="115"/>
      <c r="P55" s="115"/>
      <c r="Q55" s="115"/>
      <c r="R55" s="116"/>
    </row>
    <row r="56" spans="1:18">
      <c r="A56" s="114" t="s">
        <v>379</v>
      </c>
      <c r="B56" s="115"/>
      <c r="C56" s="115"/>
      <c r="D56" s="115"/>
      <c r="E56" s="115"/>
      <c r="F56" s="115"/>
      <c r="G56" s="115"/>
      <c r="H56" s="115"/>
      <c r="I56" s="115"/>
      <c r="J56" s="115"/>
      <c r="K56" s="115"/>
      <c r="L56" s="115"/>
      <c r="M56" s="115"/>
      <c r="N56" s="115"/>
      <c r="O56" s="115"/>
      <c r="P56" s="115"/>
      <c r="Q56" s="115"/>
      <c r="R56" s="116"/>
    </row>
    <row r="57" spans="1:18">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1">
    <mergeCell ref="B32:F32"/>
    <mergeCell ref="G32:R32"/>
    <mergeCell ref="B33:F33"/>
    <mergeCell ref="G33:R33"/>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A10:R10"/>
    <mergeCell ref="B11:R11"/>
    <mergeCell ref="B16:J16"/>
    <mergeCell ref="K16:R16"/>
    <mergeCell ref="B17:J17"/>
    <mergeCell ref="K17:R17"/>
    <mergeCell ref="A19:J19"/>
    <mergeCell ref="K19:R19"/>
    <mergeCell ref="B20:J20"/>
    <mergeCell ref="K20:R20"/>
    <mergeCell ref="B18:R18"/>
    <mergeCell ref="B26:E26"/>
    <mergeCell ref="B24:R24"/>
    <mergeCell ref="B25:R25"/>
    <mergeCell ref="B21:R21"/>
    <mergeCell ref="B22:R22"/>
    <mergeCell ref="B23:R23"/>
    <mergeCell ref="B35:R35"/>
    <mergeCell ref="B36:L36"/>
    <mergeCell ref="M36:R36"/>
    <mergeCell ref="A37:R37"/>
    <mergeCell ref="B39:R39"/>
    <mergeCell ref="A59:R59"/>
    <mergeCell ref="B9:C9"/>
    <mergeCell ref="A50:R50"/>
    <mergeCell ref="A51:R51"/>
    <mergeCell ref="A52:R52"/>
    <mergeCell ref="A53:R53"/>
    <mergeCell ref="A54:R54"/>
    <mergeCell ref="A55:R55"/>
    <mergeCell ref="B44:R44"/>
    <mergeCell ref="B45:R45"/>
    <mergeCell ref="B46:E46"/>
    <mergeCell ref="F46:R46"/>
    <mergeCell ref="A49:R49"/>
    <mergeCell ref="B40:R40"/>
    <mergeCell ref="A41:R41"/>
    <mergeCell ref="B42:R42"/>
    <mergeCell ref="B27:R27"/>
    <mergeCell ref="F26:R26"/>
    <mergeCell ref="A56:R56"/>
    <mergeCell ref="A57:R57"/>
    <mergeCell ref="A58:R58"/>
    <mergeCell ref="B43:E43"/>
    <mergeCell ref="F43:R43"/>
    <mergeCell ref="B48:R48"/>
    <mergeCell ref="B47:F47"/>
    <mergeCell ref="G47:R47"/>
    <mergeCell ref="B38:R38"/>
    <mergeCell ref="A28:R28"/>
    <mergeCell ref="B29:R29"/>
    <mergeCell ref="B30:R30"/>
    <mergeCell ref="B31:R31"/>
    <mergeCell ref="A34:R34"/>
  </mergeCells>
  <printOptions horizontalCentered="1"/>
  <pageMargins left="0.7" right="0.7" top="0.75" bottom="0.75" header="0.3" footer="0.3"/>
  <pageSetup paperSize="9" scale="82" firstPageNumber="18" orientation="portrait" r:id="rId1"/>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DC66-04A1-4939-BB5C-E39A70EA7C17}">
  <sheetPr codeName="Sheet31">
    <tabColor rgb="FF00B0F0"/>
    <pageSetUpPr fitToPage="1"/>
  </sheetPr>
  <dimension ref="A1:X59"/>
  <sheetViews>
    <sheetView workbookViewId="0">
      <selection activeCell="A49" sqref="A49:V49"/>
    </sheetView>
  </sheetViews>
  <sheetFormatPr defaultColWidth="9.140625" defaultRowHeight="15"/>
  <cols>
    <col min="1" max="1" width="10.7109375" style="5" customWidth="1"/>
    <col min="2" max="22" width="5.28515625" style="5" customWidth="1"/>
    <col min="23" max="16384" width="9.140625" style="5"/>
  </cols>
  <sheetData>
    <row r="1" spans="1:24" ht="14.45" customHeight="1">
      <c r="A1" s="132" t="e" vm="1">
        <v>#VALUE!</v>
      </c>
      <c r="B1" s="133"/>
      <c r="C1" s="133"/>
      <c r="D1" s="133"/>
      <c r="E1" s="134"/>
      <c r="F1" s="165" t="s">
        <v>213</v>
      </c>
      <c r="G1" s="166"/>
      <c r="H1" s="166"/>
      <c r="I1" s="166"/>
      <c r="J1" s="166"/>
      <c r="K1" s="166"/>
      <c r="L1" s="166"/>
      <c r="M1" s="166"/>
      <c r="N1" s="166"/>
      <c r="O1" s="166"/>
      <c r="P1" s="166"/>
      <c r="Q1" s="153" t="s">
        <v>214</v>
      </c>
      <c r="R1" s="154"/>
    </row>
    <row r="2" spans="1:24"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24">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24" ht="15" customHeight="1">
      <c r="A4" s="135"/>
      <c r="B4" s="136"/>
      <c r="C4" s="136"/>
      <c r="D4" s="136"/>
      <c r="E4" s="137"/>
      <c r="F4" s="155" t="s">
        <v>218</v>
      </c>
      <c r="G4" s="155"/>
      <c r="H4" s="155"/>
      <c r="I4" s="159" t="e">
        <f ca="1">VLOOKUP(F3,INDEX!B:AF,18,0)</f>
        <v>#VALUE!</v>
      </c>
      <c r="J4" s="159"/>
      <c r="K4" s="159"/>
      <c r="L4" s="159"/>
      <c r="M4" s="159"/>
      <c r="N4" s="159"/>
      <c r="O4" s="159"/>
      <c r="P4" s="159"/>
      <c r="Q4" s="159"/>
      <c r="R4" s="160"/>
      <c r="U4" s="3"/>
      <c r="V4" s="3"/>
      <c r="W4" s="3"/>
      <c r="X4" s="3"/>
    </row>
    <row r="5" spans="1:24"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24"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24" ht="14.45" customHeight="1">
      <c r="A7" s="167" t="s">
        <v>221</v>
      </c>
      <c r="B7" s="168"/>
      <c r="C7" s="168"/>
      <c r="D7" s="168"/>
      <c r="E7" s="168"/>
      <c r="F7" s="169"/>
      <c r="G7" s="169"/>
      <c r="H7" s="169"/>
      <c r="I7" s="169"/>
      <c r="J7" s="169"/>
      <c r="K7" s="169"/>
      <c r="L7" s="169"/>
      <c r="M7" s="169"/>
      <c r="N7" s="169"/>
      <c r="O7" s="169"/>
      <c r="P7" s="169"/>
      <c r="Q7" s="169"/>
      <c r="R7" s="170"/>
    </row>
    <row r="8" spans="1:24"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24"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24" s="3" customFormat="1">
      <c r="A10" s="162" t="s">
        <v>225</v>
      </c>
      <c r="B10" s="163"/>
      <c r="C10" s="163"/>
      <c r="D10" s="163"/>
      <c r="E10" s="163"/>
      <c r="F10" s="163"/>
      <c r="G10" s="163"/>
      <c r="H10" s="163"/>
      <c r="I10" s="163"/>
      <c r="J10" s="163"/>
      <c r="K10" s="163"/>
      <c r="L10" s="163"/>
      <c r="M10" s="163"/>
      <c r="N10" s="163"/>
      <c r="O10" s="163"/>
      <c r="P10" s="163"/>
      <c r="Q10" s="163"/>
      <c r="R10" s="164"/>
    </row>
    <row r="11" spans="1:24" ht="13.9" customHeight="1">
      <c r="A11" s="69" t="s">
        <v>226</v>
      </c>
      <c r="B11" s="109" t="s">
        <v>375</v>
      </c>
      <c r="C11" s="109"/>
      <c r="D11" s="109"/>
      <c r="E11" s="109"/>
      <c r="F11" s="109"/>
      <c r="G11" s="109"/>
      <c r="H11" s="109"/>
      <c r="I11" s="109"/>
      <c r="J11" s="109"/>
      <c r="K11" s="109"/>
      <c r="L11" s="109"/>
      <c r="M11" s="109"/>
      <c r="N11" s="109"/>
      <c r="O11" s="109"/>
      <c r="P11" s="109"/>
      <c r="Q11" s="109"/>
      <c r="R11" s="110"/>
    </row>
    <row r="12" spans="1:24" s="3" customFormat="1">
      <c r="A12" s="70" t="s">
        <v>228</v>
      </c>
      <c r="B12" s="17">
        <v>0.5</v>
      </c>
      <c r="C12" s="17">
        <v>0.75</v>
      </c>
      <c r="D12" s="17">
        <v>1</v>
      </c>
      <c r="E12" s="17">
        <v>1.5</v>
      </c>
      <c r="F12" s="17">
        <v>2</v>
      </c>
      <c r="G12" s="17">
        <v>3</v>
      </c>
      <c r="H12" s="17">
        <v>4</v>
      </c>
      <c r="I12" s="17">
        <v>6</v>
      </c>
      <c r="J12" s="17">
        <v>8</v>
      </c>
      <c r="K12" s="17">
        <v>10</v>
      </c>
      <c r="L12" s="17">
        <v>12</v>
      </c>
      <c r="M12" s="17"/>
      <c r="N12" s="17"/>
      <c r="O12" s="17"/>
      <c r="P12" s="17"/>
      <c r="Q12" s="17"/>
      <c r="R12" s="66"/>
    </row>
    <row r="13" spans="1:24"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c r="N13" s="17"/>
      <c r="O13" s="17"/>
      <c r="P13" s="17"/>
      <c r="Q13" s="17"/>
      <c r="R13" s="66"/>
    </row>
    <row r="14" spans="1:24" s="3" customFormat="1">
      <c r="A14" s="70" t="s">
        <v>230</v>
      </c>
      <c r="B14" s="17" t="s">
        <v>308</v>
      </c>
      <c r="C14" s="11" t="s">
        <v>308</v>
      </c>
      <c r="D14" s="11" t="s">
        <v>308</v>
      </c>
      <c r="E14" s="11" t="s">
        <v>308</v>
      </c>
      <c r="F14" s="11" t="s">
        <v>308</v>
      </c>
      <c r="G14" s="11" t="s">
        <v>308</v>
      </c>
      <c r="H14" s="16" t="s">
        <v>174</v>
      </c>
      <c r="I14" s="16" t="s">
        <v>174</v>
      </c>
      <c r="J14" s="16" t="s">
        <v>174</v>
      </c>
      <c r="K14" s="16" t="s">
        <v>174</v>
      </c>
      <c r="L14" s="16" t="s">
        <v>174</v>
      </c>
      <c r="M14" s="17"/>
      <c r="N14" s="17"/>
      <c r="O14" s="17"/>
      <c r="P14" s="17"/>
      <c r="Q14" s="17"/>
      <c r="R14" s="66"/>
    </row>
    <row r="15" spans="1:24" s="3" customFormat="1">
      <c r="A15" s="70" t="s">
        <v>233</v>
      </c>
      <c r="B15" s="17">
        <v>7.47</v>
      </c>
      <c r="C15" s="17">
        <v>7.8</v>
      </c>
      <c r="D15" s="17">
        <v>9.1</v>
      </c>
      <c r="E15" s="17">
        <v>10.16</v>
      </c>
      <c r="F15" s="17">
        <v>11.07</v>
      </c>
      <c r="G15" s="16">
        <v>15.24</v>
      </c>
      <c r="H15" s="16">
        <v>17.490000000000002</v>
      </c>
      <c r="I15" s="16">
        <v>25.740000000000002</v>
      </c>
      <c r="J15" s="16">
        <v>33.5</v>
      </c>
      <c r="K15" s="13">
        <v>41.730000000000004</v>
      </c>
      <c r="L15" s="13">
        <v>49.49</v>
      </c>
      <c r="M15" s="17"/>
      <c r="N15" s="17"/>
      <c r="O15" s="17"/>
      <c r="P15" s="17"/>
      <c r="Q15" s="17"/>
      <c r="R15" s="66"/>
    </row>
    <row r="16" spans="1:24">
      <c r="A16" s="69" t="s">
        <v>234</v>
      </c>
      <c r="B16" s="109" t="s">
        <v>235</v>
      </c>
      <c r="C16" s="109"/>
      <c r="D16" s="109"/>
      <c r="E16" s="109"/>
      <c r="F16" s="109"/>
      <c r="G16" s="109"/>
      <c r="H16" s="109"/>
      <c r="I16" s="109"/>
      <c r="J16" s="109"/>
      <c r="K16" s="144" t="s">
        <v>287</v>
      </c>
      <c r="L16" s="145"/>
      <c r="M16" s="145"/>
      <c r="N16" s="145"/>
      <c r="O16" s="145"/>
      <c r="P16" s="145"/>
      <c r="Q16" s="145"/>
      <c r="R16" s="147"/>
    </row>
    <row r="17" spans="1:18" ht="15.75" customHeight="1">
      <c r="A17" s="69" t="s">
        <v>237</v>
      </c>
      <c r="B17" s="109" t="s">
        <v>370</v>
      </c>
      <c r="C17" s="109"/>
      <c r="D17" s="109"/>
      <c r="E17" s="109"/>
      <c r="F17" s="109"/>
      <c r="G17" s="109"/>
      <c r="H17" s="109"/>
      <c r="I17" s="109"/>
      <c r="J17" s="109"/>
      <c r="K17" s="144" t="s">
        <v>371</v>
      </c>
      <c r="L17" s="145"/>
      <c r="M17" s="145"/>
      <c r="N17" s="145"/>
      <c r="O17" s="145"/>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5.75" customHeight="1">
      <c r="A19" s="148" t="s">
        <v>242</v>
      </c>
      <c r="B19" s="145"/>
      <c r="C19" s="145"/>
      <c r="D19" s="145"/>
      <c r="E19" s="145"/>
      <c r="F19" s="145"/>
      <c r="G19" s="145"/>
      <c r="H19" s="145"/>
      <c r="I19" s="145"/>
      <c r="J19" s="145"/>
      <c r="K19" s="145"/>
      <c r="L19" s="145"/>
      <c r="M19" s="145"/>
      <c r="N19" s="145"/>
      <c r="O19" s="145"/>
      <c r="P19" s="145"/>
      <c r="Q19" s="145"/>
      <c r="R19" s="147"/>
    </row>
    <row r="20" spans="1:18" ht="15.75" customHeight="1">
      <c r="A20" s="69" t="s">
        <v>234</v>
      </c>
      <c r="B20" s="109" t="s">
        <v>243</v>
      </c>
      <c r="C20" s="109"/>
      <c r="D20" s="109"/>
      <c r="E20" s="109"/>
      <c r="F20" s="109"/>
      <c r="G20" s="109"/>
      <c r="H20" s="109"/>
      <c r="I20" s="109"/>
      <c r="J20" s="109"/>
      <c r="K20" s="144" t="s">
        <v>244</v>
      </c>
      <c r="L20" s="145"/>
      <c r="M20" s="145"/>
      <c r="N20" s="145"/>
      <c r="O20" s="145"/>
      <c r="P20" s="145"/>
      <c r="Q20" s="145"/>
      <c r="R20" s="147"/>
    </row>
    <row r="21" spans="1:18" ht="15.75" customHeight="1">
      <c r="A21" s="69" t="s">
        <v>237</v>
      </c>
      <c r="B21" s="144" t="s">
        <v>372</v>
      </c>
      <c r="C21" s="145"/>
      <c r="D21" s="145"/>
      <c r="E21" s="145"/>
      <c r="F21" s="145"/>
      <c r="G21" s="145"/>
      <c r="H21" s="145"/>
      <c r="I21" s="145"/>
      <c r="J21" s="145"/>
      <c r="K21" s="145"/>
      <c r="L21" s="146"/>
      <c r="M21" s="144"/>
      <c r="N21" s="145"/>
      <c r="O21" s="145"/>
      <c r="P21" s="145"/>
      <c r="Q21" s="145"/>
      <c r="R21" s="147"/>
    </row>
    <row r="22" spans="1:18" ht="15.75" customHeight="1">
      <c r="A22" s="69" t="s">
        <v>246</v>
      </c>
      <c r="B22" s="144" t="s">
        <v>247</v>
      </c>
      <c r="C22" s="145"/>
      <c r="D22" s="145"/>
      <c r="E22" s="145"/>
      <c r="F22" s="145"/>
      <c r="G22" s="145"/>
      <c r="H22" s="145"/>
      <c r="I22" s="145"/>
      <c r="J22" s="145"/>
      <c r="K22" s="145"/>
      <c r="L22" s="146"/>
      <c r="M22" s="144"/>
      <c r="N22" s="145"/>
      <c r="O22" s="145"/>
      <c r="P22" s="145"/>
      <c r="Q22" s="145"/>
      <c r="R22" s="147"/>
    </row>
    <row r="23" spans="1:18" ht="15.75" customHeight="1">
      <c r="A23" s="69" t="s">
        <v>248</v>
      </c>
      <c r="B23" s="144" t="s">
        <v>247</v>
      </c>
      <c r="C23" s="145"/>
      <c r="D23" s="145"/>
      <c r="E23" s="145"/>
      <c r="F23" s="145"/>
      <c r="G23" s="145"/>
      <c r="H23" s="145"/>
      <c r="I23" s="145"/>
      <c r="J23" s="145"/>
      <c r="K23" s="145"/>
      <c r="L23" s="146"/>
      <c r="M23" s="144"/>
      <c r="N23" s="145"/>
      <c r="O23" s="145"/>
      <c r="P23" s="145"/>
      <c r="Q23" s="145"/>
      <c r="R23" s="147"/>
    </row>
    <row r="24" spans="1:18" ht="15.75" customHeight="1">
      <c r="A24" s="69" t="s">
        <v>249</v>
      </c>
      <c r="B24" s="144" t="s">
        <v>247</v>
      </c>
      <c r="C24" s="145"/>
      <c r="D24" s="145"/>
      <c r="E24" s="145"/>
      <c r="F24" s="145"/>
      <c r="G24" s="145"/>
      <c r="H24" s="145"/>
      <c r="I24" s="145"/>
      <c r="J24" s="145"/>
      <c r="K24" s="145"/>
      <c r="L24" s="146"/>
      <c r="M24" s="144"/>
      <c r="N24" s="145"/>
      <c r="O24" s="145"/>
      <c r="P24" s="145"/>
      <c r="Q24" s="145"/>
      <c r="R24" s="147"/>
    </row>
    <row r="25" spans="1:18" ht="15.75" customHeight="1">
      <c r="A25" s="69" t="s">
        <v>250</v>
      </c>
      <c r="B25" s="144" t="s">
        <v>247</v>
      </c>
      <c r="C25" s="145"/>
      <c r="D25" s="145"/>
      <c r="E25" s="145"/>
      <c r="F25" s="145"/>
      <c r="G25" s="145"/>
      <c r="H25" s="145"/>
      <c r="I25" s="145"/>
      <c r="J25" s="145"/>
      <c r="K25" s="145"/>
      <c r="L25" s="146"/>
      <c r="M25" s="144"/>
      <c r="N25" s="145"/>
      <c r="O25" s="145"/>
      <c r="P25" s="145"/>
      <c r="Q25" s="145"/>
      <c r="R25" s="147"/>
    </row>
    <row r="26" spans="1:18" ht="15.75" customHeight="1">
      <c r="A26" s="69" t="s">
        <v>251</v>
      </c>
      <c r="B26" s="151" t="s">
        <v>290</v>
      </c>
      <c r="C26" s="145"/>
      <c r="D26" s="145"/>
      <c r="E26" s="146"/>
      <c r="F26" s="144"/>
      <c r="G26" s="145"/>
      <c r="H26" s="145"/>
      <c r="I26" s="145"/>
      <c r="J26" s="145"/>
      <c r="K26" s="145"/>
      <c r="L26" s="146"/>
      <c r="M26" s="144"/>
      <c r="N26" s="145"/>
      <c r="O26" s="145"/>
      <c r="P26" s="145"/>
      <c r="Q26" s="145"/>
      <c r="R26" s="147"/>
    </row>
    <row r="27" spans="1:18" ht="15.75" customHeight="1">
      <c r="A27" s="69" t="s">
        <v>253</v>
      </c>
      <c r="B27" s="144" t="s">
        <v>373</v>
      </c>
      <c r="C27" s="145"/>
      <c r="D27" s="145"/>
      <c r="E27" s="145"/>
      <c r="F27" s="145"/>
      <c r="G27" s="145"/>
      <c r="H27" s="145"/>
      <c r="I27" s="145"/>
      <c r="J27" s="145"/>
      <c r="K27" s="145"/>
      <c r="L27" s="146"/>
      <c r="M27" s="144"/>
      <c r="N27" s="145"/>
      <c r="O27" s="145"/>
      <c r="P27" s="145"/>
      <c r="Q27" s="145"/>
      <c r="R27" s="147"/>
    </row>
    <row r="28" spans="1:18" ht="15" customHeigh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374</v>
      </c>
      <c r="C29" s="145"/>
      <c r="D29" s="145"/>
      <c r="E29" s="145"/>
      <c r="F29" s="145"/>
      <c r="G29" s="145"/>
      <c r="H29" s="145"/>
      <c r="I29" s="145"/>
      <c r="J29" s="145"/>
      <c r="K29" s="145"/>
      <c r="L29" s="145"/>
      <c r="M29" s="145"/>
      <c r="N29" s="145"/>
      <c r="O29" s="145"/>
      <c r="P29" s="145"/>
      <c r="Q29" s="145"/>
      <c r="R29" s="147"/>
    </row>
    <row r="30" spans="1:18" ht="14.45" customHeight="1">
      <c r="A30" s="69" t="s">
        <v>257</v>
      </c>
      <c r="B30" s="144" t="s">
        <v>339</v>
      </c>
      <c r="C30" s="145"/>
      <c r="D30" s="145"/>
      <c r="E30" s="145"/>
      <c r="F30" s="145"/>
      <c r="G30" s="145"/>
      <c r="H30" s="145"/>
      <c r="I30" s="145"/>
      <c r="J30" s="145"/>
      <c r="K30" s="145"/>
      <c r="L30" s="145"/>
      <c r="M30" s="145"/>
      <c r="N30" s="145"/>
      <c r="O30" s="145"/>
      <c r="P30" s="145"/>
      <c r="Q30" s="145"/>
      <c r="R30" s="147"/>
    </row>
    <row r="31" spans="1:18" ht="15.75" customHeight="1">
      <c r="A31" s="69" t="s">
        <v>234</v>
      </c>
      <c r="B31" s="144" t="s">
        <v>376</v>
      </c>
      <c r="C31" s="145"/>
      <c r="D31" s="145"/>
      <c r="E31" s="145"/>
      <c r="F31" s="145"/>
      <c r="G31" s="145"/>
      <c r="H31" s="145"/>
      <c r="I31" s="145"/>
      <c r="J31" s="145"/>
      <c r="K31" s="145"/>
      <c r="L31" s="145"/>
      <c r="M31" s="145"/>
      <c r="N31" s="145"/>
      <c r="O31" s="145"/>
      <c r="P31" s="145"/>
      <c r="Q31" s="145"/>
      <c r="R31" s="147"/>
    </row>
    <row r="32" spans="1:18" s="1" customFormat="1" ht="30">
      <c r="A32" s="69" t="s">
        <v>315</v>
      </c>
      <c r="B32" s="144"/>
      <c r="C32" s="145"/>
      <c r="D32" s="145"/>
      <c r="E32" s="145"/>
      <c r="F32" s="146"/>
      <c r="G32" s="144" t="s">
        <v>316</v>
      </c>
      <c r="H32" s="145"/>
      <c r="I32" s="145"/>
      <c r="J32" s="145"/>
      <c r="K32" s="145"/>
      <c r="L32" s="145"/>
      <c r="M32" s="145"/>
      <c r="N32" s="145"/>
      <c r="O32" s="145"/>
      <c r="P32" s="145"/>
      <c r="Q32" s="145"/>
      <c r="R32" s="147"/>
    </row>
    <row r="33" spans="1:18" s="1" customFormat="1" ht="42.6" customHeight="1">
      <c r="A33" s="69" t="s">
        <v>317</v>
      </c>
      <c r="B33" s="144"/>
      <c r="C33" s="145"/>
      <c r="D33" s="145"/>
      <c r="E33" s="145"/>
      <c r="F33" s="146"/>
      <c r="G33" s="144" t="s">
        <v>382</v>
      </c>
      <c r="H33" s="145"/>
      <c r="I33" s="145"/>
      <c r="J33" s="145"/>
      <c r="K33" s="145"/>
      <c r="L33" s="145"/>
      <c r="M33" s="145"/>
      <c r="N33" s="145"/>
      <c r="O33" s="145"/>
      <c r="P33" s="145"/>
      <c r="Q33" s="145"/>
      <c r="R33" s="147"/>
    </row>
    <row r="34" spans="1:18" ht="15.75" customHeight="1">
      <c r="A34" s="117" t="s">
        <v>260</v>
      </c>
      <c r="B34" s="109"/>
      <c r="C34" s="109"/>
      <c r="D34" s="109"/>
      <c r="E34" s="109"/>
      <c r="F34" s="109"/>
      <c r="G34" s="109"/>
      <c r="H34" s="109"/>
      <c r="I34" s="109"/>
      <c r="J34" s="109"/>
      <c r="K34" s="109"/>
      <c r="L34" s="109"/>
      <c r="M34" s="109"/>
      <c r="N34" s="109"/>
      <c r="O34" s="109"/>
      <c r="P34" s="109"/>
      <c r="Q34" s="109"/>
      <c r="R34" s="110"/>
    </row>
    <row r="35" spans="1:18" ht="15.75" customHeight="1">
      <c r="A35" s="69" t="s">
        <v>237</v>
      </c>
      <c r="B35" s="109" t="s">
        <v>374</v>
      </c>
      <c r="C35" s="109"/>
      <c r="D35" s="109"/>
      <c r="E35" s="109"/>
      <c r="F35" s="109"/>
      <c r="G35" s="109"/>
      <c r="H35" s="109"/>
      <c r="I35" s="109"/>
      <c r="J35" s="109"/>
      <c r="K35" s="109"/>
      <c r="L35" s="109"/>
      <c r="M35" s="109"/>
      <c r="N35" s="109"/>
      <c r="O35" s="109"/>
      <c r="P35" s="109"/>
      <c r="Q35" s="109"/>
      <c r="R35" s="110"/>
    </row>
    <row r="36" spans="1:18" ht="15.75"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18" ht="15.75" customHeight="1">
      <c r="A37" s="117" t="s">
        <v>264</v>
      </c>
      <c r="B37" s="109"/>
      <c r="C37" s="109"/>
      <c r="D37" s="109"/>
      <c r="E37" s="109"/>
      <c r="F37" s="109"/>
      <c r="G37" s="109"/>
      <c r="H37" s="109"/>
      <c r="I37" s="109"/>
      <c r="J37" s="109"/>
      <c r="K37" s="109"/>
      <c r="L37" s="109"/>
      <c r="M37" s="109"/>
      <c r="N37" s="109"/>
      <c r="O37" s="109"/>
      <c r="P37" s="109"/>
      <c r="Q37" s="109"/>
      <c r="R37" s="110"/>
    </row>
    <row r="38" spans="1:18" ht="15.75" customHeight="1">
      <c r="A38" s="69" t="s">
        <v>265</v>
      </c>
      <c r="B38" s="144" t="s">
        <v>328</v>
      </c>
      <c r="C38" s="145"/>
      <c r="D38" s="145"/>
      <c r="E38" s="145"/>
      <c r="F38" s="145"/>
      <c r="G38" s="145"/>
      <c r="H38" s="145"/>
      <c r="I38" s="145"/>
      <c r="J38" s="145"/>
      <c r="K38" s="145"/>
      <c r="L38" s="145"/>
      <c r="M38" s="145"/>
      <c r="N38" s="145"/>
      <c r="O38" s="145"/>
      <c r="P38" s="145"/>
      <c r="Q38" s="145"/>
      <c r="R38" s="147"/>
    </row>
    <row r="39" spans="1:18" ht="15.6" customHeight="1">
      <c r="A39" s="69" t="s">
        <v>267</v>
      </c>
      <c r="B39" s="144" t="s">
        <v>329</v>
      </c>
      <c r="C39" s="145"/>
      <c r="D39" s="145"/>
      <c r="E39" s="145"/>
      <c r="F39" s="145"/>
      <c r="G39" s="145"/>
      <c r="H39" s="145"/>
      <c r="I39" s="145"/>
      <c r="J39" s="145"/>
      <c r="K39" s="145"/>
      <c r="L39" s="145"/>
      <c r="M39" s="145"/>
      <c r="N39" s="145"/>
      <c r="O39" s="145"/>
      <c r="P39" s="145"/>
      <c r="Q39" s="145"/>
      <c r="R39" s="147"/>
    </row>
    <row r="40" spans="1:18">
      <c r="A40" s="69" t="s">
        <v>269</v>
      </c>
      <c r="B40" s="144" t="s">
        <v>377</v>
      </c>
      <c r="C40" s="149"/>
      <c r="D40" s="149"/>
      <c r="E40" s="149"/>
      <c r="F40" s="149"/>
      <c r="G40" s="149"/>
      <c r="H40" s="149"/>
      <c r="I40" s="149"/>
      <c r="J40" s="149"/>
      <c r="K40" s="149"/>
      <c r="L40" s="149"/>
      <c r="M40" s="149"/>
      <c r="N40" s="149"/>
      <c r="O40" s="149"/>
      <c r="P40" s="149"/>
      <c r="Q40" s="149"/>
      <c r="R40" s="150"/>
    </row>
    <row r="41" spans="1:18" ht="14.45" customHeight="1">
      <c r="A41" s="141" t="s">
        <v>271</v>
      </c>
      <c r="B41" s="142"/>
      <c r="C41" s="142"/>
      <c r="D41" s="142"/>
      <c r="E41" s="142"/>
      <c r="F41" s="142"/>
      <c r="G41" s="142"/>
      <c r="H41" s="142"/>
      <c r="I41" s="142"/>
      <c r="J41" s="142"/>
      <c r="K41" s="142"/>
      <c r="L41" s="142"/>
      <c r="M41" s="142"/>
      <c r="N41" s="142"/>
      <c r="O41" s="142"/>
      <c r="P41" s="142"/>
      <c r="Q41" s="142"/>
      <c r="R41" s="143"/>
    </row>
    <row r="42" spans="1:18"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4.45"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27.6"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13.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ht="14.45" customHeight="1">
      <c r="A49" s="148" t="s">
        <v>278</v>
      </c>
      <c r="B49" s="149"/>
      <c r="C49" s="149"/>
      <c r="D49" s="149"/>
      <c r="E49" s="149"/>
      <c r="F49" s="149"/>
      <c r="G49" s="149"/>
      <c r="H49" s="149"/>
      <c r="I49" s="149"/>
      <c r="J49" s="149"/>
      <c r="K49" s="149"/>
      <c r="L49" s="149"/>
      <c r="M49" s="149"/>
      <c r="N49" s="149"/>
      <c r="O49" s="149"/>
      <c r="P49" s="149"/>
      <c r="Q49" s="149"/>
      <c r="R49" s="150"/>
    </row>
    <row r="50" spans="1:18" ht="26.4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ht="14.45" customHeight="1">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c r="A54" s="114" t="s">
        <v>283</v>
      </c>
      <c r="B54" s="115"/>
      <c r="C54" s="115"/>
      <c r="D54" s="115"/>
      <c r="E54" s="115"/>
      <c r="F54" s="115"/>
      <c r="G54" s="115"/>
      <c r="H54" s="115"/>
      <c r="I54" s="115"/>
      <c r="J54" s="115"/>
      <c r="K54" s="115"/>
      <c r="L54" s="115"/>
      <c r="M54" s="115"/>
      <c r="N54" s="115"/>
      <c r="O54" s="115"/>
      <c r="P54" s="115"/>
      <c r="Q54" s="115"/>
      <c r="R54" s="116"/>
    </row>
    <row r="55" spans="1:18">
      <c r="A55" s="114" t="s">
        <v>378</v>
      </c>
      <c r="B55" s="115"/>
      <c r="C55" s="115"/>
      <c r="D55" s="115"/>
      <c r="E55" s="115"/>
      <c r="F55" s="115"/>
      <c r="G55" s="115"/>
      <c r="H55" s="115"/>
      <c r="I55" s="115"/>
      <c r="J55" s="115"/>
      <c r="K55" s="115"/>
      <c r="L55" s="115"/>
      <c r="M55" s="115"/>
      <c r="N55" s="115"/>
      <c r="O55" s="115"/>
      <c r="P55" s="115"/>
      <c r="Q55" s="115"/>
      <c r="R55" s="116"/>
    </row>
    <row r="56" spans="1:18">
      <c r="A56" s="114" t="s">
        <v>379</v>
      </c>
      <c r="B56" s="115"/>
      <c r="C56" s="115"/>
      <c r="D56" s="115"/>
      <c r="E56" s="115"/>
      <c r="F56" s="115"/>
      <c r="G56" s="115"/>
      <c r="H56" s="115"/>
      <c r="I56" s="115"/>
      <c r="J56" s="115"/>
      <c r="K56" s="115"/>
      <c r="L56" s="115"/>
      <c r="M56" s="115"/>
      <c r="N56" s="115"/>
      <c r="O56" s="115"/>
      <c r="P56" s="115"/>
      <c r="Q56" s="115"/>
      <c r="R56" s="116"/>
    </row>
    <row r="57" spans="1:18">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7">
    <mergeCell ref="B48:R48"/>
    <mergeCell ref="B47:F47"/>
    <mergeCell ref="G47:R47"/>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O9"/>
    <mergeCell ref="P8:R8"/>
    <mergeCell ref="D9:E9"/>
    <mergeCell ref="F9:G9"/>
    <mergeCell ref="H9:I9"/>
    <mergeCell ref="J9:K9"/>
    <mergeCell ref="P9:R9"/>
    <mergeCell ref="A10:R10"/>
    <mergeCell ref="B11:R11"/>
    <mergeCell ref="B16:J16"/>
    <mergeCell ref="K16:R16"/>
    <mergeCell ref="B17:J17"/>
    <mergeCell ref="K17:R17"/>
    <mergeCell ref="B18:R18"/>
    <mergeCell ref="A19:R19"/>
    <mergeCell ref="B20:J20"/>
    <mergeCell ref="K20:R20"/>
    <mergeCell ref="B21:L21"/>
    <mergeCell ref="M21:R21"/>
    <mergeCell ref="B39:R39"/>
    <mergeCell ref="B27:L27"/>
    <mergeCell ref="M27:R27"/>
    <mergeCell ref="B22:L22"/>
    <mergeCell ref="M22:R22"/>
    <mergeCell ref="B23:L23"/>
    <mergeCell ref="M23:R23"/>
    <mergeCell ref="B24:L24"/>
    <mergeCell ref="M24:R24"/>
    <mergeCell ref="B25:L25"/>
    <mergeCell ref="M25:R25"/>
    <mergeCell ref="B26:E26"/>
    <mergeCell ref="F26:L26"/>
    <mergeCell ref="M26:R26"/>
    <mergeCell ref="B35:R35"/>
    <mergeCell ref="B36:L36"/>
    <mergeCell ref="M36:R36"/>
    <mergeCell ref="A37:R37"/>
    <mergeCell ref="B38:R38"/>
    <mergeCell ref="A28:R28"/>
    <mergeCell ref="B29:R29"/>
    <mergeCell ref="B30:R30"/>
    <mergeCell ref="B31:R31"/>
    <mergeCell ref="A34:R34"/>
    <mergeCell ref="B32:F32"/>
    <mergeCell ref="G32:R32"/>
    <mergeCell ref="B33:F33"/>
    <mergeCell ref="G33:R33"/>
    <mergeCell ref="B43:E43"/>
    <mergeCell ref="F43:R43"/>
    <mergeCell ref="B44:R44"/>
    <mergeCell ref="B45:R45"/>
    <mergeCell ref="B40:R40"/>
    <mergeCell ref="A58:R58"/>
    <mergeCell ref="A59:R59"/>
    <mergeCell ref="B9:C9"/>
    <mergeCell ref="A52:R52"/>
    <mergeCell ref="A53:R53"/>
    <mergeCell ref="A54:R54"/>
    <mergeCell ref="A55:R55"/>
    <mergeCell ref="A56:R56"/>
    <mergeCell ref="A57:R57"/>
    <mergeCell ref="B46:E46"/>
    <mergeCell ref="F46:R46"/>
    <mergeCell ref="A49:R49"/>
    <mergeCell ref="A50:R50"/>
    <mergeCell ref="A51:R51"/>
    <mergeCell ref="A41:R41"/>
    <mergeCell ref="B42:R42"/>
  </mergeCells>
  <printOptions horizontalCentered="1"/>
  <pageMargins left="0.7" right="0.7" top="0.75" bottom="0.75" header="0.3" footer="0.3"/>
  <pageSetup paperSize="9" scale="83" firstPageNumber="18" orientation="portrait" r:id="rId1"/>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2">
    <tabColor theme="7" tint="0.39997558519241921"/>
    <pageSetUpPr fitToPage="1"/>
  </sheetPr>
  <dimension ref="A1:R55"/>
  <sheetViews>
    <sheetView workbookViewId="0">
      <selection activeCell="A49" sqref="A49:V49"/>
    </sheetView>
  </sheetViews>
  <sheetFormatPr defaultColWidth="9.140625" defaultRowHeight="15"/>
  <cols>
    <col min="1" max="1" width="10.7109375" style="1" customWidth="1"/>
    <col min="2" max="18" width="5.28515625" style="1" customWidth="1"/>
    <col min="19"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367</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t="s">
        <v>368</v>
      </c>
      <c r="E14" s="17" t="s">
        <v>368</v>
      </c>
      <c r="F14" s="17" t="s">
        <v>368</v>
      </c>
      <c r="G14" s="17" t="s">
        <v>369</v>
      </c>
      <c r="H14" s="17" t="s">
        <v>369</v>
      </c>
      <c r="I14" s="17" t="s">
        <v>369</v>
      </c>
      <c r="J14" s="17" t="s">
        <v>369</v>
      </c>
      <c r="K14" s="17" t="s">
        <v>369</v>
      </c>
      <c r="L14" s="17" t="s">
        <v>369</v>
      </c>
      <c r="M14" s="17" t="s">
        <v>369</v>
      </c>
      <c r="N14" s="17" t="s">
        <v>369</v>
      </c>
      <c r="O14" s="17" t="s">
        <v>369</v>
      </c>
      <c r="P14" s="17" t="s">
        <v>369</v>
      </c>
      <c r="Q14" s="17" t="s">
        <v>231</v>
      </c>
      <c r="R14" s="66" t="s">
        <v>369</v>
      </c>
    </row>
    <row r="15" spans="1:18" s="12" customFormat="1">
      <c r="A15" s="70" t="s">
        <v>233</v>
      </c>
      <c r="B15" s="17">
        <v>4.78</v>
      </c>
      <c r="C15" s="17">
        <v>5.56</v>
      </c>
      <c r="D15" s="17">
        <v>4.55</v>
      </c>
      <c r="E15" s="17">
        <v>5.08</v>
      </c>
      <c r="F15" s="17">
        <v>5.54</v>
      </c>
      <c r="G15" s="17">
        <v>5.49</v>
      </c>
      <c r="H15" s="17">
        <v>6.02</v>
      </c>
      <c r="I15" s="17">
        <v>7.11</v>
      </c>
      <c r="J15" s="17">
        <v>8.18</v>
      </c>
      <c r="K15" s="17">
        <v>9.27</v>
      </c>
      <c r="L15" s="17">
        <v>9.5299999999999994</v>
      </c>
      <c r="M15" s="17">
        <v>9.5299999999999994</v>
      </c>
      <c r="N15" s="17">
        <v>9.5299999999999994</v>
      </c>
      <c r="O15" s="17">
        <v>9.5299999999999994</v>
      </c>
      <c r="P15" s="17">
        <v>9.5299999999999994</v>
      </c>
      <c r="Q15" s="17">
        <v>9.5299999999999994</v>
      </c>
      <c r="R15" s="66">
        <v>9.5299999999999994</v>
      </c>
    </row>
    <row r="16" spans="1:18">
      <c r="A16" s="69" t="s">
        <v>234</v>
      </c>
      <c r="B16" s="109" t="s">
        <v>235</v>
      </c>
      <c r="C16" s="109"/>
      <c r="D16" s="109"/>
      <c r="E16" s="109"/>
      <c r="F16" s="109"/>
      <c r="G16" s="109"/>
      <c r="H16" s="109"/>
      <c r="I16" s="109"/>
      <c r="J16" s="109"/>
      <c r="K16" s="144" t="s">
        <v>287</v>
      </c>
      <c r="L16" s="145"/>
      <c r="M16" s="145"/>
      <c r="N16" s="145"/>
      <c r="O16" s="145"/>
      <c r="P16" s="145"/>
      <c r="Q16" s="145"/>
      <c r="R16" s="147"/>
    </row>
    <row r="17" spans="1:18" ht="13.9" customHeight="1">
      <c r="A17" s="69" t="s">
        <v>237</v>
      </c>
      <c r="B17" s="109" t="s">
        <v>370</v>
      </c>
      <c r="C17" s="109"/>
      <c r="D17" s="109"/>
      <c r="E17" s="109"/>
      <c r="F17" s="109"/>
      <c r="G17" s="109"/>
      <c r="H17" s="109"/>
      <c r="I17" s="109"/>
      <c r="J17" s="109"/>
      <c r="K17" s="144" t="s">
        <v>371</v>
      </c>
      <c r="L17" s="145"/>
      <c r="M17" s="145"/>
      <c r="N17" s="145"/>
      <c r="O17" s="145"/>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75" customHeight="1">
      <c r="A21" s="69" t="s">
        <v>237</v>
      </c>
      <c r="B21" s="144" t="s">
        <v>372</v>
      </c>
      <c r="C21" s="145"/>
      <c r="D21" s="145"/>
      <c r="E21" s="145"/>
      <c r="F21" s="145"/>
      <c r="G21" s="145"/>
      <c r="H21" s="145"/>
      <c r="I21" s="145"/>
      <c r="J21" s="145"/>
      <c r="K21" s="145"/>
      <c r="L21" s="145"/>
      <c r="M21" s="145"/>
      <c r="N21" s="145"/>
      <c r="O21" s="145"/>
      <c r="P21" s="145"/>
      <c r="Q21" s="145"/>
      <c r="R21" s="147"/>
    </row>
    <row r="22" spans="1:18" ht="15.75" customHeight="1">
      <c r="A22" s="69" t="s">
        <v>246</v>
      </c>
      <c r="B22" s="144" t="s">
        <v>247</v>
      </c>
      <c r="C22" s="145"/>
      <c r="D22" s="145"/>
      <c r="E22" s="145"/>
      <c r="F22" s="145"/>
      <c r="G22" s="145"/>
      <c r="H22" s="145"/>
      <c r="I22" s="145"/>
      <c r="J22" s="145"/>
      <c r="K22" s="145"/>
      <c r="L22" s="145"/>
      <c r="M22" s="145"/>
      <c r="N22" s="145"/>
      <c r="O22" s="145"/>
      <c r="P22" s="145"/>
      <c r="Q22" s="145"/>
      <c r="R22" s="147"/>
    </row>
    <row r="23" spans="1:18" ht="15.75" customHeight="1">
      <c r="A23" s="69" t="s">
        <v>248</v>
      </c>
      <c r="B23" s="144" t="s">
        <v>247</v>
      </c>
      <c r="C23" s="145"/>
      <c r="D23" s="145"/>
      <c r="E23" s="145"/>
      <c r="F23" s="145"/>
      <c r="G23" s="145"/>
      <c r="H23" s="145"/>
      <c r="I23" s="145"/>
      <c r="J23" s="145"/>
      <c r="K23" s="145"/>
      <c r="L23" s="145"/>
      <c r="M23" s="145"/>
      <c r="N23" s="145"/>
      <c r="O23" s="145"/>
      <c r="P23" s="145"/>
      <c r="Q23" s="145"/>
      <c r="R23" s="147"/>
    </row>
    <row r="24" spans="1:18" ht="15.75" customHeight="1">
      <c r="A24" s="69" t="s">
        <v>249</v>
      </c>
      <c r="B24" s="144" t="s">
        <v>247</v>
      </c>
      <c r="C24" s="145"/>
      <c r="D24" s="145"/>
      <c r="E24" s="145"/>
      <c r="F24" s="145"/>
      <c r="G24" s="145"/>
      <c r="H24" s="145"/>
      <c r="I24" s="145"/>
      <c r="J24" s="145"/>
      <c r="K24" s="145"/>
      <c r="L24" s="145"/>
      <c r="M24" s="145"/>
      <c r="N24" s="145"/>
      <c r="O24" s="145"/>
      <c r="P24" s="145"/>
      <c r="Q24" s="145"/>
      <c r="R24" s="147"/>
    </row>
    <row r="25" spans="1:18" ht="15.75" customHeight="1">
      <c r="A25" s="69" t="s">
        <v>250</v>
      </c>
      <c r="B25" s="144" t="s">
        <v>247</v>
      </c>
      <c r="C25" s="145"/>
      <c r="D25" s="145"/>
      <c r="E25" s="145"/>
      <c r="F25" s="145"/>
      <c r="G25" s="145"/>
      <c r="H25" s="145"/>
      <c r="I25" s="145"/>
      <c r="J25" s="145"/>
      <c r="K25" s="145"/>
      <c r="L25" s="145"/>
      <c r="M25" s="145"/>
      <c r="N25" s="145"/>
      <c r="O25" s="145"/>
      <c r="P25" s="145"/>
      <c r="Q25" s="145"/>
      <c r="R25" s="147"/>
    </row>
    <row r="26" spans="1:18" ht="15.75" customHeight="1">
      <c r="A26" s="69" t="s">
        <v>251</v>
      </c>
      <c r="B26" s="151" t="s">
        <v>290</v>
      </c>
      <c r="C26" s="152"/>
      <c r="D26" s="152"/>
      <c r="E26" s="127"/>
      <c r="F26" s="144"/>
      <c r="G26" s="145"/>
      <c r="H26" s="145"/>
      <c r="I26" s="145"/>
      <c r="J26" s="145"/>
      <c r="K26" s="145"/>
      <c r="L26" s="145"/>
      <c r="M26" s="145"/>
      <c r="N26" s="145"/>
      <c r="O26" s="145"/>
      <c r="P26" s="145"/>
      <c r="Q26" s="145"/>
      <c r="R26" s="147"/>
    </row>
    <row r="27" spans="1:18" ht="15.75" customHeight="1">
      <c r="A27" s="69" t="s">
        <v>253</v>
      </c>
      <c r="B27" s="144" t="s">
        <v>373</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5" customHeight="1">
      <c r="A29" s="69" t="s">
        <v>237</v>
      </c>
      <c r="B29" s="144" t="s">
        <v>374</v>
      </c>
      <c r="C29" s="145"/>
      <c r="D29" s="145"/>
      <c r="E29" s="145"/>
      <c r="F29" s="145"/>
      <c r="G29" s="145"/>
      <c r="H29" s="145"/>
      <c r="I29" s="145"/>
      <c r="J29" s="145"/>
      <c r="K29" s="145"/>
      <c r="L29" s="145"/>
      <c r="M29" s="145"/>
      <c r="N29" s="145"/>
      <c r="O29" s="145"/>
      <c r="P29" s="145"/>
      <c r="Q29" s="145"/>
      <c r="R29" s="147"/>
    </row>
    <row r="30" spans="1:18" s="5" customFormat="1" ht="13.9" customHeight="1">
      <c r="A30" s="69" t="s">
        <v>257</v>
      </c>
      <c r="B30" s="144" t="s">
        <v>258</v>
      </c>
      <c r="C30" s="145"/>
      <c r="D30" s="145"/>
      <c r="E30" s="145"/>
      <c r="F30" s="145"/>
      <c r="G30" s="145"/>
      <c r="H30" s="145"/>
      <c r="I30" s="145"/>
      <c r="J30" s="145"/>
      <c r="K30" s="145"/>
      <c r="L30" s="145"/>
      <c r="M30" s="145"/>
      <c r="N30" s="145"/>
      <c r="O30" s="145"/>
      <c r="P30" s="145"/>
      <c r="Q30" s="145"/>
      <c r="R30" s="147"/>
    </row>
    <row r="31" spans="1:18" s="5" customFormat="1" ht="13.9" customHeight="1">
      <c r="A31" s="69" t="s">
        <v>234</v>
      </c>
      <c r="B31" s="144" t="s">
        <v>292</v>
      </c>
      <c r="C31" s="145"/>
      <c r="D31" s="145"/>
      <c r="E31" s="145"/>
      <c r="F31" s="145"/>
      <c r="G31" s="145"/>
      <c r="H31" s="145"/>
      <c r="I31" s="145"/>
      <c r="J31" s="145"/>
      <c r="K31" s="145"/>
      <c r="L31" s="145"/>
      <c r="M31" s="145"/>
      <c r="N31" s="145"/>
      <c r="O31" s="145"/>
      <c r="P31" s="145"/>
      <c r="Q31" s="145"/>
      <c r="R31" s="147"/>
    </row>
    <row r="32" spans="1:18">
      <c r="A32" s="117" t="s">
        <v>260</v>
      </c>
      <c r="B32" s="109"/>
      <c r="C32" s="109"/>
      <c r="D32" s="109"/>
      <c r="E32" s="109"/>
      <c r="F32" s="109"/>
      <c r="G32" s="109"/>
      <c r="H32" s="109"/>
      <c r="I32" s="109"/>
      <c r="J32" s="109"/>
      <c r="K32" s="109"/>
      <c r="L32" s="109"/>
      <c r="M32" s="109"/>
      <c r="N32" s="109"/>
      <c r="O32" s="109"/>
      <c r="P32" s="109"/>
      <c r="Q32" s="109"/>
      <c r="R32" s="110"/>
    </row>
    <row r="33" spans="1:18">
      <c r="A33" s="69" t="s">
        <v>237</v>
      </c>
      <c r="B33" s="109" t="s">
        <v>374</v>
      </c>
      <c r="C33" s="109"/>
      <c r="D33" s="109"/>
      <c r="E33" s="109"/>
      <c r="F33" s="109"/>
      <c r="G33" s="109"/>
      <c r="H33" s="109"/>
      <c r="I33" s="109"/>
      <c r="J33" s="109"/>
      <c r="K33" s="109"/>
      <c r="L33" s="109"/>
      <c r="M33" s="109"/>
      <c r="N33" s="109"/>
      <c r="O33" s="109"/>
      <c r="P33" s="109"/>
      <c r="Q33" s="109"/>
      <c r="R33" s="110"/>
    </row>
    <row r="34" spans="1:18" ht="14.4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18">
      <c r="A35" s="117" t="s">
        <v>264</v>
      </c>
      <c r="B35" s="109"/>
      <c r="C35" s="109"/>
      <c r="D35" s="109"/>
      <c r="E35" s="109"/>
      <c r="F35" s="109"/>
      <c r="G35" s="109"/>
      <c r="H35" s="109"/>
      <c r="I35" s="109"/>
      <c r="J35" s="109"/>
      <c r="K35" s="109"/>
      <c r="L35" s="109"/>
      <c r="M35" s="109"/>
      <c r="N35" s="109"/>
      <c r="O35" s="109"/>
      <c r="P35" s="109"/>
      <c r="Q35" s="109"/>
      <c r="R35" s="110"/>
    </row>
    <row r="36" spans="1:18" ht="14.45" customHeight="1">
      <c r="A36" s="69" t="s">
        <v>265</v>
      </c>
      <c r="B36" s="144" t="s">
        <v>328</v>
      </c>
      <c r="C36" s="145"/>
      <c r="D36" s="145"/>
      <c r="E36" s="145"/>
      <c r="F36" s="145"/>
      <c r="G36" s="145"/>
      <c r="H36" s="145"/>
      <c r="I36" s="145"/>
      <c r="J36" s="145"/>
      <c r="K36" s="145"/>
      <c r="L36" s="145"/>
      <c r="M36" s="145"/>
      <c r="N36" s="145"/>
      <c r="O36" s="145"/>
      <c r="P36" s="145"/>
      <c r="Q36" s="145"/>
      <c r="R36" s="147"/>
    </row>
    <row r="37" spans="1:18" ht="14.45" customHeight="1">
      <c r="A37" s="69" t="s">
        <v>267</v>
      </c>
      <c r="B37" s="144" t="s">
        <v>329</v>
      </c>
      <c r="C37" s="145"/>
      <c r="D37" s="145"/>
      <c r="E37" s="145"/>
      <c r="F37" s="145"/>
      <c r="G37" s="145"/>
      <c r="H37" s="145"/>
      <c r="I37" s="145"/>
      <c r="J37" s="145"/>
      <c r="K37" s="145"/>
      <c r="L37" s="145"/>
      <c r="M37" s="145"/>
      <c r="N37" s="145"/>
      <c r="O37" s="145"/>
      <c r="P37" s="145"/>
      <c r="Q37" s="145"/>
      <c r="R37" s="147"/>
    </row>
    <row r="38" spans="1:18" ht="14.45" customHeight="1">
      <c r="A38" s="69" t="s">
        <v>269</v>
      </c>
      <c r="B38" s="144" t="s">
        <v>330</v>
      </c>
      <c r="C38" s="149"/>
      <c r="D38" s="149"/>
      <c r="E38" s="149"/>
      <c r="F38" s="149"/>
      <c r="G38" s="149"/>
      <c r="H38" s="149"/>
      <c r="I38" s="149"/>
      <c r="J38" s="149"/>
      <c r="K38" s="149"/>
      <c r="L38" s="149"/>
      <c r="M38" s="149"/>
      <c r="N38" s="149"/>
      <c r="O38" s="149"/>
      <c r="P38" s="149"/>
      <c r="Q38" s="149"/>
      <c r="R38" s="150"/>
    </row>
    <row r="39" spans="1:18" s="5"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18"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s="5" customFormat="1" ht="13.9" customHeight="1">
      <c r="A45" s="69"/>
      <c r="B45" s="109"/>
      <c r="C45" s="109"/>
      <c r="D45" s="109"/>
      <c r="E45" s="109"/>
      <c r="F45" s="109"/>
      <c r="G45" s="109"/>
      <c r="H45" s="109"/>
      <c r="I45" s="109"/>
      <c r="J45" s="109"/>
      <c r="K45" s="109"/>
      <c r="L45" s="109"/>
      <c r="M45" s="109"/>
      <c r="N45" s="109"/>
      <c r="O45" s="109"/>
      <c r="P45" s="109"/>
      <c r="Q45" s="109"/>
      <c r="R45" s="110"/>
    </row>
    <row r="46" spans="1:18" s="5" customFormat="1" ht="13.9" customHeight="1">
      <c r="A46" s="69"/>
      <c r="B46" s="109"/>
      <c r="C46" s="109"/>
      <c r="D46" s="109"/>
      <c r="E46" s="109"/>
      <c r="F46" s="109"/>
      <c r="G46" s="109"/>
      <c r="H46" s="109"/>
      <c r="I46" s="109"/>
      <c r="J46" s="109"/>
      <c r="K46" s="109"/>
      <c r="L46" s="109"/>
      <c r="M46" s="109"/>
      <c r="N46" s="109"/>
      <c r="O46" s="109"/>
      <c r="P46" s="109"/>
      <c r="Q46" s="109"/>
      <c r="R46" s="110"/>
    </row>
    <row r="47" spans="1:18" s="5" customFormat="1">
      <c r="A47" s="148" t="s">
        <v>278</v>
      </c>
      <c r="B47" s="149"/>
      <c r="C47" s="149"/>
      <c r="D47" s="149"/>
      <c r="E47" s="149"/>
      <c r="F47" s="149"/>
      <c r="G47" s="149"/>
      <c r="H47" s="149"/>
      <c r="I47" s="149"/>
      <c r="J47" s="149"/>
      <c r="K47" s="149"/>
      <c r="L47" s="149"/>
      <c r="M47" s="149"/>
      <c r="N47" s="149"/>
      <c r="O47" s="149"/>
      <c r="P47" s="149"/>
      <c r="Q47" s="149"/>
      <c r="R47" s="150"/>
    </row>
    <row r="48" spans="1:18" s="5" customFormat="1" ht="28.1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s="5" customFormat="1">
      <c r="A50" s="114" t="s">
        <v>281</v>
      </c>
      <c r="B50" s="115"/>
      <c r="C50" s="115"/>
      <c r="D50" s="115"/>
      <c r="E50" s="115"/>
      <c r="F50" s="115"/>
      <c r="G50" s="115"/>
      <c r="H50" s="115"/>
      <c r="I50" s="115"/>
      <c r="J50" s="115"/>
      <c r="K50" s="115"/>
      <c r="L50" s="115"/>
      <c r="M50" s="115"/>
      <c r="N50" s="115"/>
      <c r="O50" s="115"/>
      <c r="P50" s="115"/>
      <c r="Q50" s="115"/>
      <c r="R50" s="116"/>
    </row>
    <row r="51" spans="1:18" s="5" customFormat="1" ht="28.9" customHeight="1">
      <c r="A51" s="114" t="s">
        <v>282</v>
      </c>
      <c r="B51" s="115"/>
      <c r="C51" s="115"/>
      <c r="D51" s="115"/>
      <c r="E51" s="115"/>
      <c r="F51" s="115"/>
      <c r="G51" s="115"/>
      <c r="H51" s="115"/>
      <c r="I51" s="115"/>
      <c r="J51" s="115"/>
      <c r="K51" s="115"/>
      <c r="L51" s="115"/>
      <c r="M51" s="115"/>
      <c r="N51" s="115"/>
      <c r="O51" s="115"/>
      <c r="P51" s="115"/>
      <c r="Q51" s="115"/>
      <c r="R51" s="116"/>
    </row>
    <row r="52" spans="1:18" s="5" customFormat="1" ht="26.4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c r="A53" s="114" t="s">
        <v>284</v>
      </c>
      <c r="B53" s="115"/>
      <c r="C53" s="115"/>
      <c r="D53" s="115"/>
      <c r="E53" s="115"/>
      <c r="F53" s="115"/>
      <c r="G53" s="115"/>
      <c r="H53" s="115"/>
      <c r="I53" s="115"/>
      <c r="J53" s="115"/>
      <c r="K53" s="115"/>
      <c r="L53" s="115"/>
      <c r="M53" s="115"/>
      <c r="N53" s="115"/>
      <c r="O53" s="115"/>
      <c r="P53" s="115"/>
      <c r="Q53" s="115"/>
      <c r="R53" s="116"/>
    </row>
    <row r="54" spans="1:18" s="5" customFormat="1">
      <c r="A54" s="114" t="s">
        <v>285</v>
      </c>
      <c r="B54" s="115"/>
      <c r="C54" s="115"/>
      <c r="D54" s="115"/>
      <c r="E54" s="115"/>
      <c r="F54" s="115"/>
      <c r="G54" s="115"/>
      <c r="H54" s="115"/>
      <c r="I54" s="115"/>
      <c r="J54" s="115"/>
      <c r="K54" s="115"/>
      <c r="L54" s="115"/>
      <c r="M54" s="115"/>
      <c r="N54" s="115"/>
      <c r="O54" s="115"/>
      <c r="P54" s="115"/>
      <c r="Q54" s="115"/>
      <c r="R54" s="116"/>
    </row>
    <row r="55" spans="1:18" s="5" customFormat="1" ht="15.75" thickBot="1">
      <c r="A55" s="177"/>
      <c r="B55" s="178"/>
      <c r="C55" s="178"/>
      <c r="D55" s="178"/>
      <c r="E55" s="178"/>
      <c r="F55" s="178"/>
      <c r="G55" s="178"/>
      <c r="H55" s="178"/>
      <c r="I55" s="178"/>
      <c r="J55" s="178"/>
      <c r="K55" s="178"/>
      <c r="L55" s="178"/>
      <c r="M55" s="178"/>
      <c r="N55" s="178"/>
      <c r="O55" s="178"/>
      <c r="P55" s="178"/>
      <c r="Q55" s="178"/>
      <c r="R55" s="179"/>
    </row>
  </sheetData>
  <mergeCells count="89">
    <mergeCell ref="B29:R29"/>
    <mergeCell ref="B27:P27"/>
    <mergeCell ref="Q24:R24"/>
    <mergeCell ref="Q25:R25"/>
    <mergeCell ref="Q26:R26"/>
    <mergeCell ref="Q27:R27"/>
    <mergeCell ref="B25:P25"/>
    <mergeCell ref="F26:P26"/>
    <mergeCell ref="B26:E26"/>
    <mergeCell ref="A28:R28"/>
    <mergeCell ref="A19:R19"/>
    <mergeCell ref="B11:R11"/>
    <mergeCell ref="B16:J16"/>
    <mergeCell ref="B17:J17"/>
    <mergeCell ref="B18:R18"/>
    <mergeCell ref="K16:R16"/>
    <mergeCell ref="K17:R17"/>
    <mergeCell ref="B20:J20"/>
    <mergeCell ref="K20:R20"/>
    <mergeCell ref="B24:P24"/>
    <mergeCell ref="B36:R36"/>
    <mergeCell ref="B37:R37"/>
    <mergeCell ref="B22:P22"/>
    <mergeCell ref="B23:P23"/>
    <mergeCell ref="Q21:R21"/>
    <mergeCell ref="Q22:R22"/>
    <mergeCell ref="Q23:R23"/>
    <mergeCell ref="B34:L34"/>
    <mergeCell ref="M34:R34"/>
    <mergeCell ref="A35:R35"/>
    <mergeCell ref="B33:R33"/>
    <mergeCell ref="B31:R31"/>
    <mergeCell ref="A32:R32"/>
    <mergeCell ref="B38:R38"/>
    <mergeCell ref="A39:R39"/>
    <mergeCell ref="A47:R47"/>
    <mergeCell ref="A48:R48"/>
    <mergeCell ref="B40:R40"/>
    <mergeCell ref="B41:R41"/>
    <mergeCell ref="B42:R42"/>
    <mergeCell ref="B43:R43"/>
    <mergeCell ref="B44:E44"/>
    <mergeCell ref="F44:R44"/>
    <mergeCell ref="B46:R46"/>
    <mergeCell ref="B45:R45"/>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54:R54"/>
    <mergeCell ref="A55:R55"/>
    <mergeCell ref="A49:R49"/>
    <mergeCell ref="A50:R50"/>
    <mergeCell ref="A51:R51"/>
    <mergeCell ref="A52:R52"/>
    <mergeCell ref="A53:R53"/>
    <mergeCell ref="A10:R10"/>
    <mergeCell ref="B30:R30"/>
    <mergeCell ref="L8:O9"/>
    <mergeCell ref="P8:R8"/>
    <mergeCell ref="D9:E9"/>
    <mergeCell ref="F9:G9"/>
    <mergeCell ref="H9:I9"/>
    <mergeCell ref="J9:K9"/>
    <mergeCell ref="P9:R9"/>
    <mergeCell ref="B8:C8"/>
    <mergeCell ref="D8:E8"/>
    <mergeCell ref="F8:G8"/>
    <mergeCell ref="H8:I8"/>
    <mergeCell ref="J8:K8"/>
    <mergeCell ref="B9:C9"/>
    <mergeCell ref="B21:P21"/>
  </mergeCells>
  <printOptions horizontalCentered="1"/>
  <pageMargins left="0.7" right="0.7" top="0.75" bottom="0.75" header="0.3" footer="0.3"/>
  <pageSetup paperSize="9" scale="88" firstPageNumber="18" orientation="portrait" r:id="rId1"/>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4">
    <tabColor theme="7" tint="0.39997558519241921"/>
    <pageSetUpPr fitToPage="1"/>
  </sheetPr>
  <dimension ref="A1:S55"/>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375</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t="s">
        <v>368</v>
      </c>
      <c r="G14" s="17" t="s">
        <v>369</v>
      </c>
      <c r="H14" s="17" t="s">
        <v>369</v>
      </c>
      <c r="I14" s="17" t="s">
        <v>369</v>
      </c>
      <c r="J14" s="17" t="s">
        <v>369</v>
      </c>
      <c r="K14" s="17" t="s">
        <v>369</v>
      </c>
      <c r="L14" s="17" t="s">
        <v>369</v>
      </c>
      <c r="M14" s="17" t="s">
        <v>369</v>
      </c>
      <c r="N14" s="17" t="s">
        <v>369</v>
      </c>
      <c r="O14" s="17" t="s">
        <v>369</v>
      </c>
      <c r="P14" s="17" t="s">
        <v>368</v>
      </c>
      <c r="Q14" s="17" t="s">
        <v>232</v>
      </c>
      <c r="R14" s="66" t="s">
        <v>368</v>
      </c>
    </row>
    <row r="15" spans="1:18" s="12" customFormat="1">
      <c r="A15" s="70" t="s">
        <v>233</v>
      </c>
      <c r="B15" s="17">
        <v>4.78</v>
      </c>
      <c r="C15" s="17">
        <v>5.56</v>
      </c>
      <c r="D15" s="17">
        <v>6.4</v>
      </c>
      <c r="E15" s="17">
        <v>7.14</v>
      </c>
      <c r="F15" s="17">
        <v>5.54</v>
      </c>
      <c r="G15" s="17">
        <v>5.49</v>
      </c>
      <c r="H15" s="17">
        <v>6.02</v>
      </c>
      <c r="I15" s="17">
        <v>7.11</v>
      </c>
      <c r="J15" s="17">
        <v>8.18</v>
      </c>
      <c r="K15" s="17">
        <v>9.27</v>
      </c>
      <c r="L15" s="17">
        <v>9.5299999999999994</v>
      </c>
      <c r="M15" s="17">
        <v>9.5299999999999994</v>
      </c>
      <c r="N15" s="17">
        <v>9.5299999999999994</v>
      </c>
      <c r="O15" s="17">
        <v>9.5299999999999994</v>
      </c>
      <c r="P15" s="17">
        <v>12.7</v>
      </c>
      <c r="Q15" s="17">
        <v>12.7</v>
      </c>
      <c r="R15" s="66">
        <v>12.7</v>
      </c>
    </row>
    <row r="16" spans="1:18">
      <c r="A16" s="69" t="s">
        <v>234</v>
      </c>
      <c r="B16" s="109" t="s">
        <v>235</v>
      </c>
      <c r="C16" s="109"/>
      <c r="D16" s="109"/>
      <c r="E16" s="109"/>
      <c r="F16" s="109"/>
      <c r="G16" s="109"/>
      <c r="H16" s="109"/>
      <c r="I16" s="109"/>
      <c r="J16" s="109"/>
      <c r="K16" s="109" t="s">
        <v>287</v>
      </c>
      <c r="L16" s="109"/>
      <c r="M16" s="109"/>
      <c r="N16" s="109"/>
      <c r="O16" s="109"/>
      <c r="P16" s="109"/>
      <c r="Q16" s="109"/>
      <c r="R16" s="110"/>
    </row>
    <row r="17" spans="1:18" ht="15" customHeight="1">
      <c r="A17" s="69" t="s">
        <v>237</v>
      </c>
      <c r="B17" s="109" t="s">
        <v>370</v>
      </c>
      <c r="C17" s="109"/>
      <c r="D17" s="109"/>
      <c r="E17" s="109"/>
      <c r="F17" s="109"/>
      <c r="G17" s="109"/>
      <c r="H17" s="109"/>
      <c r="I17" s="109"/>
      <c r="J17" s="109"/>
      <c r="K17" s="109" t="s">
        <v>371</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3.9" customHeight="1">
      <c r="A19" s="148" t="s">
        <v>242</v>
      </c>
      <c r="B19" s="145"/>
      <c r="C19" s="145"/>
      <c r="D19" s="145"/>
      <c r="E19" s="145"/>
      <c r="F19" s="145"/>
      <c r="G19" s="145"/>
      <c r="H19" s="145"/>
      <c r="I19" s="145"/>
      <c r="J19" s="145"/>
      <c r="K19" s="145"/>
      <c r="L19" s="145"/>
      <c r="M19" s="145"/>
      <c r="N19" s="145"/>
      <c r="O19" s="145"/>
      <c r="P19" s="145"/>
      <c r="Q19" s="145"/>
      <c r="R19" s="147"/>
    </row>
    <row r="20" spans="1:18" ht="15" customHeight="1">
      <c r="A20" s="69" t="s">
        <v>234</v>
      </c>
      <c r="B20" s="109" t="s">
        <v>243</v>
      </c>
      <c r="C20" s="109"/>
      <c r="D20" s="109"/>
      <c r="E20" s="109"/>
      <c r="F20" s="109"/>
      <c r="G20" s="109"/>
      <c r="H20" s="109"/>
      <c r="I20" s="109"/>
      <c r="J20" s="109"/>
      <c r="K20" s="144" t="s">
        <v>244</v>
      </c>
      <c r="L20" s="145"/>
      <c r="M20" s="145"/>
      <c r="N20" s="145"/>
      <c r="O20" s="145"/>
      <c r="P20" s="145"/>
      <c r="Q20" s="145"/>
      <c r="R20" s="147"/>
    </row>
    <row r="21" spans="1:18" ht="15.75" customHeight="1">
      <c r="A21" s="69" t="s">
        <v>237</v>
      </c>
      <c r="B21" s="144" t="s">
        <v>372</v>
      </c>
      <c r="C21" s="145"/>
      <c r="D21" s="145"/>
      <c r="E21" s="145"/>
      <c r="F21" s="145"/>
      <c r="G21" s="145"/>
      <c r="H21" s="145"/>
      <c r="I21" s="145"/>
      <c r="J21" s="145"/>
      <c r="K21" s="145"/>
      <c r="L21" s="145"/>
      <c r="M21" s="145"/>
      <c r="N21" s="145"/>
      <c r="O21" s="145"/>
      <c r="P21" s="145"/>
      <c r="Q21" s="145"/>
      <c r="R21" s="147"/>
    </row>
    <row r="22" spans="1:18" ht="15.75" customHeight="1">
      <c r="A22" s="69" t="s">
        <v>246</v>
      </c>
      <c r="B22" s="144" t="s">
        <v>247</v>
      </c>
      <c r="C22" s="145"/>
      <c r="D22" s="145"/>
      <c r="E22" s="145"/>
      <c r="F22" s="145"/>
      <c r="G22" s="145"/>
      <c r="H22" s="145"/>
      <c r="I22" s="145"/>
      <c r="J22" s="145"/>
      <c r="K22" s="145"/>
      <c r="L22" s="145"/>
      <c r="M22" s="145"/>
      <c r="N22" s="145"/>
      <c r="O22" s="145"/>
      <c r="P22" s="145"/>
      <c r="Q22" s="145"/>
      <c r="R22" s="147"/>
    </row>
    <row r="23" spans="1:18" ht="15.75" customHeight="1">
      <c r="A23" s="69" t="s">
        <v>248</v>
      </c>
      <c r="B23" s="144" t="s">
        <v>247</v>
      </c>
      <c r="C23" s="145"/>
      <c r="D23" s="145"/>
      <c r="E23" s="145"/>
      <c r="F23" s="145"/>
      <c r="G23" s="145"/>
      <c r="H23" s="145"/>
      <c r="I23" s="145"/>
      <c r="J23" s="145"/>
      <c r="K23" s="145"/>
      <c r="L23" s="145"/>
      <c r="M23" s="145"/>
      <c r="N23" s="145"/>
      <c r="O23" s="145"/>
      <c r="P23" s="145"/>
      <c r="Q23" s="145"/>
      <c r="R23" s="147"/>
    </row>
    <row r="24" spans="1:18" ht="15.75" customHeight="1">
      <c r="A24" s="69" t="s">
        <v>249</v>
      </c>
      <c r="B24" s="144" t="s">
        <v>247</v>
      </c>
      <c r="C24" s="145"/>
      <c r="D24" s="145"/>
      <c r="E24" s="145"/>
      <c r="F24" s="145"/>
      <c r="G24" s="145"/>
      <c r="H24" s="145"/>
      <c r="I24" s="145"/>
      <c r="J24" s="145"/>
      <c r="K24" s="145"/>
      <c r="L24" s="145"/>
      <c r="M24" s="145"/>
      <c r="N24" s="145"/>
      <c r="O24" s="145"/>
      <c r="P24" s="145"/>
      <c r="Q24" s="145"/>
      <c r="R24" s="147"/>
    </row>
    <row r="25" spans="1:18" ht="15.75" customHeight="1">
      <c r="A25" s="69" t="s">
        <v>250</v>
      </c>
      <c r="B25" s="144" t="s">
        <v>247</v>
      </c>
      <c r="C25" s="145"/>
      <c r="D25" s="145"/>
      <c r="E25" s="145"/>
      <c r="F25" s="145"/>
      <c r="G25" s="145"/>
      <c r="H25" s="145"/>
      <c r="I25" s="145"/>
      <c r="J25" s="145"/>
      <c r="K25" s="145"/>
      <c r="L25" s="145"/>
      <c r="M25" s="145"/>
      <c r="N25" s="145"/>
      <c r="O25" s="145"/>
      <c r="P25" s="145"/>
      <c r="Q25" s="145"/>
      <c r="R25" s="147"/>
    </row>
    <row r="26" spans="1:18" ht="15.75" customHeight="1">
      <c r="A26" s="69" t="s">
        <v>251</v>
      </c>
      <c r="B26" s="151" t="s">
        <v>290</v>
      </c>
      <c r="C26" s="152"/>
      <c r="D26" s="152"/>
      <c r="E26" s="127"/>
      <c r="F26" s="144"/>
      <c r="G26" s="145"/>
      <c r="H26" s="145"/>
      <c r="I26" s="145"/>
      <c r="J26" s="145"/>
      <c r="K26" s="145"/>
      <c r="L26" s="145"/>
      <c r="M26" s="145"/>
      <c r="N26" s="145"/>
      <c r="O26" s="145"/>
      <c r="P26" s="145"/>
      <c r="Q26" s="145"/>
      <c r="R26" s="147"/>
    </row>
    <row r="27" spans="1:18" ht="15.75" customHeight="1">
      <c r="A27" s="69" t="s">
        <v>253</v>
      </c>
      <c r="B27" s="144" t="s">
        <v>373</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ht="14.45" customHeight="1">
      <c r="A29" s="69" t="s">
        <v>237</v>
      </c>
      <c r="B29" s="144" t="s">
        <v>374</v>
      </c>
      <c r="C29" s="145"/>
      <c r="D29" s="145"/>
      <c r="E29" s="145"/>
      <c r="F29" s="145"/>
      <c r="G29" s="145"/>
      <c r="H29" s="145"/>
      <c r="I29" s="145"/>
      <c r="J29" s="145"/>
      <c r="K29" s="145"/>
      <c r="L29" s="145"/>
      <c r="M29" s="145"/>
      <c r="N29" s="145"/>
      <c r="O29" s="145"/>
      <c r="P29" s="145"/>
      <c r="Q29" s="145"/>
      <c r="R29" s="147"/>
    </row>
    <row r="30" spans="1:18" s="5" customFormat="1" ht="13.9" customHeight="1">
      <c r="A30" s="69" t="s">
        <v>257</v>
      </c>
      <c r="B30" s="144" t="s">
        <v>291</v>
      </c>
      <c r="C30" s="145"/>
      <c r="D30" s="145"/>
      <c r="E30" s="145"/>
      <c r="F30" s="145"/>
      <c r="G30" s="145"/>
      <c r="H30" s="145"/>
      <c r="I30" s="145"/>
      <c r="J30" s="145"/>
      <c r="K30" s="145"/>
      <c r="L30" s="145"/>
      <c r="M30" s="145"/>
      <c r="N30" s="145"/>
      <c r="O30" s="145"/>
      <c r="P30" s="145"/>
      <c r="Q30" s="145"/>
      <c r="R30" s="147"/>
    </row>
    <row r="31" spans="1:18" ht="15" customHeight="1">
      <c r="A31" s="69" t="s">
        <v>234</v>
      </c>
      <c r="B31" s="144" t="s">
        <v>292</v>
      </c>
      <c r="C31" s="145"/>
      <c r="D31" s="145"/>
      <c r="E31" s="145"/>
      <c r="F31" s="145"/>
      <c r="G31" s="145"/>
      <c r="H31" s="145"/>
      <c r="I31" s="145"/>
      <c r="J31" s="145"/>
      <c r="K31" s="145"/>
      <c r="L31" s="145"/>
      <c r="M31" s="145"/>
      <c r="N31" s="145"/>
      <c r="O31" s="145"/>
      <c r="P31" s="145"/>
      <c r="Q31" s="145"/>
      <c r="R31" s="147"/>
    </row>
    <row r="32" spans="1:18" ht="14.45" customHeight="1">
      <c r="A32" s="117" t="s">
        <v>260</v>
      </c>
      <c r="B32" s="109"/>
      <c r="C32" s="109"/>
      <c r="D32" s="109"/>
      <c r="E32" s="109"/>
      <c r="F32" s="109"/>
      <c r="G32" s="109"/>
      <c r="H32" s="109"/>
      <c r="I32" s="109"/>
      <c r="J32" s="109"/>
      <c r="K32" s="109"/>
      <c r="L32" s="109"/>
      <c r="M32" s="109"/>
      <c r="N32" s="109"/>
      <c r="O32" s="109"/>
      <c r="P32" s="109"/>
      <c r="Q32" s="109"/>
      <c r="R32" s="110"/>
    </row>
    <row r="33" spans="1:19" ht="13.9" customHeight="1">
      <c r="A33" s="69" t="s">
        <v>237</v>
      </c>
      <c r="B33" s="109" t="s">
        <v>374</v>
      </c>
      <c r="C33" s="109"/>
      <c r="D33" s="109"/>
      <c r="E33" s="109"/>
      <c r="F33" s="109"/>
      <c r="G33" s="109"/>
      <c r="H33" s="109"/>
      <c r="I33" s="109"/>
      <c r="J33" s="109"/>
      <c r="K33" s="109"/>
      <c r="L33" s="109"/>
      <c r="M33" s="109"/>
      <c r="N33" s="109"/>
      <c r="O33" s="109"/>
      <c r="P33" s="109"/>
      <c r="Q33" s="109"/>
      <c r="R33" s="110"/>
    </row>
    <row r="34" spans="1:19"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19" ht="14.45" customHeight="1">
      <c r="A35" s="117" t="s">
        <v>264</v>
      </c>
      <c r="B35" s="109"/>
      <c r="C35" s="109"/>
      <c r="D35" s="109"/>
      <c r="E35" s="109"/>
      <c r="F35" s="109"/>
      <c r="G35" s="109"/>
      <c r="H35" s="109"/>
      <c r="I35" s="109"/>
      <c r="J35" s="109"/>
      <c r="K35" s="109"/>
      <c r="L35" s="109"/>
      <c r="M35" s="109"/>
      <c r="N35" s="109"/>
      <c r="O35" s="109"/>
      <c r="P35" s="109"/>
      <c r="Q35" s="109"/>
      <c r="R35" s="110"/>
    </row>
    <row r="36" spans="1:19" ht="15" customHeight="1">
      <c r="A36" s="69" t="s">
        <v>265</v>
      </c>
      <c r="B36" s="144" t="s">
        <v>328</v>
      </c>
      <c r="C36" s="145"/>
      <c r="D36" s="145"/>
      <c r="E36" s="145"/>
      <c r="F36" s="145"/>
      <c r="G36" s="145"/>
      <c r="H36" s="145"/>
      <c r="I36" s="145"/>
      <c r="J36" s="145"/>
      <c r="K36" s="145"/>
      <c r="L36" s="145"/>
      <c r="M36" s="145"/>
      <c r="N36" s="145"/>
      <c r="O36" s="145"/>
      <c r="P36" s="145"/>
      <c r="Q36" s="145"/>
      <c r="R36" s="147"/>
    </row>
    <row r="37" spans="1:19" ht="15" customHeight="1">
      <c r="A37" s="69" t="s">
        <v>267</v>
      </c>
      <c r="B37" s="144" t="s">
        <v>329</v>
      </c>
      <c r="C37" s="145"/>
      <c r="D37" s="145"/>
      <c r="E37" s="145"/>
      <c r="F37" s="145"/>
      <c r="G37" s="145"/>
      <c r="H37" s="145"/>
      <c r="I37" s="145"/>
      <c r="J37" s="145"/>
      <c r="K37" s="145"/>
      <c r="L37" s="145"/>
      <c r="M37" s="145"/>
      <c r="N37" s="145"/>
      <c r="O37" s="145"/>
      <c r="P37" s="145"/>
      <c r="Q37" s="145"/>
      <c r="R37" s="147"/>
    </row>
    <row r="38" spans="1:19" ht="15" customHeight="1">
      <c r="A38" s="69" t="s">
        <v>269</v>
      </c>
      <c r="B38" s="144" t="s">
        <v>330</v>
      </c>
      <c r="C38" s="149"/>
      <c r="D38" s="149"/>
      <c r="E38" s="149"/>
      <c r="F38" s="149"/>
      <c r="G38" s="149"/>
      <c r="H38" s="149"/>
      <c r="I38" s="149"/>
      <c r="J38" s="149"/>
      <c r="K38" s="149"/>
      <c r="L38" s="149"/>
      <c r="M38" s="149"/>
      <c r="N38" s="149"/>
      <c r="O38" s="149"/>
      <c r="P38" s="149"/>
      <c r="Q38" s="149"/>
      <c r="R38" s="150"/>
    </row>
    <row r="39" spans="1:19" ht="15" customHeight="1">
      <c r="A39" s="141" t="s">
        <v>271</v>
      </c>
      <c r="B39" s="142"/>
      <c r="C39" s="142"/>
      <c r="D39" s="142"/>
      <c r="E39" s="142"/>
      <c r="F39" s="142"/>
      <c r="G39" s="142"/>
      <c r="H39" s="142"/>
      <c r="I39" s="142"/>
      <c r="J39" s="142"/>
      <c r="K39" s="142"/>
      <c r="L39" s="142"/>
      <c r="M39" s="142"/>
      <c r="N39" s="142"/>
      <c r="O39" s="142"/>
      <c r="P39" s="142"/>
      <c r="Q39" s="142"/>
      <c r="R39" s="143"/>
    </row>
    <row r="40" spans="1:19" ht="14.45"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9"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9"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c r="S42" s="6"/>
    </row>
    <row r="43" spans="1:19" s="5" customFormat="1" ht="14.45"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c r="S43" s="6"/>
    </row>
    <row r="44" spans="1:19"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c r="S44" s="6"/>
    </row>
    <row r="45" spans="1:19" s="5" customFormat="1" ht="13.9" customHeight="1">
      <c r="A45" s="69"/>
      <c r="B45" s="109"/>
      <c r="C45" s="109"/>
      <c r="D45" s="109"/>
      <c r="E45" s="109"/>
      <c r="F45" s="109"/>
      <c r="G45" s="109"/>
      <c r="H45" s="109"/>
      <c r="I45" s="109"/>
      <c r="J45" s="109"/>
      <c r="K45" s="109"/>
      <c r="L45" s="109"/>
      <c r="M45" s="109"/>
      <c r="N45" s="109"/>
      <c r="O45" s="109"/>
      <c r="P45" s="109"/>
      <c r="Q45" s="109"/>
      <c r="R45" s="110"/>
      <c r="S45" s="6"/>
    </row>
    <row r="46" spans="1:19" s="5" customFormat="1" ht="13.9" customHeight="1">
      <c r="A46" s="69"/>
      <c r="B46" s="109"/>
      <c r="C46" s="109"/>
      <c r="D46" s="109"/>
      <c r="E46" s="109"/>
      <c r="F46" s="109"/>
      <c r="G46" s="109"/>
      <c r="H46" s="109"/>
      <c r="I46" s="109"/>
      <c r="J46" s="109"/>
      <c r="K46" s="109"/>
      <c r="L46" s="109"/>
      <c r="M46" s="109"/>
      <c r="N46" s="109"/>
      <c r="O46" s="109"/>
      <c r="P46" s="109"/>
      <c r="Q46" s="109"/>
      <c r="R46" s="110"/>
      <c r="S46" s="6"/>
    </row>
    <row r="47" spans="1:19" s="5" customFormat="1">
      <c r="A47" s="148" t="s">
        <v>278</v>
      </c>
      <c r="B47" s="149"/>
      <c r="C47" s="149"/>
      <c r="D47" s="149"/>
      <c r="E47" s="149"/>
      <c r="F47" s="149"/>
      <c r="G47" s="149"/>
      <c r="H47" s="149"/>
      <c r="I47" s="149"/>
      <c r="J47" s="149"/>
      <c r="K47" s="149"/>
      <c r="L47" s="149"/>
      <c r="M47" s="149"/>
      <c r="N47" s="149"/>
      <c r="O47" s="149"/>
      <c r="P47" s="149"/>
      <c r="Q47" s="149"/>
      <c r="R47" s="150"/>
      <c r="S47" s="6"/>
    </row>
    <row r="48" spans="1:19" s="5" customFormat="1" ht="25.9" customHeight="1">
      <c r="A48" s="114" t="s">
        <v>279</v>
      </c>
      <c r="B48" s="115"/>
      <c r="C48" s="115"/>
      <c r="D48" s="115"/>
      <c r="E48" s="115"/>
      <c r="F48" s="115"/>
      <c r="G48" s="115"/>
      <c r="H48" s="115"/>
      <c r="I48" s="115"/>
      <c r="J48" s="115"/>
      <c r="K48" s="115"/>
      <c r="L48" s="115"/>
      <c r="M48" s="115"/>
      <c r="N48" s="115"/>
      <c r="O48" s="115"/>
      <c r="P48" s="115"/>
      <c r="Q48" s="115"/>
      <c r="R48" s="116"/>
      <c r="S48" s="6"/>
    </row>
    <row r="49" spans="1:19" s="5" customFormat="1" ht="13.9" customHeight="1">
      <c r="A49" s="114" t="s">
        <v>280</v>
      </c>
      <c r="B49" s="115"/>
      <c r="C49" s="115"/>
      <c r="D49" s="115"/>
      <c r="E49" s="115"/>
      <c r="F49" s="115"/>
      <c r="G49" s="115"/>
      <c r="H49" s="115"/>
      <c r="I49" s="115"/>
      <c r="J49" s="115"/>
      <c r="K49" s="115"/>
      <c r="L49" s="115"/>
      <c r="M49" s="115"/>
      <c r="N49" s="115"/>
      <c r="O49" s="115"/>
      <c r="P49" s="115"/>
      <c r="Q49" s="115"/>
      <c r="R49" s="116"/>
      <c r="S49" s="6"/>
    </row>
    <row r="50" spans="1:19" ht="14.45" customHeight="1">
      <c r="A50" s="114" t="s">
        <v>281</v>
      </c>
      <c r="B50" s="115"/>
      <c r="C50" s="115"/>
      <c r="D50" s="115"/>
      <c r="E50" s="115"/>
      <c r="F50" s="115"/>
      <c r="G50" s="115"/>
      <c r="H50" s="115"/>
      <c r="I50" s="115"/>
      <c r="J50" s="115"/>
      <c r="K50" s="115"/>
      <c r="L50" s="115"/>
      <c r="M50" s="115"/>
      <c r="N50" s="115"/>
      <c r="O50" s="115"/>
      <c r="P50" s="115"/>
      <c r="Q50" s="115"/>
      <c r="R50" s="116"/>
    </row>
    <row r="51" spans="1:19" ht="14.45" customHeight="1">
      <c r="A51" s="114" t="s">
        <v>282</v>
      </c>
      <c r="B51" s="115"/>
      <c r="C51" s="115"/>
      <c r="D51" s="115"/>
      <c r="E51" s="115"/>
      <c r="F51" s="115"/>
      <c r="G51" s="115"/>
      <c r="H51" s="115"/>
      <c r="I51" s="115"/>
      <c r="J51" s="115"/>
      <c r="K51" s="115"/>
      <c r="L51" s="115"/>
      <c r="M51" s="115"/>
      <c r="N51" s="115"/>
      <c r="O51" s="115"/>
      <c r="P51" s="115"/>
      <c r="Q51" s="115"/>
      <c r="R51" s="116"/>
    </row>
    <row r="52" spans="1:19" ht="14.45" customHeight="1">
      <c r="A52" s="114" t="s">
        <v>283</v>
      </c>
      <c r="B52" s="115"/>
      <c r="C52" s="115"/>
      <c r="D52" s="115"/>
      <c r="E52" s="115"/>
      <c r="F52" s="115"/>
      <c r="G52" s="115"/>
      <c r="H52" s="115"/>
      <c r="I52" s="115"/>
      <c r="J52" s="115"/>
      <c r="K52" s="115"/>
      <c r="L52" s="115"/>
      <c r="M52" s="115"/>
      <c r="N52" s="115"/>
      <c r="O52" s="115"/>
      <c r="P52" s="115"/>
      <c r="Q52" s="115"/>
      <c r="R52" s="116"/>
    </row>
    <row r="53" spans="1:19" ht="14.45" customHeight="1">
      <c r="A53" s="114" t="s">
        <v>284</v>
      </c>
      <c r="B53" s="115"/>
      <c r="C53" s="115"/>
      <c r="D53" s="115"/>
      <c r="E53" s="115"/>
      <c r="F53" s="115"/>
      <c r="G53" s="115"/>
      <c r="H53" s="115"/>
      <c r="I53" s="115"/>
      <c r="J53" s="115"/>
      <c r="K53" s="115"/>
      <c r="L53" s="115"/>
      <c r="M53" s="115"/>
      <c r="N53" s="115"/>
      <c r="O53" s="115"/>
      <c r="P53" s="115"/>
      <c r="Q53" s="115"/>
      <c r="R53" s="116"/>
    </row>
    <row r="54" spans="1:19" ht="14.45" customHeight="1">
      <c r="A54" s="114" t="s">
        <v>285</v>
      </c>
      <c r="B54" s="115"/>
      <c r="C54" s="115"/>
      <c r="D54" s="115"/>
      <c r="E54" s="115"/>
      <c r="F54" s="115"/>
      <c r="G54" s="115"/>
      <c r="H54" s="115"/>
      <c r="I54" s="115"/>
      <c r="J54" s="115"/>
      <c r="K54" s="115"/>
      <c r="L54" s="115"/>
      <c r="M54" s="115"/>
      <c r="N54" s="115"/>
      <c r="O54" s="115"/>
      <c r="P54" s="115"/>
      <c r="Q54" s="115"/>
      <c r="R54" s="116"/>
    </row>
    <row r="55" spans="1:19" ht="15.75" thickBot="1">
      <c r="A55" s="177"/>
      <c r="B55" s="178"/>
      <c r="C55" s="178"/>
      <c r="D55" s="178"/>
      <c r="E55" s="178"/>
      <c r="F55" s="178"/>
      <c r="G55" s="178"/>
      <c r="H55" s="178"/>
      <c r="I55" s="178"/>
      <c r="J55" s="178"/>
      <c r="K55" s="178"/>
      <c r="L55" s="178"/>
      <c r="M55" s="178"/>
      <c r="N55" s="178"/>
      <c r="O55" s="178"/>
      <c r="P55" s="178"/>
      <c r="Q55" s="178"/>
      <c r="R55" s="179"/>
    </row>
  </sheetData>
  <mergeCells count="82">
    <mergeCell ref="B46:R46"/>
    <mergeCell ref="B23:R23"/>
    <mergeCell ref="B29:R29"/>
    <mergeCell ref="B31:R31"/>
    <mergeCell ref="B37:R37"/>
    <mergeCell ref="B38:R38"/>
    <mergeCell ref="A32:R32"/>
    <mergeCell ref="B33:R33"/>
    <mergeCell ref="B34:L34"/>
    <mergeCell ref="M34:R34"/>
    <mergeCell ref="A35:R35"/>
    <mergeCell ref="B36:R36"/>
    <mergeCell ref="B26:E26"/>
    <mergeCell ref="A49:R49"/>
    <mergeCell ref="B18:R18"/>
    <mergeCell ref="B11:R11"/>
    <mergeCell ref="B17:J17"/>
    <mergeCell ref="K17:R17"/>
    <mergeCell ref="B16:J16"/>
    <mergeCell ref="K16:R16"/>
    <mergeCell ref="A28:R28"/>
    <mergeCell ref="B27:R27"/>
    <mergeCell ref="A19:R19"/>
    <mergeCell ref="B20:J20"/>
    <mergeCell ref="K20:R20"/>
    <mergeCell ref="F26:R26"/>
    <mergeCell ref="B25:R25"/>
    <mergeCell ref="B24:R24"/>
    <mergeCell ref="B22:R22"/>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48:R48"/>
    <mergeCell ref="A10:R10"/>
    <mergeCell ref="B30:R30"/>
    <mergeCell ref="L8:O9"/>
    <mergeCell ref="P8:R8"/>
    <mergeCell ref="D9:E9"/>
    <mergeCell ref="F9:G9"/>
    <mergeCell ref="H9:I9"/>
    <mergeCell ref="J9:K9"/>
    <mergeCell ref="P9:R9"/>
    <mergeCell ref="B8:C8"/>
    <mergeCell ref="D8:E8"/>
    <mergeCell ref="F8:G8"/>
    <mergeCell ref="H8:I8"/>
    <mergeCell ref="J8:K8"/>
    <mergeCell ref="B21:R21"/>
    <mergeCell ref="B9:C9"/>
    <mergeCell ref="A39:R39"/>
    <mergeCell ref="B40:R40"/>
    <mergeCell ref="B41:R41"/>
    <mergeCell ref="A55:R55"/>
    <mergeCell ref="A50:R50"/>
    <mergeCell ref="A51:R51"/>
    <mergeCell ref="A52:R52"/>
    <mergeCell ref="A53:R53"/>
    <mergeCell ref="A54:R54"/>
    <mergeCell ref="A47:R47"/>
    <mergeCell ref="B42:R42"/>
    <mergeCell ref="B43:R43"/>
    <mergeCell ref="B44:E44"/>
    <mergeCell ref="F44:R44"/>
    <mergeCell ref="B45:R45"/>
  </mergeCells>
  <printOptions horizontalCentered="1"/>
  <pageMargins left="0.7" right="0.7" top="0.75" bottom="0.75" header="0.3" footer="0.3"/>
  <pageSetup paperSize="9" scale="88" firstPageNumber="18" orientation="portrait" r:id="rId1"/>
  <legacyDrawingHF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6">
    <tabColor theme="7" tint="0.39997558519241921"/>
    <pageSetUpPr fitToPage="1"/>
  </sheetPr>
  <dimension ref="A1:AA55"/>
  <sheetViews>
    <sheetView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375</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t="s">
        <v>368</v>
      </c>
      <c r="G14" s="17" t="s">
        <v>368</v>
      </c>
      <c r="H14" s="17" t="s">
        <v>368</v>
      </c>
      <c r="I14" s="17" t="s">
        <v>368</v>
      </c>
      <c r="J14" s="17" t="s">
        <v>368</v>
      </c>
      <c r="K14" s="17" t="s">
        <v>368</v>
      </c>
      <c r="L14" s="17">
        <v>60</v>
      </c>
      <c r="M14" s="17">
        <v>60</v>
      </c>
      <c r="N14" s="17">
        <v>60</v>
      </c>
      <c r="O14" s="17">
        <v>60</v>
      </c>
      <c r="P14" s="17">
        <v>60</v>
      </c>
      <c r="Q14" s="17" t="s">
        <v>174</v>
      </c>
      <c r="R14" s="66">
        <v>60</v>
      </c>
    </row>
    <row r="15" spans="1:18" s="12" customFormat="1">
      <c r="A15" s="70" t="s">
        <v>233</v>
      </c>
      <c r="B15" s="17">
        <v>4.78</v>
      </c>
      <c r="C15" s="17">
        <v>5.56</v>
      </c>
      <c r="D15" s="17">
        <v>6.4</v>
      </c>
      <c r="E15" s="17">
        <v>7.14</v>
      </c>
      <c r="F15" s="17">
        <v>5.54</v>
      </c>
      <c r="G15" s="17">
        <v>7.62</v>
      </c>
      <c r="H15" s="17">
        <v>8.56</v>
      </c>
      <c r="I15" s="17">
        <v>10.97</v>
      </c>
      <c r="J15" s="17">
        <v>12.7</v>
      </c>
      <c r="K15" s="17">
        <v>12.7</v>
      </c>
      <c r="L15" s="17">
        <v>14.27</v>
      </c>
      <c r="M15" s="17">
        <v>15.09</v>
      </c>
      <c r="N15" s="17">
        <v>16.66</v>
      </c>
      <c r="O15" s="17">
        <v>19.05</v>
      </c>
      <c r="P15" s="17">
        <v>20.62</v>
      </c>
      <c r="Q15" s="17">
        <v>23.83</v>
      </c>
      <c r="R15" s="66">
        <v>24.61</v>
      </c>
    </row>
    <row r="16" spans="1:18">
      <c r="A16" s="69" t="s">
        <v>234</v>
      </c>
      <c r="B16" s="109" t="s">
        <v>235</v>
      </c>
      <c r="C16" s="109"/>
      <c r="D16" s="109"/>
      <c r="E16" s="109"/>
      <c r="F16" s="109"/>
      <c r="G16" s="109"/>
      <c r="H16" s="109"/>
      <c r="I16" s="109"/>
      <c r="J16" s="109"/>
      <c r="K16" s="109" t="s">
        <v>287</v>
      </c>
      <c r="L16" s="109"/>
      <c r="M16" s="109"/>
      <c r="N16" s="109"/>
      <c r="O16" s="109"/>
      <c r="P16" s="109"/>
      <c r="Q16" s="109"/>
      <c r="R16" s="110"/>
    </row>
    <row r="17" spans="1:27" ht="13.9" customHeight="1">
      <c r="A17" s="69" t="s">
        <v>237</v>
      </c>
      <c r="B17" s="109" t="s">
        <v>370</v>
      </c>
      <c r="C17" s="109"/>
      <c r="D17" s="109"/>
      <c r="E17" s="109"/>
      <c r="F17" s="109"/>
      <c r="G17" s="109"/>
      <c r="H17" s="109"/>
      <c r="I17" s="109"/>
      <c r="J17" s="109"/>
      <c r="K17" s="109" t="s">
        <v>371</v>
      </c>
      <c r="L17" s="109"/>
      <c r="M17" s="109"/>
      <c r="N17" s="109"/>
      <c r="O17" s="109"/>
      <c r="P17" s="109"/>
      <c r="Q17" s="109"/>
      <c r="R17" s="110"/>
      <c r="U17" s="3"/>
      <c r="V17" s="3"/>
      <c r="X17" s="12"/>
      <c r="Y17" s="12"/>
      <c r="Z17" s="12"/>
      <c r="AA17" s="12"/>
    </row>
    <row r="18" spans="1:27">
      <c r="A18" s="69" t="s">
        <v>240</v>
      </c>
      <c r="B18" s="144" t="s">
        <v>241</v>
      </c>
      <c r="C18" s="145"/>
      <c r="D18" s="145"/>
      <c r="E18" s="145"/>
      <c r="F18" s="145"/>
      <c r="G18" s="145"/>
      <c r="H18" s="145"/>
      <c r="I18" s="145"/>
      <c r="J18" s="145"/>
      <c r="K18" s="145"/>
      <c r="L18" s="145"/>
      <c r="M18" s="145"/>
      <c r="N18" s="145"/>
      <c r="O18" s="145"/>
      <c r="P18" s="145"/>
      <c r="Q18" s="145"/>
      <c r="R18" s="147"/>
    </row>
    <row r="19" spans="1:27">
      <c r="A19" s="117" t="s">
        <v>242</v>
      </c>
      <c r="B19" s="109"/>
      <c r="C19" s="109"/>
      <c r="D19" s="109"/>
      <c r="E19" s="109"/>
      <c r="F19" s="109"/>
      <c r="G19" s="109"/>
      <c r="H19" s="109"/>
      <c r="I19" s="109"/>
      <c r="J19" s="109"/>
      <c r="K19" s="109"/>
      <c r="L19" s="109"/>
      <c r="M19" s="109"/>
      <c r="N19" s="109"/>
      <c r="O19" s="109"/>
      <c r="P19" s="109"/>
      <c r="Q19" s="109"/>
      <c r="R19" s="110"/>
    </row>
    <row r="20" spans="1:27"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27" ht="15.75" customHeight="1">
      <c r="A21" s="69" t="s">
        <v>237</v>
      </c>
      <c r="B21" s="144" t="s">
        <v>372</v>
      </c>
      <c r="C21" s="145"/>
      <c r="D21" s="145"/>
      <c r="E21" s="145"/>
      <c r="F21" s="145"/>
      <c r="G21" s="145"/>
      <c r="H21" s="145"/>
      <c r="I21" s="145"/>
      <c r="J21" s="145"/>
      <c r="K21" s="145"/>
      <c r="L21" s="145"/>
      <c r="M21" s="145"/>
      <c r="N21" s="145"/>
      <c r="O21" s="145"/>
      <c r="P21" s="145"/>
      <c r="Q21" s="145"/>
      <c r="R21" s="147"/>
    </row>
    <row r="22" spans="1:27" ht="15.75" customHeight="1">
      <c r="A22" s="69" t="s">
        <v>246</v>
      </c>
      <c r="B22" s="230" t="s">
        <v>247</v>
      </c>
      <c r="C22" s="231"/>
      <c r="D22" s="231"/>
      <c r="E22" s="231"/>
      <c r="F22" s="231"/>
      <c r="G22" s="231"/>
      <c r="H22" s="231"/>
      <c r="I22" s="231"/>
      <c r="J22" s="231"/>
      <c r="K22" s="231"/>
      <c r="L22" s="231"/>
      <c r="M22" s="231"/>
      <c r="N22" s="231"/>
      <c r="O22" s="231"/>
      <c r="P22" s="231"/>
      <c r="Q22" s="231"/>
      <c r="R22" s="232"/>
    </row>
    <row r="23" spans="1:27" ht="15.75" customHeight="1">
      <c r="A23" s="69" t="s">
        <v>248</v>
      </c>
      <c r="B23" s="230" t="s">
        <v>247</v>
      </c>
      <c r="C23" s="231"/>
      <c r="D23" s="231"/>
      <c r="E23" s="231"/>
      <c r="F23" s="231"/>
      <c r="G23" s="231"/>
      <c r="H23" s="231"/>
      <c r="I23" s="231"/>
      <c r="J23" s="231"/>
      <c r="K23" s="231"/>
      <c r="L23" s="231"/>
      <c r="M23" s="231"/>
      <c r="N23" s="231"/>
      <c r="O23" s="231"/>
      <c r="P23" s="231"/>
      <c r="Q23" s="231"/>
      <c r="R23" s="232"/>
    </row>
    <row r="24" spans="1:27" ht="15.75" customHeight="1">
      <c r="A24" s="69" t="s">
        <v>249</v>
      </c>
      <c r="B24" s="230" t="s">
        <v>247</v>
      </c>
      <c r="C24" s="231"/>
      <c r="D24" s="231"/>
      <c r="E24" s="231"/>
      <c r="F24" s="231"/>
      <c r="G24" s="231"/>
      <c r="H24" s="231"/>
      <c r="I24" s="231"/>
      <c r="J24" s="231"/>
      <c r="K24" s="231"/>
      <c r="L24" s="231"/>
      <c r="M24" s="231"/>
      <c r="N24" s="231"/>
      <c r="O24" s="231"/>
      <c r="P24" s="231"/>
      <c r="Q24" s="231"/>
      <c r="R24" s="232"/>
    </row>
    <row r="25" spans="1:27" ht="15.75" customHeight="1">
      <c r="A25" s="69" t="s">
        <v>250</v>
      </c>
      <c r="B25" s="230" t="s">
        <v>247</v>
      </c>
      <c r="C25" s="231"/>
      <c r="D25" s="231"/>
      <c r="E25" s="231"/>
      <c r="F25" s="231"/>
      <c r="G25" s="231"/>
      <c r="H25" s="231"/>
      <c r="I25" s="231"/>
      <c r="J25" s="231"/>
      <c r="K25" s="231"/>
      <c r="L25" s="231"/>
      <c r="M25" s="231"/>
      <c r="N25" s="231"/>
      <c r="O25" s="231"/>
      <c r="P25" s="231"/>
      <c r="Q25" s="231"/>
      <c r="R25" s="232"/>
    </row>
    <row r="26" spans="1:27" ht="15.75" customHeight="1">
      <c r="A26" s="69" t="s">
        <v>251</v>
      </c>
      <c r="B26" s="151" t="s">
        <v>290</v>
      </c>
      <c r="C26" s="145"/>
      <c r="D26" s="145"/>
      <c r="E26" s="146"/>
      <c r="F26" s="144"/>
      <c r="G26" s="145"/>
      <c r="H26" s="145"/>
      <c r="I26" s="145"/>
      <c r="J26" s="145"/>
      <c r="K26" s="145"/>
      <c r="L26" s="145"/>
      <c r="M26" s="145"/>
      <c r="N26" s="145"/>
      <c r="O26" s="145"/>
      <c r="P26" s="145"/>
      <c r="Q26" s="145"/>
      <c r="R26" s="147"/>
    </row>
    <row r="27" spans="1:27" ht="15.75" customHeight="1">
      <c r="A27" s="69" t="s">
        <v>253</v>
      </c>
      <c r="B27" s="230" t="s">
        <v>373</v>
      </c>
      <c r="C27" s="231"/>
      <c r="D27" s="231"/>
      <c r="E27" s="231"/>
      <c r="F27" s="231"/>
      <c r="G27" s="231"/>
      <c r="H27" s="231"/>
      <c r="I27" s="231"/>
      <c r="J27" s="231"/>
      <c r="K27" s="231"/>
      <c r="L27" s="231"/>
      <c r="M27" s="231"/>
      <c r="N27" s="231"/>
      <c r="O27" s="231"/>
      <c r="P27" s="231"/>
      <c r="Q27" s="231"/>
      <c r="R27" s="232"/>
    </row>
    <row r="28" spans="1:27">
      <c r="A28" s="117" t="s">
        <v>255</v>
      </c>
      <c r="B28" s="109"/>
      <c r="C28" s="109"/>
      <c r="D28" s="109"/>
      <c r="E28" s="109"/>
      <c r="F28" s="109"/>
      <c r="G28" s="109"/>
      <c r="H28" s="109"/>
      <c r="I28" s="109"/>
      <c r="J28" s="109"/>
      <c r="K28" s="109"/>
      <c r="L28" s="109"/>
      <c r="M28" s="109"/>
      <c r="N28" s="109"/>
      <c r="O28" s="109"/>
      <c r="P28" s="109"/>
      <c r="Q28" s="109"/>
      <c r="R28" s="110"/>
    </row>
    <row r="29" spans="1:27">
      <c r="A29" s="69" t="s">
        <v>237</v>
      </c>
      <c r="B29" s="144" t="s">
        <v>374</v>
      </c>
      <c r="C29" s="145"/>
      <c r="D29" s="145"/>
      <c r="E29" s="145"/>
      <c r="F29" s="145"/>
      <c r="G29" s="145"/>
      <c r="H29" s="145"/>
      <c r="I29" s="145"/>
      <c r="J29" s="145"/>
      <c r="K29" s="145"/>
      <c r="L29" s="145"/>
      <c r="M29" s="145"/>
      <c r="N29" s="145"/>
      <c r="O29" s="145"/>
      <c r="P29" s="145"/>
      <c r="Q29" s="145"/>
      <c r="R29" s="147"/>
    </row>
    <row r="30" spans="1:27" ht="15.75" customHeight="1">
      <c r="A30" s="69" t="s">
        <v>257</v>
      </c>
      <c r="B30" s="144" t="s">
        <v>298</v>
      </c>
      <c r="C30" s="145"/>
      <c r="D30" s="145"/>
      <c r="E30" s="145"/>
      <c r="F30" s="145"/>
      <c r="G30" s="145"/>
      <c r="H30" s="145"/>
      <c r="I30" s="145"/>
      <c r="J30" s="145"/>
      <c r="K30" s="145"/>
      <c r="L30" s="145"/>
      <c r="M30" s="145"/>
      <c r="N30" s="145"/>
      <c r="O30" s="145"/>
      <c r="P30" s="145"/>
      <c r="Q30" s="145"/>
      <c r="R30" s="147"/>
    </row>
    <row r="31" spans="1:27" ht="15.75" customHeight="1">
      <c r="A31" s="69" t="s">
        <v>234</v>
      </c>
      <c r="B31" s="144" t="s">
        <v>292</v>
      </c>
      <c r="C31" s="145"/>
      <c r="D31" s="145"/>
      <c r="E31" s="145"/>
      <c r="F31" s="145"/>
      <c r="G31" s="145"/>
      <c r="H31" s="145"/>
      <c r="I31" s="145"/>
      <c r="J31" s="145"/>
      <c r="K31" s="145"/>
      <c r="L31" s="145"/>
      <c r="M31" s="145"/>
      <c r="N31" s="145"/>
      <c r="O31" s="145"/>
      <c r="P31" s="145"/>
      <c r="Q31" s="145"/>
      <c r="R31" s="147"/>
    </row>
    <row r="32" spans="1:27" ht="15.75" customHeight="1">
      <c r="A32" s="117" t="s">
        <v>260</v>
      </c>
      <c r="B32" s="109"/>
      <c r="C32" s="109"/>
      <c r="D32" s="109"/>
      <c r="E32" s="109"/>
      <c r="F32" s="109"/>
      <c r="G32" s="109"/>
      <c r="H32" s="109"/>
      <c r="I32" s="109"/>
      <c r="J32" s="109"/>
      <c r="K32" s="109"/>
      <c r="L32" s="109"/>
      <c r="M32" s="109"/>
      <c r="N32" s="109"/>
      <c r="O32" s="109"/>
      <c r="P32" s="109"/>
      <c r="Q32" s="109"/>
      <c r="R32" s="110"/>
    </row>
    <row r="33" spans="1:20" ht="13.9" customHeight="1">
      <c r="A33" s="69" t="s">
        <v>237</v>
      </c>
      <c r="B33" s="109" t="s">
        <v>374</v>
      </c>
      <c r="C33" s="109"/>
      <c r="D33" s="109"/>
      <c r="E33" s="109"/>
      <c r="F33" s="109"/>
      <c r="G33" s="109"/>
      <c r="H33" s="109"/>
      <c r="I33" s="109"/>
      <c r="J33" s="109"/>
      <c r="K33" s="109"/>
      <c r="L33" s="109"/>
      <c r="M33" s="109"/>
      <c r="N33" s="109"/>
      <c r="O33" s="109"/>
      <c r="P33" s="109"/>
      <c r="Q33" s="109"/>
      <c r="R33" s="110"/>
    </row>
    <row r="34" spans="1:20"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20" ht="15" customHeight="1">
      <c r="A35" s="117" t="s">
        <v>264</v>
      </c>
      <c r="B35" s="109"/>
      <c r="C35" s="109"/>
      <c r="D35" s="109"/>
      <c r="E35" s="109"/>
      <c r="F35" s="109"/>
      <c r="G35" s="109"/>
      <c r="H35" s="109"/>
      <c r="I35" s="109"/>
      <c r="J35" s="109"/>
      <c r="K35" s="109"/>
      <c r="L35" s="109"/>
      <c r="M35" s="109"/>
      <c r="N35" s="109"/>
      <c r="O35" s="109"/>
      <c r="P35" s="109"/>
      <c r="Q35" s="109"/>
      <c r="R35" s="110"/>
    </row>
    <row r="36" spans="1:20" ht="13.9" customHeight="1">
      <c r="A36" s="69" t="s">
        <v>265</v>
      </c>
      <c r="B36" s="144" t="s">
        <v>328</v>
      </c>
      <c r="C36" s="145"/>
      <c r="D36" s="145"/>
      <c r="E36" s="145"/>
      <c r="F36" s="145"/>
      <c r="G36" s="145"/>
      <c r="H36" s="145"/>
      <c r="I36" s="145"/>
      <c r="J36" s="145"/>
      <c r="K36" s="145"/>
      <c r="L36" s="145"/>
      <c r="M36" s="145"/>
      <c r="N36" s="145"/>
      <c r="O36" s="145"/>
      <c r="P36" s="145"/>
      <c r="Q36" s="145"/>
      <c r="R36" s="147"/>
    </row>
    <row r="37" spans="1:20" ht="13.9" customHeight="1">
      <c r="A37" s="69" t="s">
        <v>267</v>
      </c>
      <c r="B37" s="144" t="s">
        <v>329</v>
      </c>
      <c r="C37" s="145"/>
      <c r="D37" s="145"/>
      <c r="E37" s="145"/>
      <c r="F37" s="145"/>
      <c r="G37" s="145"/>
      <c r="H37" s="145"/>
      <c r="I37" s="145"/>
      <c r="J37" s="145"/>
      <c r="K37" s="145"/>
      <c r="L37" s="145"/>
      <c r="M37" s="145"/>
      <c r="N37" s="145"/>
      <c r="O37" s="145"/>
      <c r="P37" s="145"/>
      <c r="Q37" s="145"/>
      <c r="R37" s="147"/>
    </row>
    <row r="38" spans="1:20" ht="13.9" customHeight="1">
      <c r="A38" s="69" t="s">
        <v>269</v>
      </c>
      <c r="B38" s="144" t="s">
        <v>330</v>
      </c>
      <c r="C38" s="149"/>
      <c r="D38" s="149"/>
      <c r="E38" s="149"/>
      <c r="F38" s="149"/>
      <c r="G38" s="149"/>
      <c r="H38" s="149"/>
      <c r="I38" s="149"/>
      <c r="J38" s="149"/>
      <c r="K38" s="149"/>
      <c r="L38" s="149"/>
      <c r="M38" s="149"/>
      <c r="N38" s="149"/>
      <c r="O38" s="149"/>
      <c r="P38" s="149"/>
      <c r="Q38" s="149"/>
      <c r="R38" s="150"/>
    </row>
    <row r="39" spans="1:20" ht="13.9" customHeight="1">
      <c r="A39" s="141" t="s">
        <v>271</v>
      </c>
      <c r="B39" s="142"/>
      <c r="C39" s="142"/>
      <c r="D39" s="142"/>
      <c r="E39" s="142"/>
      <c r="F39" s="142"/>
      <c r="G39" s="142"/>
      <c r="H39" s="142"/>
      <c r="I39" s="142"/>
      <c r="J39" s="142"/>
      <c r="K39" s="142"/>
      <c r="L39" s="142"/>
      <c r="M39" s="142"/>
      <c r="N39" s="142"/>
      <c r="O39" s="142"/>
      <c r="P39" s="142"/>
      <c r="Q39" s="142"/>
      <c r="R39" s="143"/>
    </row>
    <row r="40" spans="1:20">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20" s="5" customFormat="1" ht="14.45"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20" s="5" customFormat="1" ht="14.45"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c r="T42" s="6"/>
    </row>
    <row r="43" spans="1:20" s="5" customForma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20" s="5" customForma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20" s="5" customFormat="1" ht="14.45" customHeight="1">
      <c r="A45" s="69"/>
      <c r="B45" s="109"/>
      <c r="C45" s="109"/>
      <c r="D45" s="109"/>
      <c r="E45" s="109"/>
      <c r="F45" s="109"/>
      <c r="G45" s="109"/>
      <c r="H45" s="109"/>
      <c r="I45" s="109"/>
      <c r="J45" s="109"/>
      <c r="K45" s="109"/>
      <c r="L45" s="109"/>
      <c r="M45" s="109"/>
      <c r="N45" s="109"/>
      <c r="O45" s="109"/>
      <c r="P45" s="109"/>
      <c r="Q45" s="109"/>
      <c r="R45" s="110"/>
    </row>
    <row r="46" spans="1:20" s="5" customFormat="1" ht="14.45" customHeight="1">
      <c r="A46" s="69"/>
      <c r="B46" s="109"/>
      <c r="C46" s="109"/>
      <c r="D46" s="109"/>
      <c r="E46" s="109"/>
      <c r="F46" s="109"/>
      <c r="G46" s="109"/>
      <c r="H46" s="109"/>
      <c r="I46" s="109"/>
      <c r="J46" s="109"/>
      <c r="K46" s="109"/>
      <c r="L46" s="109"/>
      <c r="M46" s="109"/>
      <c r="N46" s="109"/>
      <c r="O46" s="109"/>
      <c r="P46" s="109"/>
      <c r="Q46" s="109"/>
      <c r="R46" s="110"/>
    </row>
    <row r="47" spans="1:20" s="5" customFormat="1">
      <c r="A47" s="148" t="s">
        <v>278</v>
      </c>
      <c r="B47" s="149"/>
      <c r="C47" s="149"/>
      <c r="D47" s="149"/>
      <c r="E47" s="149"/>
      <c r="F47" s="149"/>
      <c r="G47" s="149"/>
      <c r="H47" s="149"/>
      <c r="I47" s="149"/>
      <c r="J47" s="149"/>
      <c r="K47" s="149"/>
      <c r="L47" s="149"/>
      <c r="M47" s="149"/>
      <c r="N47" s="149"/>
      <c r="O47" s="149"/>
      <c r="P47" s="149"/>
      <c r="Q47" s="149"/>
      <c r="R47" s="150"/>
    </row>
    <row r="48" spans="1:20" s="5" customFormat="1" ht="28.9"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c r="A51" s="114" t="s">
        <v>282</v>
      </c>
      <c r="B51" s="115"/>
      <c r="C51" s="115"/>
      <c r="D51" s="115"/>
      <c r="E51" s="115"/>
      <c r="F51" s="115"/>
      <c r="G51" s="115"/>
      <c r="H51" s="115"/>
      <c r="I51" s="115"/>
      <c r="J51" s="115"/>
      <c r="K51" s="115"/>
      <c r="L51" s="115"/>
      <c r="M51" s="115"/>
      <c r="N51" s="115"/>
      <c r="O51" s="115"/>
      <c r="P51" s="115"/>
      <c r="Q51" s="115"/>
      <c r="R51" s="116"/>
    </row>
    <row r="52" spans="1:18">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3">
    <mergeCell ref="B40:R40"/>
    <mergeCell ref="B41:R41"/>
    <mergeCell ref="B42:R42"/>
    <mergeCell ref="A39:R39"/>
    <mergeCell ref="B37:R37"/>
    <mergeCell ref="B38:R38"/>
    <mergeCell ref="A28:R28"/>
    <mergeCell ref="A32:R32"/>
    <mergeCell ref="B33:R33"/>
    <mergeCell ref="B34:L34"/>
    <mergeCell ref="M34:R34"/>
    <mergeCell ref="K19:R19"/>
    <mergeCell ref="B25:R25"/>
    <mergeCell ref="B26:E26"/>
    <mergeCell ref="F26:R26"/>
    <mergeCell ref="B20:J20"/>
    <mergeCell ref="K20:R20"/>
    <mergeCell ref="B21:R21"/>
    <mergeCell ref="B22:R22"/>
    <mergeCell ref="F6:H6"/>
    <mergeCell ref="I6:R6"/>
    <mergeCell ref="A7:R7"/>
    <mergeCell ref="A1:E6"/>
    <mergeCell ref="F1:P1"/>
    <mergeCell ref="O3:P3"/>
    <mergeCell ref="Q3:R3"/>
    <mergeCell ref="F4:H4"/>
    <mergeCell ref="I4:R4"/>
    <mergeCell ref="F5:G5"/>
    <mergeCell ref="H5:R5"/>
    <mergeCell ref="F3:G3"/>
    <mergeCell ref="H3:I3"/>
    <mergeCell ref="J3:L3"/>
    <mergeCell ref="M3:N3"/>
    <mergeCell ref="Q1:R1"/>
    <mergeCell ref="A10:R10"/>
    <mergeCell ref="L8:O9"/>
    <mergeCell ref="P8:R8"/>
    <mergeCell ref="D9:E9"/>
    <mergeCell ref="F9:G9"/>
    <mergeCell ref="H9:I9"/>
    <mergeCell ref="J9:K9"/>
    <mergeCell ref="P9:R9"/>
    <mergeCell ref="B8:C8"/>
    <mergeCell ref="D8:E8"/>
    <mergeCell ref="F8:G8"/>
    <mergeCell ref="H8:I8"/>
    <mergeCell ref="B9:C9"/>
    <mergeCell ref="J8:K8"/>
    <mergeCell ref="F2:I2"/>
    <mergeCell ref="J2:L2"/>
    <mergeCell ref="M2:N2"/>
    <mergeCell ref="O2:P2"/>
    <mergeCell ref="Q2:R2"/>
    <mergeCell ref="B43:R43"/>
    <mergeCell ref="B11:R11"/>
    <mergeCell ref="B27:R27"/>
    <mergeCell ref="B29:R29"/>
    <mergeCell ref="B17:J17"/>
    <mergeCell ref="K17:R17"/>
    <mergeCell ref="A35:R35"/>
    <mergeCell ref="B36:R36"/>
    <mergeCell ref="B30:R30"/>
    <mergeCell ref="B18:R18"/>
    <mergeCell ref="B24:R24"/>
    <mergeCell ref="B23:R23"/>
    <mergeCell ref="B16:J16"/>
    <mergeCell ref="K16:R16"/>
    <mergeCell ref="B31:R31"/>
    <mergeCell ref="A19:J19"/>
    <mergeCell ref="B44:E44"/>
    <mergeCell ref="A54:R54"/>
    <mergeCell ref="A55:R55"/>
    <mergeCell ref="B45:R45"/>
    <mergeCell ref="A50:R50"/>
    <mergeCell ref="A51:R51"/>
    <mergeCell ref="A52:R52"/>
    <mergeCell ref="A53:R53"/>
    <mergeCell ref="A47:R47"/>
    <mergeCell ref="A48:R48"/>
    <mergeCell ref="A49:R49"/>
    <mergeCell ref="B46:R46"/>
    <mergeCell ref="F44:R44"/>
  </mergeCells>
  <printOptions horizontalCentered="1"/>
  <pageMargins left="0.7" right="0.7" top="0.75" bottom="0.75" header="0.3" footer="0.3"/>
  <pageSetup paperSize="9" scale="88" firstPageNumber="18" orientation="portrait" r:id="rId1"/>
  <legacyDrawingHF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8">
    <tabColor theme="7" tint="0.39997558519241921"/>
    <pageSetUpPr fitToPage="1"/>
  </sheetPr>
  <dimension ref="A1:V57"/>
  <sheetViews>
    <sheetView topLeftCell="A13"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22"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22"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22"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22"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22"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22"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22" s="5" customFormat="1" ht="14.45" customHeight="1">
      <c r="A7" s="167" t="s">
        <v>221</v>
      </c>
      <c r="B7" s="168"/>
      <c r="C7" s="168"/>
      <c r="D7" s="168"/>
      <c r="E7" s="168"/>
      <c r="F7" s="169"/>
      <c r="G7" s="169"/>
      <c r="H7" s="169"/>
      <c r="I7" s="169"/>
      <c r="J7" s="169"/>
      <c r="K7" s="169"/>
      <c r="L7" s="169"/>
      <c r="M7" s="169"/>
      <c r="N7" s="169"/>
      <c r="O7" s="169"/>
      <c r="P7" s="169"/>
      <c r="Q7" s="169"/>
      <c r="R7" s="170"/>
    </row>
    <row r="8" spans="1:22"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22"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22" s="3" customFormat="1">
      <c r="A10" s="162" t="s">
        <v>225</v>
      </c>
      <c r="B10" s="163"/>
      <c r="C10" s="163"/>
      <c r="D10" s="163"/>
      <c r="E10" s="163"/>
      <c r="F10" s="163"/>
      <c r="G10" s="163"/>
      <c r="H10" s="163"/>
      <c r="I10" s="163"/>
      <c r="J10" s="163"/>
      <c r="K10" s="163"/>
      <c r="L10" s="163"/>
      <c r="M10" s="163"/>
      <c r="N10" s="163"/>
      <c r="O10" s="163"/>
      <c r="P10" s="163"/>
      <c r="Q10" s="163"/>
      <c r="R10" s="164"/>
    </row>
    <row r="11" spans="1:22">
      <c r="A11" s="69" t="s">
        <v>226</v>
      </c>
      <c r="B11" s="109" t="s">
        <v>375</v>
      </c>
      <c r="C11" s="109"/>
      <c r="D11" s="109"/>
      <c r="E11" s="109"/>
      <c r="F11" s="109"/>
      <c r="G11" s="109"/>
      <c r="H11" s="109"/>
      <c r="I11" s="109"/>
      <c r="J11" s="109"/>
      <c r="K11" s="109"/>
      <c r="L11" s="109"/>
      <c r="M11" s="109"/>
      <c r="N11" s="109"/>
      <c r="O11" s="109"/>
      <c r="P11" s="109"/>
      <c r="Q11" s="109"/>
      <c r="R11" s="110"/>
    </row>
    <row r="12" spans="1:22"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22"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22" s="12" customFormat="1">
      <c r="A14" s="70" t="s">
        <v>230</v>
      </c>
      <c r="B14" s="17">
        <v>160</v>
      </c>
      <c r="C14" s="17">
        <v>160</v>
      </c>
      <c r="D14" s="17">
        <v>160</v>
      </c>
      <c r="E14" s="17">
        <v>160</v>
      </c>
      <c r="F14" s="17" t="s">
        <v>368</v>
      </c>
      <c r="G14" s="17" t="s">
        <v>368</v>
      </c>
      <c r="H14" s="17" t="s">
        <v>368</v>
      </c>
      <c r="I14" s="17" t="s">
        <v>368</v>
      </c>
      <c r="J14" s="17">
        <v>100</v>
      </c>
      <c r="K14" s="17">
        <v>100</v>
      </c>
      <c r="L14" s="17">
        <v>100</v>
      </c>
      <c r="M14" s="17">
        <v>100</v>
      </c>
      <c r="N14" s="17">
        <v>100</v>
      </c>
      <c r="O14" s="17">
        <v>100</v>
      </c>
      <c r="P14" s="17">
        <v>100</v>
      </c>
      <c r="Q14" s="17">
        <v>100</v>
      </c>
      <c r="R14" s="66">
        <v>100</v>
      </c>
    </row>
    <row r="15" spans="1:22" s="12" customFormat="1">
      <c r="A15" s="70" t="s">
        <v>233</v>
      </c>
      <c r="B15" s="17">
        <v>4.78</v>
      </c>
      <c r="C15" s="17">
        <v>5.56</v>
      </c>
      <c r="D15" s="17">
        <v>6.4</v>
      </c>
      <c r="E15" s="17">
        <v>7.14</v>
      </c>
      <c r="F15" s="17">
        <v>5.54</v>
      </c>
      <c r="G15" s="17">
        <v>7.62</v>
      </c>
      <c r="H15" s="17">
        <v>8.56</v>
      </c>
      <c r="I15" s="17">
        <v>10.97</v>
      </c>
      <c r="J15" s="17">
        <v>15.09</v>
      </c>
      <c r="K15" s="17">
        <v>18.260000000000002</v>
      </c>
      <c r="L15" s="17">
        <v>21.44</v>
      </c>
      <c r="M15" s="17">
        <v>23.83</v>
      </c>
      <c r="N15" s="17">
        <v>26.19</v>
      </c>
      <c r="O15" s="17">
        <v>29.36</v>
      </c>
      <c r="P15" s="17">
        <v>32.54</v>
      </c>
      <c r="Q15" s="17">
        <v>34.93</v>
      </c>
      <c r="R15" s="66">
        <v>38.89</v>
      </c>
      <c r="T15" s="3"/>
      <c r="U15" s="3"/>
      <c r="V15" s="1"/>
    </row>
    <row r="16" spans="1:22" ht="14.45" customHeight="1">
      <c r="A16" s="69" t="s">
        <v>234</v>
      </c>
      <c r="B16" s="109" t="s">
        <v>235</v>
      </c>
      <c r="C16" s="109"/>
      <c r="D16" s="109"/>
      <c r="E16" s="109"/>
      <c r="F16" s="109"/>
      <c r="G16" s="109"/>
      <c r="H16" s="109"/>
      <c r="I16" s="109"/>
      <c r="J16" s="109"/>
      <c r="K16" s="109" t="s">
        <v>287</v>
      </c>
      <c r="L16" s="109"/>
      <c r="M16" s="109"/>
      <c r="N16" s="109"/>
      <c r="O16" s="109"/>
      <c r="P16" s="109"/>
      <c r="Q16" s="109"/>
      <c r="R16" s="110"/>
    </row>
    <row r="17" spans="1:18" ht="14.45" customHeight="1">
      <c r="A17" s="69" t="s">
        <v>237</v>
      </c>
      <c r="B17" s="109" t="s">
        <v>370</v>
      </c>
      <c r="C17" s="109"/>
      <c r="D17" s="109"/>
      <c r="E17" s="109"/>
      <c r="F17" s="109"/>
      <c r="G17" s="109"/>
      <c r="H17" s="109"/>
      <c r="I17" s="109"/>
      <c r="J17" s="109"/>
      <c r="K17" s="109" t="s">
        <v>371</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4.45" customHeight="1">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372</v>
      </c>
      <c r="C21" s="145"/>
      <c r="D21" s="145"/>
      <c r="E21" s="145"/>
      <c r="F21" s="145"/>
      <c r="G21" s="145"/>
      <c r="H21" s="145"/>
      <c r="I21" s="145"/>
      <c r="J21" s="145"/>
      <c r="K21" s="145"/>
      <c r="L21" s="145"/>
      <c r="M21" s="145"/>
      <c r="N21" s="145"/>
      <c r="O21" s="145"/>
      <c r="P21" s="145"/>
      <c r="Q21" s="145"/>
      <c r="R21" s="147"/>
    </row>
    <row r="22" spans="1:18" ht="15" customHeight="1">
      <c r="A22" s="69" t="s">
        <v>246</v>
      </c>
      <c r="B22" s="230" t="s">
        <v>247</v>
      </c>
      <c r="C22" s="231"/>
      <c r="D22" s="231"/>
      <c r="E22" s="231"/>
      <c r="F22" s="231"/>
      <c r="G22" s="231"/>
      <c r="H22" s="231"/>
      <c r="I22" s="231"/>
      <c r="J22" s="231"/>
      <c r="K22" s="231"/>
      <c r="L22" s="231"/>
      <c r="M22" s="231"/>
      <c r="N22" s="231"/>
      <c r="O22" s="231"/>
      <c r="P22" s="231"/>
      <c r="Q22" s="231"/>
      <c r="R22" s="232"/>
    </row>
    <row r="23" spans="1:18" ht="15" customHeight="1">
      <c r="A23" s="69" t="s">
        <v>248</v>
      </c>
      <c r="B23" s="230" t="s">
        <v>247</v>
      </c>
      <c r="C23" s="231"/>
      <c r="D23" s="231"/>
      <c r="E23" s="231"/>
      <c r="F23" s="231"/>
      <c r="G23" s="231"/>
      <c r="H23" s="231"/>
      <c r="I23" s="231"/>
      <c r="J23" s="231"/>
      <c r="K23" s="231"/>
      <c r="L23" s="231"/>
      <c r="M23" s="231"/>
      <c r="N23" s="231"/>
      <c r="O23" s="231"/>
      <c r="P23" s="231"/>
      <c r="Q23" s="231"/>
      <c r="R23" s="232"/>
    </row>
    <row r="24" spans="1:18" ht="15" customHeight="1">
      <c r="A24" s="69" t="s">
        <v>249</v>
      </c>
      <c r="B24" s="230" t="s">
        <v>247</v>
      </c>
      <c r="C24" s="231"/>
      <c r="D24" s="231"/>
      <c r="E24" s="231"/>
      <c r="F24" s="231"/>
      <c r="G24" s="231"/>
      <c r="H24" s="231"/>
      <c r="I24" s="231"/>
      <c r="J24" s="231"/>
      <c r="K24" s="231"/>
      <c r="L24" s="231"/>
      <c r="M24" s="231"/>
      <c r="N24" s="231"/>
      <c r="O24" s="231"/>
      <c r="P24" s="231"/>
      <c r="Q24" s="231"/>
      <c r="R24" s="232"/>
    </row>
    <row r="25" spans="1:18" ht="15" customHeight="1">
      <c r="A25" s="69" t="s">
        <v>250</v>
      </c>
      <c r="B25" s="230" t="s">
        <v>247</v>
      </c>
      <c r="C25" s="231"/>
      <c r="D25" s="231"/>
      <c r="E25" s="231"/>
      <c r="F25" s="231"/>
      <c r="G25" s="231"/>
      <c r="H25" s="231"/>
      <c r="I25" s="231"/>
      <c r="J25" s="231"/>
      <c r="K25" s="231"/>
      <c r="L25" s="231"/>
      <c r="M25" s="231"/>
      <c r="N25" s="231"/>
      <c r="O25" s="231"/>
      <c r="P25" s="231"/>
      <c r="Q25" s="231"/>
      <c r="R25" s="232"/>
    </row>
    <row r="26" spans="1:18" ht="15"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373</v>
      </c>
      <c r="C27" s="145"/>
      <c r="D27" s="145"/>
      <c r="E27" s="145"/>
      <c r="F27" s="145"/>
      <c r="G27" s="145"/>
      <c r="H27" s="145"/>
      <c r="I27" s="145"/>
      <c r="J27" s="145"/>
      <c r="K27" s="145"/>
      <c r="L27" s="145"/>
      <c r="M27" s="145"/>
      <c r="N27" s="145"/>
      <c r="O27" s="145"/>
      <c r="P27" s="145"/>
      <c r="Q27" s="145"/>
      <c r="R27" s="147"/>
    </row>
    <row r="28" spans="1:18">
      <c r="A28" s="117" t="s">
        <v>255</v>
      </c>
      <c r="B28" s="109"/>
      <c r="C28" s="109"/>
      <c r="D28" s="109"/>
      <c r="E28" s="109"/>
      <c r="F28" s="109"/>
      <c r="G28" s="109"/>
      <c r="H28" s="109"/>
      <c r="I28" s="109"/>
      <c r="J28" s="109"/>
      <c r="K28" s="109"/>
      <c r="L28" s="109"/>
      <c r="M28" s="109"/>
      <c r="N28" s="109"/>
      <c r="O28" s="109"/>
      <c r="P28" s="109"/>
      <c r="Q28" s="109"/>
      <c r="R28" s="110"/>
    </row>
    <row r="29" spans="1:18">
      <c r="A29" s="69" t="s">
        <v>237</v>
      </c>
      <c r="B29" s="144" t="s">
        <v>374</v>
      </c>
      <c r="C29" s="145"/>
      <c r="D29" s="145"/>
      <c r="E29" s="145"/>
      <c r="F29" s="145"/>
      <c r="G29" s="145"/>
      <c r="H29" s="145"/>
      <c r="I29" s="145"/>
      <c r="J29" s="145"/>
      <c r="K29" s="145"/>
      <c r="L29" s="145"/>
      <c r="M29" s="145"/>
      <c r="N29" s="145"/>
      <c r="O29" s="145"/>
      <c r="P29" s="145"/>
      <c r="Q29" s="145"/>
      <c r="R29" s="147"/>
    </row>
    <row r="30" spans="1:18" ht="15.75" customHeight="1">
      <c r="A30" s="69" t="s">
        <v>257</v>
      </c>
      <c r="B30" s="144" t="s">
        <v>299</v>
      </c>
      <c r="C30" s="145"/>
      <c r="D30" s="145"/>
      <c r="E30" s="146"/>
      <c r="F30" s="144" t="s">
        <v>300</v>
      </c>
      <c r="G30" s="145"/>
      <c r="H30" s="145"/>
      <c r="I30" s="145"/>
      <c r="J30" s="145"/>
      <c r="K30" s="145"/>
      <c r="L30" s="145"/>
      <c r="M30" s="145"/>
      <c r="N30" s="145"/>
      <c r="O30" s="145"/>
      <c r="P30" s="145"/>
      <c r="Q30" s="145"/>
      <c r="R30" s="147"/>
    </row>
    <row r="31" spans="1:18" ht="15.75" customHeight="1">
      <c r="A31" s="69" t="s">
        <v>234</v>
      </c>
      <c r="B31" s="144" t="s">
        <v>376</v>
      </c>
      <c r="C31" s="145"/>
      <c r="D31" s="145"/>
      <c r="E31" s="145"/>
      <c r="F31" s="145"/>
      <c r="G31" s="145"/>
      <c r="H31" s="145"/>
      <c r="I31" s="145"/>
      <c r="J31" s="145"/>
      <c r="K31" s="145"/>
      <c r="L31" s="145"/>
      <c r="M31" s="145"/>
      <c r="N31" s="145"/>
      <c r="O31" s="145"/>
      <c r="P31" s="145"/>
      <c r="Q31" s="145"/>
      <c r="R31" s="147"/>
    </row>
    <row r="32" spans="1:18" ht="15.75" customHeight="1">
      <c r="A32" s="117" t="s">
        <v>260</v>
      </c>
      <c r="B32" s="109"/>
      <c r="C32" s="109"/>
      <c r="D32" s="109"/>
      <c r="E32" s="109"/>
      <c r="F32" s="109"/>
      <c r="G32" s="109"/>
      <c r="H32" s="109"/>
      <c r="I32" s="109"/>
      <c r="J32" s="109"/>
      <c r="K32" s="109"/>
      <c r="L32" s="109"/>
      <c r="M32" s="109"/>
      <c r="N32" s="109"/>
      <c r="O32" s="109"/>
      <c r="P32" s="109"/>
      <c r="Q32" s="109"/>
      <c r="R32" s="110"/>
    </row>
    <row r="33" spans="1:20" ht="13.9" customHeight="1">
      <c r="A33" s="69" t="s">
        <v>237</v>
      </c>
      <c r="B33" s="109" t="s">
        <v>374</v>
      </c>
      <c r="C33" s="109"/>
      <c r="D33" s="109"/>
      <c r="E33" s="109"/>
      <c r="F33" s="109"/>
      <c r="G33" s="109"/>
      <c r="H33" s="109"/>
      <c r="I33" s="109"/>
      <c r="J33" s="109"/>
      <c r="K33" s="109"/>
      <c r="L33" s="109"/>
      <c r="M33" s="109"/>
      <c r="N33" s="109"/>
      <c r="O33" s="109"/>
      <c r="P33" s="109"/>
      <c r="Q33" s="109"/>
      <c r="R33" s="110"/>
    </row>
    <row r="34" spans="1:20"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20" ht="15" customHeight="1">
      <c r="A35" s="117" t="s">
        <v>264</v>
      </c>
      <c r="B35" s="109"/>
      <c r="C35" s="109"/>
      <c r="D35" s="109"/>
      <c r="E35" s="109"/>
      <c r="F35" s="109"/>
      <c r="G35" s="109"/>
      <c r="H35" s="109"/>
      <c r="I35" s="109"/>
      <c r="J35" s="109"/>
      <c r="K35" s="109"/>
      <c r="L35" s="109"/>
      <c r="M35" s="109"/>
      <c r="N35" s="109"/>
      <c r="O35" s="109"/>
      <c r="P35" s="109"/>
      <c r="Q35" s="109"/>
      <c r="R35" s="110"/>
    </row>
    <row r="36" spans="1:20" ht="13.9" customHeight="1">
      <c r="A36" s="69" t="s">
        <v>265</v>
      </c>
      <c r="B36" s="144" t="s">
        <v>328</v>
      </c>
      <c r="C36" s="145"/>
      <c r="D36" s="145"/>
      <c r="E36" s="145"/>
      <c r="F36" s="145"/>
      <c r="G36" s="145"/>
      <c r="H36" s="145"/>
      <c r="I36" s="145"/>
      <c r="J36" s="145"/>
      <c r="K36" s="145"/>
      <c r="L36" s="145"/>
      <c r="M36" s="145"/>
      <c r="N36" s="145"/>
      <c r="O36" s="145"/>
      <c r="P36" s="145"/>
      <c r="Q36" s="145"/>
      <c r="R36" s="147"/>
    </row>
    <row r="37" spans="1:20" ht="13.9" customHeight="1">
      <c r="A37" s="69" t="s">
        <v>267</v>
      </c>
      <c r="B37" s="144" t="s">
        <v>329</v>
      </c>
      <c r="C37" s="145"/>
      <c r="D37" s="145"/>
      <c r="E37" s="145"/>
      <c r="F37" s="145"/>
      <c r="G37" s="145"/>
      <c r="H37" s="145"/>
      <c r="I37" s="145"/>
      <c r="J37" s="145"/>
      <c r="K37" s="145"/>
      <c r="L37" s="145"/>
      <c r="M37" s="145"/>
      <c r="N37" s="145"/>
      <c r="O37" s="145"/>
      <c r="P37" s="145"/>
      <c r="Q37" s="145"/>
      <c r="R37" s="147"/>
    </row>
    <row r="38" spans="1:20" ht="13.9" customHeight="1">
      <c r="A38" s="69" t="s">
        <v>269</v>
      </c>
      <c r="B38" s="144" t="s">
        <v>377</v>
      </c>
      <c r="C38" s="149"/>
      <c r="D38" s="149"/>
      <c r="E38" s="149"/>
      <c r="F38" s="149"/>
      <c r="G38" s="149"/>
      <c r="H38" s="149"/>
      <c r="I38" s="149"/>
      <c r="J38" s="149"/>
      <c r="K38" s="149"/>
      <c r="L38" s="149"/>
      <c r="M38" s="149"/>
      <c r="N38" s="149"/>
      <c r="O38" s="149"/>
      <c r="P38" s="149"/>
      <c r="Q38" s="149"/>
      <c r="R38" s="150"/>
    </row>
    <row r="39" spans="1:20" ht="13.9" customHeight="1">
      <c r="A39" s="141" t="s">
        <v>271</v>
      </c>
      <c r="B39" s="142"/>
      <c r="C39" s="142"/>
      <c r="D39" s="142"/>
      <c r="E39" s="142"/>
      <c r="F39" s="142"/>
      <c r="G39" s="142"/>
      <c r="H39" s="142"/>
      <c r="I39" s="142"/>
      <c r="J39" s="142"/>
      <c r="K39" s="142"/>
      <c r="L39" s="142"/>
      <c r="M39" s="142"/>
      <c r="N39" s="142"/>
      <c r="O39" s="142"/>
      <c r="P39" s="142"/>
      <c r="Q39" s="142"/>
      <c r="R39" s="143"/>
    </row>
    <row r="40" spans="1:20">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20" s="5" customFormat="1" ht="14.45"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20" s="5" customFormat="1" ht="14.45"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c r="T42" s="6"/>
    </row>
    <row r="43" spans="1:20" s="5" customFormat="1">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20" s="5" customFormat="1">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20" s="5" customFormat="1"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20" s="5" customFormat="1"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20" s="5" customFormat="1">
      <c r="A47" s="148" t="s">
        <v>278</v>
      </c>
      <c r="B47" s="149"/>
      <c r="C47" s="149"/>
      <c r="D47" s="149"/>
      <c r="E47" s="149"/>
      <c r="F47" s="149"/>
      <c r="G47" s="149"/>
      <c r="H47" s="149"/>
      <c r="I47" s="149"/>
      <c r="J47" s="149"/>
      <c r="K47" s="149"/>
      <c r="L47" s="149"/>
      <c r="M47" s="149"/>
      <c r="N47" s="149"/>
      <c r="O47" s="149"/>
      <c r="P47" s="149"/>
      <c r="Q47" s="149"/>
      <c r="R47" s="150"/>
    </row>
    <row r="48" spans="1:20" s="5" customFormat="1" ht="28.15" customHeight="1">
      <c r="A48" s="114" t="s">
        <v>279</v>
      </c>
      <c r="B48" s="115"/>
      <c r="C48" s="115"/>
      <c r="D48" s="115"/>
      <c r="E48" s="115"/>
      <c r="F48" s="115"/>
      <c r="G48" s="115"/>
      <c r="H48" s="115"/>
      <c r="I48" s="115"/>
      <c r="J48" s="115"/>
      <c r="K48" s="115"/>
      <c r="L48" s="115"/>
      <c r="M48" s="115"/>
      <c r="N48" s="115"/>
      <c r="O48" s="115"/>
      <c r="P48" s="115"/>
      <c r="Q48" s="115"/>
      <c r="R48" s="116"/>
    </row>
    <row r="49" spans="1:18" s="5" customFormat="1">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7.6" customHeight="1">
      <c r="A51" s="114" t="s">
        <v>324</v>
      </c>
      <c r="B51" s="115"/>
      <c r="C51" s="115"/>
      <c r="D51" s="115"/>
      <c r="E51" s="115"/>
      <c r="F51" s="115"/>
      <c r="G51" s="115"/>
      <c r="H51" s="115"/>
      <c r="I51" s="115"/>
      <c r="J51" s="115"/>
      <c r="K51" s="115"/>
      <c r="L51" s="115"/>
      <c r="M51" s="115"/>
      <c r="N51" s="115"/>
      <c r="O51" s="115"/>
      <c r="P51" s="115"/>
      <c r="Q51" s="115"/>
      <c r="R51" s="116"/>
    </row>
    <row r="52" spans="1:18" ht="28.15" customHeight="1">
      <c r="A52" s="114" t="s">
        <v>283</v>
      </c>
      <c r="B52" s="115"/>
      <c r="C52" s="115"/>
      <c r="D52" s="115"/>
      <c r="E52" s="115"/>
      <c r="F52" s="115"/>
      <c r="G52" s="115"/>
      <c r="H52" s="115"/>
      <c r="I52" s="115"/>
      <c r="J52" s="115"/>
      <c r="K52" s="115"/>
      <c r="L52" s="115"/>
      <c r="M52" s="115"/>
      <c r="N52" s="115"/>
      <c r="O52" s="115"/>
      <c r="P52" s="115"/>
      <c r="Q52" s="115"/>
      <c r="R52" s="116"/>
    </row>
    <row r="53" spans="1:18" s="5" customFormat="1">
      <c r="A53" s="114" t="s">
        <v>378</v>
      </c>
      <c r="B53" s="115"/>
      <c r="C53" s="115"/>
      <c r="D53" s="115"/>
      <c r="E53" s="115"/>
      <c r="F53" s="115"/>
      <c r="G53" s="115"/>
      <c r="H53" s="115"/>
      <c r="I53" s="115"/>
      <c r="J53" s="115"/>
      <c r="K53" s="115"/>
      <c r="L53" s="115"/>
      <c r="M53" s="115"/>
      <c r="N53" s="115"/>
      <c r="O53" s="115"/>
      <c r="P53" s="115"/>
      <c r="Q53" s="115"/>
      <c r="R53" s="116"/>
    </row>
    <row r="54" spans="1:18" s="5" customFormat="1">
      <c r="A54" s="114" t="s">
        <v>379</v>
      </c>
      <c r="B54" s="115"/>
      <c r="C54" s="115"/>
      <c r="D54" s="115"/>
      <c r="E54" s="115"/>
      <c r="F54" s="115"/>
      <c r="G54" s="115"/>
      <c r="H54" s="115"/>
      <c r="I54" s="115"/>
      <c r="J54" s="115"/>
      <c r="K54" s="115"/>
      <c r="L54" s="115"/>
      <c r="M54" s="115"/>
      <c r="N54" s="115"/>
      <c r="O54" s="115"/>
      <c r="P54" s="115"/>
      <c r="Q54" s="115"/>
      <c r="R54" s="116"/>
    </row>
    <row r="55" spans="1:18">
      <c r="A55" s="114" t="s">
        <v>380</v>
      </c>
      <c r="B55" s="115"/>
      <c r="C55" s="115"/>
      <c r="D55" s="115"/>
      <c r="E55" s="115"/>
      <c r="F55" s="115"/>
      <c r="G55" s="115"/>
      <c r="H55" s="115"/>
      <c r="I55" s="115"/>
      <c r="J55" s="115"/>
      <c r="K55" s="115"/>
      <c r="L55" s="115"/>
      <c r="M55" s="115"/>
      <c r="N55" s="115"/>
      <c r="O55" s="115"/>
      <c r="P55" s="115"/>
      <c r="Q55" s="115"/>
      <c r="R55" s="116"/>
    </row>
    <row r="56" spans="1:18">
      <c r="A56" s="114" t="s">
        <v>381</v>
      </c>
      <c r="B56" s="115"/>
      <c r="C56" s="115"/>
      <c r="D56" s="115"/>
      <c r="E56" s="115"/>
      <c r="F56" s="115"/>
      <c r="G56" s="115"/>
      <c r="H56" s="115"/>
      <c r="I56" s="115"/>
      <c r="J56" s="115"/>
      <c r="K56" s="115"/>
      <c r="L56" s="115"/>
      <c r="M56" s="115"/>
      <c r="N56" s="115"/>
      <c r="O56" s="115"/>
      <c r="P56" s="115"/>
      <c r="Q56" s="115"/>
      <c r="R56" s="116"/>
    </row>
    <row r="57" spans="1:18" ht="15.75" thickBot="1">
      <c r="A57" s="177"/>
      <c r="B57" s="178"/>
      <c r="C57" s="178"/>
      <c r="D57" s="178"/>
      <c r="E57" s="178"/>
      <c r="F57" s="178"/>
      <c r="G57" s="178"/>
      <c r="H57" s="178"/>
      <c r="I57" s="178"/>
      <c r="J57" s="178"/>
      <c r="K57" s="178"/>
      <c r="L57" s="178"/>
      <c r="M57" s="178"/>
      <c r="N57" s="178"/>
      <c r="O57" s="178"/>
      <c r="P57" s="178"/>
      <c r="Q57" s="178"/>
      <c r="R57" s="179"/>
    </row>
  </sheetData>
  <mergeCells count="88">
    <mergeCell ref="B46:R46"/>
    <mergeCell ref="B45:F45"/>
    <mergeCell ref="G45:R45"/>
    <mergeCell ref="A28:R28"/>
    <mergeCell ref="B29:R29"/>
    <mergeCell ref="B31:R31"/>
    <mergeCell ref="A32:R32"/>
    <mergeCell ref="B33:R33"/>
    <mergeCell ref="B34:L34"/>
    <mergeCell ref="M34:R34"/>
    <mergeCell ref="A35:R35"/>
    <mergeCell ref="B44:E44"/>
    <mergeCell ref="B36:R36"/>
    <mergeCell ref="F44:R44"/>
    <mergeCell ref="B37:R37"/>
    <mergeCell ref="B38:R38"/>
    <mergeCell ref="F5:G5"/>
    <mergeCell ref="H5:R5"/>
    <mergeCell ref="F6:H6"/>
    <mergeCell ref="I6:R6"/>
    <mergeCell ref="B11:R11"/>
    <mergeCell ref="A1:E6"/>
    <mergeCell ref="F1:P1"/>
    <mergeCell ref="Q1:R1"/>
    <mergeCell ref="F2:I2"/>
    <mergeCell ref="J2:L2"/>
    <mergeCell ref="M2:N2"/>
    <mergeCell ref="O2:P2"/>
    <mergeCell ref="Q2:R2"/>
    <mergeCell ref="F3:G3"/>
    <mergeCell ref="H3:I3"/>
    <mergeCell ref="J3:L3"/>
    <mergeCell ref="M3:N3"/>
    <mergeCell ref="O3:P3"/>
    <mergeCell ref="Q3:R3"/>
    <mergeCell ref="F4:H4"/>
    <mergeCell ref="I4:R4"/>
    <mergeCell ref="A10:R10"/>
    <mergeCell ref="A7:R7"/>
    <mergeCell ref="B8:C8"/>
    <mergeCell ref="D8:E8"/>
    <mergeCell ref="F8:G8"/>
    <mergeCell ref="H8:I8"/>
    <mergeCell ref="J8:K8"/>
    <mergeCell ref="L8:O9"/>
    <mergeCell ref="P8:R8"/>
    <mergeCell ref="D9:E9"/>
    <mergeCell ref="F9:G9"/>
    <mergeCell ref="H9:I9"/>
    <mergeCell ref="J9:K9"/>
    <mergeCell ref="P9:R9"/>
    <mergeCell ref="B40:R40"/>
    <mergeCell ref="B41:E41"/>
    <mergeCell ref="F41:R41"/>
    <mergeCell ref="B9:C9"/>
    <mergeCell ref="K20:R20"/>
    <mergeCell ref="B20:J20"/>
    <mergeCell ref="A19:J19"/>
    <mergeCell ref="K19:R19"/>
    <mergeCell ref="B16:J16"/>
    <mergeCell ref="K16:R16"/>
    <mergeCell ref="B17:J17"/>
    <mergeCell ref="K17:R17"/>
    <mergeCell ref="B26:E26"/>
    <mergeCell ref="B25:R25"/>
    <mergeCell ref="B27:R27"/>
    <mergeCell ref="F26:R26"/>
    <mergeCell ref="A52:R52"/>
    <mergeCell ref="A55:R55"/>
    <mergeCell ref="A56:R56"/>
    <mergeCell ref="A57:R57"/>
    <mergeCell ref="B30:E30"/>
    <mergeCell ref="F30:R30"/>
    <mergeCell ref="A53:R53"/>
    <mergeCell ref="A54:R54"/>
    <mergeCell ref="A47:R47"/>
    <mergeCell ref="A48:R48"/>
    <mergeCell ref="A49:R49"/>
    <mergeCell ref="A50:R50"/>
    <mergeCell ref="A51:R51"/>
    <mergeCell ref="B42:R42"/>
    <mergeCell ref="B43:R43"/>
    <mergeCell ref="A39:R39"/>
    <mergeCell ref="B18:R18"/>
    <mergeCell ref="B21:R21"/>
    <mergeCell ref="B22:R22"/>
    <mergeCell ref="B23:R23"/>
    <mergeCell ref="B24:R24"/>
  </mergeCells>
  <printOptions horizontalCentered="1"/>
  <pageMargins left="0.7" right="0.7" top="0.75" bottom="0.75" header="0.3" footer="0.3"/>
  <pageSetup paperSize="9" scale="88" firstPageNumber="18" orientation="portrait" r:id="rId1"/>
  <legacyDrawingHF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0">
    <tabColor theme="7" tint="0.39997558519241921"/>
    <pageSetUpPr fitToPage="1"/>
  </sheetPr>
  <dimension ref="A1:R59"/>
  <sheetViews>
    <sheetView topLeftCell="A22" workbookViewId="0">
      <selection activeCell="A49" sqref="A49:V49"/>
    </sheetView>
  </sheetViews>
  <sheetFormatPr defaultColWidth="9.140625" defaultRowHeight="15"/>
  <cols>
    <col min="1" max="1" width="10.7109375" style="1" customWidth="1"/>
    <col min="2" max="22" width="5.28515625" style="1" customWidth="1"/>
    <col min="23" max="16384" width="9.140625" style="1"/>
  </cols>
  <sheetData>
    <row r="1" spans="1:18" s="5" customFormat="1" ht="14.45" customHeight="1">
      <c r="A1" s="132" t="e" vm="1">
        <v>#VALUE!</v>
      </c>
      <c r="B1" s="133"/>
      <c r="C1" s="133"/>
      <c r="D1" s="133"/>
      <c r="E1" s="134"/>
      <c r="F1" s="165" t="s">
        <v>213</v>
      </c>
      <c r="G1" s="166"/>
      <c r="H1" s="166"/>
      <c r="I1" s="166"/>
      <c r="J1" s="166"/>
      <c r="K1" s="166"/>
      <c r="L1" s="166"/>
      <c r="M1" s="166"/>
      <c r="N1" s="166"/>
      <c r="O1" s="166"/>
      <c r="P1" s="166"/>
      <c r="Q1" s="153" t="s">
        <v>214</v>
      </c>
      <c r="R1" s="154"/>
    </row>
    <row r="2" spans="1:18" s="5" customFormat="1"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s="5" customForma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5"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5" customFormat="1"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5" customFormat="1"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5" customFormat="1"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ht="13.9" customHeight="1">
      <c r="A11" s="69" t="s">
        <v>226</v>
      </c>
      <c r="B11" s="109" t="s">
        <v>375</v>
      </c>
      <c r="C11" s="109"/>
      <c r="D11" s="109"/>
      <c r="E11" s="109"/>
      <c r="F11" s="109"/>
      <c r="G11" s="109"/>
      <c r="H11" s="109"/>
      <c r="I11" s="109"/>
      <c r="J11" s="109"/>
      <c r="K11" s="109"/>
      <c r="L11" s="109"/>
      <c r="M11" s="109"/>
      <c r="N11" s="109"/>
      <c r="O11" s="109"/>
      <c r="P11" s="109"/>
      <c r="Q11" s="109"/>
      <c r="R11" s="110"/>
    </row>
    <row r="12" spans="1:18"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12" customFormat="1">
      <c r="A14" s="70" t="s">
        <v>230</v>
      </c>
      <c r="B14" s="17">
        <v>160</v>
      </c>
      <c r="C14" s="17">
        <v>160</v>
      </c>
      <c r="D14" s="17">
        <v>160</v>
      </c>
      <c r="E14" s="17">
        <v>160</v>
      </c>
      <c r="F14" s="17">
        <v>160</v>
      </c>
      <c r="G14" s="17">
        <v>160</v>
      </c>
      <c r="H14" s="17">
        <v>160</v>
      </c>
      <c r="I14" s="17">
        <v>160</v>
      </c>
      <c r="J14" s="17">
        <v>160</v>
      </c>
      <c r="K14" s="17">
        <v>160</v>
      </c>
      <c r="L14" s="17">
        <v>160</v>
      </c>
      <c r="M14" s="17">
        <v>160</v>
      </c>
      <c r="N14" s="17">
        <v>160</v>
      </c>
      <c r="O14" s="17">
        <v>160</v>
      </c>
      <c r="P14" s="17">
        <v>160</v>
      </c>
      <c r="Q14" s="17">
        <v>160</v>
      </c>
      <c r="R14" s="66">
        <v>160</v>
      </c>
    </row>
    <row r="15" spans="1:18" s="12" customFormat="1">
      <c r="A15" s="70" t="s">
        <v>233</v>
      </c>
      <c r="B15" s="17">
        <v>4.78</v>
      </c>
      <c r="C15" s="17">
        <v>5.56</v>
      </c>
      <c r="D15" s="17">
        <v>6.35</v>
      </c>
      <c r="E15" s="17">
        <v>7.14</v>
      </c>
      <c r="F15" s="17">
        <v>8.74</v>
      </c>
      <c r="G15" s="17">
        <v>11.13</v>
      </c>
      <c r="H15" s="17">
        <v>13.49</v>
      </c>
      <c r="I15" s="17">
        <v>18.260000000000002</v>
      </c>
      <c r="J15" s="17">
        <v>23.01</v>
      </c>
      <c r="K15" s="17">
        <v>28.58</v>
      </c>
      <c r="L15" s="17">
        <v>33.32</v>
      </c>
      <c r="M15" s="17">
        <v>35.71</v>
      </c>
      <c r="N15" s="17">
        <v>40.49</v>
      </c>
      <c r="O15" s="17">
        <v>45.24</v>
      </c>
      <c r="P15" s="17">
        <v>50.01</v>
      </c>
      <c r="Q15" s="17">
        <v>53.98</v>
      </c>
      <c r="R15" s="66">
        <v>59.54</v>
      </c>
    </row>
    <row r="16" spans="1:18" ht="14.45" customHeight="1">
      <c r="A16" s="69" t="s">
        <v>234</v>
      </c>
      <c r="B16" s="109" t="s">
        <v>235</v>
      </c>
      <c r="C16" s="109"/>
      <c r="D16" s="109"/>
      <c r="E16" s="109"/>
      <c r="F16" s="109"/>
      <c r="G16" s="109"/>
      <c r="H16" s="109"/>
      <c r="I16" s="109"/>
      <c r="J16" s="109"/>
      <c r="K16" s="109" t="s">
        <v>287</v>
      </c>
      <c r="L16" s="109"/>
      <c r="M16" s="109"/>
      <c r="N16" s="109"/>
      <c r="O16" s="109"/>
      <c r="P16" s="109"/>
      <c r="Q16" s="109"/>
      <c r="R16" s="110"/>
    </row>
    <row r="17" spans="1:18" ht="14.45" customHeight="1">
      <c r="A17" s="69" t="s">
        <v>237</v>
      </c>
      <c r="B17" s="109" t="s">
        <v>370</v>
      </c>
      <c r="C17" s="109"/>
      <c r="D17" s="109"/>
      <c r="E17" s="109"/>
      <c r="F17" s="109"/>
      <c r="G17" s="109"/>
      <c r="H17" s="109"/>
      <c r="I17" s="109"/>
      <c r="J17" s="109"/>
      <c r="K17" s="109" t="s">
        <v>371</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4.45" customHeight="1">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372</v>
      </c>
      <c r="C21" s="145"/>
      <c r="D21" s="145"/>
      <c r="E21" s="145"/>
      <c r="F21" s="145"/>
      <c r="G21" s="145"/>
      <c r="H21" s="145"/>
      <c r="I21" s="145"/>
      <c r="J21" s="145"/>
      <c r="K21" s="145"/>
      <c r="L21" s="145"/>
      <c r="M21" s="145"/>
      <c r="N21" s="145"/>
      <c r="O21" s="145"/>
      <c r="P21" s="145"/>
      <c r="Q21" s="145"/>
      <c r="R21" s="147"/>
    </row>
    <row r="22" spans="1:18" ht="15" customHeight="1">
      <c r="A22" s="69" t="s">
        <v>246</v>
      </c>
      <c r="B22" s="230" t="s">
        <v>247</v>
      </c>
      <c r="C22" s="231"/>
      <c r="D22" s="231"/>
      <c r="E22" s="231"/>
      <c r="F22" s="231"/>
      <c r="G22" s="231"/>
      <c r="H22" s="231"/>
      <c r="I22" s="231"/>
      <c r="J22" s="231"/>
      <c r="K22" s="231"/>
      <c r="L22" s="231"/>
      <c r="M22" s="231"/>
      <c r="N22" s="231"/>
      <c r="O22" s="231"/>
      <c r="P22" s="231"/>
      <c r="Q22" s="231"/>
      <c r="R22" s="232"/>
    </row>
    <row r="23" spans="1:18" ht="15" customHeight="1">
      <c r="A23" s="69" t="s">
        <v>248</v>
      </c>
      <c r="B23" s="230" t="s">
        <v>247</v>
      </c>
      <c r="C23" s="231"/>
      <c r="D23" s="231"/>
      <c r="E23" s="231"/>
      <c r="F23" s="231"/>
      <c r="G23" s="231"/>
      <c r="H23" s="231"/>
      <c r="I23" s="231"/>
      <c r="J23" s="231"/>
      <c r="K23" s="231"/>
      <c r="L23" s="231"/>
      <c r="M23" s="231"/>
      <c r="N23" s="231"/>
      <c r="O23" s="231"/>
      <c r="P23" s="231"/>
      <c r="Q23" s="231"/>
      <c r="R23" s="232"/>
    </row>
    <row r="24" spans="1:18" ht="15" customHeight="1">
      <c r="A24" s="69" t="s">
        <v>249</v>
      </c>
      <c r="B24" s="230" t="s">
        <v>247</v>
      </c>
      <c r="C24" s="231"/>
      <c r="D24" s="231"/>
      <c r="E24" s="231"/>
      <c r="F24" s="231"/>
      <c r="G24" s="231"/>
      <c r="H24" s="231"/>
      <c r="I24" s="231"/>
      <c r="J24" s="231"/>
      <c r="K24" s="231"/>
      <c r="L24" s="231"/>
      <c r="M24" s="231"/>
      <c r="N24" s="231"/>
      <c r="O24" s="231"/>
      <c r="P24" s="231"/>
      <c r="Q24" s="231"/>
      <c r="R24" s="232"/>
    </row>
    <row r="25" spans="1:18" ht="15" customHeight="1">
      <c r="A25" s="69" t="s">
        <v>250</v>
      </c>
      <c r="B25" s="230" t="s">
        <v>247</v>
      </c>
      <c r="C25" s="231"/>
      <c r="D25" s="231"/>
      <c r="E25" s="231"/>
      <c r="F25" s="231"/>
      <c r="G25" s="231"/>
      <c r="H25" s="231"/>
      <c r="I25" s="231"/>
      <c r="J25" s="231"/>
      <c r="K25" s="231"/>
      <c r="L25" s="231"/>
      <c r="M25" s="231"/>
      <c r="N25" s="231"/>
      <c r="O25" s="231"/>
      <c r="P25" s="231"/>
      <c r="Q25" s="231"/>
      <c r="R25" s="232"/>
    </row>
    <row r="26" spans="1:18" ht="15" customHeight="1">
      <c r="A26" s="69" t="s">
        <v>251</v>
      </c>
      <c r="B26" s="151" t="s">
        <v>290</v>
      </c>
      <c r="C26" s="152"/>
      <c r="D26" s="152"/>
      <c r="E26" s="127"/>
      <c r="F26" s="144"/>
      <c r="G26" s="145"/>
      <c r="H26" s="145"/>
      <c r="I26" s="145"/>
      <c r="J26" s="145"/>
      <c r="K26" s="145"/>
      <c r="L26" s="145"/>
      <c r="M26" s="145"/>
      <c r="N26" s="145"/>
      <c r="O26" s="145"/>
      <c r="P26" s="145"/>
      <c r="Q26" s="145"/>
      <c r="R26" s="147"/>
    </row>
    <row r="27" spans="1:18" ht="15" customHeight="1">
      <c r="A27" s="69" t="s">
        <v>253</v>
      </c>
      <c r="B27" s="144" t="s">
        <v>373</v>
      </c>
      <c r="C27" s="145"/>
      <c r="D27" s="145"/>
      <c r="E27" s="145"/>
      <c r="F27" s="145"/>
      <c r="G27" s="145"/>
      <c r="H27" s="145"/>
      <c r="I27" s="145"/>
      <c r="J27" s="145"/>
      <c r="K27" s="145"/>
      <c r="L27" s="145"/>
      <c r="M27" s="145"/>
      <c r="N27" s="145"/>
      <c r="O27" s="145"/>
      <c r="P27" s="145"/>
      <c r="Q27" s="145"/>
      <c r="R27" s="147"/>
    </row>
    <row r="28" spans="1:18" ht="15" customHeight="1">
      <c r="A28" s="117" t="s">
        <v>255</v>
      </c>
      <c r="B28" s="109"/>
      <c r="C28" s="109"/>
      <c r="D28" s="109"/>
      <c r="E28" s="109"/>
      <c r="F28" s="109"/>
      <c r="G28" s="109"/>
      <c r="H28" s="109"/>
      <c r="I28" s="109"/>
      <c r="J28" s="109"/>
      <c r="K28" s="109"/>
      <c r="L28" s="109"/>
      <c r="M28" s="109"/>
      <c r="N28" s="109"/>
      <c r="O28" s="109"/>
      <c r="P28" s="109"/>
      <c r="Q28" s="109"/>
      <c r="R28" s="110"/>
    </row>
    <row r="29" spans="1:18" s="5" customFormat="1" ht="13.9" customHeight="1">
      <c r="A29" s="69" t="s">
        <v>237</v>
      </c>
      <c r="B29" s="144" t="s">
        <v>374</v>
      </c>
      <c r="C29" s="145"/>
      <c r="D29" s="145"/>
      <c r="E29" s="145"/>
      <c r="F29" s="145"/>
      <c r="G29" s="145"/>
      <c r="H29" s="145"/>
      <c r="I29" s="145"/>
      <c r="J29" s="145"/>
      <c r="K29" s="145"/>
      <c r="L29" s="145"/>
      <c r="M29" s="145"/>
      <c r="N29" s="145"/>
      <c r="O29" s="145"/>
      <c r="P29" s="145"/>
      <c r="Q29" s="145"/>
      <c r="R29" s="147"/>
    </row>
    <row r="30" spans="1:18" s="5" customFormat="1" ht="14.45" customHeight="1">
      <c r="A30" s="69" t="s">
        <v>257</v>
      </c>
      <c r="B30" s="144" t="s">
        <v>299</v>
      </c>
      <c r="C30" s="145"/>
      <c r="D30" s="145"/>
      <c r="E30" s="145"/>
      <c r="F30" s="145"/>
      <c r="G30" s="145"/>
      <c r="H30" s="145"/>
      <c r="I30" s="145"/>
      <c r="J30" s="145"/>
      <c r="K30" s="145"/>
      <c r="L30" s="145"/>
      <c r="M30" s="145"/>
      <c r="N30" s="145"/>
      <c r="O30" s="145"/>
      <c r="P30" s="145"/>
      <c r="Q30" s="145"/>
      <c r="R30" s="147"/>
    </row>
    <row r="31" spans="1:18" ht="14.45" customHeight="1">
      <c r="A31" s="69" t="s">
        <v>234</v>
      </c>
      <c r="B31" s="144" t="s">
        <v>376</v>
      </c>
      <c r="C31" s="145"/>
      <c r="D31" s="145"/>
      <c r="E31" s="145"/>
      <c r="F31" s="145"/>
      <c r="G31" s="145"/>
      <c r="H31" s="145"/>
      <c r="I31" s="145"/>
      <c r="J31" s="145"/>
      <c r="K31" s="145"/>
      <c r="L31" s="145"/>
      <c r="M31" s="145"/>
      <c r="N31" s="145"/>
      <c r="O31" s="145"/>
      <c r="P31" s="145"/>
      <c r="Q31" s="145"/>
      <c r="R31" s="147"/>
    </row>
    <row r="32" spans="1:18" ht="30">
      <c r="A32" s="69" t="s">
        <v>315</v>
      </c>
      <c r="B32" s="144"/>
      <c r="C32" s="145"/>
      <c r="D32" s="145"/>
      <c r="E32" s="145"/>
      <c r="F32" s="146"/>
      <c r="G32" s="144" t="s">
        <v>316</v>
      </c>
      <c r="H32" s="145"/>
      <c r="I32" s="145"/>
      <c r="J32" s="145"/>
      <c r="K32" s="145"/>
      <c r="L32" s="145"/>
      <c r="M32" s="145"/>
      <c r="N32" s="145"/>
      <c r="O32" s="145"/>
      <c r="P32" s="145"/>
      <c r="Q32" s="145"/>
      <c r="R32" s="147"/>
    </row>
    <row r="33" spans="1:18" ht="43.15" customHeight="1">
      <c r="A33" s="69" t="s">
        <v>317</v>
      </c>
      <c r="B33" s="144"/>
      <c r="C33" s="145"/>
      <c r="D33" s="145"/>
      <c r="E33" s="145"/>
      <c r="F33" s="146"/>
      <c r="G33" s="144" t="s">
        <v>383</v>
      </c>
      <c r="H33" s="145"/>
      <c r="I33" s="145"/>
      <c r="J33" s="145"/>
      <c r="K33" s="145"/>
      <c r="L33" s="145"/>
      <c r="M33" s="145"/>
      <c r="N33" s="145"/>
      <c r="O33" s="145"/>
      <c r="P33" s="145"/>
      <c r="Q33" s="145"/>
      <c r="R33" s="147"/>
    </row>
    <row r="34" spans="1:18" ht="14.45" customHeight="1">
      <c r="A34" s="117" t="s">
        <v>260</v>
      </c>
      <c r="B34" s="109"/>
      <c r="C34" s="109"/>
      <c r="D34" s="109"/>
      <c r="E34" s="109"/>
      <c r="F34" s="109"/>
      <c r="G34" s="109"/>
      <c r="H34" s="109"/>
      <c r="I34" s="109"/>
      <c r="J34" s="109"/>
      <c r="K34" s="109"/>
      <c r="L34" s="109"/>
      <c r="M34" s="109"/>
      <c r="N34" s="109"/>
      <c r="O34" s="109"/>
      <c r="P34" s="109"/>
      <c r="Q34" s="109"/>
      <c r="R34" s="110"/>
    </row>
    <row r="35" spans="1:18" ht="14.45" customHeight="1">
      <c r="A35" s="69" t="s">
        <v>237</v>
      </c>
      <c r="B35" s="109" t="s">
        <v>374</v>
      </c>
      <c r="C35" s="109"/>
      <c r="D35" s="109"/>
      <c r="E35" s="109"/>
      <c r="F35" s="109"/>
      <c r="G35" s="109"/>
      <c r="H35" s="109"/>
      <c r="I35" s="109"/>
      <c r="J35" s="109"/>
      <c r="K35" s="109"/>
      <c r="L35" s="109"/>
      <c r="M35" s="109"/>
      <c r="N35" s="109"/>
      <c r="O35" s="109"/>
      <c r="P35" s="109"/>
      <c r="Q35" s="109"/>
      <c r="R35" s="110"/>
    </row>
    <row r="36" spans="1:18" ht="14.45"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18" ht="13.9" customHeight="1">
      <c r="A37" s="117" t="s">
        <v>264</v>
      </c>
      <c r="B37" s="109"/>
      <c r="C37" s="109"/>
      <c r="D37" s="109"/>
      <c r="E37" s="109"/>
      <c r="F37" s="109"/>
      <c r="G37" s="109"/>
      <c r="H37" s="109"/>
      <c r="I37" s="109"/>
      <c r="J37" s="109"/>
      <c r="K37" s="109"/>
      <c r="L37" s="109"/>
      <c r="M37" s="109"/>
      <c r="N37" s="109"/>
      <c r="O37" s="109"/>
      <c r="P37" s="109"/>
      <c r="Q37" s="109"/>
      <c r="R37" s="110"/>
    </row>
    <row r="38" spans="1:18">
      <c r="A38" s="69" t="s">
        <v>265</v>
      </c>
      <c r="B38" s="144" t="s">
        <v>328</v>
      </c>
      <c r="C38" s="145"/>
      <c r="D38" s="145"/>
      <c r="E38" s="145"/>
      <c r="F38" s="145"/>
      <c r="G38" s="145"/>
      <c r="H38" s="145"/>
      <c r="I38" s="145"/>
      <c r="J38" s="145"/>
      <c r="K38" s="145"/>
      <c r="L38" s="145"/>
      <c r="M38" s="145"/>
      <c r="N38" s="145"/>
      <c r="O38" s="145"/>
      <c r="P38" s="145"/>
      <c r="Q38" s="145"/>
      <c r="R38" s="147"/>
    </row>
    <row r="39" spans="1:18" s="5" customFormat="1" ht="14.45" customHeight="1">
      <c r="A39" s="69" t="s">
        <v>267</v>
      </c>
      <c r="B39" s="144" t="s">
        <v>329</v>
      </c>
      <c r="C39" s="145"/>
      <c r="D39" s="145"/>
      <c r="E39" s="145"/>
      <c r="F39" s="145"/>
      <c r="G39" s="145"/>
      <c r="H39" s="145"/>
      <c r="I39" s="145"/>
      <c r="J39" s="145"/>
      <c r="K39" s="145"/>
      <c r="L39" s="145"/>
      <c r="M39" s="145"/>
      <c r="N39" s="145"/>
      <c r="O39" s="145"/>
      <c r="P39" s="145"/>
      <c r="Q39" s="145"/>
      <c r="R39" s="147"/>
    </row>
    <row r="40" spans="1:18" s="5" customFormat="1" ht="14.45" customHeight="1">
      <c r="A40" s="69" t="s">
        <v>269</v>
      </c>
      <c r="B40" s="144" t="s">
        <v>377</v>
      </c>
      <c r="C40" s="149"/>
      <c r="D40" s="149"/>
      <c r="E40" s="149"/>
      <c r="F40" s="149"/>
      <c r="G40" s="149"/>
      <c r="H40" s="149"/>
      <c r="I40" s="149"/>
      <c r="J40" s="149"/>
      <c r="K40" s="149"/>
      <c r="L40" s="149"/>
      <c r="M40" s="149"/>
      <c r="N40" s="149"/>
      <c r="O40" s="149"/>
      <c r="P40" s="149"/>
      <c r="Q40" s="149"/>
      <c r="R40" s="150"/>
    </row>
    <row r="41" spans="1:18" s="5" customFormat="1" ht="14.45" customHeight="1">
      <c r="A41" s="141" t="s">
        <v>271</v>
      </c>
      <c r="B41" s="142"/>
      <c r="C41" s="142"/>
      <c r="D41" s="142"/>
      <c r="E41" s="142"/>
      <c r="F41" s="142"/>
      <c r="G41" s="142"/>
      <c r="H41" s="142"/>
      <c r="I41" s="142"/>
      <c r="J41" s="142"/>
      <c r="K41" s="142"/>
      <c r="L41" s="142"/>
      <c r="M41" s="142"/>
      <c r="N41" s="142"/>
      <c r="O41" s="142"/>
      <c r="P41" s="142"/>
      <c r="Q41" s="142"/>
      <c r="R41" s="143"/>
    </row>
    <row r="42" spans="1:18" s="5" customFormat="1"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s="5" customFormat="1" ht="14.45"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s="5" customFormat="1" ht="14.45" customHeight="1">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s="5" customFormat="1"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s="5" customFormat="1"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s="5" customFormat="1" ht="14.45"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s="5" customFormat="1" ht="28.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s="5" customFormat="1">
      <c r="A49" s="148" t="s">
        <v>278</v>
      </c>
      <c r="B49" s="149"/>
      <c r="C49" s="149"/>
      <c r="D49" s="149"/>
      <c r="E49" s="149"/>
      <c r="F49" s="149"/>
      <c r="G49" s="149"/>
      <c r="H49" s="149"/>
      <c r="I49" s="149"/>
      <c r="J49" s="149"/>
      <c r="K49" s="149"/>
      <c r="L49" s="149"/>
      <c r="M49" s="149"/>
      <c r="N49" s="149"/>
      <c r="O49" s="149"/>
      <c r="P49" s="149"/>
      <c r="Q49" s="149"/>
      <c r="R49" s="150"/>
    </row>
    <row r="50" spans="1:18" s="5" customFormat="1" ht="28.9"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c r="A54" s="114" t="s">
        <v>283</v>
      </c>
      <c r="B54" s="115"/>
      <c r="C54" s="115"/>
      <c r="D54" s="115"/>
      <c r="E54" s="115"/>
      <c r="F54" s="115"/>
      <c r="G54" s="115"/>
      <c r="H54" s="115"/>
      <c r="I54" s="115"/>
      <c r="J54" s="115"/>
      <c r="K54" s="115"/>
      <c r="L54" s="115"/>
      <c r="M54" s="115"/>
      <c r="N54" s="115"/>
      <c r="O54" s="115"/>
      <c r="P54" s="115"/>
      <c r="Q54" s="115"/>
      <c r="R54" s="116"/>
    </row>
    <row r="55" spans="1:18">
      <c r="A55" s="114" t="s">
        <v>378</v>
      </c>
      <c r="B55" s="115"/>
      <c r="C55" s="115"/>
      <c r="D55" s="115"/>
      <c r="E55" s="115"/>
      <c r="F55" s="115"/>
      <c r="G55" s="115"/>
      <c r="H55" s="115"/>
      <c r="I55" s="115"/>
      <c r="J55" s="115"/>
      <c r="K55" s="115"/>
      <c r="L55" s="115"/>
      <c r="M55" s="115"/>
      <c r="N55" s="115"/>
      <c r="O55" s="115"/>
      <c r="P55" s="115"/>
      <c r="Q55" s="115"/>
      <c r="R55" s="116"/>
    </row>
    <row r="56" spans="1:18">
      <c r="A56" s="114" t="s">
        <v>379</v>
      </c>
      <c r="B56" s="115"/>
      <c r="C56" s="115"/>
      <c r="D56" s="115"/>
      <c r="E56" s="115"/>
      <c r="F56" s="115"/>
      <c r="G56" s="115"/>
      <c r="H56" s="115"/>
      <c r="I56" s="115"/>
      <c r="J56" s="115"/>
      <c r="K56" s="115"/>
      <c r="L56" s="115"/>
      <c r="M56" s="115"/>
      <c r="N56" s="115"/>
      <c r="O56" s="115"/>
      <c r="P56" s="115"/>
      <c r="Q56" s="115"/>
      <c r="R56" s="116"/>
    </row>
    <row r="57" spans="1:18">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1">
    <mergeCell ref="B29:R29"/>
    <mergeCell ref="A28:R28"/>
    <mergeCell ref="B26:E26"/>
    <mergeCell ref="A41:R41"/>
    <mergeCell ref="B39:R39"/>
    <mergeCell ref="B32:F32"/>
    <mergeCell ref="G32:R32"/>
    <mergeCell ref="B33:F33"/>
    <mergeCell ref="G33:R33"/>
    <mergeCell ref="B48:R48"/>
    <mergeCell ref="B47:F47"/>
    <mergeCell ref="G47:R47"/>
    <mergeCell ref="B45:R45"/>
    <mergeCell ref="B46:E46"/>
    <mergeCell ref="F46:R46"/>
    <mergeCell ref="B43:E43"/>
    <mergeCell ref="F43:R43"/>
    <mergeCell ref="M2:N2"/>
    <mergeCell ref="O2:P2"/>
    <mergeCell ref="Q2:R2"/>
    <mergeCell ref="F3:G3"/>
    <mergeCell ref="H3:I3"/>
    <mergeCell ref="J3:L3"/>
    <mergeCell ref="B9:C9"/>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B8:C8"/>
    <mergeCell ref="D8:E8"/>
    <mergeCell ref="F8:G8"/>
    <mergeCell ref="H8:I8"/>
    <mergeCell ref="J8:K8"/>
    <mergeCell ref="L8:O9"/>
    <mergeCell ref="P8:R8"/>
    <mergeCell ref="D9:E9"/>
    <mergeCell ref="F9:G9"/>
    <mergeCell ref="H9:I9"/>
    <mergeCell ref="J9:K9"/>
    <mergeCell ref="P9:R9"/>
    <mergeCell ref="A57:R57"/>
    <mergeCell ref="A58:R58"/>
    <mergeCell ref="A49:R49"/>
    <mergeCell ref="A52:R52"/>
    <mergeCell ref="A59:R59"/>
    <mergeCell ref="A50:R50"/>
    <mergeCell ref="A51:R51"/>
    <mergeCell ref="A53:R53"/>
    <mergeCell ref="A54:R54"/>
    <mergeCell ref="A55:R55"/>
    <mergeCell ref="B20:J20"/>
    <mergeCell ref="K20:R20"/>
    <mergeCell ref="B18:R18"/>
    <mergeCell ref="B21:R21"/>
    <mergeCell ref="A56:R56"/>
    <mergeCell ref="B30:R30"/>
    <mergeCell ref="A37:R37"/>
    <mergeCell ref="B38:R38"/>
    <mergeCell ref="B40:R40"/>
    <mergeCell ref="B42:R42"/>
    <mergeCell ref="B31:R31"/>
    <mergeCell ref="A34:R34"/>
    <mergeCell ref="B35:R35"/>
    <mergeCell ref="B36:L36"/>
    <mergeCell ref="M36:R36"/>
    <mergeCell ref="B44:R44"/>
    <mergeCell ref="K19:R19"/>
    <mergeCell ref="A19:J19"/>
    <mergeCell ref="A10:R10"/>
    <mergeCell ref="B16:J16"/>
    <mergeCell ref="K16:R16"/>
    <mergeCell ref="B17:J17"/>
    <mergeCell ref="K17:R17"/>
    <mergeCell ref="B11:R11"/>
    <mergeCell ref="B22:R22"/>
    <mergeCell ref="B23:R23"/>
    <mergeCell ref="B24:R24"/>
    <mergeCell ref="B25:R25"/>
    <mergeCell ref="B27:R27"/>
    <mergeCell ref="F26:R26"/>
  </mergeCells>
  <printOptions horizontalCentered="1"/>
  <pageMargins left="0.7" right="0.7" top="0.75" bottom="0.75" header="0.3" footer="0.3"/>
  <pageSetup paperSize="9" scale="83" firstPageNumber="18" orientation="portrait" r:id="rId1"/>
  <legacyDrawingHF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2">
    <tabColor theme="7" tint="0.39997558519241921"/>
    <pageSetUpPr fitToPage="1"/>
  </sheetPr>
  <dimension ref="A1:R59"/>
  <sheetViews>
    <sheetView workbookViewId="0">
      <selection activeCell="A49" sqref="A49:V49"/>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ht="13.9" customHeight="1">
      <c r="A11" s="69" t="s">
        <v>226</v>
      </c>
      <c r="B11" s="109" t="s">
        <v>375</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c r="N12" s="17"/>
      <c r="O12" s="17"/>
      <c r="P12" s="17"/>
      <c r="Q12" s="17"/>
      <c r="R12" s="66"/>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c r="N13" s="17"/>
      <c r="O13" s="17"/>
      <c r="P13" s="17"/>
      <c r="Q13" s="17"/>
      <c r="R13" s="66"/>
    </row>
    <row r="14" spans="1:18" s="3" customFormat="1">
      <c r="A14" s="70" t="s">
        <v>230</v>
      </c>
      <c r="B14" s="17" t="s">
        <v>308</v>
      </c>
      <c r="C14" s="11" t="s">
        <v>308</v>
      </c>
      <c r="D14" s="11" t="s">
        <v>308</v>
      </c>
      <c r="E14" s="11" t="s">
        <v>308</v>
      </c>
      <c r="F14" s="11" t="s">
        <v>308</v>
      </c>
      <c r="G14" s="11" t="s">
        <v>308</v>
      </c>
      <c r="H14" s="16" t="s">
        <v>174</v>
      </c>
      <c r="I14" s="16" t="s">
        <v>174</v>
      </c>
      <c r="J14" s="16" t="s">
        <v>174</v>
      </c>
      <c r="K14" s="16" t="s">
        <v>174</v>
      </c>
      <c r="L14" s="16" t="s">
        <v>174</v>
      </c>
      <c r="M14" s="17"/>
      <c r="N14" s="17"/>
      <c r="O14" s="17"/>
      <c r="P14" s="17"/>
      <c r="Q14" s="17"/>
      <c r="R14" s="66"/>
    </row>
    <row r="15" spans="1:18" s="3" customFormat="1">
      <c r="A15" s="70" t="s">
        <v>233</v>
      </c>
      <c r="B15" s="17">
        <v>7.47</v>
      </c>
      <c r="C15" s="17">
        <v>7.8</v>
      </c>
      <c r="D15" s="17">
        <v>9.1</v>
      </c>
      <c r="E15" s="17">
        <v>10.16</v>
      </c>
      <c r="F15" s="17">
        <v>11.07</v>
      </c>
      <c r="G15" s="16">
        <v>15.24</v>
      </c>
      <c r="H15" s="16">
        <v>17.490000000000002</v>
      </c>
      <c r="I15" s="16">
        <v>25.740000000000002</v>
      </c>
      <c r="J15" s="16">
        <v>33.5</v>
      </c>
      <c r="K15" s="13">
        <v>41.730000000000004</v>
      </c>
      <c r="L15" s="13">
        <v>49.49</v>
      </c>
      <c r="M15" s="17"/>
      <c r="N15" s="17"/>
      <c r="O15" s="17"/>
      <c r="P15" s="17"/>
      <c r="Q15" s="17"/>
      <c r="R15" s="66"/>
    </row>
    <row r="16" spans="1:18">
      <c r="A16" s="69" t="s">
        <v>234</v>
      </c>
      <c r="B16" s="109" t="s">
        <v>235</v>
      </c>
      <c r="C16" s="109"/>
      <c r="D16" s="109"/>
      <c r="E16" s="109"/>
      <c r="F16" s="109"/>
      <c r="G16" s="109"/>
      <c r="H16" s="109"/>
      <c r="I16" s="109"/>
      <c r="J16" s="109"/>
      <c r="K16" s="144" t="s">
        <v>287</v>
      </c>
      <c r="L16" s="145"/>
      <c r="M16" s="145"/>
      <c r="N16" s="145"/>
      <c r="O16" s="145"/>
      <c r="P16" s="145"/>
      <c r="Q16" s="145"/>
      <c r="R16" s="147"/>
    </row>
    <row r="17" spans="1:18" ht="15.75" customHeight="1">
      <c r="A17" s="69" t="s">
        <v>237</v>
      </c>
      <c r="B17" s="109" t="s">
        <v>370</v>
      </c>
      <c r="C17" s="109"/>
      <c r="D17" s="109"/>
      <c r="E17" s="109"/>
      <c r="F17" s="109"/>
      <c r="G17" s="109"/>
      <c r="H17" s="109"/>
      <c r="I17" s="109"/>
      <c r="J17" s="109"/>
      <c r="K17" s="144" t="s">
        <v>371</v>
      </c>
      <c r="L17" s="145"/>
      <c r="M17" s="145"/>
      <c r="N17" s="145"/>
      <c r="O17" s="145"/>
      <c r="P17" s="145"/>
      <c r="Q17" s="145"/>
      <c r="R17" s="147"/>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ht="15.75" customHeight="1">
      <c r="A19" s="148" t="s">
        <v>242</v>
      </c>
      <c r="B19" s="145"/>
      <c r="C19" s="145"/>
      <c r="D19" s="145"/>
      <c r="E19" s="145"/>
      <c r="F19" s="145"/>
      <c r="G19" s="145"/>
      <c r="H19" s="145"/>
      <c r="I19" s="145"/>
      <c r="J19" s="145"/>
      <c r="K19" s="145"/>
      <c r="L19" s="145"/>
      <c r="M19" s="145"/>
      <c r="N19" s="145"/>
      <c r="O19" s="145"/>
      <c r="P19" s="145"/>
      <c r="Q19" s="145"/>
      <c r="R19" s="147"/>
    </row>
    <row r="20" spans="1:18" ht="15.75" customHeight="1">
      <c r="A20" s="69" t="s">
        <v>234</v>
      </c>
      <c r="B20" s="109" t="s">
        <v>243</v>
      </c>
      <c r="C20" s="109"/>
      <c r="D20" s="109"/>
      <c r="E20" s="109"/>
      <c r="F20" s="109"/>
      <c r="G20" s="109"/>
      <c r="H20" s="109"/>
      <c r="I20" s="109"/>
      <c r="J20" s="109"/>
      <c r="K20" s="144" t="s">
        <v>244</v>
      </c>
      <c r="L20" s="145"/>
      <c r="M20" s="145"/>
      <c r="N20" s="145"/>
      <c r="O20" s="145"/>
      <c r="P20" s="145"/>
      <c r="Q20" s="145"/>
      <c r="R20" s="147"/>
    </row>
    <row r="21" spans="1:18" ht="15.75" customHeight="1">
      <c r="A21" s="69" t="s">
        <v>237</v>
      </c>
      <c r="B21" s="144" t="s">
        <v>372</v>
      </c>
      <c r="C21" s="145"/>
      <c r="D21" s="145"/>
      <c r="E21" s="145"/>
      <c r="F21" s="145"/>
      <c r="G21" s="145"/>
      <c r="H21" s="145"/>
      <c r="I21" s="145"/>
      <c r="J21" s="145"/>
      <c r="K21" s="145"/>
      <c r="L21" s="146"/>
      <c r="M21" s="144"/>
      <c r="N21" s="145"/>
      <c r="O21" s="145"/>
      <c r="P21" s="145"/>
      <c r="Q21" s="145"/>
      <c r="R21" s="147"/>
    </row>
    <row r="22" spans="1:18" ht="15.75" customHeight="1">
      <c r="A22" s="69" t="s">
        <v>246</v>
      </c>
      <c r="B22" s="144" t="s">
        <v>247</v>
      </c>
      <c r="C22" s="145"/>
      <c r="D22" s="145"/>
      <c r="E22" s="145"/>
      <c r="F22" s="145"/>
      <c r="G22" s="145"/>
      <c r="H22" s="145"/>
      <c r="I22" s="145"/>
      <c r="J22" s="145"/>
      <c r="K22" s="145"/>
      <c r="L22" s="146"/>
      <c r="M22" s="144"/>
      <c r="N22" s="145"/>
      <c r="O22" s="145"/>
      <c r="P22" s="145"/>
      <c r="Q22" s="145"/>
      <c r="R22" s="147"/>
    </row>
    <row r="23" spans="1:18" ht="15.75" customHeight="1">
      <c r="A23" s="69" t="s">
        <v>248</v>
      </c>
      <c r="B23" s="144" t="s">
        <v>247</v>
      </c>
      <c r="C23" s="145"/>
      <c r="D23" s="145"/>
      <c r="E23" s="145"/>
      <c r="F23" s="145"/>
      <c r="G23" s="145"/>
      <c r="H23" s="145"/>
      <c r="I23" s="145"/>
      <c r="J23" s="145"/>
      <c r="K23" s="145"/>
      <c r="L23" s="146"/>
      <c r="M23" s="144"/>
      <c r="N23" s="145"/>
      <c r="O23" s="145"/>
      <c r="P23" s="145"/>
      <c r="Q23" s="145"/>
      <c r="R23" s="147"/>
    </row>
    <row r="24" spans="1:18" ht="15.75" customHeight="1">
      <c r="A24" s="69" t="s">
        <v>249</v>
      </c>
      <c r="B24" s="144" t="s">
        <v>247</v>
      </c>
      <c r="C24" s="145"/>
      <c r="D24" s="145"/>
      <c r="E24" s="145"/>
      <c r="F24" s="145"/>
      <c r="G24" s="145"/>
      <c r="H24" s="145"/>
      <c r="I24" s="145"/>
      <c r="J24" s="145"/>
      <c r="K24" s="145"/>
      <c r="L24" s="146"/>
      <c r="M24" s="144"/>
      <c r="N24" s="145"/>
      <c r="O24" s="145"/>
      <c r="P24" s="145"/>
      <c r="Q24" s="145"/>
      <c r="R24" s="147"/>
    </row>
    <row r="25" spans="1:18" ht="15.75" customHeight="1">
      <c r="A25" s="69" t="s">
        <v>250</v>
      </c>
      <c r="B25" s="144" t="s">
        <v>247</v>
      </c>
      <c r="C25" s="145"/>
      <c r="D25" s="145"/>
      <c r="E25" s="145"/>
      <c r="F25" s="145"/>
      <c r="G25" s="145"/>
      <c r="H25" s="145"/>
      <c r="I25" s="145"/>
      <c r="J25" s="145"/>
      <c r="K25" s="145"/>
      <c r="L25" s="146"/>
      <c r="M25" s="144"/>
      <c r="N25" s="145"/>
      <c r="O25" s="145"/>
      <c r="P25" s="145"/>
      <c r="Q25" s="145"/>
      <c r="R25" s="147"/>
    </row>
    <row r="26" spans="1:18" ht="15.75" customHeight="1">
      <c r="A26" s="69" t="s">
        <v>251</v>
      </c>
      <c r="B26" s="151" t="s">
        <v>290</v>
      </c>
      <c r="C26" s="145"/>
      <c r="D26" s="145"/>
      <c r="E26" s="146"/>
      <c r="F26" s="144"/>
      <c r="G26" s="145"/>
      <c r="H26" s="145"/>
      <c r="I26" s="145"/>
      <c r="J26" s="145"/>
      <c r="K26" s="145"/>
      <c r="L26" s="146"/>
      <c r="M26" s="144"/>
      <c r="N26" s="145"/>
      <c r="O26" s="145"/>
      <c r="P26" s="145"/>
      <c r="Q26" s="145"/>
      <c r="R26" s="147"/>
    </row>
    <row r="27" spans="1:18" ht="15.75" customHeight="1">
      <c r="A27" s="69" t="s">
        <v>253</v>
      </c>
      <c r="B27" s="144" t="s">
        <v>373</v>
      </c>
      <c r="C27" s="145"/>
      <c r="D27" s="145"/>
      <c r="E27" s="145"/>
      <c r="F27" s="145"/>
      <c r="G27" s="145"/>
      <c r="H27" s="145"/>
      <c r="I27" s="145"/>
      <c r="J27" s="145"/>
      <c r="K27" s="145"/>
      <c r="L27" s="146"/>
      <c r="M27" s="144"/>
      <c r="N27" s="145"/>
      <c r="O27" s="145"/>
      <c r="P27" s="145"/>
      <c r="Q27" s="145"/>
      <c r="R27" s="147"/>
    </row>
    <row r="28" spans="1:18" ht="15" customHeight="1">
      <c r="A28" s="117" t="s">
        <v>255</v>
      </c>
      <c r="B28" s="109"/>
      <c r="C28" s="109"/>
      <c r="D28" s="109"/>
      <c r="E28" s="109"/>
      <c r="F28" s="109"/>
      <c r="G28" s="109"/>
      <c r="H28" s="109"/>
      <c r="I28" s="109"/>
      <c r="J28" s="109"/>
      <c r="K28" s="109"/>
      <c r="L28" s="109"/>
      <c r="M28" s="109"/>
      <c r="N28" s="109"/>
      <c r="O28" s="109"/>
      <c r="P28" s="109"/>
      <c r="Q28" s="109"/>
      <c r="R28" s="110"/>
    </row>
    <row r="29" spans="1:18" ht="13.9" customHeight="1">
      <c r="A29" s="69" t="s">
        <v>237</v>
      </c>
      <c r="B29" s="144" t="s">
        <v>374</v>
      </c>
      <c r="C29" s="145"/>
      <c r="D29" s="145"/>
      <c r="E29" s="145"/>
      <c r="F29" s="145"/>
      <c r="G29" s="145"/>
      <c r="H29" s="145"/>
      <c r="I29" s="145"/>
      <c r="J29" s="145"/>
      <c r="K29" s="145"/>
      <c r="L29" s="145"/>
      <c r="M29" s="145"/>
      <c r="N29" s="145"/>
      <c r="O29" s="145"/>
      <c r="P29" s="145"/>
      <c r="Q29" s="145"/>
      <c r="R29" s="147"/>
    </row>
    <row r="30" spans="1:18" ht="14.45" customHeight="1">
      <c r="A30" s="69" t="s">
        <v>257</v>
      </c>
      <c r="B30" s="144" t="s">
        <v>339</v>
      </c>
      <c r="C30" s="145"/>
      <c r="D30" s="145"/>
      <c r="E30" s="145"/>
      <c r="F30" s="145"/>
      <c r="G30" s="145"/>
      <c r="H30" s="145"/>
      <c r="I30" s="145"/>
      <c r="J30" s="145"/>
      <c r="K30" s="145"/>
      <c r="L30" s="145"/>
      <c r="M30" s="145"/>
      <c r="N30" s="145"/>
      <c r="O30" s="145"/>
      <c r="P30" s="145"/>
      <c r="Q30" s="145"/>
      <c r="R30" s="147"/>
    </row>
    <row r="31" spans="1:18" ht="15.75" customHeight="1">
      <c r="A31" s="69" t="s">
        <v>234</v>
      </c>
      <c r="B31" s="144" t="s">
        <v>376</v>
      </c>
      <c r="C31" s="145"/>
      <c r="D31" s="145"/>
      <c r="E31" s="145"/>
      <c r="F31" s="145"/>
      <c r="G31" s="145"/>
      <c r="H31" s="145"/>
      <c r="I31" s="145"/>
      <c r="J31" s="145"/>
      <c r="K31" s="145"/>
      <c r="L31" s="145"/>
      <c r="M31" s="145"/>
      <c r="N31" s="145"/>
      <c r="O31" s="145"/>
      <c r="P31" s="145"/>
      <c r="Q31" s="145"/>
      <c r="R31" s="147"/>
    </row>
    <row r="32" spans="1:18" s="1" customFormat="1" ht="30">
      <c r="A32" s="69" t="s">
        <v>315</v>
      </c>
      <c r="B32" s="144"/>
      <c r="C32" s="145"/>
      <c r="D32" s="145"/>
      <c r="E32" s="145"/>
      <c r="F32" s="146"/>
      <c r="G32" s="144" t="s">
        <v>316</v>
      </c>
      <c r="H32" s="145"/>
      <c r="I32" s="145"/>
      <c r="J32" s="145"/>
      <c r="K32" s="145"/>
      <c r="L32" s="145"/>
      <c r="M32" s="145"/>
      <c r="N32" s="145"/>
      <c r="O32" s="145"/>
      <c r="P32" s="145"/>
      <c r="Q32" s="145"/>
      <c r="R32" s="147"/>
    </row>
    <row r="33" spans="1:18" s="1" customFormat="1" ht="42.6" customHeight="1">
      <c r="A33" s="69" t="s">
        <v>317</v>
      </c>
      <c r="B33" s="144"/>
      <c r="C33" s="145"/>
      <c r="D33" s="145"/>
      <c r="E33" s="145"/>
      <c r="F33" s="146"/>
      <c r="G33" s="144" t="s">
        <v>383</v>
      </c>
      <c r="H33" s="145"/>
      <c r="I33" s="145"/>
      <c r="J33" s="145"/>
      <c r="K33" s="145"/>
      <c r="L33" s="145"/>
      <c r="M33" s="145"/>
      <c r="N33" s="145"/>
      <c r="O33" s="145"/>
      <c r="P33" s="145"/>
      <c r="Q33" s="145"/>
      <c r="R33" s="147"/>
    </row>
    <row r="34" spans="1:18" ht="15.75" customHeight="1">
      <c r="A34" s="117" t="s">
        <v>260</v>
      </c>
      <c r="B34" s="109"/>
      <c r="C34" s="109"/>
      <c r="D34" s="109"/>
      <c r="E34" s="109"/>
      <c r="F34" s="109"/>
      <c r="G34" s="109"/>
      <c r="H34" s="109"/>
      <c r="I34" s="109"/>
      <c r="J34" s="109"/>
      <c r="K34" s="109"/>
      <c r="L34" s="109"/>
      <c r="M34" s="109"/>
      <c r="N34" s="109"/>
      <c r="O34" s="109"/>
      <c r="P34" s="109"/>
      <c r="Q34" s="109"/>
      <c r="R34" s="110"/>
    </row>
    <row r="35" spans="1:18" ht="15.75" customHeight="1">
      <c r="A35" s="69" t="s">
        <v>237</v>
      </c>
      <c r="B35" s="109" t="s">
        <v>374</v>
      </c>
      <c r="C35" s="109"/>
      <c r="D35" s="109"/>
      <c r="E35" s="109"/>
      <c r="F35" s="109"/>
      <c r="G35" s="109"/>
      <c r="H35" s="109"/>
      <c r="I35" s="109"/>
      <c r="J35" s="109"/>
      <c r="K35" s="109"/>
      <c r="L35" s="109"/>
      <c r="M35" s="109"/>
      <c r="N35" s="109"/>
      <c r="O35" s="109"/>
      <c r="P35" s="109"/>
      <c r="Q35" s="109"/>
      <c r="R35" s="110"/>
    </row>
    <row r="36" spans="1:18" ht="15.75"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18" ht="15.75" customHeight="1">
      <c r="A37" s="117" t="s">
        <v>264</v>
      </c>
      <c r="B37" s="109"/>
      <c r="C37" s="109"/>
      <c r="D37" s="109"/>
      <c r="E37" s="109"/>
      <c r="F37" s="109"/>
      <c r="G37" s="109"/>
      <c r="H37" s="109"/>
      <c r="I37" s="109"/>
      <c r="J37" s="109"/>
      <c r="K37" s="109"/>
      <c r="L37" s="109"/>
      <c r="M37" s="109"/>
      <c r="N37" s="109"/>
      <c r="O37" s="109"/>
      <c r="P37" s="109"/>
      <c r="Q37" s="109"/>
      <c r="R37" s="110"/>
    </row>
    <row r="38" spans="1:18" ht="15.75" customHeight="1">
      <c r="A38" s="69" t="s">
        <v>265</v>
      </c>
      <c r="B38" s="144" t="s">
        <v>328</v>
      </c>
      <c r="C38" s="145"/>
      <c r="D38" s="145"/>
      <c r="E38" s="145"/>
      <c r="F38" s="145"/>
      <c r="G38" s="145"/>
      <c r="H38" s="145"/>
      <c r="I38" s="145"/>
      <c r="J38" s="145"/>
      <c r="K38" s="145"/>
      <c r="L38" s="145"/>
      <c r="M38" s="145"/>
      <c r="N38" s="145"/>
      <c r="O38" s="145"/>
      <c r="P38" s="145"/>
      <c r="Q38" s="145"/>
      <c r="R38" s="147"/>
    </row>
    <row r="39" spans="1:18" ht="15.6" customHeight="1">
      <c r="A39" s="69" t="s">
        <v>267</v>
      </c>
      <c r="B39" s="144" t="s">
        <v>329</v>
      </c>
      <c r="C39" s="145"/>
      <c r="D39" s="145"/>
      <c r="E39" s="145"/>
      <c r="F39" s="145"/>
      <c r="G39" s="145"/>
      <c r="H39" s="145"/>
      <c r="I39" s="145"/>
      <c r="J39" s="145"/>
      <c r="K39" s="145"/>
      <c r="L39" s="145"/>
      <c r="M39" s="145"/>
      <c r="N39" s="145"/>
      <c r="O39" s="145"/>
      <c r="P39" s="145"/>
      <c r="Q39" s="145"/>
      <c r="R39" s="147"/>
    </row>
    <row r="40" spans="1:18">
      <c r="A40" s="69" t="s">
        <v>269</v>
      </c>
      <c r="B40" s="144" t="s">
        <v>377</v>
      </c>
      <c r="C40" s="149"/>
      <c r="D40" s="149"/>
      <c r="E40" s="149"/>
      <c r="F40" s="149"/>
      <c r="G40" s="149"/>
      <c r="H40" s="149"/>
      <c r="I40" s="149"/>
      <c r="J40" s="149"/>
      <c r="K40" s="149"/>
      <c r="L40" s="149"/>
      <c r="M40" s="149"/>
      <c r="N40" s="149"/>
      <c r="O40" s="149"/>
      <c r="P40" s="149"/>
      <c r="Q40" s="149"/>
      <c r="R40" s="150"/>
    </row>
    <row r="41" spans="1:18" ht="14.45" customHeight="1">
      <c r="A41" s="141" t="s">
        <v>271</v>
      </c>
      <c r="B41" s="142"/>
      <c r="C41" s="142"/>
      <c r="D41" s="142"/>
      <c r="E41" s="142"/>
      <c r="F41" s="142"/>
      <c r="G41" s="142"/>
      <c r="H41" s="142"/>
      <c r="I41" s="142"/>
      <c r="J41" s="142"/>
      <c r="K41" s="142"/>
      <c r="L41" s="142"/>
      <c r="M41" s="142"/>
      <c r="N41" s="142"/>
      <c r="O41" s="142"/>
      <c r="P41" s="142"/>
      <c r="Q41" s="142"/>
      <c r="R41" s="143"/>
    </row>
    <row r="42" spans="1:18"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4.45"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18">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ht="27.6"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13.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ht="14.45" customHeight="1">
      <c r="A49" s="148" t="s">
        <v>278</v>
      </c>
      <c r="B49" s="149"/>
      <c r="C49" s="149"/>
      <c r="D49" s="149"/>
      <c r="E49" s="149"/>
      <c r="F49" s="149"/>
      <c r="G49" s="149"/>
      <c r="H49" s="149"/>
      <c r="I49" s="149"/>
      <c r="J49" s="149"/>
      <c r="K49" s="149"/>
      <c r="L49" s="149"/>
      <c r="M49" s="149"/>
      <c r="N49" s="149"/>
      <c r="O49" s="149"/>
      <c r="P49" s="149"/>
      <c r="Q49" s="149"/>
      <c r="R49" s="150"/>
    </row>
    <row r="50" spans="1:18" ht="26.4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ht="14.45" customHeight="1">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c r="A54" s="114" t="s">
        <v>283</v>
      </c>
      <c r="B54" s="115"/>
      <c r="C54" s="115"/>
      <c r="D54" s="115"/>
      <c r="E54" s="115"/>
      <c r="F54" s="115"/>
      <c r="G54" s="115"/>
      <c r="H54" s="115"/>
      <c r="I54" s="115"/>
      <c r="J54" s="115"/>
      <c r="K54" s="115"/>
      <c r="L54" s="115"/>
      <c r="M54" s="115"/>
      <c r="N54" s="115"/>
      <c r="O54" s="115"/>
      <c r="P54" s="115"/>
      <c r="Q54" s="115"/>
      <c r="R54" s="116"/>
    </row>
    <row r="55" spans="1:18">
      <c r="A55" s="114" t="s">
        <v>378</v>
      </c>
      <c r="B55" s="115"/>
      <c r="C55" s="115"/>
      <c r="D55" s="115"/>
      <c r="E55" s="115"/>
      <c r="F55" s="115"/>
      <c r="G55" s="115"/>
      <c r="H55" s="115"/>
      <c r="I55" s="115"/>
      <c r="J55" s="115"/>
      <c r="K55" s="115"/>
      <c r="L55" s="115"/>
      <c r="M55" s="115"/>
      <c r="N55" s="115"/>
      <c r="O55" s="115"/>
      <c r="P55" s="115"/>
      <c r="Q55" s="115"/>
      <c r="R55" s="116"/>
    </row>
    <row r="56" spans="1:18">
      <c r="A56" s="114" t="s">
        <v>379</v>
      </c>
      <c r="B56" s="115"/>
      <c r="C56" s="115"/>
      <c r="D56" s="115"/>
      <c r="E56" s="115"/>
      <c r="F56" s="115"/>
      <c r="G56" s="115"/>
      <c r="H56" s="115"/>
      <c r="I56" s="115"/>
      <c r="J56" s="115"/>
      <c r="K56" s="115"/>
      <c r="L56" s="115"/>
      <c r="M56" s="115"/>
      <c r="N56" s="115"/>
      <c r="O56" s="115"/>
      <c r="P56" s="115"/>
      <c r="Q56" s="115"/>
      <c r="R56" s="116"/>
    </row>
    <row r="57" spans="1:18">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7">
    <mergeCell ref="B31:R31"/>
    <mergeCell ref="A34:R34"/>
    <mergeCell ref="M25:R25"/>
    <mergeCell ref="M26:R26"/>
    <mergeCell ref="B26:E26"/>
    <mergeCell ref="F26:L26"/>
    <mergeCell ref="A28:R28"/>
    <mergeCell ref="B32:F32"/>
    <mergeCell ref="G32:R32"/>
    <mergeCell ref="B33:F33"/>
    <mergeCell ref="G33:R33"/>
    <mergeCell ref="O3:P3"/>
    <mergeCell ref="F1:P1"/>
    <mergeCell ref="Q1:R1"/>
    <mergeCell ref="F2:I2"/>
    <mergeCell ref="J2:L2"/>
    <mergeCell ref="M2:N2"/>
    <mergeCell ref="O2:P2"/>
    <mergeCell ref="Q2:R2"/>
    <mergeCell ref="Q3:R3"/>
    <mergeCell ref="F3:G3"/>
    <mergeCell ref="H3:I3"/>
    <mergeCell ref="J3:L3"/>
    <mergeCell ref="M3:N3"/>
    <mergeCell ref="B45:R45"/>
    <mergeCell ref="B35:R35"/>
    <mergeCell ref="B36:L36"/>
    <mergeCell ref="B17:J17"/>
    <mergeCell ref="M27:R27"/>
    <mergeCell ref="B25:L25"/>
    <mergeCell ref="B27:L27"/>
    <mergeCell ref="M24:R24"/>
    <mergeCell ref="B24:L24"/>
    <mergeCell ref="M22:R22"/>
    <mergeCell ref="B18:R18"/>
    <mergeCell ref="B20:J20"/>
    <mergeCell ref="K20:R20"/>
    <mergeCell ref="M23:R23"/>
    <mergeCell ref="M21:R21"/>
    <mergeCell ref="B21:L21"/>
    <mergeCell ref="F43:R43"/>
    <mergeCell ref="P9:R9"/>
    <mergeCell ref="B11:R11"/>
    <mergeCell ref="K17:R17"/>
    <mergeCell ref="A19:R19"/>
    <mergeCell ref="D9:E9"/>
    <mergeCell ref="F9:G9"/>
    <mergeCell ref="H9:I9"/>
    <mergeCell ref="J9:K9"/>
    <mergeCell ref="B16:J16"/>
    <mergeCell ref="B9:C9"/>
    <mergeCell ref="K16:R16"/>
    <mergeCell ref="B22:L22"/>
    <mergeCell ref="B23:L23"/>
    <mergeCell ref="B29:R29"/>
    <mergeCell ref="B30:R30"/>
    <mergeCell ref="F4:H4"/>
    <mergeCell ref="I4:R4"/>
    <mergeCell ref="A10:R10"/>
    <mergeCell ref="A7:R7"/>
    <mergeCell ref="B8:C8"/>
    <mergeCell ref="D8:E8"/>
    <mergeCell ref="F8:G8"/>
    <mergeCell ref="H8:I8"/>
    <mergeCell ref="J8:K8"/>
    <mergeCell ref="L8:O9"/>
    <mergeCell ref="P8:R8"/>
    <mergeCell ref="F5:G5"/>
    <mergeCell ref="H5:R5"/>
    <mergeCell ref="F6:H6"/>
    <mergeCell ref="I6:R6"/>
    <mergeCell ref="A1:E6"/>
    <mergeCell ref="A57:R57"/>
    <mergeCell ref="A58:R58"/>
    <mergeCell ref="A59:R59"/>
    <mergeCell ref="A51:R51"/>
    <mergeCell ref="A53:R53"/>
    <mergeCell ref="A54:R54"/>
    <mergeCell ref="A55:R55"/>
    <mergeCell ref="A56:R56"/>
    <mergeCell ref="A52:R52"/>
    <mergeCell ref="A49:R49"/>
    <mergeCell ref="M36:R36"/>
    <mergeCell ref="A37:R37"/>
    <mergeCell ref="B38:R38"/>
    <mergeCell ref="A50:R50"/>
    <mergeCell ref="B39:R39"/>
    <mergeCell ref="B40:R40"/>
    <mergeCell ref="A41:R41"/>
    <mergeCell ref="B48:R48"/>
    <mergeCell ref="B47:F47"/>
    <mergeCell ref="G47:R47"/>
    <mergeCell ref="B46:E46"/>
    <mergeCell ref="F46:R46"/>
    <mergeCell ref="B42:R42"/>
    <mergeCell ref="B44:R44"/>
    <mergeCell ref="B43:E43"/>
  </mergeCells>
  <printOptions horizontalCentered="1"/>
  <pageMargins left="0.7" right="0.7" top="0.75" bottom="0.75" header="0.3" footer="0.3"/>
  <pageSetup paperSize="9" scale="83" firstPageNumber="18" orientation="portrait" r:id="rId1"/>
  <legacyDrawingHF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6">
    <tabColor theme="4" tint="0.59999389629810485"/>
    <pageSetUpPr fitToPage="1"/>
  </sheetPr>
  <dimension ref="A1:V56"/>
  <sheetViews>
    <sheetView workbookViewId="0">
      <selection activeCell="AA26" sqref="AA26"/>
    </sheetView>
  </sheetViews>
  <sheetFormatPr defaultColWidth="9.140625" defaultRowHeight="15"/>
  <cols>
    <col min="1" max="1" width="10.7109375" style="1" customWidth="1"/>
    <col min="2" max="5" width="4.7109375" style="1" customWidth="1"/>
    <col min="6" max="22" width="4.28515625" style="1" customWidth="1"/>
    <col min="23" max="16384" width="9.140625" style="1"/>
  </cols>
  <sheetData>
    <row r="1" spans="1:22" s="5" customFormat="1" ht="14.45" customHeight="1">
      <c r="A1" s="132" t="e" vm="1">
        <v>#VALUE!</v>
      </c>
      <c r="B1" s="133"/>
      <c r="C1" s="133"/>
      <c r="D1" s="133"/>
      <c r="E1" s="134"/>
      <c r="F1" s="165" t="s">
        <v>213</v>
      </c>
      <c r="G1" s="166"/>
      <c r="H1" s="166"/>
      <c r="I1" s="166"/>
      <c r="J1" s="166"/>
      <c r="K1" s="166"/>
      <c r="L1" s="166"/>
      <c r="M1" s="166"/>
      <c r="N1" s="166"/>
      <c r="O1" s="166"/>
      <c r="P1" s="166"/>
      <c r="Q1" s="166"/>
      <c r="R1" s="166"/>
      <c r="S1" s="166"/>
      <c r="T1" s="153" t="s">
        <v>214</v>
      </c>
      <c r="U1" s="153"/>
      <c r="V1" s="154"/>
    </row>
    <row r="2" spans="1:22" s="5" customFormat="1" ht="15.75" customHeight="1">
      <c r="A2" s="135"/>
      <c r="B2" s="136"/>
      <c r="C2" s="136"/>
      <c r="D2" s="136"/>
      <c r="E2" s="137"/>
      <c r="F2" s="127" t="s">
        <v>215</v>
      </c>
      <c r="G2" s="101"/>
      <c r="H2" s="101"/>
      <c r="I2" s="101"/>
      <c r="J2" s="101" t="s">
        <v>216</v>
      </c>
      <c r="K2" s="101"/>
      <c r="L2" s="101"/>
      <c r="M2" s="101"/>
      <c r="N2" s="101" t="s">
        <v>217</v>
      </c>
      <c r="O2" s="101"/>
      <c r="P2" s="101"/>
      <c r="Q2" s="101" t="s">
        <v>13</v>
      </c>
      <c r="R2" s="101"/>
      <c r="S2" s="101"/>
      <c r="T2" s="101" t="s">
        <v>10</v>
      </c>
      <c r="U2" s="101"/>
      <c r="V2" s="102"/>
    </row>
    <row r="3" spans="1:22" s="5" customFormat="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c r="N3" s="101" t="e">
        <f ca="1">VLOOKUP(F3,INDEX!B:J,5,0)</f>
        <v>#VALUE!</v>
      </c>
      <c r="O3" s="101"/>
      <c r="P3" s="101"/>
      <c r="Q3" s="105" t="e">
        <f ca="1">VLOOKUP(F3,INDEX!B:AF,17,0)</f>
        <v>#VALUE!</v>
      </c>
      <c r="R3" s="105"/>
      <c r="S3" s="105"/>
      <c r="T3" s="101" t="e">
        <f ca="1">VLOOKUP(F3,INDEX!B:J,9,0)</f>
        <v>#VALUE!</v>
      </c>
      <c r="U3" s="101"/>
      <c r="V3" s="102"/>
    </row>
    <row r="4" spans="1:22" s="5" customFormat="1" ht="15" customHeight="1">
      <c r="A4" s="135"/>
      <c r="B4" s="136"/>
      <c r="C4" s="136"/>
      <c r="D4" s="136"/>
      <c r="E4" s="137"/>
      <c r="F4" s="130" t="s">
        <v>218</v>
      </c>
      <c r="G4" s="131"/>
      <c r="H4" s="131"/>
      <c r="I4" s="212" t="e">
        <f ca="1">VLOOKUP(F3,INDEX!B:AF,18,0)</f>
        <v>#VALUE!</v>
      </c>
      <c r="J4" s="212"/>
      <c r="K4" s="212"/>
      <c r="L4" s="212"/>
      <c r="M4" s="212"/>
      <c r="N4" s="212"/>
      <c r="O4" s="212"/>
      <c r="P4" s="212"/>
      <c r="Q4" s="212"/>
      <c r="R4" s="212"/>
      <c r="S4" s="212"/>
      <c r="T4" s="212"/>
      <c r="U4" s="212"/>
      <c r="V4" s="213"/>
    </row>
    <row r="5" spans="1:22" s="5" customFormat="1" ht="13.9" customHeight="1">
      <c r="A5" s="135"/>
      <c r="B5" s="136"/>
      <c r="C5" s="136"/>
      <c r="D5" s="136"/>
      <c r="E5" s="137"/>
      <c r="F5" s="128" t="s">
        <v>219</v>
      </c>
      <c r="G5" s="129"/>
      <c r="H5" s="129"/>
      <c r="I5" s="212" t="e">
        <f ca="1">VLOOKUP(F3,INDEX!B:J,6,0)</f>
        <v>#VALUE!</v>
      </c>
      <c r="J5" s="212"/>
      <c r="K5" s="212"/>
      <c r="L5" s="212"/>
      <c r="M5" s="212"/>
      <c r="N5" s="212"/>
      <c r="O5" s="212"/>
      <c r="P5" s="212"/>
      <c r="Q5" s="212"/>
      <c r="R5" s="212"/>
      <c r="S5" s="212"/>
      <c r="T5" s="212"/>
      <c r="U5" s="212"/>
      <c r="V5" s="213"/>
    </row>
    <row r="6" spans="1:22" s="5" customFormat="1" ht="14.45" customHeight="1" thickBot="1">
      <c r="A6" s="138"/>
      <c r="B6" s="139"/>
      <c r="C6" s="139"/>
      <c r="D6" s="139"/>
      <c r="E6" s="140"/>
      <c r="F6" s="130" t="s">
        <v>220</v>
      </c>
      <c r="G6" s="131"/>
      <c r="H6" s="131"/>
      <c r="I6" s="198" t="e">
        <f ca="1">VLOOKUP(F3,INDEX!B:AF,16,0)</f>
        <v>#VALUE!</v>
      </c>
      <c r="J6" s="198"/>
      <c r="K6" s="198"/>
      <c r="L6" s="198"/>
      <c r="M6" s="198"/>
      <c r="N6" s="198"/>
      <c r="O6" s="198"/>
      <c r="P6" s="198"/>
      <c r="Q6" s="198"/>
      <c r="R6" s="198"/>
      <c r="S6" s="198"/>
      <c r="T6" s="198"/>
      <c r="U6" s="198"/>
      <c r="V6" s="199"/>
    </row>
    <row r="7" spans="1:22" s="5" customFormat="1" ht="14.45" customHeight="1">
      <c r="A7" s="120" t="s">
        <v>221</v>
      </c>
      <c r="B7" s="121"/>
      <c r="C7" s="121"/>
      <c r="D7" s="121"/>
      <c r="E7" s="121"/>
      <c r="F7" s="122"/>
      <c r="G7" s="122"/>
      <c r="H7" s="122"/>
      <c r="I7" s="122"/>
      <c r="J7" s="122"/>
      <c r="K7" s="122"/>
      <c r="L7" s="122"/>
      <c r="M7" s="122"/>
      <c r="N7" s="122"/>
      <c r="O7" s="122"/>
      <c r="P7" s="122"/>
      <c r="Q7" s="122"/>
      <c r="R7" s="122"/>
      <c r="S7" s="122"/>
      <c r="T7" s="122"/>
      <c r="U7" s="122"/>
      <c r="V7" s="123"/>
    </row>
    <row r="8" spans="1:22" s="3" customFormat="1">
      <c r="A8" s="67" t="s">
        <v>222</v>
      </c>
      <c r="B8" s="101" t="e">
        <f ca="1">VLOOKUP(F3,INDEX!B:AF,20,0)</f>
        <v>#VALUE!</v>
      </c>
      <c r="C8" s="101"/>
      <c r="D8" s="101" t="e">
        <f ca="1">VLOOKUP(F3,INDEX!B:AF,21,0)</f>
        <v>#VALUE!</v>
      </c>
      <c r="E8" s="101"/>
      <c r="F8" s="101" t="e">
        <f ca="1">VLOOKUP(F3,INDEX!B:AF,22,0)</f>
        <v>#VALUE!</v>
      </c>
      <c r="G8" s="101"/>
      <c r="H8" s="101" t="e">
        <f ca="1">VLOOKUP(F3,INDEX!B:AF,23,0)</f>
        <v>#VALUE!</v>
      </c>
      <c r="I8" s="101"/>
      <c r="J8" s="101" t="e">
        <f ca="1">VLOOKUP(F3,INDEX!B:AF,24,0)</f>
        <v>#VALUE!</v>
      </c>
      <c r="K8" s="101"/>
      <c r="L8" s="101"/>
      <c r="M8" s="101"/>
      <c r="N8" s="101"/>
      <c r="O8" s="101"/>
      <c r="P8" s="101"/>
      <c r="Q8" s="101"/>
      <c r="R8" s="101" t="s">
        <v>223</v>
      </c>
      <c r="S8" s="101"/>
      <c r="T8" s="101"/>
      <c r="U8" s="101"/>
      <c r="V8" s="102"/>
    </row>
    <row r="9" spans="1:22" s="3" customFormat="1">
      <c r="A9" s="67" t="s">
        <v>224</v>
      </c>
      <c r="B9" s="101" t="e">
        <f ca="1">VLOOKUP(F3,INDEX!B:Z,19,0)&amp;" to 38"</f>
        <v>#VALUE!</v>
      </c>
      <c r="C9" s="101"/>
      <c r="D9" s="101">
        <v>50</v>
      </c>
      <c r="E9" s="101"/>
      <c r="F9" s="101">
        <v>100</v>
      </c>
      <c r="G9" s="101"/>
      <c r="H9" s="101">
        <v>150</v>
      </c>
      <c r="I9" s="101"/>
      <c r="J9" s="101">
        <v>200</v>
      </c>
      <c r="K9" s="101"/>
      <c r="L9" s="101"/>
      <c r="M9" s="101"/>
      <c r="N9" s="101"/>
      <c r="O9" s="101"/>
      <c r="P9" s="101"/>
      <c r="Q9" s="101"/>
      <c r="R9" s="101" t="e">
        <f ca="1">B8*1.5</f>
        <v>#VALUE!</v>
      </c>
      <c r="S9" s="101"/>
      <c r="T9" s="101"/>
      <c r="U9" s="101"/>
      <c r="V9" s="102"/>
    </row>
    <row r="10" spans="1:22" s="3" customFormat="1">
      <c r="A10" s="208" t="s">
        <v>225</v>
      </c>
      <c r="B10" s="209"/>
      <c r="C10" s="209"/>
      <c r="D10" s="209"/>
      <c r="E10" s="209"/>
      <c r="F10" s="209"/>
      <c r="G10" s="209"/>
      <c r="H10" s="209"/>
      <c r="I10" s="209"/>
      <c r="J10" s="209"/>
      <c r="K10" s="209"/>
      <c r="L10" s="209"/>
      <c r="M10" s="209"/>
      <c r="N10" s="209"/>
      <c r="O10" s="209"/>
      <c r="P10" s="209"/>
      <c r="Q10" s="209"/>
      <c r="R10" s="209"/>
      <c r="S10" s="209"/>
      <c r="T10" s="209"/>
      <c r="U10" s="209"/>
      <c r="V10" s="210"/>
    </row>
    <row r="11" spans="1:22">
      <c r="A11" s="69" t="s">
        <v>226</v>
      </c>
      <c r="B11" s="109" t="s">
        <v>367</v>
      </c>
      <c r="C11" s="109"/>
      <c r="D11" s="109"/>
      <c r="E11" s="109"/>
      <c r="F11" s="109"/>
      <c r="G11" s="109"/>
      <c r="H11" s="109"/>
      <c r="I11" s="109"/>
      <c r="J11" s="109"/>
      <c r="K11" s="109"/>
      <c r="L11" s="109"/>
      <c r="M11" s="109"/>
      <c r="N11" s="109"/>
      <c r="O11" s="109"/>
      <c r="P11" s="109"/>
      <c r="Q11" s="109"/>
      <c r="R11" s="109"/>
      <c r="S11" s="109"/>
      <c r="T11" s="109"/>
      <c r="U11" s="109"/>
      <c r="V11" s="110"/>
    </row>
    <row r="12" spans="1:22"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17">
        <v>30</v>
      </c>
      <c r="V12" s="66">
        <v>32</v>
      </c>
    </row>
    <row r="13" spans="1:22"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17">
        <v>762</v>
      </c>
      <c r="V13" s="66">
        <v>812.8</v>
      </c>
    </row>
    <row r="14" spans="1:22" s="12" customFormat="1">
      <c r="A14" s="70" t="s">
        <v>230</v>
      </c>
      <c r="B14" s="17" t="s">
        <v>368</v>
      </c>
      <c r="C14" s="17" t="s">
        <v>384</v>
      </c>
      <c r="D14" s="17" t="s">
        <v>368</v>
      </c>
      <c r="E14" s="17" t="s">
        <v>368</v>
      </c>
      <c r="F14" s="17" t="s">
        <v>368</v>
      </c>
      <c r="G14" s="17" t="s">
        <v>385</v>
      </c>
      <c r="H14" s="17" t="s">
        <v>385</v>
      </c>
      <c r="I14" s="17" t="s">
        <v>385</v>
      </c>
      <c r="J14" s="17" t="s">
        <v>385</v>
      </c>
      <c r="K14" s="17" t="s">
        <v>385</v>
      </c>
      <c r="L14" s="17" t="s">
        <v>385</v>
      </c>
      <c r="M14" s="17" t="s">
        <v>385</v>
      </c>
      <c r="N14" s="17" t="s">
        <v>385</v>
      </c>
      <c r="O14" s="17" t="s">
        <v>385</v>
      </c>
      <c r="P14" s="17" t="s">
        <v>385</v>
      </c>
      <c r="Q14" s="17" t="s">
        <v>385</v>
      </c>
      <c r="R14" s="17" t="s">
        <v>385</v>
      </c>
      <c r="S14" s="17">
        <v>10</v>
      </c>
      <c r="T14" s="17">
        <v>10</v>
      </c>
      <c r="U14" s="17" t="s">
        <v>385</v>
      </c>
      <c r="V14" s="66">
        <v>10</v>
      </c>
    </row>
    <row r="15" spans="1:22" s="12" customFormat="1">
      <c r="A15" s="70" t="s">
        <v>233</v>
      </c>
      <c r="B15" s="17">
        <v>3.73</v>
      </c>
      <c r="C15" s="17">
        <v>3.91</v>
      </c>
      <c r="D15" s="17">
        <v>4.55</v>
      </c>
      <c r="E15" s="17">
        <v>5.08</v>
      </c>
      <c r="F15" s="17">
        <v>5.54</v>
      </c>
      <c r="G15" s="17">
        <v>3.05</v>
      </c>
      <c r="H15" s="17">
        <v>3.05</v>
      </c>
      <c r="I15" s="17">
        <v>3.4</v>
      </c>
      <c r="J15" s="17">
        <v>3.76</v>
      </c>
      <c r="K15" s="17">
        <v>4.1900000000000004</v>
      </c>
      <c r="L15" s="17">
        <v>4.57</v>
      </c>
      <c r="M15" s="17">
        <v>4.7699999999999996</v>
      </c>
      <c r="N15" s="17">
        <v>4.7699999999999996</v>
      </c>
      <c r="O15" s="17">
        <v>4.7699999999999996</v>
      </c>
      <c r="P15" s="17">
        <v>5.54</v>
      </c>
      <c r="Q15" s="17">
        <v>5.54</v>
      </c>
      <c r="R15" s="17">
        <v>6.35</v>
      </c>
      <c r="S15" s="17">
        <v>7.92</v>
      </c>
      <c r="T15" s="17">
        <v>7.92</v>
      </c>
      <c r="U15" s="17">
        <v>7.92</v>
      </c>
      <c r="V15" s="66">
        <v>7.92</v>
      </c>
    </row>
    <row r="16" spans="1:22">
      <c r="A16" s="69" t="s">
        <v>234</v>
      </c>
      <c r="B16" s="109" t="s">
        <v>235</v>
      </c>
      <c r="C16" s="109"/>
      <c r="D16" s="109"/>
      <c r="E16" s="109"/>
      <c r="F16" s="109"/>
      <c r="G16" s="109"/>
      <c r="H16" s="109"/>
      <c r="I16" s="109"/>
      <c r="J16" s="109"/>
      <c r="K16" s="109" t="s">
        <v>386</v>
      </c>
      <c r="L16" s="109"/>
      <c r="M16" s="109"/>
      <c r="N16" s="109"/>
      <c r="O16" s="109"/>
      <c r="P16" s="109"/>
      <c r="Q16" s="109"/>
      <c r="R16" s="109"/>
      <c r="S16" s="109"/>
      <c r="T16" s="109"/>
      <c r="U16" s="109"/>
      <c r="V16" s="110"/>
    </row>
    <row r="17" spans="1:22" ht="15.75" customHeight="1">
      <c r="A17" s="69" t="s">
        <v>237</v>
      </c>
      <c r="B17" s="109" t="s">
        <v>387</v>
      </c>
      <c r="C17" s="109"/>
      <c r="D17" s="109"/>
      <c r="E17" s="109"/>
      <c r="F17" s="109"/>
      <c r="G17" s="109"/>
      <c r="H17" s="109"/>
      <c r="I17" s="109"/>
      <c r="J17" s="109"/>
      <c r="K17" s="109" t="s">
        <v>388</v>
      </c>
      <c r="L17" s="109"/>
      <c r="M17" s="109"/>
      <c r="N17" s="109"/>
      <c r="O17" s="109"/>
      <c r="P17" s="109"/>
      <c r="Q17" s="109"/>
      <c r="R17" s="109"/>
      <c r="S17" s="109"/>
      <c r="T17" s="109"/>
      <c r="U17" s="109"/>
      <c r="V17" s="110"/>
    </row>
    <row r="18" spans="1:22">
      <c r="A18" s="69" t="s">
        <v>240</v>
      </c>
      <c r="B18" s="144" t="s">
        <v>241</v>
      </c>
      <c r="C18" s="145"/>
      <c r="D18" s="145"/>
      <c r="E18" s="145"/>
      <c r="F18" s="145"/>
      <c r="G18" s="145"/>
      <c r="H18" s="145"/>
      <c r="I18" s="145"/>
      <c r="J18" s="145"/>
      <c r="K18" s="145"/>
      <c r="L18" s="145"/>
      <c r="M18" s="145"/>
      <c r="N18" s="145"/>
      <c r="O18" s="145"/>
      <c r="P18" s="145"/>
      <c r="Q18" s="145"/>
      <c r="R18" s="145"/>
      <c r="S18" s="145"/>
      <c r="T18" s="145"/>
      <c r="U18" s="145"/>
      <c r="V18" s="147"/>
    </row>
    <row r="19" spans="1:22" ht="15.75" customHeight="1">
      <c r="A19" s="117" t="s">
        <v>242</v>
      </c>
      <c r="B19" s="109"/>
      <c r="C19" s="109"/>
      <c r="D19" s="109"/>
      <c r="E19" s="109"/>
      <c r="F19" s="109"/>
      <c r="G19" s="109"/>
      <c r="H19" s="109"/>
      <c r="I19" s="109"/>
      <c r="J19" s="109"/>
      <c r="K19" s="109"/>
      <c r="L19" s="109"/>
      <c r="M19" s="109"/>
      <c r="N19" s="109"/>
      <c r="O19" s="109"/>
      <c r="P19" s="109"/>
      <c r="Q19" s="109"/>
      <c r="R19" s="109"/>
      <c r="S19" s="109"/>
      <c r="T19" s="109"/>
      <c r="U19" s="109"/>
      <c r="V19" s="110"/>
    </row>
    <row r="20" spans="1:22" ht="15" customHeight="1">
      <c r="A20" s="69" t="s">
        <v>234</v>
      </c>
      <c r="B20" s="144" t="s">
        <v>243</v>
      </c>
      <c r="C20" s="145"/>
      <c r="D20" s="145"/>
      <c r="E20" s="145"/>
      <c r="F20" s="145"/>
      <c r="G20" s="145"/>
      <c r="H20" s="145"/>
      <c r="I20" s="145"/>
      <c r="J20" s="146"/>
      <c r="K20" s="144" t="s">
        <v>244</v>
      </c>
      <c r="L20" s="145"/>
      <c r="M20" s="145"/>
      <c r="N20" s="145"/>
      <c r="O20" s="145"/>
      <c r="P20" s="145"/>
      <c r="Q20" s="145"/>
      <c r="R20" s="145"/>
      <c r="S20" s="145"/>
      <c r="T20" s="145"/>
      <c r="U20" s="145"/>
      <c r="V20" s="147"/>
    </row>
    <row r="21" spans="1:22" ht="15.75" customHeight="1">
      <c r="A21" s="69" t="s">
        <v>237</v>
      </c>
      <c r="B21" s="144" t="s">
        <v>389</v>
      </c>
      <c r="C21" s="145"/>
      <c r="D21" s="145"/>
      <c r="E21" s="145"/>
      <c r="F21" s="145"/>
      <c r="G21" s="145"/>
      <c r="H21" s="145"/>
      <c r="I21" s="145"/>
      <c r="J21" s="146"/>
      <c r="K21" s="109" t="s">
        <v>390</v>
      </c>
      <c r="L21" s="109"/>
      <c r="M21" s="109"/>
      <c r="N21" s="109"/>
      <c r="O21" s="109"/>
      <c r="P21" s="109"/>
      <c r="Q21" s="109"/>
      <c r="R21" s="109"/>
      <c r="S21" s="109"/>
      <c r="T21" s="109"/>
      <c r="U21" s="109"/>
      <c r="V21" s="110"/>
    </row>
    <row r="22" spans="1:22" ht="15.75" customHeight="1">
      <c r="A22" s="69" t="s">
        <v>246</v>
      </c>
      <c r="B22" s="144" t="s">
        <v>247</v>
      </c>
      <c r="C22" s="145"/>
      <c r="D22" s="145"/>
      <c r="E22" s="145"/>
      <c r="F22" s="145"/>
      <c r="G22" s="145"/>
      <c r="H22" s="145"/>
      <c r="I22" s="145"/>
      <c r="J22" s="145"/>
      <c r="K22" s="145"/>
      <c r="L22" s="145"/>
      <c r="M22" s="145"/>
      <c r="N22" s="145"/>
      <c r="O22" s="145"/>
      <c r="P22" s="145"/>
      <c r="Q22" s="145"/>
      <c r="R22" s="145"/>
      <c r="S22" s="145"/>
      <c r="T22" s="145"/>
      <c r="U22" s="145"/>
      <c r="V22" s="147"/>
    </row>
    <row r="23" spans="1:22" ht="15.75" customHeight="1">
      <c r="A23" s="69" t="s">
        <v>248</v>
      </c>
      <c r="B23" s="144" t="s">
        <v>247</v>
      </c>
      <c r="C23" s="145"/>
      <c r="D23" s="145"/>
      <c r="E23" s="145"/>
      <c r="F23" s="145"/>
      <c r="G23" s="145"/>
      <c r="H23" s="145"/>
      <c r="I23" s="145"/>
      <c r="J23" s="145"/>
      <c r="K23" s="145" t="s">
        <v>247</v>
      </c>
      <c r="L23" s="145"/>
      <c r="M23" s="145"/>
      <c r="N23" s="145"/>
      <c r="O23" s="145"/>
      <c r="P23" s="145"/>
      <c r="Q23" s="145"/>
      <c r="R23" s="145"/>
      <c r="S23" s="145"/>
      <c r="T23" s="145"/>
      <c r="U23" s="145"/>
      <c r="V23" s="147"/>
    </row>
    <row r="24" spans="1:22" ht="15.75" customHeight="1">
      <c r="A24" s="69" t="s">
        <v>249</v>
      </c>
      <c r="B24" s="144" t="s">
        <v>247</v>
      </c>
      <c r="C24" s="145"/>
      <c r="D24" s="145"/>
      <c r="E24" s="145"/>
      <c r="F24" s="145"/>
      <c r="G24" s="145"/>
      <c r="H24" s="145"/>
      <c r="I24" s="145"/>
      <c r="J24" s="145"/>
      <c r="K24" s="145" t="s">
        <v>247</v>
      </c>
      <c r="L24" s="145"/>
      <c r="M24" s="145"/>
      <c r="N24" s="145"/>
      <c r="O24" s="145"/>
      <c r="P24" s="145"/>
      <c r="Q24" s="145"/>
      <c r="R24" s="145"/>
      <c r="S24" s="145"/>
      <c r="T24" s="145"/>
      <c r="U24" s="145"/>
      <c r="V24" s="147"/>
    </row>
    <row r="25" spans="1:22" ht="15.75" customHeight="1">
      <c r="A25" s="69" t="s">
        <v>250</v>
      </c>
      <c r="B25" s="144" t="s">
        <v>247</v>
      </c>
      <c r="C25" s="145"/>
      <c r="D25" s="145"/>
      <c r="E25" s="145"/>
      <c r="F25" s="145"/>
      <c r="G25" s="145"/>
      <c r="H25" s="145"/>
      <c r="I25" s="145"/>
      <c r="J25" s="145"/>
      <c r="K25" s="145" t="s">
        <v>247</v>
      </c>
      <c r="L25" s="145"/>
      <c r="M25" s="145"/>
      <c r="N25" s="145"/>
      <c r="O25" s="145"/>
      <c r="P25" s="145"/>
      <c r="Q25" s="145"/>
      <c r="R25" s="145"/>
      <c r="S25" s="145"/>
      <c r="T25" s="145"/>
      <c r="U25" s="145"/>
      <c r="V25" s="147"/>
    </row>
    <row r="26" spans="1:22" ht="15.75" customHeight="1">
      <c r="A26" s="69" t="s">
        <v>251</v>
      </c>
      <c r="B26" s="151" t="s">
        <v>290</v>
      </c>
      <c r="C26" s="145"/>
      <c r="D26" s="145"/>
      <c r="E26" s="146"/>
      <c r="F26" s="109"/>
      <c r="G26" s="109"/>
      <c r="H26" s="109"/>
      <c r="I26" s="109"/>
      <c r="J26" s="109"/>
      <c r="K26" s="109"/>
      <c r="L26" s="109"/>
      <c r="M26" s="109"/>
      <c r="N26" s="109"/>
      <c r="O26" s="109"/>
      <c r="P26" s="109"/>
      <c r="Q26" s="109"/>
      <c r="R26" s="109"/>
      <c r="S26" s="109"/>
      <c r="T26" s="109"/>
      <c r="U26" s="109"/>
      <c r="V26" s="110"/>
    </row>
    <row r="27" spans="1:22" ht="15.75" customHeight="1">
      <c r="A27" s="69" t="s">
        <v>253</v>
      </c>
      <c r="B27" s="144" t="s">
        <v>391</v>
      </c>
      <c r="C27" s="145"/>
      <c r="D27" s="145"/>
      <c r="E27" s="145"/>
      <c r="F27" s="145"/>
      <c r="G27" s="145"/>
      <c r="H27" s="145"/>
      <c r="I27" s="145"/>
      <c r="J27" s="145"/>
      <c r="K27" s="145" t="s">
        <v>392</v>
      </c>
      <c r="L27" s="145"/>
      <c r="M27" s="145"/>
      <c r="N27" s="145"/>
      <c r="O27" s="145"/>
      <c r="P27" s="145"/>
      <c r="Q27" s="145"/>
      <c r="R27" s="145"/>
      <c r="S27" s="145"/>
      <c r="T27" s="145"/>
      <c r="U27" s="145"/>
      <c r="V27" s="147"/>
    </row>
    <row r="28" spans="1:22" s="5" customFormat="1">
      <c r="A28" s="117" t="s">
        <v>255</v>
      </c>
      <c r="B28" s="118"/>
      <c r="C28" s="118"/>
      <c r="D28" s="118"/>
      <c r="E28" s="118"/>
      <c r="F28" s="118"/>
      <c r="G28" s="118"/>
      <c r="H28" s="118"/>
      <c r="I28" s="118"/>
      <c r="J28" s="118"/>
      <c r="K28" s="118"/>
      <c r="L28" s="118"/>
      <c r="M28" s="118"/>
      <c r="N28" s="118"/>
      <c r="O28" s="118"/>
      <c r="P28" s="118"/>
      <c r="Q28" s="118"/>
      <c r="R28" s="118"/>
      <c r="S28" s="118"/>
      <c r="T28" s="118"/>
      <c r="U28" s="118"/>
      <c r="V28" s="119"/>
    </row>
    <row r="29" spans="1:22" s="5" customFormat="1" ht="13.9" customHeight="1">
      <c r="A29" s="69" t="s">
        <v>237</v>
      </c>
      <c r="B29" s="109" t="s">
        <v>393</v>
      </c>
      <c r="C29" s="109"/>
      <c r="D29" s="109"/>
      <c r="E29" s="109"/>
      <c r="F29" s="109"/>
      <c r="G29" s="109"/>
      <c r="H29" s="109"/>
      <c r="I29" s="109"/>
      <c r="J29" s="109"/>
      <c r="K29" s="109"/>
      <c r="L29" s="109"/>
      <c r="M29" s="109"/>
      <c r="N29" s="109"/>
      <c r="O29" s="109"/>
      <c r="P29" s="109"/>
      <c r="Q29" s="109"/>
      <c r="R29" s="109"/>
      <c r="S29" s="109"/>
      <c r="T29" s="109"/>
      <c r="U29" s="109"/>
      <c r="V29" s="110"/>
    </row>
    <row r="30" spans="1:22" s="5" customFormat="1" ht="13.9" customHeight="1">
      <c r="A30" s="69" t="s">
        <v>257</v>
      </c>
      <c r="B30" s="109" t="s">
        <v>258</v>
      </c>
      <c r="C30" s="109"/>
      <c r="D30" s="109"/>
      <c r="E30" s="109"/>
      <c r="F30" s="109"/>
      <c r="G30" s="109"/>
      <c r="H30" s="109"/>
      <c r="I30" s="109"/>
      <c r="J30" s="109"/>
      <c r="K30" s="109"/>
      <c r="L30" s="109"/>
      <c r="M30" s="109"/>
      <c r="N30" s="109"/>
      <c r="O30" s="109"/>
      <c r="P30" s="109"/>
      <c r="Q30" s="109"/>
      <c r="R30" s="109"/>
      <c r="S30" s="109"/>
      <c r="T30" s="109"/>
      <c r="U30" s="109"/>
      <c r="V30" s="110"/>
    </row>
    <row r="31" spans="1:22" s="5" customFormat="1" ht="14.45" customHeight="1">
      <c r="A31" s="69" t="s">
        <v>234</v>
      </c>
      <c r="B31" s="109" t="s">
        <v>259</v>
      </c>
      <c r="C31" s="109"/>
      <c r="D31" s="109"/>
      <c r="E31" s="109"/>
      <c r="F31" s="109"/>
      <c r="G31" s="109"/>
      <c r="H31" s="109"/>
      <c r="I31" s="109"/>
      <c r="J31" s="109"/>
      <c r="K31" s="109"/>
      <c r="L31" s="109"/>
      <c r="M31" s="109"/>
      <c r="N31" s="109"/>
      <c r="O31" s="109"/>
      <c r="P31" s="109"/>
      <c r="Q31" s="109"/>
      <c r="R31" s="109"/>
      <c r="S31" s="109"/>
      <c r="T31" s="109"/>
      <c r="U31" s="109"/>
      <c r="V31" s="110"/>
    </row>
    <row r="32" spans="1:22" s="5" customFormat="1" ht="13.9" customHeight="1">
      <c r="A32" s="148" t="s">
        <v>260</v>
      </c>
      <c r="B32" s="149"/>
      <c r="C32" s="149"/>
      <c r="D32" s="149"/>
      <c r="E32" s="149"/>
      <c r="F32" s="149"/>
      <c r="G32" s="149"/>
      <c r="H32" s="149"/>
      <c r="I32" s="149"/>
      <c r="J32" s="149"/>
      <c r="K32" s="149"/>
      <c r="L32" s="149"/>
      <c r="M32" s="149"/>
      <c r="N32" s="149"/>
      <c r="O32" s="149"/>
      <c r="P32" s="149"/>
      <c r="Q32" s="149"/>
      <c r="R32" s="149"/>
      <c r="S32" s="149"/>
      <c r="T32" s="149"/>
      <c r="U32" s="149"/>
      <c r="V32" s="150"/>
    </row>
    <row r="33" spans="1:22" s="5" customFormat="1" ht="13.9" customHeight="1">
      <c r="A33" s="84" t="s">
        <v>237</v>
      </c>
      <c r="B33" s="233" t="s">
        <v>393</v>
      </c>
      <c r="C33" s="142"/>
      <c r="D33" s="142"/>
      <c r="E33" s="142"/>
      <c r="F33" s="142"/>
      <c r="G33" s="142"/>
      <c r="H33" s="142"/>
      <c r="I33" s="142"/>
      <c r="J33" s="142"/>
      <c r="K33" s="142"/>
      <c r="L33" s="142"/>
      <c r="M33" s="142"/>
      <c r="N33" s="142"/>
      <c r="O33" s="142"/>
      <c r="P33" s="142"/>
      <c r="Q33" s="142"/>
      <c r="R33" s="142"/>
      <c r="S33" s="142"/>
      <c r="T33" s="142"/>
      <c r="U33" s="142"/>
      <c r="V33" s="143"/>
    </row>
    <row r="34" spans="1:22" s="5" customFormat="1" ht="13.9" customHeight="1">
      <c r="A34" s="69" t="s">
        <v>261</v>
      </c>
      <c r="B34" s="144" t="s">
        <v>262</v>
      </c>
      <c r="C34" s="145"/>
      <c r="D34" s="145"/>
      <c r="E34" s="145"/>
      <c r="F34" s="145"/>
      <c r="G34" s="145"/>
      <c r="H34" s="145"/>
      <c r="I34" s="145"/>
      <c r="J34" s="145"/>
      <c r="K34" s="145"/>
      <c r="L34" s="145"/>
      <c r="M34" s="146"/>
      <c r="N34" s="151" t="s">
        <v>263</v>
      </c>
      <c r="O34" s="152"/>
      <c r="P34" s="152"/>
      <c r="Q34" s="152"/>
      <c r="R34" s="152"/>
      <c r="S34" s="152"/>
      <c r="T34" s="152"/>
      <c r="U34" s="152"/>
      <c r="V34" s="161"/>
    </row>
    <row r="35" spans="1:22" s="5" customFormat="1" ht="13.9" customHeight="1">
      <c r="A35" s="117" t="s">
        <v>264</v>
      </c>
      <c r="B35" s="118"/>
      <c r="C35" s="118"/>
      <c r="D35" s="118"/>
      <c r="E35" s="118"/>
      <c r="F35" s="118"/>
      <c r="G35" s="118"/>
      <c r="H35" s="118"/>
      <c r="I35" s="118"/>
      <c r="J35" s="118"/>
      <c r="K35" s="118"/>
      <c r="L35" s="118"/>
      <c r="M35" s="118"/>
      <c r="N35" s="118"/>
      <c r="O35" s="118"/>
      <c r="P35" s="118"/>
      <c r="Q35" s="118"/>
      <c r="R35" s="118"/>
      <c r="S35" s="118"/>
      <c r="T35" s="118"/>
      <c r="U35" s="118"/>
      <c r="V35" s="119"/>
    </row>
    <row r="36" spans="1:22" s="5" customFormat="1" ht="13.9" customHeight="1">
      <c r="A36" s="69" t="s">
        <v>265</v>
      </c>
      <c r="B36" s="144" t="s">
        <v>394</v>
      </c>
      <c r="C36" s="145"/>
      <c r="D36" s="145"/>
      <c r="E36" s="145"/>
      <c r="F36" s="145"/>
      <c r="G36" s="145"/>
      <c r="H36" s="145"/>
      <c r="I36" s="145"/>
      <c r="J36" s="145"/>
      <c r="K36" s="145"/>
      <c r="L36" s="145"/>
      <c r="M36" s="145"/>
      <c r="N36" s="145"/>
      <c r="O36" s="145"/>
      <c r="P36" s="145"/>
      <c r="Q36" s="145"/>
      <c r="R36" s="145"/>
      <c r="S36" s="145"/>
      <c r="T36" s="145"/>
      <c r="U36" s="145"/>
      <c r="V36" s="147"/>
    </row>
    <row r="37" spans="1:22" s="5" customFormat="1" ht="13.9" customHeight="1">
      <c r="A37" s="69" t="s">
        <v>267</v>
      </c>
      <c r="B37" s="144" t="s">
        <v>394</v>
      </c>
      <c r="C37" s="145"/>
      <c r="D37" s="145"/>
      <c r="E37" s="145"/>
      <c r="F37" s="145"/>
      <c r="G37" s="145"/>
      <c r="H37" s="145"/>
      <c r="I37" s="145"/>
      <c r="J37" s="145"/>
      <c r="K37" s="145"/>
      <c r="L37" s="145"/>
      <c r="M37" s="145"/>
      <c r="N37" s="145"/>
      <c r="O37" s="145"/>
      <c r="P37" s="145"/>
      <c r="Q37" s="145"/>
      <c r="R37" s="145"/>
      <c r="S37" s="145"/>
      <c r="T37" s="145"/>
      <c r="U37" s="145"/>
      <c r="V37" s="147"/>
    </row>
    <row r="38" spans="1:22" s="5" customFormat="1" ht="13.9" customHeight="1">
      <c r="A38" s="69" t="s">
        <v>269</v>
      </c>
      <c r="B38" s="144" t="s">
        <v>395</v>
      </c>
      <c r="C38" s="145"/>
      <c r="D38" s="145"/>
      <c r="E38" s="145"/>
      <c r="F38" s="145"/>
      <c r="G38" s="145"/>
      <c r="H38" s="145"/>
      <c r="I38" s="145"/>
      <c r="J38" s="145"/>
      <c r="K38" s="145"/>
      <c r="L38" s="145"/>
      <c r="M38" s="145"/>
      <c r="N38" s="145"/>
      <c r="O38" s="145"/>
      <c r="P38" s="145"/>
      <c r="Q38" s="145"/>
      <c r="R38" s="145"/>
      <c r="S38" s="145"/>
      <c r="T38" s="145"/>
      <c r="U38" s="145"/>
      <c r="V38" s="147"/>
    </row>
    <row r="39" spans="1:22" s="5" customFormat="1" ht="13.9" customHeight="1">
      <c r="A39" s="117" t="s">
        <v>271</v>
      </c>
      <c r="B39" s="118"/>
      <c r="C39" s="118"/>
      <c r="D39" s="118"/>
      <c r="E39" s="118"/>
      <c r="F39" s="118"/>
      <c r="G39" s="118"/>
      <c r="H39" s="118"/>
      <c r="I39" s="118"/>
      <c r="J39" s="118"/>
      <c r="K39" s="118"/>
      <c r="L39" s="118"/>
      <c r="M39" s="118"/>
      <c r="N39" s="118"/>
      <c r="O39" s="118"/>
      <c r="P39" s="118"/>
      <c r="Q39" s="118"/>
      <c r="R39" s="118"/>
      <c r="S39" s="118"/>
      <c r="T39" s="118"/>
      <c r="U39" s="118"/>
      <c r="V39" s="119"/>
    </row>
    <row r="40" spans="1:22"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09"/>
      <c r="V40" s="110"/>
    </row>
    <row r="41" spans="1:22"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09"/>
      <c r="V41" s="110"/>
    </row>
    <row r="42" spans="1:22"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09"/>
      <c r="V42" s="110"/>
    </row>
    <row r="43" spans="1:22"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09"/>
      <c r="V43" s="110"/>
    </row>
    <row r="44" spans="1:22"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5"/>
      <c r="V44" s="147"/>
    </row>
    <row r="45" spans="1:22" s="5" customFormat="1" ht="13.9" customHeight="1">
      <c r="A45" s="69" t="s">
        <v>277</v>
      </c>
      <c r="B45" s="144"/>
      <c r="C45" s="145"/>
      <c r="D45" s="145"/>
      <c r="E45" s="145"/>
      <c r="F45" s="146"/>
      <c r="G45" s="144" t="e">
        <f ca="1">"BFD"&amp;VLOOKUP(F3,INDEX!B:AH,33,0)&amp;"WR"</f>
        <v>#VALUE!</v>
      </c>
      <c r="H45" s="145"/>
      <c r="I45" s="145"/>
      <c r="J45" s="145"/>
      <c r="K45" s="145"/>
      <c r="L45" s="145"/>
      <c r="M45" s="145"/>
      <c r="N45" s="145"/>
      <c r="O45" s="145"/>
      <c r="P45" s="145"/>
      <c r="Q45" s="145"/>
      <c r="R45" s="145"/>
      <c r="S45" s="145"/>
      <c r="T45" s="145"/>
      <c r="U45" s="145"/>
      <c r="V45" s="147"/>
    </row>
    <row r="46" spans="1:22" s="5" customFormat="1" ht="13.9" customHeight="1">
      <c r="A46" s="69"/>
      <c r="B46" s="109"/>
      <c r="C46" s="109"/>
      <c r="D46" s="109"/>
      <c r="E46" s="109"/>
      <c r="F46" s="109"/>
      <c r="G46" s="109"/>
      <c r="H46" s="109"/>
      <c r="I46" s="109"/>
      <c r="J46" s="109"/>
      <c r="K46" s="109"/>
      <c r="L46" s="109"/>
      <c r="M46" s="109"/>
      <c r="N46" s="109"/>
      <c r="O46" s="109"/>
      <c r="P46" s="109"/>
      <c r="Q46" s="109"/>
      <c r="R46" s="109"/>
      <c r="S46" s="109"/>
      <c r="T46" s="109"/>
      <c r="U46" s="109"/>
      <c r="V46" s="110"/>
    </row>
    <row r="47" spans="1:22" s="5" customFormat="1">
      <c r="A47" s="117" t="s">
        <v>278</v>
      </c>
      <c r="B47" s="118"/>
      <c r="C47" s="118"/>
      <c r="D47" s="118"/>
      <c r="E47" s="118"/>
      <c r="F47" s="118"/>
      <c r="G47" s="118"/>
      <c r="H47" s="118"/>
      <c r="I47" s="118"/>
      <c r="J47" s="118"/>
      <c r="K47" s="118"/>
      <c r="L47" s="118"/>
      <c r="M47" s="118"/>
      <c r="N47" s="118"/>
      <c r="O47" s="118"/>
      <c r="P47" s="118"/>
      <c r="Q47" s="118"/>
      <c r="R47" s="118"/>
      <c r="S47" s="118"/>
      <c r="T47" s="118"/>
      <c r="U47" s="118"/>
      <c r="V47" s="119"/>
    </row>
    <row r="48" spans="1:22" s="5" customFormat="1" ht="28.15" customHeight="1">
      <c r="A48" s="111" t="s">
        <v>279</v>
      </c>
      <c r="B48" s="112"/>
      <c r="C48" s="112"/>
      <c r="D48" s="112"/>
      <c r="E48" s="112"/>
      <c r="F48" s="112"/>
      <c r="G48" s="112"/>
      <c r="H48" s="112"/>
      <c r="I48" s="112"/>
      <c r="J48" s="112"/>
      <c r="K48" s="112"/>
      <c r="L48" s="112"/>
      <c r="M48" s="112"/>
      <c r="N48" s="112"/>
      <c r="O48" s="112"/>
      <c r="P48" s="112"/>
      <c r="Q48" s="112"/>
      <c r="R48" s="112"/>
      <c r="S48" s="112"/>
      <c r="T48" s="112"/>
      <c r="U48" s="112"/>
      <c r="V48" s="113"/>
    </row>
    <row r="49" spans="1:22" s="5" customFormat="1" ht="14.45" customHeight="1">
      <c r="A49" s="114" t="s">
        <v>280</v>
      </c>
      <c r="B49" s="115"/>
      <c r="C49" s="115"/>
      <c r="D49" s="115"/>
      <c r="E49" s="115"/>
      <c r="F49" s="115"/>
      <c r="G49" s="115"/>
      <c r="H49" s="115"/>
      <c r="I49" s="115"/>
      <c r="J49" s="115"/>
      <c r="K49" s="115"/>
      <c r="L49" s="115"/>
      <c r="M49" s="115"/>
      <c r="N49" s="115"/>
      <c r="O49" s="115"/>
      <c r="P49" s="115"/>
      <c r="Q49" s="115"/>
      <c r="R49" s="115"/>
      <c r="S49" s="115"/>
      <c r="T49" s="115"/>
      <c r="U49" s="115"/>
      <c r="V49" s="116"/>
    </row>
    <row r="50" spans="1:22" s="5" customFormat="1" ht="14.45" customHeight="1">
      <c r="A50" s="114" t="s">
        <v>281</v>
      </c>
      <c r="B50" s="115"/>
      <c r="C50" s="115"/>
      <c r="D50" s="115"/>
      <c r="E50" s="115"/>
      <c r="F50" s="115"/>
      <c r="G50" s="115"/>
      <c r="H50" s="115"/>
      <c r="I50" s="115"/>
      <c r="J50" s="115"/>
      <c r="K50" s="115"/>
      <c r="L50" s="115"/>
      <c r="M50" s="115"/>
      <c r="N50" s="115"/>
      <c r="O50" s="115"/>
      <c r="P50" s="115"/>
      <c r="Q50" s="115"/>
      <c r="R50" s="115"/>
      <c r="S50" s="115"/>
      <c r="T50" s="115"/>
      <c r="U50" s="115"/>
      <c r="V50" s="116"/>
    </row>
    <row r="51" spans="1:22" s="5" customFormat="1" ht="28.9" customHeight="1">
      <c r="A51" s="114" t="s">
        <v>282</v>
      </c>
      <c r="B51" s="115"/>
      <c r="C51" s="115"/>
      <c r="D51" s="115"/>
      <c r="E51" s="115"/>
      <c r="F51" s="115"/>
      <c r="G51" s="115"/>
      <c r="H51" s="115"/>
      <c r="I51" s="115"/>
      <c r="J51" s="115"/>
      <c r="K51" s="115"/>
      <c r="L51" s="115"/>
      <c r="M51" s="115"/>
      <c r="N51" s="115"/>
      <c r="O51" s="115"/>
      <c r="P51" s="115"/>
      <c r="Q51" s="115"/>
      <c r="R51" s="115"/>
      <c r="S51" s="115"/>
      <c r="T51" s="115"/>
      <c r="U51" s="115"/>
      <c r="V51" s="116"/>
    </row>
    <row r="52" spans="1:22" s="5" customFormat="1" ht="26.45" customHeight="1">
      <c r="A52" s="114" t="s">
        <v>283</v>
      </c>
      <c r="B52" s="115"/>
      <c r="C52" s="115"/>
      <c r="D52" s="115"/>
      <c r="E52" s="115"/>
      <c r="F52" s="115"/>
      <c r="G52" s="115"/>
      <c r="H52" s="115"/>
      <c r="I52" s="115"/>
      <c r="J52" s="115"/>
      <c r="K52" s="115"/>
      <c r="L52" s="115"/>
      <c r="M52" s="115"/>
      <c r="N52" s="115"/>
      <c r="O52" s="115"/>
      <c r="P52" s="115"/>
      <c r="Q52" s="115"/>
      <c r="R52" s="115"/>
      <c r="S52" s="115"/>
      <c r="T52" s="115"/>
      <c r="U52" s="115"/>
      <c r="V52" s="116"/>
    </row>
    <row r="53" spans="1:22" s="5" customFormat="1"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5"/>
      <c r="V53" s="116"/>
    </row>
    <row r="54" spans="1:22" s="5" customFormat="1"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5"/>
      <c r="V54" s="116"/>
    </row>
    <row r="55" spans="1:22" s="5" customFormat="1" ht="14.45" customHeight="1">
      <c r="A55" s="114" t="s">
        <v>286</v>
      </c>
      <c r="B55" s="115"/>
      <c r="C55" s="115"/>
      <c r="D55" s="115"/>
      <c r="E55" s="115"/>
      <c r="F55" s="115"/>
      <c r="G55" s="115"/>
      <c r="H55" s="115"/>
      <c r="I55" s="115"/>
      <c r="J55" s="115"/>
      <c r="K55" s="115"/>
      <c r="L55" s="115"/>
      <c r="M55" s="115"/>
      <c r="N55" s="115"/>
      <c r="O55" s="115"/>
      <c r="P55" s="115"/>
      <c r="Q55" s="115"/>
      <c r="R55" s="115"/>
      <c r="S55" s="115"/>
      <c r="T55" s="115"/>
      <c r="U55" s="115"/>
      <c r="V55" s="116"/>
    </row>
    <row r="56" spans="1:22" s="5" customFormat="1" ht="15.75" thickBot="1">
      <c r="A56" s="177"/>
      <c r="B56" s="178"/>
      <c r="C56" s="178"/>
      <c r="D56" s="178"/>
      <c r="E56" s="178"/>
      <c r="F56" s="178"/>
      <c r="G56" s="178"/>
      <c r="H56" s="178"/>
      <c r="I56" s="178"/>
      <c r="J56" s="178"/>
      <c r="K56" s="178"/>
      <c r="L56" s="178"/>
      <c r="M56" s="178"/>
      <c r="N56" s="178"/>
      <c r="O56" s="178"/>
      <c r="P56" s="178"/>
      <c r="Q56" s="178"/>
      <c r="R56" s="178"/>
      <c r="S56" s="178"/>
      <c r="T56" s="178"/>
      <c r="U56" s="178"/>
      <c r="V56" s="179"/>
    </row>
  </sheetData>
  <mergeCells count="85">
    <mergeCell ref="A56:V56"/>
    <mergeCell ref="F4:H4"/>
    <mergeCell ref="F3:G3"/>
    <mergeCell ref="H3:I3"/>
    <mergeCell ref="B26:E26"/>
    <mergeCell ref="F26:V26"/>
    <mergeCell ref="K16:V16"/>
    <mergeCell ref="D9:E9"/>
    <mergeCell ref="F9:G9"/>
    <mergeCell ref="H9:I9"/>
    <mergeCell ref="L8:Q9"/>
    <mergeCell ref="B9:C9"/>
    <mergeCell ref="K17:V17"/>
    <mergeCell ref="B11:V11"/>
    <mergeCell ref="B22:V22"/>
    <mergeCell ref="B23:V23"/>
    <mergeCell ref="F2:I2"/>
    <mergeCell ref="A55:V55"/>
    <mergeCell ref="A10:V10"/>
    <mergeCell ref="J9:K9"/>
    <mergeCell ref="B8:C8"/>
    <mergeCell ref="D8:E8"/>
    <mergeCell ref="A28:V28"/>
    <mergeCell ref="H8:I8"/>
    <mergeCell ref="J8:K8"/>
    <mergeCell ref="B20:J20"/>
    <mergeCell ref="K20:V20"/>
    <mergeCell ref="B24:V24"/>
    <mergeCell ref="B25:V25"/>
    <mergeCell ref="F8:G8"/>
    <mergeCell ref="R8:V8"/>
    <mergeCell ref="R9:V9"/>
    <mergeCell ref="B16:J16"/>
    <mergeCell ref="B17:J17"/>
    <mergeCell ref="B18:V18"/>
    <mergeCell ref="B21:J21"/>
    <mergeCell ref="B29:V29"/>
    <mergeCell ref="B30:V30"/>
    <mergeCell ref="B31:V31"/>
    <mergeCell ref="K21:V21"/>
    <mergeCell ref="A19:V19"/>
    <mergeCell ref="B27:V27"/>
    <mergeCell ref="A32:V32"/>
    <mergeCell ref="B34:M34"/>
    <mergeCell ref="B33:V33"/>
    <mergeCell ref="N34:V34"/>
    <mergeCell ref="A35:V35"/>
    <mergeCell ref="B36:V36"/>
    <mergeCell ref="A39:V39"/>
    <mergeCell ref="B40:V40"/>
    <mergeCell ref="B41:V41"/>
    <mergeCell ref="B37:V37"/>
    <mergeCell ref="B38:V38"/>
    <mergeCell ref="J2:M2"/>
    <mergeCell ref="A53:V53"/>
    <mergeCell ref="A54:V54"/>
    <mergeCell ref="A48:V48"/>
    <mergeCell ref="A49:V49"/>
    <mergeCell ref="A50:V50"/>
    <mergeCell ref="A51:V51"/>
    <mergeCell ref="A52:V52"/>
    <mergeCell ref="A47:V47"/>
    <mergeCell ref="B44:E44"/>
    <mergeCell ref="B42:V42"/>
    <mergeCell ref="B43:V43"/>
    <mergeCell ref="F44:V44"/>
    <mergeCell ref="B46:V46"/>
    <mergeCell ref="B45:F45"/>
    <mergeCell ref="G45:V45"/>
    <mergeCell ref="J3:M3"/>
    <mergeCell ref="A7:V7"/>
    <mergeCell ref="I6:V6"/>
    <mergeCell ref="I5:V5"/>
    <mergeCell ref="I4:V4"/>
    <mergeCell ref="F5:H5"/>
    <mergeCell ref="F6:H6"/>
    <mergeCell ref="A1:E6"/>
    <mergeCell ref="T1:V1"/>
    <mergeCell ref="T2:V2"/>
    <mergeCell ref="T3:V3"/>
    <mergeCell ref="F1:S1"/>
    <mergeCell ref="Q2:S2"/>
    <mergeCell ref="Q3:S3"/>
    <mergeCell ref="N2:P2"/>
    <mergeCell ref="N3:P3"/>
  </mergeCells>
  <printOptions horizontalCentered="1"/>
  <pageMargins left="0.7" right="0.7" top="0.75" bottom="0.75" header="0.3" footer="0.3"/>
  <pageSetup paperSize="9" scale="86" firstPageNumber="18" orientation="portrait" r:id="rId1"/>
  <legacyDrawingHF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8">
    <tabColor theme="4" tint="0.59999389629810485"/>
    <pageSetUpPr fitToPage="1"/>
  </sheetPr>
  <dimension ref="A1:AW55"/>
  <sheetViews>
    <sheetView workbookViewId="0">
      <selection activeCell="Z23" sqref="Z23"/>
    </sheetView>
  </sheetViews>
  <sheetFormatPr defaultColWidth="9.140625" defaultRowHeight="15"/>
  <cols>
    <col min="1" max="1" width="10.7109375" style="5" customWidth="1"/>
    <col min="2" max="18" width="4.28515625" style="5" customWidth="1"/>
    <col min="19" max="22" width="4.28515625" style="1" customWidth="1"/>
    <col min="23" max="16384" width="9.140625" style="5"/>
  </cols>
  <sheetData>
    <row r="1" spans="1:49" ht="14.45" customHeight="1">
      <c r="A1" s="132" t="e" vm="1">
        <v>#VALUE!</v>
      </c>
      <c r="B1" s="133"/>
      <c r="C1" s="133"/>
      <c r="D1" s="133"/>
      <c r="E1" s="134"/>
      <c r="F1" s="165" t="s">
        <v>213</v>
      </c>
      <c r="G1" s="166"/>
      <c r="H1" s="166"/>
      <c r="I1" s="166"/>
      <c r="J1" s="166"/>
      <c r="K1" s="166"/>
      <c r="L1" s="166"/>
      <c r="M1" s="166"/>
      <c r="N1" s="166"/>
      <c r="O1" s="166"/>
      <c r="P1" s="166"/>
      <c r="Q1" s="166"/>
      <c r="R1" s="166"/>
      <c r="S1" s="166"/>
      <c r="T1" s="153" t="s">
        <v>214</v>
      </c>
      <c r="U1" s="153"/>
      <c r="V1" s="154"/>
    </row>
    <row r="2" spans="1:49" ht="15.75" customHeight="1">
      <c r="A2" s="135"/>
      <c r="B2" s="136"/>
      <c r="C2" s="136"/>
      <c r="D2" s="136"/>
      <c r="E2" s="137"/>
      <c r="F2" s="127" t="s">
        <v>215</v>
      </c>
      <c r="G2" s="101"/>
      <c r="H2" s="101"/>
      <c r="I2" s="101"/>
      <c r="J2" s="101" t="s">
        <v>216</v>
      </c>
      <c r="K2" s="101"/>
      <c r="L2" s="101"/>
      <c r="M2" s="101"/>
      <c r="N2" s="101" t="s">
        <v>217</v>
      </c>
      <c r="O2" s="101"/>
      <c r="P2" s="101"/>
      <c r="Q2" s="101" t="s">
        <v>13</v>
      </c>
      <c r="R2" s="101"/>
      <c r="S2" s="101"/>
      <c r="T2" s="101" t="s">
        <v>10</v>
      </c>
      <c r="U2" s="101"/>
      <c r="V2" s="102"/>
    </row>
    <row r="3" spans="1:49">
      <c r="A3" s="135"/>
      <c r="B3" s="136"/>
      <c r="C3" s="136"/>
      <c r="D3" s="136"/>
      <c r="E3" s="137"/>
      <c r="F3" s="127" t="e">
        <f ca="1">MID(CELL("filename",A4),FIND("]",CELL("filename",A4))+1,255)</f>
        <v>#VALUE!</v>
      </c>
      <c r="G3" s="101"/>
      <c r="H3" s="101" t="e">
        <f ca="1">VLOOKUP(F3,INDEX!B:J,2,0)</f>
        <v>#VALUE!</v>
      </c>
      <c r="I3" s="101"/>
      <c r="J3" s="101" t="e">
        <f ca="1">VLOOKUP(F3,INDEX!B:J,4,0)</f>
        <v>#VALUE!</v>
      </c>
      <c r="K3" s="101"/>
      <c r="L3" s="101"/>
      <c r="M3" s="101"/>
      <c r="N3" s="101" t="e">
        <f ca="1">VLOOKUP(F3,INDEX!B:J,5,0)</f>
        <v>#VALUE!</v>
      </c>
      <c r="O3" s="101"/>
      <c r="P3" s="101"/>
      <c r="Q3" s="105" t="e">
        <f ca="1">VLOOKUP(F3,INDEX!B:AF,17,0)</f>
        <v>#VALUE!</v>
      </c>
      <c r="R3" s="105"/>
      <c r="S3" s="105"/>
      <c r="T3" s="101" t="e">
        <f ca="1">VLOOKUP(F3,INDEX!B:J,9,0)</f>
        <v>#VALUE!</v>
      </c>
      <c r="U3" s="101"/>
      <c r="V3" s="102"/>
    </row>
    <row r="4" spans="1:49" ht="15" customHeight="1">
      <c r="A4" s="135"/>
      <c r="B4" s="136"/>
      <c r="C4" s="136"/>
      <c r="D4" s="136"/>
      <c r="E4" s="137"/>
      <c r="F4" s="130" t="s">
        <v>218</v>
      </c>
      <c r="G4" s="131"/>
      <c r="H4" s="131"/>
      <c r="I4" s="212" t="e">
        <f ca="1">VLOOKUP(F3,INDEX!B:AF,18,0)</f>
        <v>#VALUE!</v>
      </c>
      <c r="J4" s="212"/>
      <c r="K4" s="212"/>
      <c r="L4" s="212"/>
      <c r="M4" s="212"/>
      <c r="N4" s="212"/>
      <c r="O4" s="212"/>
      <c r="P4" s="212"/>
      <c r="Q4" s="212"/>
      <c r="R4" s="212"/>
      <c r="S4" s="212"/>
      <c r="T4" s="212"/>
      <c r="U4" s="212"/>
      <c r="V4" s="213"/>
    </row>
    <row r="5" spans="1:49" ht="13.9" customHeight="1">
      <c r="A5" s="135"/>
      <c r="B5" s="136"/>
      <c r="C5" s="136"/>
      <c r="D5" s="136"/>
      <c r="E5" s="137"/>
      <c r="F5" s="128" t="s">
        <v>219</v>
      </c>
      <c r="G5" s="129"/>
      <c r="H5" s="62"/>
      <c r="I5" s="212" t="e">
        <f ca="1">VLOOKUP(F3,INDEX!B:J,6,0)</f>
        <v>#VALUE!</v>
      </c>
      <c r="J5" s="212"/>
      <c r="K5" s="212"/>
      <c r="L5" s="212"/>
      <c r="M5" s="212"/>
      <c r="N5" s="212"/>
      <c r="O5" s="212"/>
      <c r="P5" s="212"/>
      <c r="Q5" s="212"/>
      <c r="R5" s="212"/>
      <c r="S5" s="212"/>
      <c r="T5" s="212"/>
      <c r="U5" s="212"/>
      <c r="V5" s="213"/>
    </row>
    <row r="6" spans="1:49" ht="14.45" customHeight="1" thickBot="1">
      <c r="A6" s="138"/>
      <c r="B6" s="139"/>
      <c r="C6" s="139"/>
      <c r="D6" s="139"/>
      <c r="E6" s="140"/>
      <c r="F6" s="130" t="s">
        <v>220</v>
      </c>
      <c r="G6" s="131"/>
      <c r="H6" s="131"/>
      <c r="I6" s="198" t="e">
        <f ca="1">VLOOKUP(F3,INDEX!B:AF,16,0)</f>
        <v>#VALUE!</v>
      </c>
      <c r="J6" s="198"/>
      <c r="K6" s="198"/>
      <c r="L6" s="198"/>
      <c r="M6" s="198"/>
      <c r="N6" s="198"/>
      <c r="O6" s="198"/>
      <c r="P6" s="198"/>
      <c r="Q6" s="198"/>
      <c r="R6" s="198"/>
      <c r="S6" s="198"/>
      <c r="T6" s="198"/>
      <c r="U6" s="198"/>
      <c r="V6" s="199"/>
    </row>
    <row r="7" spans="1:49" ht="14.45" customHeight="1">
      <c r="A7" s="200" t="s">
        <v>221</v>
      </c>
      <c r="B7" s="201"/>
      <c r="C7" s="201"/>
      <c r="D7" s="201"/>
      <c r="E7" s="201"/>
      <c r="F7" s="201"/>
      <c r="G7" s="201"/>
      <c r="H7" s="201"/>
      <c r="I7" s="201"/>
      <c r="J7" s="201"/>
      <c r="K7" s="201"/>
      <c r="L7" s="201"/>
      <c r="M7" s="201"/>
      <c r="N7" s="201"/>
      <c r="O7" s="201"/>
      <c r="P7" s="201"/>
      <c r="Q7" s="201"/>
      <c r="R7" s="201"/>
      <c r="S7" s="201"/>
      <c r="T7" s="201"/>
      <c r="U7" s="201"/>
      <c r="V7" s="202"/>
    </row>
    <row r="8" spans="1:49"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2"/>
      <c r="P8" s="172"/>
      <c r="Q8" s="173"/>
      <c r="R8" s="101" t="s">
        <v>223</v>
      </c>
      <c r="S8" s="101"/>
      <c r="T8" s="101"/>
      <c r="U8" s="101"/>
      <c r="V8" s="102"/>
    </row>
    <row r="9" spans="1:49" s="3" customFormat="1">
      <c r="A9" s="67" t="s">
        <v>224</v>
      </c>
      <c r="B9" s="151" t="e">
        <f ca="1">VLOOKUP(F3,INDEX!B:Z,19,0)&amp;" to 38"</f>
        <v>#VALUE!</v>
      </c>
      <c r="C9" s="127"/>
      <c r="D9" s="151">
        <v>50</v>
      </c>
      <c r="E9" s="127"/>
      <c r="F9" s="151">
        <v>100</v>
      </c>
      <c r="G9" s="127"/>
      <c r="H9" s="151">
        <v>150</v>
      </c>
      <c r="I9" s="127"/>
      <c r="J9" s="151">
        <v>200</v>
      </c>
      <c r="K9" s="127"/>
      <c r="L9" s="174"/>
      <c r="M9" s="175"/>
      <c r="N9" s="175"/>
      <c r="O9" s="175"/>
      <c r="P9" s="175"/>
      <c r="Q9" s="176"/>
      <c r="R9" s="101" t="e">
        <f ca="1">B8*1.5</f>
        <v>#VALUE!</v>
      </c>
      <c r="S9" s="101"/>
      <c r="T9" s="101"/>
      <c r="U9" s="101"/>
      <c r="V9" s="102"/>
    </row>
    <row r="10" spans="1:49" s="3" customFormat="1">
      <c r="A10" s="162" t="s">
        <v>225</v>
      </c>
      <c r="B10" s="163"/>
      <c r="C10" s="163"/>
      <c r="D10" s="163"/>
      <c r="E10" s="163"/>
      <c r="F10" s="163"/>
      <c r="G10" s="163"/>
      <c r="H10" s="163"/>
      <c r="I10" s="163"/>
      <c r="J10" s="163"/>
      <c r="K10" s="163"/>
      <c r="L10" s="163"/>
      <c r="M10" s="163"/>
      <c r="N10" s="163"/>
      <c r="O10" s="163"/>
      <c r="P10" s="163"/>
      <c r="Q10" s="163"/>
      <c r="R10" s="234"/>
      <c r="S10" s="25"/>
      <c r="T10" s="26"/>
      <c r="U10" s="26"/>
      <c r="V10" s="85"/>
    </row>
    <row r="11" spans="1:49">
      <c r="A11" s="69" t="s">
        <v>226</v>
      </c>
      <c r="B11" s="109" t="s">
        <v>375</v>
      </c>
      <c r="C11" s="109"/>
      <c r="D11" s="109"/>
      <c r="E11" s="109"/>
      <c r="F11" s="109"/>
      <c r="G11" s="109"/>
      <c r="H11" s="109"/>
      <c r="I11" s="109"/>
      <c r="J11" s="109"/>
      <c r="K11" s="109"/>
      <c r="L11" s="109"/>
      <c r="M11" s="109"/>
      <c r="N11" s="109"/>
      <c r="O11" s="109"/>
      <c r="P11" s="109"/>
      <c r="Q11" s="109"/>
      <c r="R11" s="109"/>
      <c r="S11" s="222"/>
      <c r="T11" s="222"/>
      <c r="U11" s="222"/>
      <c r="V11" s="223"/>
    </row>
    <row r="12" spans="1:49"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17">
        <v>30</v>
      </c>
      <c r="V12" s="66">
        <v>32</v>
      </c>
      <c r="AH12" s="5"/>
      <c r="AI12" s="5"/>
      <c r="AJ12" s="5"/>
      <c r="AK12" s="5"/>
      <c r="AL12" s="5"/>
      <c r="AM12" s="5"/>
      <c r="AN12" s="5"/>
      <c r="AO12" s="5"/>
      <c r="AP12" s="5"/>
      <c r="AQ12" s="5"/>
      <c r="AR12" s="5"/>
      <c r="AS12" s="5"/>
      <c r="AT12" s="5"/>
      <c r="AU12" s="5"/>
      <c r="AV12" s="5"/>
      <c r="AW12" s="5"/>
    </row>
    <row r="13" spans="1:49"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17">
        <v>762</v>
      </c>
      <c r="V13" s="66">
        <v>812.8</v>
      </c>
      <c r="AH13" s="5"/>
      <c r="AI13" s="5"/>
      <c r="AJ13" s="5"/>
      <c r="AK13" s="5"/>
      <c r="AL13" s="5"/>
      <c r="AM13" s="5"/>
      <c r="AN13" s="5"/>
      <c r="AO13" s="5"/>
      <c r="AP13" s="5"/>
      <c r="AQ13" s="5"/>
      <c r="AR13" s="5"/>
      <c r="AS13" s="5"/>
      <c r="AT13" s="5"/>
      <c r="AU13" s="5"/>
      <c r="AV13" s="5"/>
      <c r="AW13" s="5"/>
    </row>
    <row r="14" spans="1:49" s="3" customFormat="1">
      <c r="A14" s="70" t="s">
        <v>230</v>
      </c>
      <c r="B14" s="17" t="s">
        <v>368</v>
      </c>
      <c r="C14" s="17" t="s">
        <v>384</v>
      </c>
      <c r="D14" s="17" t="s">
        <v>368</v>
      </c>
      <c r="E14" s="17" t="s">
        <v>368</v>
      </c>
      <c r="F14" s="17" t="s">
        <v>368</v>
      </c>
      <c r="G14" s="17" t="s">
        <v>385</v>
      </c>
      <c r="H14" s="17" t="s">
        <v>385</v>
      </c>
      <c r="I14" s="17" t="s">
        <v>385</v>
      </c>
      <c r="J14" s="17" t="s">
        <v>385</v>
      </c>
      <c r="K14" s="17" t="s">
        <v>385</v>
      </c>
      <c r="L14" s="17">
        <v>20</v>
      </c>
      <c r="M14" s="17">
        <v>10</v>
      </c>
      <c r="N14" s="17">
        <v>10</v>
      </c>
      <c r="O14" s="17">
        <v>20</v>
      </c>
      <c r="P14" s="17" t="s">
        <v>369</v>
      </c>
      <c r="Q14" s="17" t="s">
        <v>231</v>
      </c>
      <c r="R14" s="17" t="s">
        <v>369</v>
      </c>
      <c r="S14" s="17" t="s">
        <v>231</v>
      </c>
      <c r="T14" s="17" t="s">
        <v>232</v>
      </c>
      <c r="U14" s="17" t="s">
        <v>232</v>
      </c>
      <c r="V14" s="66" t="s">
        <v>232</v>
      </c>
    </row>
    <row r="15" spans="1:49" s="3" customFormat="1">
      <c r="A15" s="70" t="s">
        <v>233</v>
      </c>
      <c r="B15" s="17">
        <v>3.73</v>
      </c>
      <c r="C15" s="17">
        <v>3.91</v>
      </c>
      <c r="D15" s="17">
        <v>4.55</v>
      </c>
      <c r="E15" s="17">
        <v>5.08</v>
      </c>
      <c r="F15" s="17">
        <v>5.54</v>
      </c>
      <c r="G15" s="17">
        <v>3.05</v>
      </c>
      <c r="H15" s="17">
        <v>3.05</v>
      </c>
      <c r="I15" s="17">
        <v>3.4</v>
      </c>
      <c r="J15" s="17">
        <v>3.76</v>
      </c>
      <c r="K15" s="17">
        <v>4.1900000000000004</v>
      </c>
      <c r="L15" s="17">
        <v>6.35</v>
      </c>
      <c r="M15" s="17">
        <v>6.35</v>
      </c>
      <c r="N15" s="17">
        <v>6.35</v>
      </c>
      <c r="O15" s="17">
        <v>7.92</v>
      </c>
      <c r="P15" s="17">
        <v>9.5299999999999994</v>
      </c>
      <c r="Q15" s="17">
        <v>9.5299999999999994</v>
      </c>
      <c r="R15" s="17">
        <v>9.5299999999999994</v>
      </c>
      <c r="S15" s="17">
        <v>9.5299999999999994</v>
      </c>
      <c r="T15" s="17">
        <v>12.7</v>
      </c>
      <c r="U15" s="17">
        <v>12.7</v>
      </c>
      <c r="V15" s="66">
        <v>12.7</v>
      </c>
    </row>
    <row r="16" spans="1:49">
      <c r="A16" s="69" t="s">
        <v>234</v>
      </c>
      <c r="B16" s="109" t="s">
        <v>235</v>
      </c>
      <c r="C16" s="109"/>
      <c r="D16" s="109"/>
      <c r="E16" s="109"/>
      <c r="F16" s="109"/>
      <c r="G16" s="109"/>
      <c r="H16" s="109"/>
      <c r="I16" s="109"/>
      <c r="J16" s="109"/>
      <c r="K16" s="109" t="s">
        <v>386</v>
      </c>
      <c r="L16" s="109"/>
      <c r="M16" s="109"/>
      <c r="N16" s="109"/>
      <c r="O16" s="109"/>
      <c r="P16" s="109"/>
      <c r="Q16" s="109"/>
      <c r="R16" s="144"/>
      <c r="S16" s="20"/>
      <c r="T16" s="20"/>
      <c r="U16" s="20"/>
      <c r="V16" s="71"/>
    </row>
    <row r="17" spans="1:22" ht="16.899999999999999" customHeight="1">
      <c r="A17" s="69" t="s">
        <v>237</v>
      </c>
      <c r="B17" s="109" t="s">
        <v>387</v>
      </c>
      <c r="C17" s="109"/>
      <c r="D17" s="109"/>
      <c r="E17" s="109"/>
      <c r="F17" s="109"/>
      <c r="G17" s="109"/>
      <c r="H17" s="109"/>
      <c r="I17" s="109"/>
      <c r="J17" s="109"/>
      <c r="K17" s="144" t="s">
        <v>388</v>
      </c>
      <c r="L17" s="145"/>
      <c r="M17" s="145"/>
      <c r="N17" s="145"/>
      <c r="O17" s="145"/>
      <c r="P17" s="145"/>
      <c r="Q17" s="145"/>
      <c r="R17" s="145"/>
      <c r="S17" s="20"/>
      <c r="T17" s="20"/>
      <c r="U17" s="20"/>
      <c r="V17" s="71"/>
    </row>
    <row r="18" spans="1:22">
      <c r="A18" s="69" t="s">
        <v>240</v>
      </c>
      <c r="B18" s="144" t="s">
        <v>241</v>
      </c>
      <c r="C18" s="145"/>
      <c r="D18" s="145"/>
      <c r="E18" s="145"/>
      <c r="F18" s="145"/>
      <c r="G18" s="145"/>
      <c r="H18" s="145"/>
      <c r="I18" s="145"/>
      <c r="J18" s="145"/>
      <c r="K18" s="145"/>
      <c r="L18" s="145"/>
      <c r="M18" s="145"/>
      <c r="N18" s="145"/>
      <c r="O18" s="145"/>
      <c r="P18" s="145"/>
      <c r="Q18" s="145"/>
      <c r="R18" s="145"/>
      <c r="S18" s="20"/>
      <c r="T18" s="20"/>
      <c r="U18" s="20"/>
      <c r="V18" s="71"/>
    </row>
    <row r="19" spans="1:22">
      <c r="A19" s="117" t="s">
        <v>242</v>
      </c>
      <c r="B19" s="109"/>
      <c r="C19" s="109"/>
      <c r="D19" s="109"/>
      <c r="E19" s="109"/>
      <c r="F19" s="109"/>
      <c r="G19" s="109"/>
      <c r="H19" s="109"/>
      <c r="I19" s="109"/>
      <c r="J19" s="109"/>
      <c r="K19" s="109"/>
      <c r="L19" s="109"/>
      <c r="M19" s="109"/>
      <c r="N19" s="109"/>
      <c r="O19" s="109"/>
      <c r="P19" s="109"/>
      <c r="Q19" s="109"/>
      <c r="R19" s="144"/>
      <c r="S19" s="20"/>
      <c r="T19" s="20"/>
      <c r="U19" s="20"/>
      <c r="V19" s="71"/>
    </row>
    <row r="20" spans="1:22" ht="15" customHeight="1">
      <c r="A20" s="69" t="s">
        <v>234</v>
      </c>
      <c r="B20" s="144" t="s">
        <v>243</v>
      </c>
      <c r="C20" s="145"/>
      <c r="D20" s="145"/>
      <c r="E20" s="145"/>
      <c r="F20" s="145"/>
      <c r="G20" s="145"/>
      <c r="H20" s="145"/>
      <c r="I20" s="145"/>
      <c r="J20" s="146"/>
      <c r="K20" s="144" t="s">
        <v>244</v>
      </c>
      <c r="L20" s="145"/>
      <c r="M20" s="145"/>
      <c r="N20" s="145"/>
      <c r="O20" s="145"/>
      <c r="P20" s="145"/>
      <c r="Q20" s="145"/>
      <c r="R20" s="145"/>
      <c r="S20" s="20"/>
      <c r="T20" s="20"/>
      <c r="U20" s="20"/>
      <c r="V20" s="71"/>
    </row>
    <row r="21" spans="1:22" ht="15" customHeight="1">
      <c r="A21" s="69" t="s">
        <v>237</v>
      </c>
      <c r="B21" s="144" t="s">
        <v>389</v>
      </c>
      <c r="C21" s="145"/>
      <c r="D21" s="145"/>
      <c r="E21" s="145"/>
      <c r="F21" s="145"/>
      <c r="G21" s="145"/>
      <c r="H21" s="145"/>
      <c r="I21" s="145"/>
      <c r="J21" s="146"/>
      <c r="K21" s="109" t="s">
        <v>390</v>
      </c>
      <c r="L21" s="109"/>
      <c r="M21" s="109"/>
      <c r="N21" s="109"/>
      <c r="O21" s="109"/>
      <c r="P21" s="109"/>
      <c r="Q21" s="109"/>
      <c r="R21" s="144"/>
      <c r="S21" s="20"/>
      <c r="T21" s="20"/>
      <c r="U21" s="20"/>
      <c r="V21" s="71"/>
    </row>
    <row r="22" spans="1:22" ht="15" customHeight="1">
      <c r="A22" s="69" t="s">
        <v>246</v>
      </c>
      <c r="B22" s="144" t="s">
        <v>247</v>
      </c>
      <c r="C22" s="145"/>
      <c r="D22" s="145"/>
      <c r="E22" s="145"/>
      <c r="F22" s="145"/>
      <c r="G22" s="145"/>
      <c r="H22" s="145"/>
      <c r="I22" s="145"/>
      <c r="J22" s="145"/>
      <c r="K22" s="145"/>
      <c r="L22" s="145"/>
      <c r="M22" s="145"/>
      <c r="N22" s="145"/>
      <c r="O22" s="145"/>
      <c r="P22" s="145"/>
      <c r="Q22" s="145"/>
      <c r="R22" s="145"/>
      <c r="S22" s="20"/>
      <c r="T22" s="20"/>
      <c r="U22" s="20"/>
      <c r="V22" s="71"/>
    </row>
    <row r="23" spans="1:22" ht="15" customHeight="1">
      <c r="A23" s="69" t="s">
        <v>248</v>
      </c>
      <c r="B23" s="144" t="s">
        <v>247</v>
      </c>
      <c r="C23" s="145"/>
      <c r="D23" s="145"/>
      <c r="E23" s="145"/>
      <c r="F23" s="145"/>
      <c r="G23" s="145"/>
      <c r="H23" s="145"/>
      <c r="I23" s="145"/>
      <c r="J23" s="145"/>
      <c r="K23" s="145" t="s">
        <v>247</v>
      </c>
      <c r="L23" s="145"/>
      <c r="M23" s="145"/>
      <c r="N23" s="145"/>
      <c r="O23" s="145"/>
      <c r="P23" s="145"/>
      <c r="Q23" s="145"/>
      <c r="R23" s="145"/>
      <c r="S23" s="20"/>
      <c r="T23" s="20"/>
      <c r="U23" s="20"/>
      <c r="V23" s="71"/>
    </row>
    <row r="24" spans="1:22" ht="15" customHeight="1">
      <c r="A24" s="69" t="s">
        <v>249</v>
      </c>
      <c r="B24" s="144" t="s">
        <v>247</v>
      </c>
      <c r="C24" s="145"/>
      <c r="D24" s="145"/>
      <c r="E24" s="145"/>
      <c r="F24" s="145"/>
      <c r="G24" s="145"/>
      <c r="H24" s="145"/>
      <c r="I24" s="145"/>
      <c r="J24" s="145"/>
      <c r="K24" s="145" t="s">
        <v>247</v>
      </c>
      <c r="L24" s="145"/>
      <c r="M24" s="145"/>
      <c r="N24" s="145"/>
      <c r="O24" s="145"/>
      <c r="P24" s="145"/>
      <c r="Q24" s="145"/>
      <c r="R24" s="145"/>
      <c r="S24" s="20"/>
      <c r="T24" s="20"/>
      <c r="U24" s="20"/>
      <c r="V24" s="71"/>
    </row>
    <row r="25" spans="1:22" ht="15" customHeight="1">
      <c r="A25" s="69" t="s">
        <v>250</v>
      </c>
      <c r="B25" s="144" t="s">
        <v>247</v>
      </c>
      <c r="C25" s="145"/>
      <c r="D25" s="145"/>
      <c r="E25" s="145"/>
      <c r="F25" s="145"/>
      <c r="G25" s="145"/>
      <c r="H25" s="145"/>
      <c r="I25" s="145"/>
      <c r="J25" s="145"/>
      <c r="K25" s="145" t="s">
        <v>247</v>
      </c>
      <c r="L25" s="145"/>
      <c r="M25" s="145"/>
      <c r="N25" s="145"/>
      <c r="O25" s="145"/>
      <c r="P25" s="145"/>
      <c r="Q25" s="145"/>
      <c r="R25" s="145"/>
      <c r="S25" s="20"/>
      <c r="T25" s="20"/>
      <c r="U25" s="20"/>
      <c r="V25" s="71"/>
    </row>
    <row r="26" spans="1:22" ht="15" customHeight="1">
      <c r="A26" s="69" t="s">
        <v>251</v>
      </c>
      <c r="B26" s="151" t="s">
        <v>290</v>
      </c>
      <c r="C26" s="145"/>
      <c r="D26" s="145"/>
      <c r="E26" s="146"/>
      <c r="F26" s="144"/>
      <c r="G26" s="145"/>
      <c r="H26" s="145"/>
      <c r="I26" s="145"/>
      <c r="J26" s="145"/>
      <c r="K26" s="145"/>
      <c r="L26" s="145"/>
      <c r="M26" s="145"/>
      <c r="N26" s="145"/>
      <c r="O26" s="145"/>
      <c r="P26" s="145"/>
      <c r="Q26" s="145"/>
      <c r="R26" s="145"/>
      <c r="S26" s="20"/>
      <c r="T26" s="20"/>
      <c r="U26" s="20"/>
      <c r="V26" s="71"/>
    </row>
    <row r="27" spans="1:22" ht="15" customHeight="1">
      <c r="A27" s="69" t="s">
        <v>253</v>
      </c>
      <c r="B27" s="144" t="s">
        <v>391</v>
      </c>
      <c r="C27" s="145"/>
      <c r="D27" s="145"/>
      <c r="E27" s="145"/>
      <c r="F27" s="145"/>
      <c r="G27" s="145"/>
      <c r="H27" s="145"/>
      <c r="I27" s="145"/>
      <c r="J27" s="145"/>
      <c r="K27" s="145" t="s">
        <v>392</v>
      </c>
      <c r="L27" s="145"/>
      <c r="M27" s="145"/>
      <c r="N27" s="145"/>
      <c r="O27" s="145"/>
      <c r="P27" s="145"/>
      <c r="Q27" s="145"/>
      <c r="R27" s="145"/>
      <c r="S27" s="20"/>
      <c r="T27" s="20"/>
      <c r="U27" s="20"/>
      <c r="V27" s="71"/>
    </row>
    <row r="28" spans="1:22">
      <c r="A28" s="117" t="s">
        <v>255</v>
      </c>
      <c r="B28" s="118"/>
      <c r="C28" s="118"/>
      <c r="D28" s="118"/>
      <c r="E28" s="118"/>
      <c r="F28" s="118"/>
      <c r="G28" s="118"/>
      <c r="H28" s="118"/>
      <c r="I28" s="118"/>
      <c r="J28" s="118"/>
      <c r="K28" s="118"/>
      <c r="L28" s="118"/>
      <c r="M28" s="118"/>
      <c r="N28" s="118"/>
      <c r="O28" s="118"/>
      <c r="P28" s="118"/>
      <c r="Q28" s="118"/>
      <c r="R28" s="118"/>
      <c r="S28" s="118"/>
      <c r="T28" s="118"/>
      <c r="U28" s="118"/>
      <c r="V28" s="119"/>
    </row>
    <row r="29" spans="1:22" ht="13.9" customHeight="1">
      <c r="A29" s="69" t="s">
        <v>237</v>
      </c>
      <c r="B29" s="109" t="s">
        <v>393</v>
      </c>
      <c r="C29" s="109"/>
      <c r="D29" s="109"/>
      <c r="E29" s="109"/>
      <c r="F29" s="109"/>
      <c r="G29" s="109"/>
      <c r="H29" s="109"/>
      <c r="I29" s="109"/>
      <c r="J29" s="109"/>
      <c r="K29" s="109"/>
      <c r="L29" s="109"/>
      <c r="M29" s="109"/>
      <c r="N29" s="109"/>
      <c r="O29" s="109"/>
      <c r="P29" s="109"/>
      <c r="Q29" s="109"/>
      <c r="R29" s="109"/>
      <c r="S29" s="109"/>
      <c r="T29" s="109"/>
      <c r="U29" s="109"/>
      <c r="V29" s="110"/>
    </row>
    <row r="30" spans="1:22" ht="13.9" customHeight="1">
      <c r="A30" s="69" t="s">
        <v>257</v>
      </c>
      <c r="B30" s="109" t="s">
        <v>291</v>
      </c>
      <c r="C30" s="109"/>
      <c r="D30" s="109"/>
      <c r="E30" s="109"/>
      <c r="F30" s="109"/>
      <c r="G30" s="109"/>
      <c r="H30" s="109"/>
      <c r="I30" s="109"/>
      <c r="J30" s="109"/>
      <c r="K30" s="109"/>
      <c r="L30" s="109"/>
      <c r="M30" s="109"/>
      <c r="N30" s="109"/>
      <c r="O30" s="109"/>
      <c r="P30" s="109"/>
      <c r="Q30" s="109"/>
      <c r="R30" s="109"/>
      <c r="S30" s="109"/>
      <c r="T30" s="109"/>
      <c r="U30" s="109"/>
      <c r="V30" s="110"/>
    </row>
    <row r="31" spans="1:22" ht="14.45" customHeight="1">
      <c r="A31" s="69" t="s">
        <v>234</v>
      </c>
      <c r="B31" s="109" t="s">
        <v>259</v>
      </c>
      <c r="C31" s="109"/>
      <c r="D31" s="109"/>
      <c r="E31" s="109"/>
      <c r="F31" s="109"/>
      <c r="G31" s="109"/>
      <c r="H31" s="109"/>
      <c r="I31" s="109"/>
      <c r="J31" s="109"/>
      <c r="K31" s="109"/>
      <c r="L31" s="109"/>
      <c r="M31" s="109"/>
      <c r="N31" s="109"/>
      <c r="O31" s="109"/>
      <c r="P31" s="109"/>
      <c r="Q31" s="109"/>
      <c r="R31" s="109"/>
      <c r="S31" s="109"/>
      <c r="T31" s="109"/>
      <c r="U31" s="109"/>
      <c r="V31" s="110"/>
    </row>
    <row r="32" spans="1:22" ht="13.9" customHeight="1">
      <c r="A32" s="148" t="s">
        <v>260</v>
      </c>
      <c r="B32" s="149"/>
      <c r="C32" s="149"/>
      <c r="D32" s="149"/>
      <c r="E32" s="149"/>
      <c r="F32" s="149"/>
      <c r="G32" s="149"/>
      <c r="H32" s="149"/>
      <c r="I32" s="149"/>
      <c r="J32" s="149"/>
      <c r="K32" s="149"/>
      <c r="L32" s="149"/>
      <c r="M32" s="149"/>
      <c r="N32" s="149"/>
      <c r="O32" s="149"/>
      <c r="P32" s="149"/>
      <c r="Q32" s="149"/>
      <c r="R32" s="149"/>
      <c r="S32" s="149"/>
      <c r="T32" s="149"/>
      <c r="U32" s="149"/>
      <c r="V32" s="150"/>
    </row>
    <row r="33" spans="1:22" ht="13.9" customHeight="1">
      <c r="A33" s="84" t="s">
        <v>237</v>
      </c>
      <c r="B33" s="233" t="s">
        <v>393</v>
      </c>
      <c r="C33" s="142"/>
      <c r="D33" s="142"/>
      <c r="E33" s="142"/>
      <c r="F33" s="142"/>
      <c r="G33" s="142"/>
      <c r="H33" s="142"/>
      <c r="I33" s="142"/>
      <c r="J33" s="142"/>
      <c r="K33" s="142"/>
      <c r="L33" s="142"/>
      <c r="M33" s="142"/>
      <c r="N33" s="142"/>
      <c r="O33" s="142"/>
      <c r="P33" s="142"/>
      <c r="Q33" s="142"/>
      <c r="R33" s="142"/>
      <c r="S33" s="142"/>
      <c r="T33" s="142"/>
      <c r="U33" s="142"/>
      <c r="V33" s="143"/>
    </row>
    <row r="34" spans="1:22" ht="13.9" customHeight="1">
      <c r="A34" s="69" t="s">
        <v>261</v>
      </c>
      <c r="B34" s="144" t="s">
        <v>262</v>
      </c>
      <c r="C34" s="145"/>
      <c r="D34" s="145"/>
      <c r="E34" s="145"/>
      <c r="F34" s="145"/>
      <c r="G34" s="145"/>
      <c r="H34" s="145"/>
      <c r="I34" s="145"/>
      <c r="J34" s="145"/>
      <c r="K34" s="145"/>
      <c r="L34" s="145"/>
      <c r="M34" s="146"/>
      <c r="N34" s="101" t="s">
        <v>263</v>
      </c>
      <c r="O34" s="101"/>
      <c r="P34" s="101"/>
      <c r="Q34" s="101"/>
      <c r="R34" s="101"/>
      <c r="S34" s="101"/>
      <c r="T34" s="101"/>
      <c r="U34" s="101"/>
      <c r="V34" s="102"/>
    </row>
    <row r="35" spans="1:22" ht="13.9" customHeight="1">
      <c r="A35" s="117" t="s">
        <v>264</v>
      </c>
      <c r="B35" s="118"/>
      <c r="C35" s="118"/>
      <c r="D35" s="118"/>
      <c r="E35" s="118"/>
      <c r="F35" s="118"/>
      <c r="G35" s="118"/>
      <c r="H35" s="118"/>
      <c r="I35" s="118"/>
      <c r="J35" s="118"/>
      <c r="K35" s="118"/>
      <c r="L35" s="118"/>
      <c r="M35" s="118"/>
      <c r="N35" s="118"/>
      <c r="O35" s="118"/>
      <c r="P35" s="118"/>
      <c r="Q35" s="118"/>
      <c r="R35" s="118"/>
      <c r="S35" s="118"/>
      <c r="T35" s="118"/>
      <c r="U35" s="118"/>
      <c r="V35" s="119"/>
    </row>
    <row r="36" spans="1:22" ht="13.9" customHeight="1">
      <c r="A36" s="69" t="s">
        <v>265</v>
      </c>
      <c r="B36" s="144" t="s">
        <v>394</v>
      </c>
      <c r="C36" s="145"/>
      <c r="D36" s="145"/>
      <c r="E36" s="145"/>
      <c r="F36" s="145"/>
      <c r="G36" s="145"/>
      <c r="H36" s="145"/>
      <c r="I36" s="145"/>
      <c r="J36" s="145"/>
      <c r="K36" s="145"/>
      <c r="L36" s="145"/>
      <c r="M36" s="145"/>
      <c r="N36" s="145"/>
      <c r="O36" s="145"/>
      <c r="P36" s="145"/>
      <c r="Q36" s="145"/>
      <c r="R36" s="145"/>
      <c r="S36" s="145"/>
      <c r="T36" s="145"/>
      <c r="U36" s="145"/>
      <c r="V36" s="147"/>
    </row>
    <row r="37" spans="1:22" ht="13.9" customHeight="1">
      <c r="A37" s="69" t="s">
        <v>267</v>
      </c>
      <c r="B37" s="144" t="s">
        <v>394</v>
      </c>
      <c r="C37" s="145"/>
      <c r="D37" s="145"/>
      <c r="E37" s="145"/>
      <c r="F37" s="145"/>
      <c r="G37" s="145"/>
      <c r="H37" s="145"/>
      <c r="I37" s="145"/>
      <c r="J37" s="145"/>
      <c r="K37" s="145"/>
      <c r="L37" s="145"/>
      <c r="M37" s="145"/>
      <c r="N37" s="145"/>
      <c r="O37" s="145"/>
      <c r="P37" s="145"/>
      <c r="Q37" s="145"/>
      <c r="R37" s="145"/>
      <c r="S37" s="145"/>
      <c r="T37" s="145"/>
      <c r="U37" s="145"/>
      <c r="V37" s="147"/>
    </row>
    <row r="38" spans="1:22" ht="13.9" customHeight="1">
      <c r="A38" s="69" t="s">
        <v>269</v>
      </c>
      <c r="B38" s="144" t="s">
        <v>395</v>
      </c>
      <c r="C38" s="145"/>
      <c r="D38" s="145"/>
      <c r="E38" s="145"/>
      <c r="F38" s="145"/>
      <c r="G38" s="145"/>
      <c r="H38" s="145"/>
      <c r="I38" s="145"/>
      <c r="J38" s="145"/>
      <c r="K38" s="145"/>
      <c r="L38" s="145"/>
      <c r="M38" s="145"/>
      <c r="N38" s="145"/>
      <c r="O38" s="145"/>
      <c r="P38" s="145"/>
      <c r="Q38" s="145"/>
      <c r="R38" s="145"/>
      <c r="S38" s="145"/>
      <c r="T38" s="145"/>
      <c r="U38" s="145"/>
      <c r="V38" s="147"/>
    </row>
    <row r="39" spans="1:22" ht="13.9" customHeight="1">
      <c r="A39" s="117" t="s">
        <v>271</v>
      </c>
      <c r="B39" s="118"/>
      <c r="C39" s="118"/>
      <c r="D39" s="118"/>
      <c r="E39" s="118"/>
      <c r="F39" s="118"/>
      <c r="G39" s="118"/>
      <c r="H39" s="118"/>
      <c r="I39" s="118"/>
      <c r="J39" s="118"/>
      <c r="K39" s="118"/>
      <c r="L39" s="118"/>
      <c r="M39" s="118"/>
      <c r="N39" s="118"/>
      <c r="O39" s="118"/>
      <c r="P39" s="118"/>
      <c r="Q39" s="118"/>
      <c r="R39" s="118"/>
      <c r="S39" s="118"/>
      <c r="T39" s="118"/>
      <c r="U39" s="118"/>
      <c r="V39" s="119"/>
    </row>
    <row r="40" spans="1:22"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09"/>
      <c r="V40" s="110"/>
    </row>
    <row r="41" spans="1:22"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09"/>
      <c r="V41" s="110"/>
    </row>
    <row r="42" spans="1:22"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09"/>
      <c r="V42" s="110"/>
    </row>
    <row r="43" spans="1:22"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09"/>
      <c r="V43" s="110"/>
    </row>
    <row r="44" spans="1:22"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5"/>
      <c r="V44" s="147"/>
    </row>
    <row r="45" spans="1:22" ht="13.9" customHeight="1">
      <c r="A45" s="69"/>
      <c r="B45" s="144"/>
      <c r="C45" s="145"/>
      <c r="D45" s="145"/>
      <c r="E45" s="145"/>
      <c r="F45" s="145"/>
      <c r="G45" s="145"/>
      <c r="H45" s="145"/>
      <c r="I45" s="145"/>
      <c r="J45" s="145"/>
      <c r="K45" s="145"/>
      <c r="L45" s="145"/>
      <c r="M45" s="145"/>
      <c r="N45" s="145"/>
      <c r="O45" s="145"/>
      <c r="P45" s="145"/>
      <c r="Q45" s="145"/>
      <c r="R45" s="145"/>
      <c r="S45" s="145"/>
      <c r="T45" s="145"/>
      <c r="U45" s="145"/>
      <c r="V45" s="147"/>
    </row>
    <row r="46" spans="1:22" ht="13.9" customHeight="1">
      <c r="A46" s="69"/>
      <c r="B46" s="144"/>
      <c r="C46" s="145"/>
      <c r="D46" s="145"/>
      <c r="E46" s="145"/>
      <c r="F46" s="145"/>
      <c r="G46" s="145"/>
      <c r="H46" s="145"/>
      <c r="I46" s="145"/>
      <c r="J46" s="145"/>
      <c r="K46" s="145"/>
      <c r="L46" s="145"/>
      <c r="M46" s="145"/>
      <c r="N46" s="145"/>
      <c r="O46" s="145"/>
      <c r="P46" s="145"/>
      <c r="Q46" s="145"/>
      <c r="R46" s="145"/>
      <c r="S46" s="145"/>
      <c r="T46" s="145"/>
      <c r="U46" s="145"/>
      <c r="V46" s="147"/>
    </row>
    <row r="47" spans="1:22">
      <c r="A47" s="117" t="s">
        <v>278</v>
      </c>
      <c r="B47" s="118"/>
      <c r="C47" s="118"/>
      <c r="D47" s="118"/>
      <c r="E47" s="118"/>
      <c r="F47" s="118"/>
      <c r="G47" s="118"/>
      <c r="H47" s="118"/>
      <c r="I47" s="118"/>
      <c r="J47" s="118"/>
      <c r="K47" s="118"/>
      <c r="L47" s="118"/>
      <c r="M47" s="118"/>
      <c r="N47" s="118"/>
      <c r="O47" s="118"/>
      <c r="P47" s="118"/>
      <c r="Q47" s="118"/>
      <c r="R47" s="118"/>
      <c r="S47" s="118"/>
      <c r="T47" s="118"/>
      <c r="U47" s="118"/>
      <c r="V47" s="119"/>
    </row>
    <row r="48" spans="1:22" ht="28.15" customHeight="1">
      <c r="A48" s="111" t="s">
        <v>279</v>
      </c>
      <c r="B48" s="112"/>
      <c r="C48" s="112"/>
      <c r="D48" s="112"/>
      <c r="E48" s="112"/>
      <c r="F48" s="112"/>
      <c r="G48" s="112"/>
      <c r="H48" s="112"/>
      <c r="I48" s="112"/>
      <c r="J48" s="112"/>
      <c r="K48" s="112"/>
      <c r="L48" s="112"/>
      <c r="M48" s="112"/>
      <c r="N48" s="112"/>
      <c r="O48" s="112"/>
      <c r="P48" s="112"/>
      <c r="Q48" s="112"/>
      <c r="R48" s="112"/>
      <c r="S48" s="112"/>
      <c r="T48" s="112"/>
      <c r="U48" s="112"/>
      <c r="V48" s="113"/>
    </row>
    <row r="49" spans="1:22" ht="14.45" customHeight="1">
      <c r="A49" s="114" t="s">
        <v>280</v>
      </c>
      <c r="B49" s="115"/>
      <c r="C49" s="115"/>
      <c r="D49" s="115"/>
      <c r="E49" s="115"/>
      <c r="F49" s="115"/>
      <c r="G49" s="115"/>
      <c r="H49" s="115"/>
      <c r="I49" s="115"/>
      <c r="J49" s="115"/>
      <c r="K49" s="115"/>
      <c r="L49" s="115"/>
      <c r="M49" s="115"/>
      <c r="N49" s="115"/>
      <c r="O49" s="115"/>
      <c r="P49" s="115"/>
      <c r="Q49" s="115"/>
      <c r="R49" s="115"/>
      <c r="S49" s="115"/>
      <c r="T49" s="115"/>
      <c r="U49" s="115"/>
      <c r="V49" s="116"/>
    </row>
    <row r="50" spans="1:22" ht="14.45" customHeight="1">
      <c r="A50" s="114" t="s">
        <v>281</v>
      </c>
      <c r="B50" s="115"/>
      <c r="C50" s="115"/>
      <c r="D50" s="115"/>
      <c r="E50" s="115"/>
      <c r="F50" s="115"/>
      <c r="G50" s="115"/>
      <c r="H50" s="115"/>
      <c r="I50" s="115"/>
      <c r="J50" s="115"/>
      <c r="K50" s="115"/>
      <c r="L50" s="115"/>
      <c r="M50" s="115"/>
      <c r="N50" s="115"/>
      <c r="O50" s="115"/>
      <c r="P50" s="115"/>
      <c r="Q50" s="115"/>
      <c r="R50" s="115"/>
      <c r="S50" s="115"/>
      <c r="T50" s="115"/>
      <c r="U50" s="115"/>
      <c r="V50" s="116"/>
    </row>
    <row r="51" spans="1:22" ht="28.9" customHeight="1">
      <c r="A51" s="114" t="s">
        <v>282</v>
      </c>
      <c r="B51" s="115"/>
      <c r="C51" s="115"/>
      <c r="D51" s="115"/>
      <c r="E51" s="115"/>
      <c r="F51" s="115"/>
      <c r="G51" s="115"/>
      <c r="H51" s="115"/>
      <c r="I51" s="115"/>
      <c r="J51" s="115"/>
      <c r="K51" s="115"/>
      <c r="L51" s="115"/>
      <c r="M51" s="115"/>
      <c r="N51" s="115"/>
      <c r="O51" s="115"/>
      <c r="P51" s="115"/>
      <c r="Q51" s="115"/>
      <c r="R51" s="115"/>
      <c r="S51" s="115"/>
      <c r="T51" s="115"/>
      <c r="U51" s="115"/>
      <c r="V51" s="116"/>
    </row>
    <row r="52" spans="1:22" ht="26.45" customHeight="1">
      <c r="A52" s="114" t="s">
        <v>283</v>
      </c>
      <c r="B52" s="115"/>
      <c r="C52" s="115"/>
      <c r="D52" s="115"/>
      <c r="E52" s="115"/>
      <c r="F52" s="115"/>
      <c r="G52" s="115"/>
      <c r="H52" s="115"/>
      <c r="I52" s="115"/>
      <c r="J52" s="115"/>
      <c r="K52" s="115"/>
      <c r="L52" s="115"/>
      <c r="M52" s="115"/>
      <c r="N52" s="115"/>
      <c r="O52" s="115"/>
      <c r="P52" s="115"/>
      <c r="Q52" s="115"/>
      <c r="R52" s="115"/>
      <c r="S52" s="115"/>
      <c r="T52" s="115"/>
      <c r="U52" s="115"/>
      <c r="V52" s="116"/>
    </row>
    <row r="53" spans="1:22"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5"/>
      <c r="V53" s="116"/>
    </row>
    <row r="54" spans="1:22"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5"/>
      <c r="V54" s="116"/>
    </row>
    <row r="55" spans="1:22" ht="15.75" thickBot="1">
      <c r="A55" s="177"/>
      <c r="B55" s="178"/>
      <c r="C55" s="178"/>
      <c r="D55" s="178"/>
      <c r="E55" s="178"/>
      <c r="F55" s="178"/>
      <c r="G55" s="178"/>
      <c r="H55" s="178"/>
      <c r="I55" s="178"/>
      <c r="J55" s="178"/>
      <c r="K55" s="178"/>
      <c r="L55" s="178"/>
      <c r="M55" s="178"/>
      <c r="N55" s="178"/>
      <c r="O55" s="178"/>
      <c r="P55" s="178"/>
      <c r="Q55" s="178"/>
      <c r="R55" s="178"/>
      <c r="S55" s="178"/>
      <c r="T55" s="178"/>
      <c r="U55" s="178"/>
      <c r="V55" s="179"/>
    </row>
  </sheetData>
  <mergeCells count="84">
    <mergeCell ref="T1:V1"/>
    <mergeCell ref="T2:V2"/>
    <mergeCell ref="T3:V3"/>
    <mergeCell ref="F1:S1"/>
    <mergeCell ref="Q2:S2"/>
    <mergeCell ref="Q3:S3"/>
    <mergeCell ref="N2:P2"/>
    <mergeCell ref="N3:P3"/>
    <mergeCell ref="J2:M2"/>
    <mergeCell ref="J3:M3"/>
    <mergeCell ref="L8:Q9"/>
    <mergeCell ref="A7:V7"/>
    <mergeCell ref="I6:V6"/>
    <mergeCell ref="I5:V5"/>
    <mergeCell ref="I4:V4"/>
    <mergeCell ref="F5:G5"/>
    <mergeCell ref="F6:H6"/>
    <mergeCell ref="A1:E6"/>
    <mergeCell ref="F4:H4"/>
    <mergeCell ref="F2:I2"/>
    <mergeCell ref="F3:G3"/>
    <mergeCell ref="H3:I3"/>
    <mergeCell ref="B8:C8"/>
    <mergeCell ref="D8:E8"/>
    <mergeCell ref="F8:G8"/>
    <mergeCell ref="H8:I8"/>
    <mergeCell ref="B46:V46"/>
    <mergeCell ref="A48:V48"/>
    <mergeCell ref="A49:V49"/>
    <mergeCell ref="A50:V50"/>
    <mergeCell ref="A51:V51"/>
    <mergeCell ref="A47:V47"/>
    <mergeCell ref="S11:V11"/>
    <mergeCell ref="B20:J20"/>
    <mergeCell ref="K20:R20"/>
    <mergeCell ref="B17:J17"/>
    <mergeCell ref="B11:R11"/>
    <mergeCell ref="B16:J16"/>
    <mergeCell ref="K16:R16"/>
    <mergeCell ref="K17:R17"/>
    <mergeCell ref="B31:V31"/>
    <mergeCell ref="A32:V32"/>
    <mergeCell ref="B33:V33"/>
    <mergeCell ref="B23:R23"/>
    <mergeCell ref="B24:R24"/>
    <mergeCell ref="B26:E26"/>
    <mergeCell ref="B25:R25"/>
    <mergeCell ref="B22:R22"/>
    <mergeCell ref="B18:R18"/>
    <mergeCell ref="K21:R21"/>
    <mergeCell ref="A19:R19"/>
    <mergeCell ref="B21:J21"/>
    <mergeCell ref="J8:K8"/>
    <mergeCell ref="B9:C9"/>
    <mergeCell ref="R8:V8"/>
    <mergeCell ref="R9:V9"/>
    <mergeCell ref="A52:V52"/>
    <mergeCell ref="A10:R10"/>
    <mergeCell ref="D9:E9"/>
    <mergeCell ref="F9:G9"/>
    <mergeCell ref="H9:I9"/>
    <mergeCell ref="J9:K9"/>
    <mergeCell ref="B44:E44"/>
    <mergeCell ref="F44:V44"/>
    <mergeCell ref="A35:V35"/>
    <mergeCell ref="B36:V36"/>
    <mergeCell ref="B34:M34"/>
    <mergeCell ref="N34:V34"/>
    <mergeCell ref="A53:V53"/>
    <mergeCell ref="A54:V54"/>
    <mergeCell ref="A55:V55"/>
    <mergeCell ref="F26:R26"/>
    <mergeCell ref="A28:V28"/>
    <mergeCell ref="B29:V29"/>
    <mergeCell ref="B30:V30"/>
    <mergeCell ref="B45:V45"/>
    <mergeCell ref="B37:V37"/>
    <mergeCell ref="B38:V38"/>
    <mergeCell ref="A39:V39"/>
    <mergeCell ref="B40:V40"/>
    <mergeCell ref="B41:V41"/>
    <mergeCell ref="B42:V42"/>
    <mergeCell ref="B43:V43"/>
    <mergeCell ref="B27:R27"/>
  </mergeCells>
  <printOptions horizontalCentered="1"/>
  <pageMargins left="0.7" right="0.7" top="0.75" bottom="0.75" header="0.3" footer="0.3"/>
  <pageSetup paperSize="9" scale="88" firstPageNumber="18" orientation="portrait" r:id="rId1"/>
  <legacyDrawingHF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0">
    <tabColor theme="4" tint="0.59999389629810485"/>
    <pageSetUpPr fitToPage="1"/>
  </sheetPr>
  <dimension ref="A1:R55"/>
  <sheetViews>
    <sheetView workbookViewId="0">
      <selection activeCell="Z23" sqref="Z23"/>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375</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368</v>
      </c>
      <c r="C14" s="17" t="s">
        <v>368</v>
      </c>
      <c r="D14" s="17" t="s">
        <v>368</v>
      </c>
      <c r="E14" s="17" t="s">
        <v>368</v>
      </c>
      <c r="F14" s="17" t="s">
        <v>368</v>
      </c>
      <c r="G14" s="17" t="s">
        <v>369</v>
      </c>
      <c r="H14" s="17" t="s">
        <v>369</v>
      </c>
      <c r="I14" s="17" t="s">
        <v>369</v>
      </c>
      <c r="J14" s="17" t="s">
        <v>369</v>
      </c>
      <c r="K14" s="17" t="s">
        <v>369</v>
      </c>
      <c r="L14" s="17" t="s">
        <v>369</v>
      </c>
      <c r="M14" s="17">
        <v>40</v>
      </c>
      <c r="N14" s="17" t="s">
        <v>368</v>
      </c>
      <c r="O14" s="17">
        <v>40</v>
      </c>
      <c r="P14" s="17">
        <v>40</v>
      </c>
      <c r="Q14" s="17" t="s">
        <v>174</v>
      </c>
      <c r="R14" s="66">
        <v>40</v>
      </c>
    </row>
    <row r="15" spans="1:18" s="3" customFormat="1">
      <c r="A15" s="70" t="s">
        <v>233</v>
      </c>
      <c r="B15" s="17">
        <v>3.73</v>
      </c>
      <c r="C15" s="17">
        <v>3.91</v>
      </c>
      <c r="D15" s="17">
        <v>4.55</v>
      </c>
      <c r="E15" s="17">
        <v>5.08</v>
      </c>
      <c r="F15" s="17">
        <v>5.54</v>
      </c>
      <c r="G15" s="17">
        <v>5.49</v>
      </c>
      <c r="H15" s="17">
        <v>6.02</v>
      </c>
      <c r="I15" s="17">
        <v>7.11</v>
      </c>
      <c r="J15" s="17">
        <v>8.18</v>
      </c>
      <c r="K15" s="17">
        <v>9.27</v>
      </c>
      <c r="L15" s="17">
        <v>9.5299999999999994</v>
      </c>
      <c r="M15" s="17">
        <v>11.12</v>
      </c>
      <c r="N15" s="17">
        <v>12.7</v>
      </c>
      <c r="O15" s="17">
        <v>14.27</v>
      </c>
      <c r="P15" s="17">
        <v>15.09</v>
      </c>
      <c r="Q15" s="17">
        <v>17.48</v>
      </c>
      <c r="R15" s="66">
        <v>17.48</v>
      </c>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18">
      <c r="A17" s="69" t="s">
        <v>237</v>
      </c>
      <c r="B17" s="109" t="s">
        <v>387</v>
      </c>
      <c r="C17" s="109"/>
      <c r="D17" s="109"/>
      <c r="E17" s="109"/>
      <c r="F17" s="109"/>
      <c r="G17" s="109"/>
      <c r="H17" s="109"/>
      <c r="I17" s="109"/>
      <c r="J17" s="109"/>
      <c r="K17" s="109" t="s">
        <v>388</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389</v>
      </c>
      <c r="C21" s="145"/>
      <c r="D21" s="145"/>
      <c r="E21" s="145"/>
      <c r="F21" s="145"/>
      <c r="G21" s="145"/>
      <c r="H21" s="145"/>
      <c r="I21" s="145"/>
      <c r="J21" s="146"/>
      <c r="K21" s="109" t="s">
        <v>390</v>
      </c>
      <c r="L21" s="109"/>
      <c r="M21" s="109"/>
      <c r="N21" s="109"/>
      <c r="O21" s="109"/>
      <c r="P21" s="109"/>
      <c r="Q21" s="109"/>
      <c r="R21" s="110"/>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18"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18"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18" ht="15"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391</v>
      </c>
      <c r="C27" s="145"/>
      <c r="D27" s="145"/>
      <c r="E27" s="145"/>
      <c r="F27" s="145"/>
      <c r="G27" s="145"/>
      <c r="H27" s="145"/>
      <c r="I27" s="145"/>
      <c r="J27" s="145"/>
      <c r="K27" s="145" t="s">
        <v>392</v>
      </c>
      <c r="L27" s="145"/>
      <c r="M27" s="145"/>
      <c r="N27" s="145"/>
      <c r="O27" s="145"/>
      <c r="P27" s="145"/>
      <c r="Q27" s="145"/>
      <c r="R27" s="147"/>
    </row>
    <row r="28" spans="1:18">
      <c r="A28" s="117" t="s">
        <v>255</v>
      </c>
      <c r="B28" s="118"/>
      <c r="C28" s="118"/>
      <c r="D28" s="118"/>
      <c r="E28" s="118"/>
      <c r="F28" s="118"/>
      <c r="G28" s="118"/>
      <c r="H28" s="118"/>
      <c r="I28" s="118"/>
      <c r="J28" s="118"/>
      <c r="K28" s="118"/>
      <c r="L28" s="118"/>
      <c r="M28" s="118"/>
      <c r="N28" s="118"/>
      <c r="O28" s="118"/>
      <c r="P28" s="118"/>
      <c r="Q28" s="118"/>
      <c r="R28" s="119"/>
    </row>
    <row r="29" spans="1:18" ht="13.9" customHeight="1">
      <c r="A29" s="69" t="s">
        <v>237</v>
      </c>
      <c r="B29" s="109" t="s">
        <v>393</v>
      </c>
      <c r="C29" s="109"/>
      <c r="D29" s="109"/>
      <c r="E29" s="109"/>
      <c r="F29" s="109"/>
      <c r="G29" s="109"/>
      <c r="H29" s="109"/>
      <c r="I29" s="109"/>
      <c r="J29" s="109"/>
      <c r="K29" s="109"/>
      <c r="L29" s="109"/>
      <c r="M29" s="109"/>
      <c r="N29" s="109"/>
      <c r="O29" s="109"/>
      <c r="P29" s="109"/>
      <c r="Q29" s="109"/>
      <c r="R29" s="110"/>
    </row>
    <row r="30" spans="1:18" ht="13.9" customHeight="1">
      <c r="A30" s="69" t="s">
        <v>257</v>
      </c>
      <c r="B30" s="109" t="s">
        <v>298</v>
      </c>
      <c r="C30" s="109"/>
      <c r="D30" s="109"/>
      <c r="E30" s="109"/>
      <c r="F30" s="109"/>
      <c r="G30" s="109"/>
      <c r="H30" s="109"/>
      <c r="I30" s="109"/>
      <c r="J30" s="109"/>
      <c r="K30" s="109"/>
      <c r="L30" s="109"/>
      <c r="M30" s="109"/>
      <c r="N30" s="109"/>
      <c r="O30" s="109"/>
      <c r="P30" s="109"/>
      <c r="Q30" s="109"/>
      <c r="R30" s="110"/>
    </row>
    <row r="31" spans="1:18" ht="14.45" customHeight="1">
      <c r="A31" s="69" t="s">
        <v>234</v>
      </c>
      <c r="B31" s="109" t="s">
        <v>292</v>
      </c>
      <c r="C31" s="109"/>
      <c r="D31" s="109"/>
      <c r="E31" s="109"/>
      <c r="F31" s="109"/>
      <c r="G31" s="109"/>
      <c r="H31" s="109"/>
      <c r="I31" s="109"/>
      <c r="J31" s="109"/>
      <c r="K31" s="109"/>
      <c r="L31" s="109"/>
      <c r="M31" s="109"/>
      <c r="N31" s="109"/>
      <c r="O31" s="109"/>
      <c r="P31" s="109"/>
      <c r="Q31" s="109"/>
      <c r="R31" s="110"/>
    </row>
    <row r="32" spans="1:18" ht="13.9" customHeight="1">
      <c r="A32" s="148" t="s">
        <v>260</v>
      </c>
      <c r="B32" s="149"/>
      <c r="C32" s="149"/>
      <c r="D32" s="149"/>
      <c r="E32" s="149"/>
      <c r="F32" s="149"/>
      <c r="G32" s="149"/>
      <c r="H32" s="149"/>
      <c r="I32" s="149"/>
      <c r="J32" s="149"/>
      <c r="K32" s="149"/>
      <c r="L32" s="149"/>
      <c r="M32" s="149"/>
      <c r="N32" s="149"/>
      <c r="O32" s="149"/>
      <c r="P32" s="149"/>
      <c r="Q32" s="149"/>
      <c r="R32" s="150"/>
    </row>
    <row r="33" spans="1:18" ht="13.9" customHeight="1">
      <c r="A33" s="84" t="s">
        <v>237</v>
      </c>
      <c r="B33" s="233" t="s">
        <v>393</v>
      </c>
      <c r="C33" s="142"/>
      <c r="D33" s="142"/>
      <c r="E33" s="142"/>
      <c r="F33" s="142"/>
      <c r="G33" s="142"/>
      <c r="H33" s="142"/>
      <c r="I33" s="142"/>
      <c r="J33" s="142"/>
      <c r="K33" s="142"/>
      <c r="L33" s="142"/>
      <c r="M33" s="142"/>
      <c r="N33" s="142"/>
      <c r="O33" s="142"/>
      <c r="P33" s="142"/>
      <c r="Q33" s="142"/>
      <c r="R33" s="143"/>
    </row>
    <row r="34" spans="1:18" ht="13.9" customHeight="1">
      <c r="A34" s="69" t="s">
        <v>261</v>
      </c>
      <c r="B34" s="144" t="s">
        <v>262</v>
      </c>
      <c r="C34" s="145"/>
      <c r="D34" s="145"/>
      <c r="E34" s="145"/>
      <c r="F34" s="145"/>
      <c r="G34" s="145"/>
      <c r="H34" s="145"/>
      <c r="I34" s="145"/>
      <c r="J34" s="145"/>
      <c r="K34" s="145"/>
      <c r="L34" s="145"/>
      <c r="M34" s="146"/>
      <c r="N34" s="101" t="s">
        <v>263</v>
      </c>
      <c r="O34" s="101"/>
      <c r="P34" s="101"/>
      <c r="Q34" s="101"/>
      <c r="R34" s="102"/>
    </row>
    <row r="35" spans="1:18" ht="13.9" customHeight="1">
      <c r="A35" s="117" t="s">
        <v>264</v>
      </c>
      <c r="B35" s="118"/>
      <c r="C35" s="118"/>
      <c r="D35" s="118"/>
      <c r="E35" s="118"/>
      <c r="F35" s="118"/>
      <c r="G35" s="118"/>
      <c r="H35" s="118"/>
      <c r="I35" s="118"/>
      <c r="J35" s="118"/>
      <c r="K35" s="118"/>
      <c r="L35" s="118"/>
      <c r="M35" s="118"/>
      <c r="N35" s="118"/>
      <c r="O35" s="118"/>
      <c r="P35" s="118"/>
      <c r="Q35" s="118"/>
      <c r="R35" s="119"/>
    </row>
    <row r="36" spans="1:18" ht="13.9" customHeight="1">
      <c r="A36" s="69" t="s">
        <v>265</v>
      </c>
      <c r="B36" s="144" t="s">
        <v>394</v>
      </c>
      <c r="C36" s="145"/>
      <c r="D36" s="145"/>
      <c r="E36" s="145"/>
      <c r="F36" s="145"/>
      <c r="G36" s="145"/>
      <c r="H36" s="145"/>
      <c r="I36" s="145"/>
      <c r="J36" s="145"/>
      <c r="K36" s="145"/>
      <c r="L36" s="145"/>
      <c r="M36" s="145"/>
      <c r="N36" s="145"/>
      <c r="O36" s="145"/>
      <c r="P36" s="145"/>
      <c r="Q36" s="145"/>
      <c r="R36" s="147"/>
    </row>
    <row r="37" spans="1:18" ht="13.9" customHeight="1">
      <c r="A37" s="69" t="s">
        <v>267</v>
      </c>
      <c r="B37" s="144" t="s">
        <v>394</v>
      </c>
      <c r="C37" s="145"/>
      <c r="D37" s="145"/>
      <c r="E37" s="145"/>
      <c r="F37" s="145"/>
      <c r="G37" s="145"/>
      <c r="H37" s="145"/>
      <c r="I37" s="145"/>
      <c r="J37" s="145"/>
      <c r="K37" s="145"/>
      <c r="L37" s="145"/>
      <c r="M37" s="145"/>
      <c r="N37" s="145"/>
      <c r="O37" s="145"/>
      <c r="P37" s="145"/>
      <c r="Q37" s="145"/>
      <c r="R37" s="147"/>
    </row>
    <row r="38" spans="1:18" ht="13.9" customHeight="1">
      <c r="A38" s="69" t="s">
        <v>269</v>
      </c>
      <c r="B38" s="144" t="s">
        <v>395</v>
      </c>
      <c r="C38" s="145"/>
      <c r="D38" s="145"/>
      <c r="E38" s="145"/>
      <c r="F38" s="145"/>
      <c r="G38" s="145"/>
      <c r="H38" s="145"/>
      <c r="I38" s="145"/>
      <c r="J38" s="145"/>
      <c r="K38" s="145"/>
      <c r="L38" s="145"/>
      <c r="M38" s="145"/>
      <c r="N38" s="145"/>
      <c r="O38" s="145"/>
      <c r="P38" s="145"/>
      <c r="Q38" s="145"/>
      <c r="R38" s="147"/>
    </row>
    <row r="39" spans="1:18" ht="13.9" customHeight="1">
      <c r="A39" s="117" t="s">
        <v>271</v>
      </c>
      <c r="B39" s="118"/>
      <c r="C39" s="118"/>
      <c r="D39" s="118"/>
      <c r="E39" s="118"/>
      <c r="F39" s="118"/>
      <c r="G39" s="118"/>
      <c r="H39" s="118"/>
      <c r="I39" s="118"/>
      <c r="J39" s="118"/>
      <c r="K39" s="118"/>
      <c r="L39" s="118"/>
      <c r="M39" s="118"/>
      <c r="N39" s="118"/>
      <c r="O39" s="118"/>
      <c r="P39" s="118"/>
      <c r="Q39" s="118"/>
      <c r="R39" s="119"/>
    </row>
    <row r="40" spans="1:18"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ht="13.9" customHeight="1">
      <c r="A45" s="69"/>
      <c r="B45" s="144"/>
      <c r="C45" s="145"/>
      <c r="D45" s="145"/>
      <c r="E45" s="145"/>
      <c r="F45" s="145"/>
      <c r="G45" s="145"/>
      <c r="H45" s="145"/>
      <c r="I45" s="145"/>
      <c r="J45" s="145"/>
      <c r="K45" s="145"/>
      <c r="L45" s="145"/>
      <c r="M45" s="145"/>
      <c r="N45" s="145"/>
      <c r="O45" s="145"/>
      <c r="P45" s="145"/>
      <c r="Q45" s="145"/>
      <c r="R45" s="147"/>
    </row>
    <row r="46" spans="1:18" ht="13.9" customHeight="1">
      <c r="A46" s="69"/>
      <c r="B46" s="144"/>
      <c r="C46" s="145"/>
      <c r="D46" s="145"/>
      <c r="E46" s="145"/>
      <c r="F46" s="145"/>
      <c r="G46" s="145"/>
      <c r="H46" s="145"/>
      <c r="I46" s="145"/>
      <c r="J46" s="145"/>
      <c r="K46" s="145"/>
      <c r="L46" s="145"/>
      <c r="M46" s="145"/>
      <c r="N46" s="145"/>
      <c r="O46" s="145"/>
      <c r="P46" s="145"/>
      <c r="Q46" s="145"/>
      <c r="R46" s="147"/>
    </row>
    <row r="47" spans="1:18">
      <c r="A47" s="117" t="s">
        <v>278</v>
      </c>
      <c r="B47" s="118"/>
      <c r="C47" s="118"/>
      <c r="D47" s="118"/>
      <c r="E47" s="118"/>
      <c r="F47" s="118"/>
      <c r="G47" s="118"/>
      <c r="H47" s="118"/>
      <c r="I47" s="118"/>
      <c r="J47" s="118"/>
      <c r="K47" s="118"/>
      <c r="L47" s="118"/>
      <c r="M47" s="118"/>
      <c r="N47" s="118"/>
      <c r="O47" s="118"/>
      <c r="P47" s="118"/>
      <c r="Q47" s="118"/>
      <c r="R47" s="119"/>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282</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3">
    <mergeCell ref="B11:R11"/>
    <mergeCell ref="B16:J16"/>
    <mergeCell ref="K16:R16"/>
    <mergeCell ref="B17:J17"/>
    <mergeCell ref="K17:R17"/>
    <mergeCell ref="B23:R23"/>
    <mergeCell ref="B22:R22"/>
    <mergeCell ref="B18:R18"/>
    <mergeCell ref="K21:R21"/>
    <mergeCell ref="A19:R19"/>
    <mergeCell ref="B21:J21"/>
    <mergeCell ref="B20:J20"/>
    <mergeCell ref="K20:R20"/>
    <mergeCell ref="B31:R31"/>
    <mergeCell ref="B26:E26"/>
    <mergeCell ref="F26:R26"/>
    <mergeCell ref="B24:R24"/>
    <mergeCell ref="B25:R25"/>
    <mergeCell ref="B27:R27"/>
    <mergeCell ref="A28:R28"/>
    <mergeCell ref="B29:R29"/>
    <mergeCell ref="B30:R30"/>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10:R10"/>
    <mergeCell ref="L8:O9"/>
    <mergeCell ref="P8:R8"/>
    <mergeCell ref="D9:E9"/>
    <mergeCell ref="F9:G9"/>
    <mergeCell ref="H9:I9"/>
    <mergeCell ref="J9:K9"/>
    <mergeCell ref="P9:R9"/>
    <mergeCell ref="B8:C8"/>
    <mergeCell ref="D8:E8"/>
    <mergeCell ref="F8:G8"/>
    <mergeCell ref="H8:I8"/>
    <mergeCell ref="J8:K8"/>
    <mergeCell ref="B9:C9"/>
    <mergeCell ref="A32:R32"/>
    <mergeCell ref="B33:R33"/>
    <mergeCell ref="B34:M34"/>
    <mergeCell ref="N34:R34"/>
    <mergeCell ref="A35:R35"/>
    <mergeCell ref="B36:R36"/>
    <mergeCell ref="B37:R37"/>
    <mergeCell ref="B38:R38"/>
    <mergeCell ref="A39:R39"/>
    <mergeCell ref="B40:R40"/>
    <mergeCell ref="B41:R41"/>
    <mergeCell ref="B42:R42"/>
    <mergeCell ref="B43:R43"/>
    <mergeCell ref="B44:E44"/>
    <mergeCell ref="F44:R44"/>
    <mergeCell ref="A53:R53"/>
    <mergeCell ref="A54:R54"/>
    <mergeCell ref="A55:R55"/>
    <mergeCell ref="B45:R45"/>
    <mergeCell ref="A47:R47"/>
    <mergeCell ref="A50:R50"/>
    <mergeCell ref="A51:R51"/>
    <mergeCell ref="A52:R52"/>
    <mergeCell ref="A48:R48"/>
    <mergeCell ref="A49:R49"/>
    <mergeCell ref="B46:R46"/>
  </mergeCells>
  <printOptions horizontalCentered="1"/>
  <pageMargins left="0.7" right="0.7" top="0.75" bottom="0.75" header="0.3" footer="0.3"/>
  <pageSetup paperSize="9" scale="88" firstPageNumber="18" orientation="portrait" r:id="rId1"/>
  <legacyDrawingHF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2">
    <tabColor theme="4" tint="0.59999389629810485"/>
    <pageSetUpPr fitToPage="1"/>
  </sheetPr>
  <dimension ref="A1:T57"/>
  <sheetViews>
    <sheetView workbookViewId="0">
      <selection activeCell="Z23" sqref="Z23"/>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375</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368</v>
      </c>
      <c r="C14" s="17" t="s">
        <v>368</v>
      </c>
      <c r="D14" s="17" t="s">
        <v>368</v>
      </c>
      <c r="E14" s="17" t="s">
        <v>368</v>
      </c>
      <c r="F14" s="17" t="s">
        <v>368</v>
      </c>
      <c r="G14" s="17" t="s">
        <v>369</v>
      </c>
      <c r="H14" s="17" t="s">
        <v>369</v>
      </c>
      <c r="I14" s="17" t="s">
        <v>369</v>
      </c>
      <c r="J14" s="17">
        <v>60</v>
      </c>
      <c r="K14" s="17" t="s">
        <v>368</v>
      </c>
      <c r="L14" s="17">
        <v>60</v>
      </c>
      <c r="M14" s="17">
        <v>60</v>
      </c>
      <c r="N14" s="17">
        <v>60</v>
      </c>
      <c r="O14" s="17">
        <v>60</v>
      </c>
      <c r="P14" s="17">
        <v>60</v>
      </c>
      <c r="Q14" s="17">
        <v>60</v>
      </c>
      <c r="R14" s="66">
        <v>60</v>
      </c>
    </row>
    <row r="15" spans="1:18" s="3" customFormat="1">
      <c r="A15" s="70" t="s">
        <v>233</v>
      </c>
      <c r="B15" s="17">
        <v>3.73</v>
      </c>
      <c r="C15" s="17">
        <v>3.91</v>
      </c>
      <c r="D15" s="17">
        <v>4.55</v>
      </c>
      <c r="E15" s="17">
        <v>5.08</v>
      </c>
      <c r="F15" s="17">
        <v>5.54</v>
      </c>
      <c r="G15" s="17">
        <v>5.49</v>
      </c>
      <c r="H15" s="17">
        <v>6.02</v>
      </c>
      <c r="I15" s="17">
        <v>7.11</v>
      </c>
      <c r="J15" s="17">
        <v>10.31</v>
      </c>
      <c r="K15" s="17">
        <v>12.7</v>
      </c>
      <c r="L15" s="17">
        <v>14.27</v>
      </c>
      <c r="M15" s="17">
        <v>15.09</v>
      </c>
      <c r="N15" s="17">
        <v>16.66</v>
      </c>
      <c r="O15" s="17">
        <v>19.05</v>
      </c>
      <c r="P15" s="17">
        <v>20.62</v>
      </c>
      <c r="Q15" s="17">
        <v>22.23</v>
      </c>
      <c r="R15" s="66">
        <v>24.61</v>
      </c>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18">
      <c r="A17" s="69" t="s">
        <v>237</v>
      </c>
      <c r="B17" s="109" t="s">
        <v>387</v>
      </c>
      <c r="C17" s="109"/>
      <c r="D17" s="109"/>
      <c r="E17" s="109"/>
      <c r="F17" s="109"/>
      <c r="G17" s="109"/>
      <c r="H17" s="109"/>
      <c r="I17" s="109"/>
      <c r="J17" s="109"/>
      <c r="K17" s="109" t="s">
        <v>388</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389</v>
      </c>
      <c r="C21" s="145"/>
      <c r="D21" s="145"/>
      <c r="E21" s="145"/>
      <c r="F21" s="145"/>
      <c r="G21" s="145"/>
      <c r="H21" s="145"/>
      <c r="I21" s="145"/>
      <c r="J21" s="146"/>
      <c r="K21" s="109" t="s">
        <v>390</v>
      </c>
      <c r="L21" s="109"/>
      <c r="M21" s="109"/>
      <c r="N21" s="109"/>
      <c r="O21" s="109"/>
      <c r="P21" s="109"/>
      <c r="Q21" s="109"/>
      <c r="R21" s="110"/>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18"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18"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18" ht="15"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391</v>
      </c>
      <c r="C27" s="145"/>
      <c r="D27" s="145"/>
      <c r="E27" s="145"/>
      <c r="F27" s="145"/>
      <c r="G27" s="145"/>
      <c r="H27" s="145"/>
      <c r="I27" s="145"/>
      <c r="J27" s="145"/>
      <c r="K27" s="145" t="s">
        <v>392</v>
      </c>
      <c r="L27" s="145"/>
      <c r="M27" s="145"/>
      <c r="N27" s="145"/>
      <c r="O27" s="145"/>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s="1" customFormat="1" ht="14.45" customHeight="1">
      <c r="A29" s="69" t="s">
        <v>237</v>
      </c>
      <c r="B29" s="144" t="s">
        <v>393</v>
      </c>
      <c r="C29" s="145"/>
      <c r="D29" s="145"/>
      <c r="E29" s="145"/>
      <c r="F29" s="145"/>
      <c r="G29" s="145"/>
      <c r="H29" s="145"/>
      <c r="I29" s="145"/>
      <c r="J29" s="145"/>
      <c r="K29" s="145"/>
      <c r="L29" s="145"/>
      <c r="M29" s="145"/>
      <c r="N29" s="145"/>
      <c r="O29" s="145"/>
      <c r="P29" s="145"/>
      <c r="Q29" s="145"/>
      <c r="R29" s="147"/>
    </row>
    <row r="30" spans="1:18" s="1" customFormat="1" ht="15.75" customHeight="1">
      <c r="A30" s="69" t="s">
        <v>257</v>
      </c>
      <c r="B30" s="144" t="s">
        <v>299</v>
      </c>
      <c r="C30" s="145"/>
      <c r="D30" s="145"/>
      <c r="E30" s="146"/>
      <c r="F30" s="144" t="s">
        <v>300</v>
      </c>
      <c r="G30" s="145"/>
      <c r="H30" s="145"/>
      <c r="I30" s="145"/>
      <c r="J30" s="145"/>
      <c r="K30" s="145"/>
      <c r="L30" s="145"/>
      <c r="M30" s="145"/>
      <c r="N30" s="145"/>
      <c r="O30" s="145"/>
      <c r="P30" s="145"/>
      <c r="Q30" s="145"/>
      <c r="R30" s="147"/>
    </row>
    <row r="31" spans="1:18" s="1" customFormat="1" ht="15.75" customHeight="1">
      <c r="A31" s="69" t="s">
        <v>234</v>
      </c>
      <c r="B31" s="144" t="s">
        <v>376</v>
      </c>
      <c r="C31" s="145"/>
      <c r="D31" s="145"/>
      <c r="E31" s="145"/>
      <c r="F31" s="145"/>
      <c r="G31" s="145"/>
      <c r="H31" s="145"/>
      <c r="I31" s="145"/>
      <c r="J31" s="145"/>
      <c r="K31" s="145"/>
      <c r="L31" s="145"/>
      <c r="M31" s="145"/>
      <c r="N31" s="145"/>
      <c r="O31" s="145"/>
      <c r="P31" s="145"/>
      <c r="Q31" s="145"/>
      <c r="R31" s="147"/>
    </row>
    <row r="32" spans="1:18" s="1" customFormat="1" ht="15.75" customHeight="1">
      <c r="A32" s="117" t="s">
        <v>260</v>
      </c>
      <c r="B32" s="109"/>
      <c r="C32" s="109"/>
      <c r="D32" s="109"/>
      <c r="E32" s="109"/>
      <c r="F32" s="109"/>
      <c r="G32" s="109"/>
      <c r="H32" s="109"/>
      <c r="I32" s="109"/>
      <c r="J32" s="109"/>
      <c r="K32" s="109"/>
      <c r="L32" s="109"/>
      <c r="M32" s="109"/>
      <c r="N32" s="109"/>
      <c r="O32" s="109"/>
      <c r="P32" s="109"/>
      <c r="Q32" s="109"/>
      <c r="R32" s="110"/>
    </row>
    <row r="33" spans="1:20" s="1" customFormat="1" ht="13.9" customHeight="1">
      <c r="A33" s="69" t="s">
        <v>237</v>
      </c>
      <c r="B33" s="144" t="s">
        <v>393</v>
      </c>
      <c r="C33" s="145"/>
      <c r="D33" s="145"/>
      <c r="E33" s="145"/>
      <c r="F33" s="145"/>
      <c r="G33" s="145"/>
      <c r="H33" s="145"/>
      <c r="I33" s="145"/>
      <c r="J33" s="145"/>
      <c r="K33" s="145"/>
      <c r="L33" s="145"/>
      <c r="M33" s="145"/>
      <c r="N33" s="145"/>
      <c r="O33" s="145"/>
      <c r="P33" s="145"/>
      <c r="Q33" s="145"/>
      <c r="R33" s="147"/>
    </row>
    <row r="34" spans="1:20" s="1" customFormat="1"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20" s="1" customFormat="1" ht="15" customHeight="1">
      <c r="A35" s="117" t="s">
        <v>264</v>
      </c>
      <c r="B35" s="109"/>
      <c r="C35" s="109"/>
      <c r="D35" s="109"/>
      <c r="E35" s="109"/>
      <c r="F35" s="109"/>
      <c r="G35" s="109"/>
      <c r="H35" s="109"/>
      <c r="I35" s="109"/>
      <c r="J35" s="109"/>
      <c r="K35" s="109"/>
      <c r="L35" s="109"/>
      <c r="M35" s="109"/>
      <c r="N35" s="109"/>
      <c r="O35" s="109"/>
      <c r="P35" s="109"/>
      <c r="Q35" s="109"/>
      <c r="R35" s="110"/>
    </row>
    <row r="36" spans="1:20" s="1" customFormat="1" ht="13.9" customHeight="1">
      <c r="A36" s="69" t="s">
        <v>265</v>
      </c>
      <c r="B36" s="144" t="s">
        <v>394</v>
      </c>
      <c r="C36" s="145"/>
      <c r="D36" s="145"/>
      <c r="E36" s="145"/>
      <c r="F36" s="145"/>
      <c r="G36" s="145"/>
      <c r="H36" s="145"/>
      <c r="I36" s="145"/>
      <c r="J36" s="145"/>
      <c r="K36" s="145"/>
      <c r="L36" s="145"/>
      <c r="M36" s="145"/>
      <c r="N36" s="145"/>
      <c r="O36" s="145"/>
      <c r="P36" s="145"/>
      <c r="Q36" s="145"/>
      <c r="R36" s="147"/>
    </row>
    <row r="37" spans="1:20" s="1" customFormat="1" ht="13.9" customHeight="1">
      <c r="A37" s="69" t="s">
        <v>267</v>
      </c>
      <c r="B37" s="144" t="s">
        <v>394</v>
      </c>
      <c r="C37" s="145"/>
      <c r="D37" s="145"/>
      <c r="E37" s="145"/>
      <c r="F37" s="145"/>
      <c r="G37" s="145"/>
      <c r="H37" s="145"/>
      <c r="I37" s="145"/>
      <c r="J37" s="145"/>
      <c r="K37" s="145"/>
      <c r="L37" s="145"/>
      <c r="M37" s="145"/>
      <c r="N37" s="145"/>
      <c r="O37" s="145"/>
      <c r="P37" s="145"/>
      <c r="Q37" s="145"/>
      <c r="R37" s="147"/>
    </row>
    <row r="38" spans="1:20" s="1" customFormat="1" ht="13.9" customHeight="1">
      <c r="A38" s="69" t="s">
        <v>269</v>
      </c>
      <c r="B38" s="109" t="s">
        <v>396</v>
      </c>
      <c r="C38" s="109"/>
      <c r="D38" s="109"/>
      <c r="E38" s="109"/>
      <c r="F38" s="109"/>
      <c r="G38" s="109"/>
      <c r="H38" s="109"/>
      <c r="I38" s="109"/>
      <c r="J38" s="109"/>
      <c r="K38" s="109"/>
      <c r="L38" s="109"/>
      <c r="M38" s="109"/>
      <c r="N38" s="109"/>
      <c r="O38" s="109"/>
      <c r="P38" s="109"/>
      <c r="Q38" s="109"/>
      <c r="R38" s="110"/>
    </row>
    <row r="39" spans="1:20" s="1"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20" s="1" customFormat="1">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20" ht="14.45"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20" ht="14.45"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c r="T42" s="6"/>
    </row>
    <row r="43" spans="1:20">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20">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20"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20"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20">
      <c r="A47" s="148" t="s">
        <v>278</v>
      </c>
      <c r="B47" s="149"/>
      <c r="C47" s="149"/>
      <c r="D47" s="149"/>
      <c r="E47" s="149"/>
      <c r="F47" s="149"/>
      <c r="G47" s="149"/>
      <c r="H47" s="149"/>
      <c r="I47" s="149"/>
      <c r="J47" s="149"/>
      <c r="K47" s="149"/>
      <c r="L47" s="149"/>
      <c r="M47" s="149"/>
      <c r="N47" s="149"/>
      <c r="O47" s="149"/>
      <c r="P47" s="149"/>
      <c r="Q47" s="149"/>
      <c r="R47" s="150"/>
    </row>
    <row r="48" spans="1:20" ht="27"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s="1" customFormat="1">
      <c r="A50" s="114" t="s">
        <v>281</v>
      </c>
      <c r="B50" s="115"/>
      <c r="C50" s="115"/>
      <c r="D50" s="115"/>
      <c r="E50" s="115"/>
      <c r="F50" s="115"/>
      <c r="G50" s="115"/>
      <c r="H50" s="115"/>
      <c r="I50" s="115"/>
      <c r="J50" s="115"/>
      <c r="K50" s="115"/>
      <c r="L50" s="115"/>
      <c r="M50" s="115"/>
      <c r="N50" s="115"/>
      <c r="O50" s="115"/>
      <c r="P50" s="115"/>
      <c r="Q50" s="115"/>
      <c r="R50" s="116"/>
    </row>
    <row r="51" spans="1:18" s="1" customFormat="1" ht="27.6" customHeight="1">
      <c r="A51" s="114" t="s">
        <v>324</v>
      </c>
      <c r="B51" s="115"/>
      <c r="C51" s="115"/>
      <c r="D51" s="115"/>
      <c r="E51" s="115"/>
      <c r="F51" s="115"/>
      <c r="G51" s="115"/>
      <c r="H51" s="115"/>
      <c r="I51" s="115"/>
      <c r="J51" s="115"/>
      <c r="K51" s="115"/>
      <c r="L51" s="115"/>
      <c r="M51" s="115"/>
      <c r="N51" s="115"/>
      <c r="O51" s="115"/>
      <c r="P51" s="115"/>
      <c r="Q51" s="115"/>
      <c r="R51" s="116"/>
    </row>
    <row r="52" spans="1:18" s="1" customFormat="1" ht="28.1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378</v>
      </c>
      <c r="B53" s="115"/>
      <c r="C53" s="115"/>
      <c r="D53" s="115"/>
      <c r="E53" s="115"/>
      <c r="F53" s="115"/>
      <c r="G53" s="115"/>
      <c r="H53" s="115"/>
      <c r="I53" s="115"/>
      <c r="J53" s="115"/>
      <c r="K53" s="115"/>
      <c r="L53" s="115"/>
      <c r="M53" s="115"/>
      <c r="N53" s="115"/>
      <c r="O53" s="115"/>
      <c r="P53" s="115"/>
      <c r="Q53" s="115"/>
      <c r="R53" s="116"/>
    </row>
    <row r="54" spans="1:18" ht="14.45" customHeight="1">
      <c r="A54" s="114" t="s">
        <v>397</v>
      </c>
      <c r="B54" s="115"/>
      <c r="C54" s="115"/>
      <c r="D54" s="115"/>
      <c r="E54" s="115"/>
      <c r="F54" s="115"/>
      <c r="G54" s="115"/>
      <c r="H54" s="115"/>
      <c r="I54" s="115"/>
      <c r="J54" s="115"/>
      <c r="K54" s="115"/>
      <c r="L54" s="115"/>
      <c r="M54" s="115"/>
      <c r="N54" s="115"/>
      <c r="O54" s="115"/>
      <c r="P54" s="115"/>
      <c r="Q54" s="115"/>
      <c r="R54" s="116"/>
    </row>
    <row r="55" spans="1:18" s="1" customFormat="1">
      <c r="A55" s="114" t="s">
        <v>380</v>
      </c>
      <c r="B55" s="115"/>
      <c r="C55" s="115"/>
      <c r="D55" s="115"/>
      <c r="E55" s="115"/>
      <c r="F55" s="115"/>
      <c r="G55" s="115"/>
      <c r="H55" s="115"/>
      <c r="I55" s="115"/>
      <c r="J55" s="115"/>
      <c r="K55" s="115"/>
      <c r="L55" s="115"/>
      <c r="M55" s="115"/>
      <c r="N55" s="115"/>
      <c r="O55" s="115"/>
      <c r="P55" s="115"/>
      <c r="Q55" s="115"/>
      <c r="R55" s="116"/>
    </row>
    <row r="56" spans="1:18" s="1" customFormat="1">
      <c r="A56" s="114" t="s">
        <v>381</v>
      </c>
      <c r="B56" s="115"/>
      <c r="C56" s="115"/>
      <c r="D56" s="115"/>
      <c r="E56" s="115"/>
      <c r="F56" s="115"/>
      <c r="G56" s="115"/>
      <c r="H56" s="115"/>
      <c r="I56" s="115"/>
      <c r="J56" s="115"/>
      <c r="K56" s="115"/>
      <c r="L56" s="115"/>
      <c r="M56" s="115"/>
      <c r="N56" s="115"/>
      <c r="O56" s="115"/>
      <c r="P56" s="115"/>
      <c r="Q56" s="115"/>
      <c r="R56" s="116"/>
    </row>
    <row r="57" spans="1:18" s="1" customFormat="1" ht="15.75" thickBot="1">
      <c r="A57" s="177"/>
      <c r="B57" s="178"/>
      <c r="C57" s="178"/>
      <c r="D57" s="178"/>
      <c r="E57" s="178"/>
      <c r="F57" s="178"/>
      <c r="G57" s="178"/>
      <c r="H57" s="178"/>
      <c r="I57" s="178"/>
      <c r="J57" s="178"/>
      <c r="K57" s="178"/>
      <c r="L57" s="178"/>
      <c r="M57" s="178"/>
      <c r="N57" s="178"/>
      <c r="O57" s="178"/>
      <c r="P57" s="178"/>
      <c r="Q57" s="178"/>
      <c r="R57" s="179"/>
    </row>
  </sheetData>
  <mergeCells count="88">
    <mergeCell ref="B11:R11"/>
    <mergeCell ref="B16:J16"/>
    <mergeCell ref="K16:R16"/>
    <mergeCell ref="K17:R17"/>
    <mergeCell ref="B17:J17"/>
    <mergeCell ref="A19:R19"/>
    <mergeCell ref="B18:R18"/>
    <mergeCell ref="B27:R27"/>
    <mergeCell ref="K20:R20"/>
    <mergeCell ref="B26:E26"/>
    <mergeCell ref="F26:R26"/>
    <mergeCell ref="B20:J20"/>
    <mergeCell ref="K21:R21"/>
    <mergeCell ref="B21:J21"/>
    <mergeCell ref="B22:R22"/>
    <mergeCell ref="B23:R23"/>
    <mergeCell ref="B24:R24"/>
    <mergeCell ref="B25:R25"/>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10:R10"/>
    <mergeCell ref="L8:O9"/>
    <mergeCell ref="P8:R8"/>
    <mergeCell ref="D9:E9"/>
    <mergeCell ref="F9:G9"/>
    <mergeCell ref="H9:I9"/>
    <mergeCell ref="J9:K9"/>
    <mergeCell ref="P9:R9"/>
    <mergeCell ref="B8:C8"/>
    <mergeCell ref="D8:E8"/>
    <mergeCell ref="F8:G8"/>
    <mergeCell ref="H8:I8"/>
    <mergeCell ref="J8:K8"/>
    <mergeCell ref="B9:C9"/>
    <mergeCell ref="A28:R28"/>
    <mergeCell ref="B29:R29"/>
    <mergeCell ref="B30:E30"/>
    <mergeCell ref="F30:R30"/>
    <mergeCell ref="B31:R31"/>
    <mergeCell ref="A32:R32"/>
    <mergeCell ref="B33:R33"/>
    <mergeCell ref="B34:L34"/>
    <mergeCell ref="M34:R34"/>
    <mergeCell ref="A35:R35"/>
    <mergeCell ref="B36:R36"/>
    <mergeCell ref="B37:R37"/>
    <mergeCell ref="B38:R38"/>
    <mergeCell ref="A39:R39"/>
    <mergeCell ref="B40:R40"/>
    <mergeCell ref="B42:R42"/>
    <mergeCell ref="B43:R43"/>
    <mergeCell ref="B44:E44"/>
    <mergeCell ref="F44:R44"/>
    <mergeCell ref="B41:E41"/>
    <mergeCell ref="F41:R41"/>
    <mergeCell ref="B45:F45"/>
    <mergeCell ref="G45:R45"/>
    <mergeCell ref="A56:R56"/>
    <mergeCell ref="A57:R57"/>
    <mergeCell ref="A51:R51"/>
    <mergeCell ref="A52:R52"/>
    <mergeCell ref="A53:R53"/>
    <mergeCell ref="A54:R54"/>
    <mergeCell ref="A55:R55"/>
    <mergeCell ref="A47:R47"/>
    <mergeCell ref="A48:R48"/>
    <mergeCell ref="A49:R49"/>
    <mergeCell ref="A50:R50"/>
    <mergeCell ref="B46:R46"/>
  </mergeCells>
  <printOptions horizontalCentered="1"/>
  <pageMargins left="0.7" right="0.7" top="0.75" bottom="0.75" header="0.3" footer="0.3"/>
  <pageSetup paperSize="9" scale="88" firstPageNumber="18" orientation="portrait" r:id="rId1"/>
  <legacyDrawingHF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4">
    <tabColor theme="4" tint="0.59999389629810485"/>
    <pageSetUpPr fitToPage="1"/>
  </sheetPr>
  <dimension ref="A1:T59"/>
  <sheetViews>
    <sheetView workbookViewId="0">
      <selection activeCell="Z23" sqref="Z23"/>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398</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368</v>
      </c>
      <c r="C14" s="17" t="s">
        <v>368</v>
      </c>
      <c r="D14" s="17" t="s">
        <v>368</v>
      </c>
      <c r="E14" s="17" t="s">
        <v>368</v>
      </c>
      <c r="F14" s="17" t="s">
        <v>368</v>
      </c>
      <c r="G14" s="17" t="s">
        <v>368</v>
      </c>
      <c r="H14" s="17" t="s">
        <v>368</v>
      </c>
      <c r="I14" s="17">
        <v>120</v>
      </c>
      <c r="J14" s="17">
        <v>100</v>
      </c>
      <c r="K14" s="17">
        <v>120</v>
      </c>
      <c r="L14" s="17">
        <v>120</v>
      </c>
      <c r="M14" s="17">
        <v>120</v>
      </c>
      <c r="N14" s="17">
        <v>120</v>
      </c>
      <c r="O14" s="17">
        <v>120</v>
      </c>
      <c r="P14" s="17">
        <v>120</v>
      </c>
      <c r="Q14" s="17">
        <v>120</v>
      </c>
      <c r="R14" s="66">
        <v>120</v>
      </c>
    </row>
    <row r="15" spans="1:18" s="3" customFormat="1">
      <c r="A15" s="70" t="s">
        <v>233</v>
      </c>
      <c r="B15" s="17">
        <v>3.73</v>
      </c>
      <c r="C15" s="17">
        <v>3.91</v>
      </c>
      <c r="D15" s="17">
        <v>4.55</v>
      </c>
      <c r="E15" s="17">
        <v>5.08</v>
      </c>
      <c r="F15" s="17">
        <v>5.54</v>
      </c>
      <c r="G15" s="17">
        <v>7.62</v>
      </c>
      <c r="H15" s="17">
        <v>8.56</v>
      </c>
      <c r="I15" s="17">
        <v>14.27</v>
      </c>
      <c r="J15" s="17">
        <v>15.09</v>
      </c>
      <c r="K15" s="17">
        <v>21.44</v>
      </c>
      <c r="L15" s="17">
        <v>25.4</v>
      </c>
      <c r="M15" s="17">
        <v>27.7</v>
      </c>
      <c r="N15" s="17">
        <v>30.96</v>
      </c>
      <c r="O15" s="17">
        <v>34.92</v>
      </c>
      <c r="P15" s="17">
        <v>38.1</v>
      </c>
      <c r="Q15" s="17">
        <v>41.27</v>
      </c>
      <c r="R15" s="66">
        <v>46.02</v>
      </c>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18">
      <c r="A17" s="69" t="s">
        <v>237</v>
      </c>
      <c r="B17" s="109" t="s">
        <v>387</v>
      </c>
      <c r="C17" s="109"/>
      <c r="D17" s="109"/>
      <c r="E17" s="109"/>
      <c r="F17" s="109"/>
      <c r="G17" s="109"/>
      <c r="H17" s="109"/>
      <c r="I17" s="109"/>
      <c r="J17" s="109"/>
      <c r="K17" s="109" t="s">
        <v>388</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389</v>
      </c>
      <c r="C21" s="145"/>
      <c r="D21" s="145"/>
      <c r="E21" s="145"/>
      <c r="F21" s="145"/>
      <c r="G21" s="145"/>
      <c r="H21" s="145"/>
      <c r="I21" s="145"/>
      <c r="J21" s="146"/>
      <c r="K21" s="109" t="s">
        <v>390</v>
      </c>
      <c r="L21" s="109"/>
      <c r="M21" s="109"/>
      <c r="N21" s="109"/>
      <c r="O21" s="109"/>
      <c r="P21" s="109"/>
      <c r="Q21" s="109"/>
      <c r="R21" s="110"/>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18"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18"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18" ht="15"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391</v>
      </c>
      <c r="C27" s="145"/>
      <c r="D27" s="145"/>
      <c r="E27" s="145"/>
      <c r="F27" s="145"/>
      <c r="G27" s="145"/>
      <c r="H27" s="145"/>
      <c r="I27" s="145"/>
      <c r="J27" s="145"/>
      <c r="K27" s="145" t="s">
        <v>392</v>
      </c>
      <c r="L27" s="145"/>
      <c r="M27" s="145"/>
      <c r="N27" s="145"/>
      <c r="O27" s="145"/>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s="1" customFormat="1" ht="14.45" customHeight="1">
      <c r="A29" s="69" t="s">
        <v>237</v>
      </c>
      <c r="B29" s="144" t="s">
        <v>393</v>
      </c>
      <c r="C29" s="145"/>
      <c r="D29" s="145"/>
      <c r="E29" s="145"/>
      <c r="F29" s="145"/>
      <c r="G29" s="145"/>
      <c r="H29" s="145"/>
      <c r="I29" s="145"/>
      <c r="J29" s="145"/>
      <c r="K29" s="145"/>
      <c r="L29" s="145"/>
      <c r="M29" s="145"/>
      <c r="N29" s="145"/>
      <c r="O29" s="145"/>
      <c r="P29" s="145"/>
      <c r="Q29" s="145"/>
      <c r="R29" s="147"/>
    </row>
    <row r="30" spans="1:18" s="1" customFormat="1" ht="15.75" customHeight="1">
      <c r="A30" s="69" t="s">
        <v>257</v>
      </c>
      <c r="B30" s="144" t="s">
        <v>299</v>
      </c>
      <c r="C30" s="145"/>
      <c r="D30" s="145"/>
      <c r="E30" s="145"/>
      <c r="F30" s="145"/>
      <c r="G30" s="145"/>
      <c r="H30" s="145"/>
      <c r="I30" s="145"/>
      <c r="J30" s="145"/>
      <c r="K30" s="145"/>
      <c r="L30" s="145"/>
      <c r="M30" s="145"/>
      <c r="N30" s="145"/>
      <c r="O30" s="145"/>
      <c r="P30" s="145"/>
      <c r="Q30" s="145"/>
      <c r="R30" s="147"/>
    </row>
    <row r="31" spans="1:18" s="1" customFormat="1" ht="15.75" customHeight="1">
      <c r="A31" s="69" t="s">
        <v>234</v>
      </c>
      <c r="B31" s="144" t="s">
        <v>376</v>
      </c>
      <c r="C31" s="145"/>
      <c r="D31" s="145"/>
      <c r="E31" s="145"/>
      <c r="F31" s="145"/>
      <c r="G31" s="145"/>
      <c r="H31" s="145"/>
      <c r="I31" s="145"/>
      <c r="J31" s="145"/>
      <c r="K31" s="145"/>
      <c r="L31" s="145"/>
      <c r="M31" s="145"/>
      <c r="N31" s="145"/>
      <c r="O31" s="145"/>
      <c r="P31" s="145"/>
      <c r="Q31" s="145"/>
      <c r="R31" s="147"/>
    </row>
    <row r="32" spans="1:18" s="1" customFormat="1" ht="30">
      <c r="A32" s="69" t="s">
        <v>315</v>
      </c>
      <c r="B32" s="144"/>
      <c r="C32" s="145"/>
      <c r="D32" s="145"/>
      <c r="E32" s="145"/>
      <c r="F32" s="146"/>
      <c r="G32" s="144" t="s">
        <v>316</v>
      </c>
      <c r="H32" s="145"/>
      <c r="I32" s="145"/>
      <c r="J32" s="145"/>
      <c r="K32" s="145"/>
      <c r="L32" s="145"/>
      <c r="M32" s="145"/>
      <c r="N32" s="145"/>
      <c r="O32" s="145"/>
      <c r="P32" s="145"/>
      <c r="Q32" s="145"/>
      <c r="R32" s="147"/>
    </row>
    <row r="33" spans="1:20" s="1" customFormat="1" ht="43.15" customHeight="1">
      <c r="A33" s="69" t="s">
        <v>317</v>
      </c>
      <c r="B33" s="144"/>
      <c r="C33" s="145"/>
      <c r="D33" s="145"/>
      <c r="E33" s="145"/>
      <c r="F33" s="146"/>
      <c r="G33" s="144" t="s">
        <v>399</v>
      </c>
      <c r="H33" s="145"/>
      <c r="I33" s="145"/>
      <c r="J33" s="145"/>
      <c r="K33" s="145"/>
      <c r="L33" s="145"/>
      <c r="M33" s="145"/>
      <c r="N33" s="145"/>
      <c r="O33" s="145"/>
      <c r="P33" s="145"/>
      <c r="Q33" s="145"/>
      <c r="R33" s="147"/>
    </row>
    <row r="34" spans="1:20" s="1" customFormat="1" ht="15" customHeight="1">
      <c r="A34" s="117" t="s">
        <v>260</v>
      </c>
      <c r="B34" s="109"/>
      <c r="C34" s="109"/>
      <c r="D34" s="109"/>
      <c r="E34" s="109"/>
      <c r="F34" s="109"/>
      <c r="G34" s="109"/>
      <c r="H34" s="109"/>
      <c r="I34" s="109"/>
      <c r="J34" s="109"/>
      <c r="K34" s="109"/>
      <c r="L34" s="109"/>
      <c r="M34" s="109"/>
      <c r="N34" s="109"/>
      <c r="O34" s="109"/>
      <c r="P34" s="109"/>
      <c r="Q34" s="109"/>
      <c r="R34" s="110"/>
    </row>
    <row r="35" spans="1:20" s="1" customFormat="1" ht="15" customHeight="1">
      <c r="A35" s="69" t="s">
        <v>237</v>
      </c>
      <c r="B35" s="144" t="s">
        <v>393</v>
      </c>
      <c r="C35" s="145"/>
      <c r="D35" s="145"/>
      <c r="E35" s="145"/>
      <c r="F35" s="145"/>
      <c r="G35" s="145"/>
      <c r="H35" s="145"/>
      <c r="I35" s="145"/>
      <c r="J35" s="145"/>
      <c r="K35" s="145"/>
      <c r="L35" s="145"/>
      <c r="M35" s="145"/>
      <c r="N35" s="145"/>
      <c r="O35" s="145"/>
      <c r="P35" s="145"/>
      <c r="Q35" s="145"/>
      <c r="R35" s="147"/>
    </row>
    <row r="36" spans="1:20" s="1" customFormat="1" ht="13.9"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20" s="1" customFormat="1" ht="13.9" customHeight="1">
      <c r="A37" s="117" t="s">
        <v>264</v>
      </c>
      <c r="B37" s="109"/>
      <c r="C37" s="109"/>
      <c r="D37" s="109"/>
      <c r="E37" s="109"/>
      <c r="F37" s="109"/>
      <c r="G37" s="109"/>
      <c r="H37" s="109"/>
      <c r="I37" s="109"/>
      <c r="J37" s="109"/>
      <c r="K37" s="109"/>
      <c r="L37" s="109"/>
      <c r="M37" s="109"/>
      <c r="N37" s="109"/>
      <c r="O37" s="109"/>
      <c r="P37" s="109"/>
      <c r="Q37" s="109"/>
      <c r="R37" s="110"/>
    </row>
    <row r="38" spans="1:20" s="1" customFormat="1" ht="13.9" customHeight="1">
      <c r="A38" s="69" t="s">
        <v>265</v>
      </c>
      <c r="B38" s="144" t="s">
        <v>394</v>
      </c>
      <c r="C38" s="145"/>
      <c r="D38" s="145"/>
      <c r="E38" s="145"/>
      <c r="F38" s="145"/>
      <c r="G38" s="145"/>
      <c r="H38" s="145"/>
      <c r="I38" s="145"/>
      <c r="J38" s="145"/>
      <c r="K38" s="145"/>
      <c r="L38" s="145"/>
      <c r="M38" s="145"/>
      <c r="N38" s="145"/>
      <c r="O38" s="145"/>
      <c r="P38" s="145"/>
      <c r="Q38" s="145"/>
      <c r="R38" s="147"/>
    </row>
    <row r="39" spans="1:20" s="1" customFormat="1" ht="13.9" customHeight="1">
      <c r="A39" s="69" t="s">
        <v>267</v>
      </c>
      <c r="B39" s="144" t="s">
        <v>394</v>
      </c>
      <c r="C39" s="145"/>
      <c r="D39" s="145"/>
      <c r="E39" s="145"/>
      <c r="F39" s="145"/>
      <c r="G39" s="145"/>
      <c r="H39" s="145"/>
      <c r="I39" s="145"/>
      <c r="J39" s="145"/>
      <c r="K39" s="145"/>
      <c r="L39" s="145"/>
      <c r="M39" s="145"/>
      <c r="N39" s="145"/>
      <c r="O39" s="145"/>
      <c r="P39" s="145"/>
      <c r="Q39" s="145"/>
      <c r="R39" s="147"/>
    </row>
    <row r="40" spans="1:20" s="1" customFormat="1">
      <c r="A40" s="69" t="s">
        <v>269</v>
      </c>
      <c r="B40" s="109" t="s">
        <v>396</v>
      </c>
      <c r="C40" s="109"/>
      <c r="D40" s="109"/>
      <c r="E40" s="109"/>
      <c r="F40" s="109"/>
      <c r="G40" s="109"/>
      <c r="H40" s="109"/>
      <c r="I40" s="109"/>
      <c r="J40" s="109"/>
      <c r="K40" s="109"/>
      <c r="L40" s="109"/>
      <c r="M40" s="109"/>
      <c r="N40" s="109"/>
      <c r="O40" s="109"/>
      <c r="P40" s="109"/>
      <c r="Q40" s="109"/>
      <c r="R40" s="110"/>
    </row>
    <row r="41" spans="1:20" ht="14.45" customHeight="1">
      <c r="A41" s="141" t="s">
        <v>271</v>
      </c>
      <c r="B41" s="142"/>
      <c r="C41" s="142"/>
      <c r="D41" s="142"/>
      <c r="E41" s="142"/>
      <c r="F41" s="142"/>
      <c r="G41" s="142"/>
      <c r="H41" s="142"/>
      <c r="I41" s="142"/>
      <c r="J41" s="142"/>
      <c r="K41" s="142"/>
      <c r="L41" s="142"/>
      <c r="M41" s="142"/>
      <c r="N41" s="142"/>
      <c r="O41" s="142"/>
      <c r="P41" s="142"/>
      <c r="Q41" s="142"/>
      <c r="R41" s="143"/>
    </row>
    <row r="42" spans="1:20"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c r="T42" s="6"/>
    </row>
    <row r="43" spans="1:20">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20">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20"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20"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20">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20" ht="29.45"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c r="A49" s="148" t="s">
        <v>278</v>
      </c>
      <c r="B49" s="149"/>
      <c r="C49" s="149"/>
      <c r="D49" s="149"/>
      <c r="E49" s="149"/>
      <c r="F49" s="149"/>
      <c r="G49" s="149"/>
      <c r="H49" s="149"/>
      <c r="I49" s="149"/>
      <c r="J49" s="149"/>
      <c r="K49" s="149"/>
      <c r="L49" s="149"/>
      <c r="M49" s="149"/>
      <c r="N49" s="149"/>
      <c r="O49" s="149"/>
      <c r="P49" s="149"/>
      <c r="Q49" s="149"/>
      <c r="R49" s="150"/>
    </row>
    <row r="50" spans="1:18" s="1" customFormat="1" ht="27" customHeight="1">
      <c r="A50" s="114" t="s">
        <v>279</v>
      </c>
      <c r="B50" s="115"/>
      <c r="C50" s="115"/>
      <c r="D50" s="115"/>
      <c r="E50" s="115"/>
      <c r="F50" s="115"/>
      <c r="G50" s="115"/>
      <c r="H50" s="115"/>
      <c r="I50" s="115"/>
      <c r="J50" s="115"/>
      <c r="K50" s="115"/>
      <c r="L50" s="115"/>
      <c r="M50" s="115"/>
      <c r="N50" s="115"/>
      <c r="O50" s="115"/>
      <c r="P50" s="115"/>
      <c r="Q50" s="115"/>
      <c r="R50" s="116"/>
    </row>
    <row r="51" spans="1:18" s="1" customFormat="1">
      <c r="A51" s="114" t="s">
        <v>280</v>
      </c>
      <c r="B51" s="115"/>
      <c r="C51" s="115"/>
      <c r="D51" s="115"/>
      <c r="E51" s="115"/>
      <c r="F51" s="115"/>
      <c r="G51" s="115"/>
      <c r="H51" s="115"/>
      <c r="I51" s="115"/>
      <c r="J51" s="115"/>
      <c r="K51" s="115"/>
      <c r="L51" s="115"/>
      <c r="M51" s="115"/>
      <c r="N51" s="115"/>
      <c r="O51" s="115"/>
      <c r="P51" s="115"/>
      <c r="Q51" s="115"/>
      <c r="R51" s="116"/>
    </row>
    <row r="52" spans="1:18" s="1" customFormat="1">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ht="14.45" customHeight="1">
      <c r="A54" s="114" t="s">
        <v>283</v>
      </c>
      <c r="B54" s="115"/>
      <c r="C54" s="115"/>
      <c r="D54" s="115"/>
      <c r="E54" s="115"/>
      <c r="F54" s="115"/>
      <c r="G54" s="115"/>
      <c r="H54" s="115"/>
      <c r="I54" s="115"/>
      <c r="J54" s="115"/>
      <c r="K54" s="115"/>
      <c r="L54" s="115"/>
      <c r="M54" s="115"/>
      <c r="N54" s="115"/>
      <c r="O54" s="115"/>
      <c r="P54" s="115"/>
      <c r="Q54" s="115"/>
      <c r="R54" s="116"/>
    </row>
    <row r="55" spans="1:18" s="1" customFormat="1">
      <c r="A55" s="114" t="s">
        <v>378</v>
      </c>
      <c r="B55" s="115"/>
      <c r="C55" s="115"/>
      <c r="D55" s="115"/>
      <c r="E55" s="115"/>
      <c r="F55" s="115"/>
      <c r="G55" s="115"/>
      <c r="H55" s="115"/>
      <c r="I55" s="115"/>
      <c r="J55" s="115"/>
      <c r="K55" s="115"/>
      <c r="L55" s="115"/>
      <c r="M55" s="115"/>
      <c r="N55" s="115"/>
      <c r="O55" s="115"/>
      <c r="P55" s="115"/>
      <c r="Q55" s="115"/>
      <c r="R55" s="116"/>
    </row>
    <row r="56" spans="1:18" s="1" customFormat="1">
      <c r="A56" s="114" t="s">
        <v>397</v>
      </c>
      <c r="B56" s="115"/>
      <c r="C56" s="115"/>
      <c r="D56" s="115"/>
      <c r="E56" s="115"/>
      <c r="F56" s="115"/>
      <c r="G56" s="115"/>
      <c r="H56" s="115"/>
      <c r="I56" s="115"/>
      <c r="J56" s="115"/>
      <c r="K56" s="115"/>
      <c r="L56" s="115"/>
      <c r="M56" s="115"/>
      <c r="N56" s="115"/>
      <c r="O56" s="115"/>
      <c r="P56" s="115"/>
      <c r="Q56" s="115"/>
      <c r="R56" s="116"/>
    </row>
    <row r="57" spans="1:18" s="1" customFormat="1">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1">
    <mergeCell ref="B32:F32"/>
    <mergeCell ref="G32:R32"/>
    <mergeCell ref="B33:F33"/>
    <mergeCell ref="G33:R33"/>
    <mergeCell ref="B11:R11"/>
    <mergeCell ref="B16:J16"/>
    <mergeCell ref="K16:R16"/>
    <mergeCell ref="B17:J17"/>
    <mergeCell ref="K17:R17"/>
    <mergeCell ref="A28:R28"/>
    <mergeCell ref="B27:R27"/>
    <mergeCell ref="B23:R23"/>
    <mergeCell ref="B24:R24"/>
    <mergeCell ref="B25:R25"/>
    <mergeCell ref="B26:E26"/>
    <mergeCell ref="B18:R18"/>
    <mergeCell ref="B20:J20"/>
    <mergeCell ref="K20:R20"/>
    <mergeCell ref="F26:R26"/>
    <mergeCell ref="A19:R19"/>
    <mergeCell ref="B21:J21"/>
    <mergeCell ref="B22:R22"/>
    <mergeCell ref="K21:R21"/>
    <mergeCell ref="B29:R29"/>
    <mergeCell ref="A53:R53"/>
    <mergeCell ref="A41:R41"/>
    <mergeCell ref="A49:R49"/>
    <mergeCell ref="A52:R52"/>
    <mergeCell ref="B39:R39"/>
    <mergeCell ref="B38:R38"/>
    <mergeCell ref="B30:R30"/>
    <mergeCell ref="B31:R31"/>
    <mergeCell ref="A34:R34"/>
    <mergeCell ref="B35:R35"/>
    <mergeCell ref="B36:L36"/>
    <mergeCell ref="M36:R36"/>
    <mergeCell ref="A37:R37"/>
    <mergeCell ref="B40:R40"/>
    <mergeCell ref="B42:R42"/>
    <mergeCell ref="M3:N3"/>
    <mergeCell ref="O3:P3"/>
    <mergeCell ref="Q3:R3"/>
    <mergeCell ref="F4:H4"/>
    <mergeCell ref="I4:R4"/>
    <mergeCell ref="F5:G5"/>
    <mergeCell ref="H5:R5"/>
    <mergeCell ref="F6:H6"/>
    <mergeCell ref="I6:R6"/>
    <mergeCell ref="A7:R7"/>
    <mergeCell ref="A1:E6"/>
    <mergeCell ref="F1:P1"/>
    <mergeCell ref="Q1:R1"/>
    <mergeCell ref="F2:I2"/>
    <mergeCell ref="J2:L2"/>
    <mergeCell ref="M2:N2"/>
    <mergeCell ref="O2:P2"/>
    <mergeCell ref="Q2:R2"/>
    <mergeCell ref="F3:G3"/>
    <mergeCell ref="H3:I3"/>
    <mergeCell ref="J3:L3"/>
    <mergeCell ref="A10:R10"/>
    <mergeCell ref="L8:O9"/>
    <mergeCell ref="P8:R8"/>
    <mergeCell ref="D9:E9"/>
    <mergeCell ref="F9:G9"/>
    <mergeCell ref="H9:I9"/>
    <mergeCell ref="J9:K9"/>
    <mergeCell ref="P9:R9"/>
    <mergeCell ref="B8:C8"/>
    <mergeCell ref="D8:E8"/>
    <mergeCell ref="F8:G8"/>
    <mergeCell ref="H8:I8"/>
    <mergeCell ref="J8:K8"/>
    <mergeCell ref="B9:C9"/>
    <mergeCell ref="B44:R44"/>
    <mergeCell ref="B45:R45"/>
    <mergeCell ref="B46:E46"/>
    <mergeCell ref="F46:R46"/>
    <mergeCell ref="B43:E43"/>
    <mergeCell ref="F43:R43"/>
    <mergeCell ref="A59:R59"/>
    <mergeCell ref="A51:R51"/>
    <mergeCell ref="A54:R54"/>
    <mergeCell ref="A55:R55"/>
    <mergeCell ref="A56:R56"/>
    <mergeCell ref="A57:R57"/>
    <mergeCell ref="B48:R48"/>
    <mergeCell ref="B47:F47"/>
    <mergeCell ref="G47:R47"/>
    <mergeCell ref="A50:R50"/>
    <mergeCell ref="A58:R58"/>
  </mergeCells>
  <printOptions horizontalCentered="1"/>
  <pageMargins left="0.7" right="0.7" top="0.75" bottom="0.75" header="0.3" footer="0.3"/>
  <pageSetup paperSize="9" scale="83" firstPageNumber="18" orientation="portrait" r:id="rId1"/>
  <legacyDrawingHF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6">
    <tabColor theme="4" tint="0.59999389629810485"/>
    <pageSetUpPr fitToPage="1"/>
  </sheetPr>
  <dimension ref="A1:Z59"/>
  <sheetViews>
    <sheetView workbookViewId="0">
      <selection activeCell="Z23" sqref="Z23"/>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c r="Q12" s="17"/>
      <c r="R12" s="66"/>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c r="Q13" s="17"/>
      <c r="R13" s="66"/>
    </row>
    <row r="14" spans="1:18" s="3" customFormat="1">
      <c r="A14" s="70" t="s">
        <v>230</v>
      </c>
      <c r="B14" s="17" t="s">
        <v>368</v>
      </c>
      <c r="C14" s="17" t="s">
        <v>368</v>
      </c>
      <c r="D14" s="17" t="s">
        <v>368</v>
      </c>
      <c r="E14" s="17">
        <v>160</v>
      </c>
      <c r="F14" s="17">
        <v>160</v>
      </c>
      <c r="G14" s="17">
        <v>160</v>
      </c>
      <c r="H14" s="17">
        <v>160</v>
      </c>
      <c r="I14" s="17">
        <v>160</v>
      </c>
      <c r="J14" s="17">
        <v>160</v>
      </c>
      <c r="K14" s="17">
        <v>160</v>
      </c>
      <c r="L14" s="17" t="s">
        <v>174</v>
      </c>
      <c r="M14" s="10" t="s">
        <v>400</v>
      </c>
      <c r="N14" s="10" t="s">
        <v>400</v>
      </c>
      <c r="O14" s="10" t="s">
        <v>400</v>
      </c>
      <c r="P14" s="10"/>
      <c r="Q14" s="10"/>
      <c r="R14" s="86"/>
    </row>
    <row r="15" spans="1:18" s="3" customFormat="1">
      <c r="A15" s="70" t="s">
        <v>233</v>
      </c>
      <c r="B15" s="17">
        <v>3.73</v>
      </c>
      <c r="C15" s="17">
        <v>3.91</v>
      </c>
      <c r="D15" s="17">
        <v>4.55</v>
      </c>
      <c r="E15" s="17">
        <v>7.14</v>
      </c>
      <c r="F15" s="17">
        <v>8.74</v>
      </c>
      <c r="G15" s="17">
        <v>11.13</v>
      </c>
      <c r="H15" s="17">
        <v>13.49</v>
      </c>
      <c r="I15" s="17">
        <v>18.260000000000002</v>
      </c>
      <c r="J15" s="13">
        <v>23.01</v>
      </c>
      <c r="K15" s="13">
        <v>28.58</v>
      </c>
      <c r="L15" s="13">
        <v>34</v>
      </c>
      <c r="M15" s="18">
        <v>27.79</v>
      </c>
      <c r="N15" s="18">
        <v>30.96</v>
      </c>
      <c r="O15" s="18">
        <v>34.93</v>
      </c>
      <c r="P15" s="13"/>
      <c r="Q15" s="13"/>
      <c r="R15" s="78"/>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26">
      <c r="A17" s="69" t="s">
        <v>237</v>
      </c>
      <c r="B17" s="109" t="s">
        <v>387</v>
      </c>
      <c r="C17" s="109"/>
      <c r="D17" s="109"/>
      <c r="E17" s="109"/>
      <c r="F17" s="109"/>
      <c r="G17" s="109"/>
      <c r="H17" s="109"/>
      <c r="I17" s="109"/>
      <c r="J17" s="109"/>
      <c r="K17" s="109" t="s">
        <v>388</v>
      </c>
      <c r="L17" s="109"/>
      <c r="M17" s="109"/>
      <c r="N17" s="109"/>
      <c r="O17" s="109"/>
      <c r="P17" s="109"/>
      <c r="Q17" s="109"/>
      <c r="R17" s="110"/>
    </row>
    <row r="18" spans="1:26">
      <c r="A18" s="69" t="s">
        <v>240</v>
      </c>
      <c r="B18" s="144" t="s">
        <v>241</v>
      </c>
      <c r="C18" s="145"/>
      <c r="D18" s="145"/>
      <c r="E18" s="145"/>
      <c r="F18" s="145"/>
      <c r="G18" s="145"/>
      <c r="H18" s="145"/>
      <c r="I18" s="145"/>
      <c r="J18" s="145"/>
      <c r="K18" s="145"/>
      <c r="L18" s="145"/>
      <c r="M18" s="145"/>
      <c r="N18" s="145"/>
      <c r="O18" s="145"/>
      <c r="P18" s="145"/>
      <c r="Q18" s="145"/>
      <c r="R18" s="147"/>
    </row>
    <row r="19" spans="1:26">
      <c r="A19" s="117" t="s">
        <v>242</v>
      </c>
      <c r="B19" s="109"/>
      <c r="C19" s="109"/>
      <c r="D19" s="109"/>
      <c r="E19" s="109"/>
      <c r="F19" s="109"/>
      <c r="G19" s="109"/>
      <c r="H19" s="109"/>
      <c r="I19" s="109"/>
      <c r="J19" s="109"/>
      <c r="K19" s="109"/>
      <c r="L19" s="109"/>
      <c r="M19" s="109"/>
      <c r="N19" s="109"/>
      <c r="O19" s="109"/>
      <c r="P19" s="109"/>
      <c r="Q19" s="109"/>
      <c r="R19" s="110"/>
    </row>
    <row r="20" spans="1:26"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26" ht="15" customHeight="1">
      <c r="A21" s="69" t="s">
        <v>237</v>
      </c>
      <c r="B21" s="144" t="s">
        <v>389</v>
      </c>
      <c r="C21" s="145"/>
      <c r="D21" s="145"/>
      <c r="E21" s="145"/>
      <c r="F21" s="145"/>
      <c r="G21" s="145"/>
      <c r="H21" s="145"/>
      <c r="I21" s="145"/>
      <c r="J21" s="146"/>
      <c r="K21" s="109" t="s">
        <v>390</v>
      </c>
      <c r="L21" s="109"/>
      <c r="M21" s="109"/>
      <c r="N21" s="109"/>
      <c r="O21" s="109"/>
      <c r="P21" s="109"/>
      <c r="Q21" s="109"/>
      <c r="R21" s="110"/>
    </row>
    <row r="22" spans="1:26" ht="15" customHeight="1">
      <c r="A22" s="69" t="s">
        <v>246</v>
      </c>
      <c r="B22" s="144" t="s">
        <v>247</v>
      </c>
      <c r="C22" s="145"/>
      <c r="D22" s="145"/>
      <c r="E22" s="145"/>
      <c r="F22" s="145"/>
      <c r="G22" s="145"/>
      <c r="H22" s="145"/>
      <c r="I22" s="145"/>
      <c r="J22" s="145"/>
      <c r="K22" s="145"/>
      <c r="L22" s="145"/>
      <c r="M22" s="145"/>
      <c r="N22" s="145"/>
      <c r="O22" s="145"/>
      <c r="P22" s="145"/>
      <c r="Q22" s="145"/>
      <c r="R22" s="147"/>
      <c r="U22" s="3"/>
      <c r="W22" s="3"/>
      <c r="X22" s="3"/>
      <c r="Y22" s="3"/>
      <c r="Z22" s="3"/>
    </row>
    <row r="23" spans="1:26"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26"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26"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26" ht="15" customHeight="1">
      <c r="A26" s="69" t="s">
        <v>251</v>
      </c>
      <c r="B26" s="151" t="s">
        <v>290</v>
      </c>
      <c r="C26" s="145"/>
      <c r="D26" s="145"/>
      <c r="E26" s="146"/>
      <c r="F26" s="144"/>
      <c r="G26" s="145"/>
      <c r="H26" s="145"/>
      <c r="I26" s="145"/>
      <c r="J26" s="145"/>
      <c r="K26" s="145"/>
      <c r="L26" s="145"/>
      <c r="M26" s="145"/>
      <c r="N26" s="145"/>
      <c r="O26" s="145"/>
      <c r="P26" s="145"/>
      <c r="Q26" s="145"/>
      <c r="R26" s="147"/>
    </row>
    <row r="27" spans="1:26" ht="15" customHeight="1">
      <c r="A27" s="69" t="s">
        <v>253</v>
      </c>
      <c r="B27" s="144" t="s">
        <v>391</v>
      </c>
      <c r="C27" s="145"/>
      <c r="D27" s="145"/>
      <c r="E27" s="145"/>
      <c r="F27" s="145"/>
      <c r="G27" s="145"/>
      <c r="H27" s="145"/>
      <c r="I27" s="145"/>
      <c r="J27" s="145"/>
      <c r="K27" s="145" t="s">
        <v>392</v>
      </c>
      <c r="L27" s="145"/>
      <c r="M27" s="145"/>
      <c r="N27" s="145"/>
      <c r="O27" s="145"/>
      <c r="P27" s="145"/>
      <c r="Q27" s="145"/>
      <c r="R27" s="147"/>
    </row>
    <row r="28" spans="1:26">
      <c r="A28" s="117" t="s">
        <v>255</v>
      </c>
      <c r="B28" s="109"/>
      <c r="C28" s="109"/>
      <c r="D28" s="109"/>
      <c r="E28" s="109"/>
      <c r="F28" s="109"/>
      <c r="G28" s="109"/>
      <c r="H28" s="109"/>
      <c r="I28" s="109"/>
      <c r="J28" s="109"/>
      <c r="K28" s="109"/>
      <c r="L28" s="109"/>
      <c r="M28" s="109"/>
      <c r="N28" s="109"/>
      <c r="O28" s="109"/>
      <c r="P28" s="109"/>
      <c r="Q28" s="109"/>
      <c r="R28" s="110"/>
    </row>
    <row r="29" spans="1:26" ht="13.9" customHeight="1">
      <c r="A29" s="69" t="s">
        <v>237</v>
      </c>
      <c r="B29" s="144" t="s">
        <v>393</v>
      </c>
      <c r="C29" s="145"/>
      <c r="D29" s="145"/>
      <c r="E29" s="145"/>
      <c r="F29" s="145"/>
      <c r="G29" s="145"/>
      <c r="H29" s="145"/>
      <c r="I29" s="145"/>
      <c r="J29" s="145"/>
      <c r="K29" s="145"/>
      <c r="L29" s="145"/>
      <c r="M29" s="145"/>
      <c r="N29" s="145"/>
      <c r="O29" s="145"/>
      <c r="P29" s="145"/>
      <c r="Q29" s="145"/>
      <c r="R29" s="147"/>
    </row>
    <row r="30" spans="1:26" ht="13.9" customHeight="1">
      <c r="A30" s="69" t="s">
        <v>257</v>
      </c>
      <c r="B30" s="144" t="s">
        <v>299</v>
      </c>
      <c r="C30" s="145"/>
      <c r="D30" s="145"/>
      <c r="E30" s="145"/>
      <c r="F30" s="145"/>
      <c r="G30" s="145"/>
      <c r="H30" s="145"/>
      <c r="I30" s="145"/>
      <c r="J30" s="145"/>
      <c r="K30" s="145"/>
      <c r="L30" s="145"/>
      <c r="M30" s="145"/>
      <c r="N30" s="145"/>
      <c r="O30" s="145"/>
      <c r="P30" s="145"/>
      <c r="Q30" s="145"/>
      <c r="R30" s="147"/>
    </row>
    <row r="31" spans="1:26" ht="14.45" customHeight="1">
      <c r="A31" s="69" t="s">
        <v>234</v>
      </c>
      <c r="B31" s="144" t="s">
        <v>376</v>
      </c>
      <c r="C31" s="145"/>
      <c r="D31" s="145"/>
      <c r="E31" s="145"/>
      <c r="F31" s="145"/>
      <c r="G31" s="145"/>
      <c r="H31" s="145"/>
      <c r="I31" s="145"/>
      <c r="J31" s="145"/>
      <c r="K31" s="145"/>
      <c r="L31" s="145"/>
      <c r="M31" s="145"/>
      <c r="N31" s="145"/>
      <c r="O31" s="145"/>
      <c r="P31" s="145"/>
      <c r="Q31" s="145"/>
      <c r="R31" s="147"/>
    </row>
    <row r="32" spans="1:26" s="1" customFormat="1" ht="30">
      <c r="A32" s="69" t="s">
        <v>315</v>
      </c>
      <c r="B32" s="144"/>
      <c r="C32" s="145"/>
      <c r="D32" s="145"/>
      <c r="E32" s="145"/>
      <c r="F32" s="146"/>
      <c r="G32" s="144" t="s">
        <v>316</v>
      </c>
      <c r="H32" s="145"/>
      <c r="I32" s="145"/>
      <c r="J32" s="145"/>
      <c r="K32" s="145"/>
      <c r="L32" s="145"/>
      <c r="M32" s="145"/>
      <c r="N32" s="145"/>
      <c r="O32" s="145"/>
      <c r="P32" s="145"/>
      <c r="Q32" s="145"/>
      <c r="R32" s="147"/>
    </row>
    <row r="33" spans="1:18" s="1" customFormat="1" ht="39.6" customHeight="1">
      <c r="A33" s="69" t="s">
        <v>317</v>
      </c>
      <c r="B33" s="144"/>
      <c r="C33" s="145"/>
      <c r="D33" s="145"/>
      <c r="E33" s="145"/>
      <c r="F33" s="146"/>
      <c r="G33" s="144" t="s">
        <v>399</v>
      </c>
      <c r="H33" s="145"/>
      <c r="I33" s="145"/>
      <c r="J33" s="145"/>
      <c r="K33" s="145"/>
      <c r="L33" s="145"/>
      <c r="M33" s="145"/>
      <c r="N33" s="145"/>
      <c r="O33" s="145"/>
      <c r="P33" s="145"/>
      <c r="Q33" s="145"/>
      <c r="R33" s="147"/>
    </row>
    <row r="34" spans="1:18" ht="14.45" customHeight="1">
      <c r="A34" s="117" t="s">
        <v>260</v>
      </c>
      <c r="B34" s="109"/>
      <c r="C34" s="109"/>
      <c r="D34" s="109"/>
      <c r="E34" s="109"/>
      <c r="F34" s="109"/>
      <c r="G34" s="109"/>
      <c r="H34" s="109"/>
      <c r="I34" s="109"/>
      <c r="J34" s="109"/>
      <c r="K34" s="109"/>
      <c r="L34" s="109"/>
      <c r="M34" s="109"/>
      <c r="N34" s="109"/>
      <c r="O34" s="109"/>
      <c r="P34" s="109"/>
      <c r="Q34" s="109"/>
      <c r="R34" s="110"/>
    </row>
    <row r="35" spans="1:18" ht="13.9" customHeight="1">
      <c r="A35" s="69" t="s">
        <v>237</v>
      </c>
      <c r="B35" s="144" t="s">
        <v>393</v>
      </c>
      <c r="C35" s="145"/>
      <c r="D35" s="145"/>
      <c r="E35" s="145"/>
      <c r="F35" s="145"/>
      <c r="G35" s="145"/>
      <c r="H35" s="145"/>
      <c r="I35" s="145"/>
      <c r="J35" s="145"/>
      <c r="K35" s="145"/>
      <c r="L35" s="145"/>
      <c r="M35" s="145"/>
      <c r="N35" s="145"/>
      <c r="O35" s="145"/>
      <c r="P35" s="145"/>
      <c r="Q35" s="145"/>
      <c r="R35" s="147"/>
    </row>
    <row r="36" spans="1:18" ht="14.45"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18" ht="14.45" customHeight="1">
      <c r="A37" s="117" t="s">
        <v>264</v>
      </c>
      <c r="B37" s="109"/>
      <c r="C37" s="109"/>
      <c r="D37" s="109"/>
      <c r="E37" s="109"/>
      <c r="F37" s="109"/>
      <c r="G37" s="109"/>
      <c r="H37" s="109"/>
      <c r="I37" s="109"/>
      <c r="J37" s="109"/>
      <c r="K37" s="109"/>
      <c r="L37" s="109"/>
      <c r="M37" s="109"/>
      <c r="N37" s="109"/>
      <c r="O37" s="109"/>
      <c r="P37" s="109"/>
      <c r="Q37" s="109"/>
      <c r="R37" s="110"/>
    </row>
    <row r="38" spans="1:18" ht="14.45" customHeight="1">
      <c r="A38" s="69" t="s">
        <v>265</v>
      </c>
      <c r="B38" s="144" t="s">
        <v>394</v>
      </c>
      <c r="C38" s="145"/>
      <c r="D38" s="145"/>
      <c r="E38" s="145"/>
      <c r="F38" s="145"/>
      <c r="G38" s="145"/>
      <c r="H38" s="145"/>
      <c r="I38" s="145"/>
      <c r="J38" s="145"/>
      <c r="K38" s="145"/>
      <c r="L38" s="145"/>
      <c r="M38" s="145"/>
      <c r="N38" s="145"/>
      <c r="O38" s="145"/>
      <c r="P38" s="145"/>
      <c r="Q38" s="145"/>
      <c r="R38" s="147"/>
    </row>
    <row r="39" spans="1:18" ht="14.45" customHeight="1">
      <c r="A39" s="69" t="s">
        <v>267</v>
      </c>
      <c r="B39" s="144" t="s">
        <v>394</v>
      </c>
      <c r="C39" s="145"/>
      <c r="D39" s="145"/>
      <c r="E39" s="145"/>
      <c r="F39" s="145"/>
      <c r="G39" s="145"/>
      <c r="H39" s="145"/>
      <c r="I39" s="145"/>
      <c r="J39" s="145"/>
      <c r="K39" s="145"/>
      <c r="L39" s="145"/>
      <c r="M39" s="145"/>
      <c r="N39" s="145"/>
      <c r="O39" s="145"/>
      <c r="P39" s="145"/>
      <c r="Q39" s="145"/>
      <c r="R39" s="147"/>
    </row>
    <row r="40" spans="1:18">
      <c r="A40" s="69" t="s">
        <v>269</v>
      </c>
      <c r="B40" s="109" t="s">
        <v>396</v>
      </c>
      <c r="C40" s="109"/>
      <c r="D40" s="109"/>
      <c r="E40" s="109"/>
      <c r="F40" s="109"/>
      <c r="G40" s="109"/>
      <c r="H40" s="109"/>
      <c r="I40" s="109"/>
      <c r="J40" s="109"/>
      <c r="K40" s="109"/>
      <c r="L40" s="109"/>
      <c r="M40" s="109"/>
      <c r="N40" s="109"/>
      <c r="O40" s="109"/>
      <c r="P40" s="109"/>
      <c r="Q40" s="109"/>
      <c r="R40" s="110"/>
    </row>
    <row r="41" spans="1:18" ht="14.45" customHeight="1">
      <c r="A41" s="141" t="s">
        <v>271</v>
      </c>
      <c r="B41" s="142"/>
      <c r="C41" s="142"/>
      <c r="D41" s="142"/>
      <c r="E41" s="142"/>
      <c r="F41" s="142"/>
      <c r="G41" s="142"/>
      <c r="H41" s="142"/>
      <c r="I41" s="142"/>
      <c r="J41" s="142"/>
      <c r="K41" s="142"/>
      <c r="L41" s="142"/>
      <c r="M41" s="142"/>
      <c r="N41" s="142"/>
      <c r="O41" s="142"/>
      <c r="P41" s="142"/>
      <c r="Q41" s="142"/>
      <c r="R41" s="143"/>
    </row>
    <row r="42" spans="1:18"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18" ht="14.45" customHeight="1">
      <c r="A43" s="69" t="s">
        <v>273</v>
      </c>
      <c r="B43" s="144" t="s">
        <v>303</v>
      </c>
      <c r="C43" s="145"/>
      <c r="D43" s="145"/>
      <c r="E43" s="146"/>
      <c r="F43" s="144" t="e">
        <f ca="1">"BSR"&amp;VLOOKUP(F3,INDEX!B:AH,33,0)&amp;"J"&amp;", BSF"&amp;VLOOKUP(F3,INDEX!B:AH,33,0)&amp;"J"&amp;", BSRM"&amp;VLOOKUP(F3,INDEX!B:AH,33,0)&amp;"J"&amp;", BSFM"&amp;VLOOKUP(F3,INDEX!B:AH,33,0)&amp;"J"</f>
        <v>#VALUE!</v>
      </c>
      <c r="G43" s="145"/>
      <c r="H43" s="145"/>
      <c r="I43" s="145"/>
      <c r="J43" s="145"/>
      <c r="K43" s="145"/>
      <c r="L43" s="145"/>
      <c r="M43" s="145"/>
      <c r="N43" s="145"/>
      <c r="O43" s="145"/>
      <c r="P43" s="145"/>
      <c r="Q43" s="145"/>
      <c r="R43" s="147"/>
    </row>
    <row r="44" spans="1:18">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18">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18">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18"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18" ht="13.9" customHeight="1">
      <c r="A48" s="69" t="s">
        <v>305</v>
      </c>
      <c r="B48" s="144" t="e">
        <f ca="1">"DSR"&amp;VLOOKUP(F3,INDEX!B:AH,33,0)&amp;"J"&amp;", DSRM"&amp;VLOOKUP(F3,INDEX!B:AH,33,0)&amp;"J"</f>
        <v>#VALUE!</v>
      </c>
      <c r="C48" s="145"/>
      <c r="D48" s="145"/>
      <c r="E48" s="145"/>
      <c r="F48" s="145"/>
      <c r="G48" s="145"/>
      <c r="H48" s="145"/>
      <c r="I48" s="145"/>
      <c r="J48" s="145"/>
      <c r="K48" s="145"/>
      <c r="L48" s="145"/>
      <c r="M48" s="145"/>
      <c r="N48" s="145"/>
      <c r="O48" s="145"/>
      <c r="P48" s="145"/>
      <c r="Q48" s="145"/>
      <c r="R48" s="147"/>
    </row>
    <row r="49" spans="1:18" ht="13.9" customHeight="1">
      <c r="A49" s="148" t="s">
        <v>278</v>
      </c>
      <c r="B49" s="149"/>
      <c r="C49" s="149"/>
      <c r="D49" s="149"/>
      <c r="E49" s="149"/>
      <c r="F49" s="149"/>
      <c r="G49" s="149"/>
      <c r="H49" s="149"/>
      <c r="I49" s="149"/>
      <c r="J49" s="149"/>
      <c r="K49" s="149"/>
      <c r="L49" s="149"/>
      <c r="M49" s="149"/>
      <c r="N49" s="149"/>
      <c r="O49" s="149"/>
      <c r="P49" s="149"/>
      <c r="Q49" s="149"/>
      <c r="R49" s="150"/>
    </row>
    <row r="50" spans="1:18" ht="28.1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ht="14.45" customHeight="1">
      <c r="A52" s="114" t="s">
        <v>281</v>
      </c>
      <c r="B52" s="115"/>
      <c r="C52" s="115"/>
      <c r="D52" s="115"/>
      <c r="E52" s="115"/>
      <c r="F52" s="115"/>
      <c r="G52" s="115"/>
      <c r="H52" s="115"/>
      <c r="I52" s="115"/>
      <c r="J52" s="115"/>
      <c r="K52" s="115"/>
      <c r="L52" s="115"/>
      <c r="M52" s="115"/>
      <c r="N52" s="115"/>
      <c r="O52" s="115"/>
      <c r="P52" s="115"/>
      <c r="Q52" s="115"/>
      <c r="R52" s="116"/>
    </row>
    <row r="53" spans="1:18" ht="27" customHeight="1">
      <c r="A53" s="114" t="s">
        <v>324</v>
      </c>
      <c r="B53" s="115"/>
      <c r="C53" s="115"/>
      <c r="D53" s="115"/>
      <c r="E53" s="115"/>
      <c r="F53" s="115"/>
      <c r="G53" s="115"/>
      <c r="H53" s="115"/>
      <c r="I53" s="115"/>
      <c r="J53" s="115"/>
      <c r="K53" s="115"/>
      <c r="L53" s="115"/>
      <c r="M53" s="115"/>
      <c r="N53" s="115"/>
      <c r="O53" s="115"/>
      <c r="P53" s="115"/>
      <c r="Q53" s="115"/>
      <c r="R53" s="116"/>
    </row>
    <row r="54" spans="1:18" ht="28.15" customHeight="1">
      <c r="A54" s="114" t="s">
        <v>283</v>
      </c>
      <c r="B54" s="115"/>
      <c r="C54" s="115"/>
      <c r="D54" s="115"/>
      <c r="E54" s="115"/>
      <c r="F54" s="115"/>
      <c r="G54" s="115"/>
      <c r="H54" s="115"/>
      <c r="I54" s="115"/>
      <c r="J54" s="115"/>
      <c r="K54" s="115"/>
      <c r="L54" s="115"/>
      <c r="M54" s="115"/>
      <c r="N54" s="115"/>
      <c r="O54" s="115"/>
      <c r="P54" s="115"/>
      <c r="Q54" s="115"/>
      <c r="R54" s="116"/>
    </row>
    <row r="55" spans="1:18">
      <c r="A55" s="114" t="s">
        <v>378</v>
      </c>
      <c r="B55" s="115"/>
      <c r="C55" s="115"/>
      <c r="D55" s="115"/>
      <c r="E55" s="115"/>
      <c r="F55" s="115"/>
      <c r="G55" s="115"/>
      <c r="H55" s="115"/>
      <c r="I55" s="115"/>
      <c r="J55" s="115"/>
      <c r="K55" s="115"/>
      <c r="L55" s="115"/>
      <c r="M55" s="115"/>
      <c r="N55" s="115"/>
      <c r="O55" s="115"/>
      <c r="P55" s="115"/>
      <c r="Q55" s="115"/>
      <c r="R55" s="116"/>
    </row>
    <row r="56" spans="1:18">
      <c r="A56" s="114" t="s">
        <v>397</v>
      </c>
      <c r="B56" s="115"/>
      <c r="C56" s="115"/>
      <c r="D56" s="115"/>
      <c r="E56" s="115"/>
      <c r="F56" s="115"/>
      <c r="G56" s="115"/>
      <c r="H56" s="115"/>
      <c r="I56" s="115"/>
      <c r="J56" s="115"/>
      <c r="K56" s="115"/>
      <c r="L56" s="115"/>
      <c r="M56" s="115"/>
      <c r="N56" s="115"/>
      <c r="O56" s="115"/>
      <c r="P56" s="115"/>
      <c r="Q56" s="115"/>
      <c r="R56" s="116"/>
    </row>
    <row r="57" spans="1:18">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t="s">
        <v>401</v>
      </c>
      <c r="B59" s="178"/>
      <c r="C59" s="178"/>
      <c r="D59" s="178"/>
      <c r="E59" s="178"/>
      <c r="F59" s="178"/>
      <c r="G59" s="178"/>
      <c r="H59" s="178"/>
      <c r="I59" s="178"/>
      <c r="J59" s="178"/>
      <c r="K59" s="178"/>
      <c r="L59" s="178"/>
      <c r="M59" s="178"/>
      <c r="N59" s="178"/>
      <c r="O59" s="178"/>
      <c r="P59" s="178"/>
      <c r="Q59" s="178"/>
      <c r="R59" s="179"/>
    </row>
  </sheetData>
  <mergeCells count="91">
    <mergeCell ref="B11:R11"/>
    <mergeCell ref="B16:J16"/>
    <mergeCell ref="K16:R16"/>
    <mergeCell ref="B17:J17"/>
    <mergeCell ref="K17:R17"/>
    <mergeCell ref="B23:R23"/>
    <mergeCell ref="B24:R24"/>
    <mergeCell ref="B25:R25"/>
    <mergeCell ref="B26:E26"/>
    <mergeCell ref="K21:R21"/>
    <mergeCell ref="A19:R19"/>
    <mergeCell ref="B21:J21"/>
    <mergeCell ref="B22:R22"/>
    <mergeCell ref="B18:R18"/>
    <mergeCell ref="B20:J20"/>
    <mergeCell ref="K20:R20"/>
    <mergeCell ref="B27:R27"/>
    <mergeCell ref="B29:R29"/>
    <mergeCell ref="B30:R30"/>
    <mergeCell ref="A28:R28"/>
    <mergeCell ref="F26:R26"/>
    <mergeCell ref="A49:R49"/>
    <mergeCell ref="A52:R52"/>
    <mergeCell ref="B39:R39"/>
    <mergeCell ref="B38:R38"/>
    <mergeCell ref="B44:R44"/>
    <mergeCell ref="B45:R45"/>
    <mergeCell ref="B46:E46"/>
    <mergeCell ref="F46:R46"/>
    <mergeCell ref="A50:R50"/>
    <mergeCell ref="A51:R51"/>
    <mergeCell ref="B43:E43"/>
    <mergeCell ref="F43:R43"/>
    <mergeCell ref="B48:R48"/>
    <mergeCell ref="B47:F47"/>
    <mergeCell ref="G47:R47"/>
    <mergeCell ref="F5:G5"/>
    <mergeCell ref="H5:R5"/>
    <mergeCell ref="F6:H6"/>
    <mergeCell ref="I6:R6"/>
    <mergeCell ref="A7:R7"/>
    <mergeCell ref="A1:E6"/>
    <mergeCell ref="F1:P1"/>
    <mergeCell ref="Q1:R1"/>
    <mergeCell ref="M3:N3"/>
    <mergeCell ref="O3:P3"/>
    <mergeCell ref="Q3:R3"/>
    <mergeCell ref="F4:H4"/>
    <mergeCell ref="I4:R4"/>
    <mergeCell ref="F2:I2"/>
    <mergeCell ref="J2:L2"/>
    <mergeCell ref="M2:N2"/>
    <mergeCell ref="O2:P2"/>
    <mergeCell ref="Q2:R2"/>
    <mergeCell ref="F3:G3"/>
    <mergeCell ref="H3:I3"/>
    <mergeCell ref="J3:L3"/>
    <mergeCell ref="A10:R10"/>
    <mergeCell ref="L8:O9"/>
    <mergeCell ref="P8:R8"/>
    <mergeCell ref="D9:E9"/>
    <mergeCell ref="F9:G9"/>
    <mergeCell ref="H9:I9"/>
    <mergeCell ref="J9:K9"/>
    <mergeCell ref="P9:R9"/>
    <mergeCell ref="B8:C8"/>
    <mergeCell ref="D8:E8"/>
    <mergeCell ref="F8:G8"/>
    <mergeCell ref="H8:I8"/>
    <mergeCell ref="J8:K8"/>
    <mergeCell ref="B9:C9"/>
    <mergeCell ref="A53:R53"/>
    <mergeCell ref="A59:R59"/>
    <mergeCell ref="A54:R54"/>
    <mergeCell ref="A55:R55"/>
    <mergeCell ref="A56:R56"/>
    <mergeCell ref="A57:R57"/>
    <mergeCell ref="A58:R58"/>
    <mergeCell ref="A37:R37"/>
    <mergeCell ref="B40:R40"/>
    <mergeCell ref="B42:R42"/>
    <mergeCell ref="B31:R31"/>
    <mergeCell ref="A34:R34"/>
    <mergeCell ref="B35:R35"/>
    <mergeCell ref="B36:L36"/>
    <mergeCell ref="M36:R36"/>
    <mergeCell ref="A41:R41"/>
    <mergeCell ref="B32:F32"/>
    <mergeCell ref="G32:R32"/>
    <mergeCell ref="B33:F33"/>
    <mergeCell ref="G33:R33"/>
  </mergeCells>
  <printOptions horizontalCentered="1"/>
  <pageMargins left="0.7" right="0.7" top="0.75" bottom="0.75" header="0.3" footer="0.3"/>
  <pageSetup paperSize="9" scale="79" firstPageNumber="18" orientation="portrait" r:id="rId1"/>
  <legacyDrawingHF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1614D-CC25-417F-A512-0B6A6FB0B9F8}">
  <sheetPr codeName="Sheet33">
    <tabColor rgb="FF7030A0"/>
    <pageSetUpPr fitToPage="1"/>
  </sheetPr>
  <dimension ref="A1:V56"/>
  <sheetViews>
    <sheetView workbookViewId="0">
      <selection activeCell="T2" sqref="T2:V2"/>
    </sheetView>
  </sheetViews>
  <sheetFormatPr defaultColWidth="9.140625" defaultRowHeight="15"/>
  <cols>
    <col min="1" max="1" width="10.7109375" style="1" customWidth="1"/>
    <col min="2" max="5" width="4.7109375" style="1" customWidth="1"/>
    <col min="6" max="22" width="4.28515625" style="1" customWidth="1"/>
    <col min="23" max="16384" width="9.140625" style="1"/>
  </cols>
  <sheetData>
    <row r="1" spans="1:22" s="5" customFormat="1" ht="14.45" customHeight="1">
      <c r="A1" s="132" t="e" vm="1">
        <v>#VALUE!</v>
      </c>
      <c r="B1" s="133"/>
      <c r="C1" s="133"/>
      <c r="D1" s="133"/>
      <c r="E1" s="134"/>
      <c r="F1" s="165" t="s">
        <v>213</v>
      </c>
      <c r="G1" s="166"/>
      <c r="H1" s="166"/>
      <c r="I1" s="166"/>
      <c r="J1" s="166"/>
      <c r="K1" s="166"/>
      <c r="L1" s="166"/>
      <c r="M1" s="166"/>
      <c r="N1" s="166"/>
      <c r="O1" s="166"/>
      <c r="P1" s="166"/>
      <c r="Q1" s="166"/>
      <c r="R1" s="166"/>
      <c r="S1" s="166"/>
      <c r="T1" s="153" t="s">
        <v>214</v>
      </c>
      <c r="U1" s="153"/>
      <c r="V1" s="154"/>
    </row>
    <row r="2" spans="1:22" s="5" customFormat="1" ht="15.75" customHeight="1">
      <c r="A2" s="135"/>
      <c r="B2" s="136"/>
      <c r="C2" s="136"/>
      <c r="D2" s="136"/>
      <c r="E2" s="137"/>
      <c r="F2" s="127" t="s">
        <v>215</v>
      </c>
      <c r="G2" s="101"/>
      <c r="H2" s="101"/>
      <c r="I2" s="101"/>
      <c r="J2" s="101" t="s">
        <v>216</v>
      </c>
      <c r="K2" s="101"/>
      <c r="L2" s="101"/>
      <c r="M2" s="101"/>
      <c r="N2" s="101" t="s">
        <v>217</v>
      </c>
      <c r="O2" s="101"/>
      <c r="P2" s="101"/>
      <c r="Q2" s="101" t="s">
        <v>13</v>
      </c>
      <c r="R2" s="101"/>
      <c r="S2" s="101"/>
      <c r="T2" s="101" t="s">
        <v>10</v>
      </c>
      <c r="U2" s="101"/>
      <c r="V2" s="102"/>
    </row>
    <row r="3" spans="1:22" s="5" customFormat="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c r="N3" s="101" t="e">
        <f ca="1">VLOOKUP(F3,INDEX!B:J,5,0)</f>
        <v>#VALUE!</v>
      </c>
      <c r="O3" s="101"/>
      <c r="P3" s="101"/>
      <c r="Q3" s="105" t="e">
        <f ca="1">VLOOKUP(F3,INDEX!B:AF,17,0)</f>
        <v>#VALUE!</v>
      </c>
      <c r="R3" s="105"/>
      <c r="S3" s="105"/>
      <c r="T3" s="101" t="e">
        <f ca="1">VLOOKUP(F3,INDEX!B:J,9,0)</f>
        <v>#VALUE!</v>
      </c>
      <c r="U3" s="101"/>
      <c r="V3" s="102"/>
    </row>
    <row r="4" spans="1:22" s="5" customFormat="1" ht="15" customHeight="1">
      <c r="A4" s="135"/>
      <c r="B4" s="136"/>
      <c r="C4" s="136"/>
      <c r="D4" s="136"/>
      <c r="E4" s="137"/>
      <c r="F4" s="130" t="s">
        <v>218</v>
      </c>
      <c r="G4" s="131"/>
      <c r="H4" s="131"/>
      <c r="I4" s="212" t="e">
        <f ca="1">VLOOKUP(F3,INDEX!B:AF,18,0)</f>
        <v>#VALUE!</v>
      </c>
      <c r="J4" s="212"/>
      <c r="K4" s="212"/>
      <c r="L4" s="212"/>
      <c r="M4" s="212"/>
      <c r="N4" s="212"/>
      <c r="O4" s="212"/>
      <c r="P4" s="212"/>
      <c r="Q4" s="212"/>
      <c r="R4" s="212"/>
      <c r="S4" s="212"/>
      <c r="T4" s="212"/>
      <c r="U4" s="212"/>
      <c r="V4" s="213"/>
    </row>
    <row r="5" spans="1:22" s="5" customFormat="1" ht="13.9" customHeight="1">
      <c r="A5" s="135"/>
      <c r="B5" s="136"/>
      <c r="C5" s="136"/>
      <c r="D5" s="136"/>
      <c r="E5" s="137"/>
      <c r="F5" s="128" t="s">
        <v>219</v>
      </c>
      <c r="G5" s="129"/>
      <c r="H5" s="129"/>
      <c r="I5" s="212" t="e">
        <f ca="1">VLOOKUP(F3,INDEX!B:J,6,0)</f>
        <v>#VALUE!</v>
      </c>
      <c r="J5" s="212"/>
      <c r="K5" s="212"/>
      <c r="L5" s="212"/>
      <c r="M5" s="212"/>
      <c r="N5" s="212"/>
      <c r="O5" s="212"/>
      <c r="P5" s="212"/>
      <c r="Q5" s="212"/>
      <c r="R5" s="212"/>
      <c r="S5" s="212"/>
      <c r="T5" s="212"/>
      <c r="U5" s="212"/>
      <c r="V5" s="213"/>
    </row>
    <row r="6" spans="1:22" s="5" customFormat="1" ht="14.45" customHeight="1" thickBot="1">
      <c r="A6" s="138"/>
      <c r="B6" s="139"/>
      <c r="C6" s="139"/>
      <c r="D6" s="139"/>
      <c r="E6" s="140"/>
      <c r="F6" s="130" t="s">
        <v>220</v>
      </c>
      <c r="G6" s="131"/>
      <c r="H6" s="131"/>
      <c r="I6" s="198" t="e">
        <f ca="1">VLOOKUP(F3,INDEX!B:AF,16,0)</f>
        <v>#VALUE!</v>
      </c>
      <c r="J6" s="198"/>
      <c r="K6" s="198"/>
      <c r="L6" s="198"/>
      <c r="M6" s="198"/>
      <c r="N6" s="198"/>
      <c r="O6" s="198"/>
      <c r="P6" s="198"/>
      <c r="Q6" s="198"/>
      <c r="R6" s="198"/>
      <c r="S6" s="198"/>
      <c r="T6" s="198"/>
      <c r="U6" s="198"/>
      <c r="V6" s="199"/>
    </row>
    <row r="7" spans="1:22" s="5" customFormat="1" ht="14.45" customHeight="1">
      <c r="A7" s="120" t="s">
        <v>221</v>
      </c>
      <c r="B7" s="121"/>
      <c r="C7" s="121"/>
      <c r="D7" s="121"/>
      <c r="E7" s="121"/>
      <c r="F7" s="122"/>
      <c r="G7" s="122"/>
      <c r="H7" s="122"/>
      <c r="I7" s="122"/>
      <c r="J7" s="122"/>
      <c r="K7" s="122"/>
      <c r="L7" s="122"/>
      <c r="M7" s="122"/>
      <c r="N7" s="122"/>
      <c r="O7" s="122"/>
      <c r="P7" s="122"/>
      <c r="Q7" s="122"/>
      <c r="R7" s="122"/>
      <c r="S7" s="122"/>
      <c r="T7" s="122"/>
      <c r="U7" s="122"/>
      <c r="V7" s="123"/>
    </row>
    <row r="8" spans="1:22" s="3" customFormat="1">
      <c r="A8" s="67" t="s">
        <v>222</v>
      </c>
      <c r="B8" s="101" t="e">
        <f ca="1">VLOOKUP(F3,INDEX!B:AF,20,0)</f>
        <v>#VALUE!</v>
      </c>
      <c r="C8" s="101"/>
      <c r="D8" s="101" t="e">
        <f ca="1">VLOOKUP(F3,INDEX!B:AF,21,0)</f>
        <v>#VALUE!</v>
      </c>
      <c r="E8" s="101"/>
      <c r="F8" s="101" t="e">
        <f ca="1">VLOOKUP(F3,INDEX!B:AF,22,0)</f>
        <v>#VALUE!</v>
      </c>
      <c r="G8" s="101"/>
      <c r="H8" s="101" t="e">
        <f ca="1">VLOOKUP(F3,INDEX!B:AF,23,0)</f>
        <v>#VALUE!</v>
      </c>
      <c r="I8" s="101"/>
      <c r="J8" s="101" t="e">
        <f ca="1">VLOOKUP(F3,INDEX!B:AF,24,0)</f>
        <v>#VALUE!</v>
      </c>
      <c r="K8" s="101"/>
      <c r="L8" s="101"/>
      <c r="M8" s="101"/>
      <c r="N8" s="101"/>
      <c r="O8" s="101"/>
      <c r="P8" s="101"/>
      <c r="Q8" s="101"/>
      <c r="R8" s="101" t="s">
        <v>223</v>
      </c>
      <c r="S8" s="101"/>
      <c r="T8" s="101"/>
      <c r="U8" s="101"/>
      <c r="V8" s="102"/>
    </row>
    <row r="9" spans="1:22" s="3" customFormat="1">
      <c r="A9" s="67" t="s">
        <v>224</v>
      </c>
      <c r="B9" s="101" t="e">
        <f ca="1">VLOOKUP(F3,INDEX!B:Z,19,0)&amp;" to 38"</f>
        <v>#VALUE!</v>
      </c>
      <c r="C9" s="101"/>
      <c r="D9" s="101">
        <v>50</v>
      </c>
      <c r="E9" s="101"/>
      <c r="F9" s="101">
        <v>100</v>
      </c>
      <c r="G9" s="101"/>
      <c r="H9" s="101">
        <v>150</v>
      </c>
      <c r="I9" s="101"/>
      <c r="J9" s="101">
        <v>200</v>
      </c>
      <c r="K9" s="101"/>
      <c r="L9" s="101"/>
      <c r="M9" s="101"/>
      <c r="N9" s="101"/>
      <c r="O9" s="101"/>
      <c r="P9" s="101"/>
      <c r="Q9" s="101"/>
      <c r="R9" s="101" t="e">
        <f ca="1">B8*1.5</f>
        <v>#VALUE!</v>
      </c>
      <c r="S9" s="101"/>
      <c r="T9" s="101"/>
      <c r="U9" s="101"/>
      <c r="V9" s="102"/>
    </row>
    <row r="10" spans="1:22" s="3" customFormat="1">
      <c r="A10" s="208" t="s">
        <v>225</v>
      </c>
      <c r="B10" s="209"/>
      <c r="C10" s="209"/>
      <c r="D10" s="209"/>
      <c r="E10" s="209"/>
      <c r="F10" s="209"/>
      <c r="G10" s="209"/>
      <c r="H10" s="209"/>
      <c r="I10" s="209"/>
      <c r="J10" s="209"/>
      <c r="K10" s="209"/>
      <c r="L10" s="209"/>
      <c r="M10" s="209"/>
      <c r="N10" s="209"/>
      <c r="O10" s="209"/>
      <c r="P10" s="209"/>
      <c r="Q10" s="209"/>
      <c r="R10" s="209"/>
      <c r="S10" s="209"/>
      <c r="T10" s="209"/>
      <c r="U10" s="209"/>
      <c r="V10" s="210"/>
    </row>
    <row r="11" spans="1:22">
      <c r="A11" s="69" t="s">
        <v>226</v>
      </c>
      <c r="B11" s="109" t="s">
        <v>367</v>
      </c>
      <c r="C11" s="109"/>
      <c r="D11" s="109"/>
      <c r="E11" s="109"/>
      <c r="F11" s="109"/>
      <c r="G11" s="109"/>
      <c r="H11" s="109"/>
      <c r="I11" s="109"/>
      <c r="J11" s="109"/>
      <c r="K11" s="109"/>
      <c r="L11" s="109"/>
      <c r="M11" s="109"/>
      <c r="N11" s="109"/>
      <c r="O11" s="109"/>
      <c r="P11" s="109"/>
      <c r="Q11" s="109"/>
      <c r="R11" s="109"/>
      <c r="S11" s="109"/>
      <c r="T11" s="109"/>
      <c r="U11" s="109"/>
      <c r="V11" s="110"/>
    </row>
    <row r="12" spans="1:22"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17">
        <v>30</v>
      </c>
      <c r="V12" s="66">
        <v>32</v>
      </c>
    </row>
    <row r="13" spans="1:22"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17">
        <v>762</v>
      </c>
      <c r="V13" s="66">
        <v>812.8</v>
      </c>
    </row>
    <row r="14" spans="1:22" s="12" customFormat="1">
      <c r="A14" s="70" t="s">
        <v>230</v>
      </c>
      <c r="B14" s="17" t="s">
        <v>368</v>
      </c>
      <c r="C14" s="17" t="s">
        <v>368</v>
      </c>
      <c r="D14" s="17" t="s">
        <v>368</v>
      </c>
      <c r="E14" s="17" t="s">
        <v>368</v>
      </c>
      <c r="F14" s="17" t="s">
        <v>368</v>
      </c>
      <c r="G14" s="17" t="s">
        <v>385</v>
      </c>
      <c r="H14" s="17" t="s">
        <v>385</v>
      </c>
      <c r="I14" s="17" t="s">
        <v>385</v>
      </c>
      <c r="J14" s="17" t="s">
        <v>385</v>
      </c>
      <c r="K14" s="17" t="s">
        <v>385</v>
      </c>
      <c r="L14" s="17" t="s">
        <v>385</v>
      </c>
      <c r="M14" s="17" t="s">
        <v>385</v>
      </c>
      <c r="N14" s="17" t="s">
        <v>385</v>
      </c>
      <c r="O14" s="17" t="s">
        <v>385</v>
      </c>
      <c r="P14" s="17" t="s">
        <v>385</v>
      </c>
      <c r="Q14" s="17" t="s">
        <v>385</v>
      </c>
      <c r="R14" s="17" t="s">
        <v>385</v>
      </c>
      <c r="S14" s="17">
        <v>10</v>
      </c>
      <c r="T14" s="17">
        <v>10</v>
      </c>
      <c r="U14" s="17" t="s">
        <v>385</v>
      </c>
      <c r="V14" s="66">
        <v>10</v>
      </c>
    </row>
    <row r="15" spans="1:22" s="12" customFormat="1">
      <c r="A15" s="70" t="s">
        <v>233</v>
      </c>
      <c r="B15" s="17">
        <v>3.73</v>
      </c>
      <c r="C15" s="17">
        <v>3.91</v>
      </c>
      <c r="D15" s="17">
        <v>4.55</v>
      </c>
      <c r="E15" s="17">
        <v>5.08</v>
      </c>
      <c r="F15" s="17">
        <v>5.54</v>
      </c>
      <c r="G15" s="17">
        <v>3.05</v>
      </c>
      <c r="H15" s="17">
        <v>3.05</v>
      </c>
      <c r="I15" s="17">
        <v>3.4</v>
      </c>
      <c r="J15" s="17">
        <v>3.76</v>
      </c>
      <c r="K15" s="17">
        <v>4.1900000000000004</v>
      </c>
      <c r="L15" s="17">
        <v>4.57</v>
      </c>
      <c r="M15" s="17">
        <v>4.7699999999999996</v>
      </c>
      <c r="N15" s="17">
        <v>4.7699999999999996</v>
      </c>
      <c r="O15" s="17">
        <v>4.7699999999999996</v>
      </c>
      <c r="P15" s="17">
        <v>5.54</v>
      </c>
      <c r="Q15" s="17">
        <v>5.54</v>
      </c>
      <c r="R15" s="17">
        <v>6.35</v>
      </c>
      <c r="S15" s="17">
        <v>7.92</v>
      </c>
      <c r="T15" s="17">
        <v>7.92</v>
      </c>
      <c r="U15" s="17">
        <v>7.92</v>
      </c>
      <c r="V15" s="66">
        <v>7.92</v>
      </c>
    </row>
    <row r="16" spans="1:22">
      <c r="A16" s="69" t="s">
        <v>234</v>
      </c>
      <c r="B16" s="109" t="s">
        <v>235</v>
      </c>
      <c r="C16" s="109"/>
      <c r="D16" s="109"/>
      <c r="E16" s="109"/>
      <c r="F16" s="109"/>
      <c r="G16" s="109"/>
      <c r="H16" s="109"/>
      <c r="I16" s="109"/>
      <c r="J16" s="109"/>
      <c r="K16" s="109" t="s">
        <v>386</v>
      </c>
      <c r="L16" s="109"/>
      <c r="M16" s="109"/>
      <c r="N16" s="109"/>
      <c r="O16" s="109"/>
      <c r="P16" s="109"/>
      <c r="Q16" s="109"/>
      <c r="R16" s="109"/>
      <c r="S16" s="109"/>
      <c r="T16" s="109"/>
      <c r="U16" s="109"/>
      <c r="V16" s="110"/>
    </row>
    <row r="17" spans="1:22" ht="15.75" customHeight="1">
      <c r="A17" s="69" t="s">
        <v>237</v>
      </c>
      <c r="B17" s="109" t="s">
        <v>402</v>
      </c>
      <c r="C17" s="109"/>
      <c r="D17" s="109"/>
      <c r="E17" s="109"/>
      <c r="F17" s="109"/>
      <c r="G17" s="109"/>
      <c r="H17" s="109"/>
      <c r="I17" s="109"/>
      <c r="J17" s="109"/>
      <c r="K17" s="109" t="s">
        <v>402</v>
      </c>
      <c r="L17" s="109"/>
      <c r="M17" s="109"/>
      <c r="N17" s="109"/>
      <c r="O17" s="109"/>
      <c r="P17" s="109"/>
      <c r="Q17" s="109"/>
      <c r="R17" s="109"/>
      <c r="S17" s="109"/>
      <c r="T17" s="109"/>
      <c r="U17" s="109"/>
      <c r="V17" s="110"/>
    </row>
    <row r="18" spans="1:22">
      <c r="A18" s="69" t="s">
        <v>240</v>
      </c>
      <c r="B18" s="144" t="s">
        <v>241</v>
      </c>
      <c r="C18" s="145"/>
      <c r="D18" s="145"/>
      <c r="E18" s="145"/>
      <c r="F18" s="145"/>
      <c r="G18" s="145"/>
      <c r="H18" s="145"/>
      <c r="I18" s="145"/>
      <c r="J18" s="145"/>
      <c r="K18" s="145"/>
      <c r="L18" s="145"/>
      <c r="M18" s="145"/>
      <c r="N18" s="145"/>
      <c r="O18" s="145"/>
      <c r="P18" s="145"/>
      <c r="Q18" s="145"/>
      <c r="R18" s="145"/>
      <c r="S18" s="145"/>
      <c r="T18" s="145"/>
      <c r="U18" s="145"/>
      <c r="V18" s="147"/>
    </row>
    <row r="19" spans="1:22" ht="15.75" customHeight="1">
      <c r="A19" s="117" t="s">
        <v>242</v>
      </c>
      <c r="B19" s="109"/>
      <c r="C19" s="109"/>
      <c r="D19" s="109"/>
      <c r="E19" s="109"/>
      <c r="F19" s="109"/>
      <c r="G19" s="109"/>
      <c r="H19" s="109"/>
      <c r="I19" s="109"/>
      <c r="J19" s="109"/>
      <c r="K19" s="109"/>
      <c r="L19" s="109"/>
      <c r="M19" s="109"/>
      <c r="N19" s="109"/>
      <c r="O19" s="109"/>
      <c r="P19" s="109"/>
      <c r="Q19" s="109"/>
      <c r="R19" s="109"/>
      <c r="S19" s="109"/>
      <c r="T19" s="109"/>
      <c r="U19" s="109"/>
      <c r="V19" s="110"/>
    </row>
    <row r="20" spans="1:22" ht="15" customHeight="1">
      <c r="A20" s="69" t="s">
        <v>234</v>
      </c>
      <c r="B20" s="144" t="s">
        <v>243</v>
      </c>
      <c r="C20" s="145"/>
      <c r="D20" s="145"/>
      <c r="E20" s="145"/>
      <c r="F20" s="145"/>
      <c r="G20" s="145"/>
      <c r="H20" s="145"/>
      <c r="I20" s="145"/>
      <c r="J20" s="146"/>
      <c r="K20" s="144" t="s">
        <v>244</v>
      </c>
      <c r="L20" s="145"/>
      <c r="M20" s="145"/>
      <c r="N20" s="145"/>
      <c r="O20" s="145"/>
      <c r="P20" s="145"/>
      <c r="Q20" s="145"/>
      <c r="R20" s="145"/>
      <c r="S20" s="145"/>
      <c r="T20" s="145"/>
      <c r="U20" s="145"/>
      <c r="V20" s="147"/>
    </row>
    <row r="21" spans="1:22" ht="15.75" customHeight="1">
      <c r="A21" s="69" t="s">
        <v>237</v>
      </c>
      <c r="B21" s="144" t="s">
        <v>403</v>
      </c>
      <c r="C21" s="145"/>
      <c r="D21" s="145"/>
      <c r="E21" s="145"/>
      <c r="F21" s="145"/>
      <c r="G21" s="145"/>
      <c r="H21" s="145"/>
      <c r="I21" s="145"/>
      <c r="J21" s="146"/>
      <c r="K21" s="109" t="s">
        <v>404</v>
      </c>
      <c r="L21" s="109"/>
      <c r="M21" s="109"/>
      <c r="N21" s="109"/>
      <c r="O21" s="109"/>
      <c r="P21" s="109"/>
      <c r="Q21" s="109"/>
      <c r="R21" s="109"/>
      <c r="S21" s="109"/>
      <c r="T21" s="109"/>
      <c r="U21" s="109"/>
      <c r="V21" s="110"/>
    </row>
    <row r="22" spans="1:22" ht="15.75" customHeight="1">
      <c r="A22" s="69" t="s">
        <v>246</v>
      </c>
      <c r="B22" s="144" t="s">
        <v>247</v>
      </c>
      <c r="C22" s="145"/>
      <c r="D22" s="145"/>
      <c r="E22" s="145"/>
      <c r="F22" s="145"/>
      <c r="G22" s="145"/>
      <c r="H22" s="145"/>
      <c r="I22" s="145"/>
      <c r="J22" s="145"/>
      <c r="K22" s="145"/>
      <c r="L22" s="145"/>
      <c r="M22" s="145"/>
      <c r="N22" s="145"/>
      <c r="O22" s="145"/>
      <c r="P22" s="145"/>
      <c r="Q22" s="145"/>
      <c r="R22" s="145"/>
      <c r="S22" s="145"/>
      <c r="T22" s="145"/>
      <c r="U22" s="145"/>
      <c r="V22" s="147"/>
    </row>
    <row r="23" spans="1:22" ht="15.75" customHeight="1">
      <c r="A23" s="69" t="s">
        <v>248</v>
      </c>
      <c r="B23" s="144" t="s">
        <v>247</v>
      </c>
      <c r="C23" s="145"/>
      <c r="D23" s="145"/>
      <c r="E23" s="145"/>
      <c r="F23" s="145"/>
      <c r="G23" s="145"/>
      <c r="H23" s="145"/>
      <c r="I23" s="145"/>
      <c r="J23" s="145"/>
      <c r="K23" s="145" t="s">
        <v>247</v>
      </c>
      <c r="L23" s="145"/>
      <c r="M23" s="145"/>
      <c r="N23" s="145"/>
      <c r="O23" s="145"/>
      <c r="P23" s="145"/>
      <c r="Q23" s="145"/>
      <c r="R23" s="145"/>
      <c r="S23" s="145"/>
      <c r="T23" s="145"/>
      <c r="U23" s="145"/>
      <c r="V23" s="147"/>
    </row>
    <row r="24" spans="1:22" ht="15.75" customHeight="1">
      <c r="A24" s="69" t="s">
        <v>249</v>
      </c>
      <c r="B24" s="144" t="s">
        <v>247</v>
      </c>
      <c r="C24" s="145"/>
      <c r="D24" s="145"/>
      <c r="E24" s="145"/>
      <c r="F24" s="145"/>
      <c r="G24" s="145"/>
      <c r="H24" s="145"/>
      <c r="I24" s="145"/>
      <c r="J24" s="145"/>
      <c r="K24" s="145" t="s">
        <v>247</v>
      </c>
      <c r="L24" s="145"/>
      <c r="M24" s="145"/>
      <c r="N24" s="145"/>
      <c r="O24" s="145"/>
      <c r="P24" s="145"/>
      <c r="Q24" s="145"/>
      <c r="R24" s="145"/>
      <c r="S24" s="145"/>
      <c r="T24" s="145"/>
      <c r="U24" s="145"/>
      <c r="V24" s="147"/>
    </row>
    <row r="25" spans="1:22" ht="15.75" customHeight="1">
      <c r="A25" s="69" t="s">
        <v>250</v>
      </c>
      <c r="B25" s="144" t="s">
        <v>247</v>
      </c>
      <c r="C25" s="145"/>
      <c r="D25" s="145"/>
      <c r="E25" s="145"/>
      <c r="F25" s="145"/>
      <c r="G25" s="145"/>
      <c r="H25" s="145"/>
      <c r="I25" s="145"/>
      <c r="J25" s="145"/>
      <c r="K25" s="145" t="s">
        <v>247</v>
      </c>
      <c r="L25" s="145"/>
      <c r="M25" s="145"/>
      <c r="N25" s="145"/>
      <c r="O25" s="145"/>
      <c r="P25" s="145"/>
      <c r="Q25" s="145"/>
      <c r="R25" s="145"/>
      <c r="S25" s="145"/>
      <c r="T25" s="145"/>
      <c r="U25" s="145"/>
      <c r="V25" s="147"/>
    </row>
    <row r="26" spans="1:22" ht="15.75" customHeight="1">
      <c r="A26" s="69" t="s">
        <v>251</v>
      </c>
      <c r="B26" s="151" t="s">
        <v>290</v>
      </c>
      <c r="C26" s="145"/>
      <c r="D26" s="145"/>
      <c r="E26" s="146"/>
      <c r="F26" s="109"/>
      <c r="G26" s="109"/>
      <c r="H26" s="109"/>
      <c r="I26" s="109"/>
      <c r="J26" s="109"/>
      <c r="K26" s="109"/>
      <c r="L26" s="109"/>
      <c r="M26" s="109"/>
      <c r="N26" s="109"/>
      <c r="O26" s="109"/>
      <c r="P26" s="109"/>
      <c r="Q26" s="109"/>
      <c r="R26" s="109"/>
      <c r="S26" s="109"/>
      <c r="T26" s="109"/>
      <c r="U26" s="109"/>
      <c r="V26" s="110"/>
    </row>
    <row r="27" spans="1:22" ht="15.75" customHeight="1">
      <c r="A27" s="69" t="s">
        <v>253</v>
      </c>
      <c r="B27" s="144" t="s">
        <v>405</v>
      </c>
      <c r="C27" s="145"/>
      <c r="D27" s="145"/>
      <c r="E27" s="145"/>
      <c r="F27" s="145"/>
      <c r="G27" s="145"/>
      <c r="H27" s="145"/>
      <c r="I27" s="145"/>
      <c r="J27" s="145"/>
      <c r="K27" s="145" t="s">
        <v>392</v>
      </c>
      <c r="L27" s="145"/>
      <c r="M27" s="145"/>
      <c r="N27" s="145"/>
      <c r="O27" s="145"/>
      <c r="P27" s="145"/>
      <c r="Q27" s="145"/>
      <c r="R27" s="145"/>
      <c r="S27" s="145"/>
      <c r="T27" s="145"/>
      <c r="U27" s="145"/>
      <c r="V27" s="147"/>
    </row>
    <row r="28" spans="1:22" s="5" customFormat="1">
      <c r="A28" s="117" t="s">
        <v>255</v>
      </c>
      <c r="B28" s="118"/>
      <c r="C28" s="118"/>
      <c r="D28" s="118"/>
      <c r="E28" s="118"/>
      <c r="F28" s="118"/>
      <c r="G28" s="118"/>
      <c r="H28" s="118"/>
      <c r="I28" s="118"/>
      <c r="J28" s="118"/>
      <c r="K28" s="118"/>
      <c r="L28" s="118"/>
      <c r="M28" s="118"/>
      <c r="N28" s="118"/>
      <c r="O28" s="118"/>
      <c r="P28" s="118"/>
      <c r="Q28" s="118"/>
      <c r="R28" s="118"/>
      <c r="S28" s="118"/>
      <c r="T28" s="118"/>
      <c r="U28" s="118"/>
      <c r="V28" s="119"/>
    </row>
    <row r="29" spans="1:22" s="5" customFormat="1" ht="13.9" customHeight="1">
      <c r="A29" s="69" t="s">
        <v>237</v>
      </c>
      <c r="B29" s="109" t="s">
        <v>406</v>
      </c>
      <c r="C29" s="109"/>
      <c r="D29" s="109"/>
      <c r="E29" s="109"/>
      <c r="F29" s="109"/>
      <c r="G29" s="109"/>
      <c r="H29" s="109"/>
      <c r="I29" s="109"/>
      <c r="J29" s="109"/>
      <c r="K29" s="109"/>
      <c r="L29" s="109"/>
      <c r="M29" s="109"/>
      <c r="N29" s="109"/>
      <c r="O29" s="109"/>
      <c r="P29" s="109"/>
      <c r="Q29" s="109"/>
      <c r="R29" s="109"/>
      <c r="S29" s="109"/>
      <c r="T29" s="109"/>
      <c r="U29" s="109"/>
      <c r="V29" s="110"/>
    </row>
    <row r="30" spans="1:22" s="5" customFormat="1" ht="13.9" customHeight="1">
      <c r="A30" s="69" t="s">
        <v>257</v>
      </c>
      <c r="B30" s="109" t="s">
        <v>258</v>
      </c>
      <c r="C30" s="109"/>
      <c r="D30" s="109"/>
      <c r="E30" s="109"/>
      <c r="F30" s="109"/>
      <c r="G30" s="109"/>
      <c r="H30" s="109"/>
      <c r="I30" s="109"/>
      <c r="J30" s="109"/>
      <c r="K30" s="109"/>
      <c r="L30" s="109"/>
      <c r="M30" s="109"/>
      <c r="N30" s="109"/>
      <c r="O30" s="109"/>
      <c r="P30" s="109"/>
      <c r="Q30" s="109"/>
      <c r="R30" s="109"/>
      <c r="S30" s="109"/>
      <c r="T30" s="109"/>
      <c r="U30" s="109"/>
      <c r="V30" s="110"/>
    </row>
    <row r="31" spans="1:22" s="5" customFormat="1" ht="14.45" customHeight="1">
      <c r="A31" s="69" t="s">
        <v>234</v>
      </c>
      <c r="B31" s="109" t="s">
        <v>259</v>
      </c>
      <c r="C31" s="109"/>
      <c r="D31" s="109"/>
      <c r="E31" s="109"/>
      <c r="F31" s="109"/>
      <c r="G31" s="109"/>
      <c r="H31" s="109"/>
      <c r="I31" s="109"/>
      <c r="J31" s="109"/>
      <c r="K31" s="109"/>
      <c r="L31" s="109"/>
      <c r="M31" s="109"/>
      <c r="N31" s="109"/>
      <c r="O31" s="109"/>
      <c r="P31" s="109"/>
      <c r="Q31" s="109"/>
      <c r="R31" s="109"/>
      <c r="S31" s="109"/>
      <c r="T31" s="109"/>
      <c r="U31" s="109"/>
      <c r="V31" s="110"/>
    </row>
    <row r="32" spans="1:22" s="5" customFormat="1" ht="13.9" customHeight="1">
      <c r="A32" s="148" t="s">
        <v>260</v>
      </c>
      <c r="B32" s="149"/>
      <c r="C32" s="149"/>
      <c r="D32" s="149"/>
      <c r="E32" s="149"/>
      <c r="F32" s="149"/>
      <c r="G32" s="149"/>
      <c r="H32" s="149"/>
      <c r="I32" s="149"/>
      <c r="J32" s="149"/>
      <c r="K32" s="149"/>
      <c r="L32" s="149"/>
      <c r="M32" s="149"/>
      <c r="N32" s="149"/>
      <c r="O32" s="149"/>
      <c r="P32" s="149"/>
      <c r="Q32" s="149"/>
      <c r="R32" s="149"/>
      <c r="S32" s="149"/>
      <c r="T32" s="149"/>
      <c r="U32" s="149"/>
      <c r="V32" s="150"/>
    </row>
    <row r="33" spans="1:22" s="5" customFormat="1" ht="13.9" customHeight="1">
      <c r="A33" s="84" t="s">
        <v>237</v>
      </c>
      <c r="B33" s="233" t="s">
        <v>406</v>
      </c>
      <c r="C33" s="142"/>
      <c r="D33" s="142"/>
      <c r="E33" s="142"/>
      <c r="F33" s="142"/>
      <c r="G33" s="142"/>
      <c r="H33" s="142"/>
      <c r="I33" s="142"/>
      <c r="J33" s="142"/>
      <c r="K33" s="142"/>
      <c r="L33" s="142"/>
      <c r="M33" s="142"/>
      <c r="N33" s="142"/>
      <c r="O33" s="142"/>
      <c r="P33" s="142"/>
      <c r="Q33" s="142"/>
      <c r="R33" s="142"/>
      <c r="S33" s="142"/>
      <c r="T33" s="142"/>
      <c r="U33" s="142"/>
      <c r="V33" s="143"/>
    </row>
    <row r="34" spans="1:22" s="5" customFormat="1" ht="13.9" customHeight="1">
      <c r="A34" s="69" t="s">
        <v>261</v>
      </c>
      <c r="B34" s="144" t="s">
        <v>262</v>
      </c>
      <c r="C34" s="145"/>
      <c r="D34" s="145"/>
      <c r="E34" s="145"/>
      <c r="F34" s="145"/>
      <c r="G34" s="145"/>
      <c r="H34" s="145"/>
      <c r="I34" s="145"/>
      <c r="J34" s="145"/>
      <c r="K34" s="145"/>
      <c r="L34" s="145"/>
      <c r="M34" s="146"/>
      <c r="N34" s="101" t="s">
        <v>263</v>
      </c>
      <c r="O34" s="101"/>
      <c r="P34" s="101"/>
      <c r="Q34" s="101"/>
      <c r="R34" s="101"/>
      <c r="S34" s="101"/>
      <c r="T34" s="101"/>
      <c r="U34" s="101"/>
      <c r="V34" s="102"/>
    </row>
    <row r="35" spans="1:22" s="5" customFormat="1" ht="13.9" customHeight="1">
      <c r="A35" s="117" t="s">
        <v>264</v>
      </c>
      <c r="B35" s="118"/>
      <c r="C35" s="118"/>
      <c r="D35" s="118"/>
      <c r="E35" s="118"/>
      <c r="F35" s="118"/>
      <c r="G35" s="118"/>
      <c r="H35" s="118"/>
      <c r="I35" s="118"/>
      <c r="J35" s="118"/>
      <c r="K35" s="118"/>
      <c r="L35" s="118"/>
      <c r="M35" s="118"/>
      <c r="N35" s="118"/>
      <c r="O35" s="118"/>
      <c r="P35" s="118"/>
      <c r="Q35" s="118"/>
      <c r="R35" s="118"/>
      <c r="S35" s="118"/>
      <c r="T35" s="118"/>
      <c r="U35" s="118"/>
      <c r="V35" s="119"/>
    </row>
    <row r="36" spans="1:22" s="5" customFormat="1" ht="13.9" customHeight="1">
      <c r="A36" s="69" t="s">
        <v>265</v>
      </c>
      <c r="B36" s="144" t="s">
        <v>394</v>
      </c>
      <c r="C36" s="145"/>
      <c r="D36" s="145"/>
      <c r="E36" s="145"/>
      <c r="F36" s="145"/>
      <c r="G36" s="145"/>
      <c r="H36" s="145"/>
      <c r="I36" s="145"/>
      <c r="J36" s="145"/>
      <c r="K36" s="145"/>
      <c r="L36" s="145"/>
      <c r="M36" s="145"/>
      <c r="N36" s="145"/>
      <c r="O36" s="145"/>
      <c r="P36" s="145"/>
      <c r="Q36" s="145"/>
      <c r="R36" s="145"/>
      <c r="S36" s="145"/>
      <c r="T36" s="145"/>
      <c r="U36" s="145"/>
      <c r="V36" s="147"/>
    </row>
    <row r="37" spans="1:22" s="5" customFormat="1" ht="13.9" customHeight="1">
      <c r="A37" s="69" t="s">
        <v>267</v>
      </c>
      <c r="B37" s="144" t="s">
        <v>394</v>
      </c>
      <c r="C37" s="145"/>
      <c r="D37" s="145"/>
      <c r="E37" s="145"/>
      <c r="F37" s="145"/>
      <c r="G37" s="145"/>
      <c r="H37" s="145"/>
      <c r="I37" s="145"/>
      <c r="J37" s="145"/>
      <c r="K37" s="145"/>
      <c r="L37" s="145"/>
      <c r="M37" s="145"/>
      <c r="N37" s="145"/>
      <c r="O37" s="145"/>
      <c r="P37" s="145"/>
      <c r="Q37" s="145"/>
      <c r="R37" s="145"/>
      <c r="S37" s="145"/>
      <c r="T37" s="145"/>
      <c r="U37" s="145"/>
      <c r="V37" s="147"/>
    </row>
    <row r="38" spans="1:22" s="5" customFormat="1" ht="13.9" customHeight="1">
      <c r="A38" s="69" t="s">
        <v>269</v>
      </c>
      <c r="B38" s="144" t="s">
        <v>407</v>
      </c>
      <c r="C38" s="145"/>
      <c r="D38" s="145"/>
      <c r="E38" s="145"/>
      <c r="F38" s="145"/>
      <c r="G38" s="145"/>
      <c r="H38" s="145"/>
      <c r="I38" s="145"/>
      <c r="J38" s="145"/>
      <c r="K38" s="145"/>
      <c r="L38" s="145"/>
      <c r="M38" s="145"/>
      <c r="N38" s="145"/>
      <c r="O38" s="145"/>
      <c r="P38" s="145"/>
      <c r="Q38" s="145"/>
      <c r="R38" s="145"/>
      <c r="S38" s="145"/>
      <c r="T38" s="145"/>
      <c r="U38" s="145"/>
      <c r="V38" s="147"/>
    </row>
    <row r="39" spans="1:22" s="5" customFormat="1" ht="13.9" customHeight="1">
      <c r="A39" s="117" t="s">
        <v>271</v>
      </c>
      <c r="B39" s="118"/>
      <c r="C39" s="118"/>
      <c r="D39" s="118"/>
      <c r="E39" s="118"/>
      <c r="F39" s="118"/>
      <c r="G39" s="118"/>
      <c r="H39" s="118"/>
      <c r="I39" s="118"/>
      <c r="J39" s="118"/>
      <c r="K39" s="118"/>
      <c r="L39" s="118"/>
      <c r="M39" s="118"/>
      <c r="N39" s="118"/>
      <c r="O39" s="118"/>
      <c r="P39" s="118"/>
      <c r="Q39" s="118"/>
      <c r="R39" s="118"/>
      <c r="S39" s="118"/>
      <c r="T39" s="118"/>
      <c r="U39" s="118"/>
      <c r="V39" s="119"/>
    </row>
    <row r="40" spans="1:22"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09"/>
      <c r="V40" s="110"/>
    </row>
    <row r="41" spans="1:22"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09"/>
      <c r="V41" s="110"/>
    </row>
    <row r="42" spans="1:22"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09"/>
      <c r="V42" s="110"/>
    </row>
    <row r="43" spans="1:22"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09"/>
      <c r="V43" s="110"/>
    </row>
    <row r="44" spans="1:22"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5"/>
      <c r="V44" s="147"/>
    </row>
    <row r="45" spans="1:22" s="5" customFormat="1" ht="13.9" customHeight="1">
      <c r="A45" s="69" t="s">
        <v>277</v>
      </c>
      <c r="B45" s="144"/>
      <c r="C45" s="145"/>
      <c r="D45" s="145"/>
      <c r="E45" s="145"/>
      <c r="F45" s="146"/>
      <c r="G45" s="144" t="e">
        <f ca="1">"BFD"&amp;VLOOKUP(F3,INDEX!B:AH,33,0)&amp;"WR"</f>
        <v>#VALUE!</v>
      </c>
      <c r="H45" s="145"/>
      <c r="I45" s="145"/>
      <c r="J45" s="145"/>
      <c r="K45" s="145"/>
      <c r="L45" s="145"/>
      <c r="M45" s="145"/>
      <c r="N45" s="145"/>
      <c r="O45" s="145"/>
      <c r="P45" s="145"/>
      <c r="Q45" s="145"/>
      <c r="R45" s="145"/>
      <c r="S45" s="145"/>
      <c r="T45" s="145"/>
      <c r="U45" s="145"/>
      <c r="V45" s="147"/>
    </row>
    <row r="46" spans="1:22" s="5" customFormat="1" ht="13.9" customHeight="1">
      <c r="A46" s="69"/>
      <c r="B46" s="109"/>
      <c r="C46" s="109"/>
      <c r="D46" s="109"/>
      <c r="E46" s="109"/>
      <c r="F46" s="109"/>
      <c r="G46" s="109"/>
      <c r="H46" s="109"/>
      <c r="I46" s="109"/>
      <c r="J46" s="109"/>
      <c r="K46" s="109"/>
      <c r="L46" s="109"/>
      <c r="M46" s="109"/>
      <c r="N46" s="109"/>
      <c r="O46" s="109"/>
      <c r="P46" s="109"/>
      <c r="Q46" s="109"/>
      <c r="R46" s="109"/>
      <c r="S46" s="109"/>
      <c r="T46" s="109"/>
      <c r="U46" s="109"/>
      <c r="V46" s="110"/>
    </row>
    <row r="47" spans="1:22" s="5" customFormat="1">
      <c r="A47" s="117" t="s">
        <v>278</v>
      </c>
      <c r="B47" s="118"/>
      <c r="C47" s="118"/>
      <c r="D47" s="118"/>
      <c r="E47" s="118"/>
      <c r="F47" s="118"/>
      <c r="G47" s="118"/>
      <c r="H47" s="118"/>
      <c r="I47" s="118"/>
      <c r="J47" s="118"/>
      <c r="K47" s="118"/>
      <c r="L47" s="118"/>
      <c r="M47" s="118"/>
      <c r="N47" s="118"/>
      <c r="O47" s="118"/>
      <c r="P47" s="118"/>
      <c r="Q47" s="118"/>
      <c r="R47" s="118"/>
      <c r="S47" s="118"/>
      <c r="T47" s="118"/>
      <c r="U47" s="118"/>
      <c r="V47" s="119"/>
    </row>
    <row r="48" spans="1:22" s="5" customFormat="1" ht="28.15" customHeight="1">
      <c r="A48" s="111" t="s">
        <v>279</v>
      </c>
      <c r="B48" s="112"/>
      <c r="C48" s="112"/>
      <c r="D48" s="112"/>
      <c r="E48" s="112"/>
      <c r="F48" s="112"/>
      <c r="G48" s="112"/>
      <c r="H48" s="112"/>
      <c r="I48" s="112"/>
      <c r="J48" s="112"/>
      <c r="K48" s="112"/>
      <c r="L48" s="112"/>
      <c r="M48" s="112"/>
      <c r="N48" s="112"/>
      <c r="O48" s="112"/>
      <c r="P48" s="112"/>
      <c r="Q48" s="112"/>
      <c r="R48" s="112"/>
      <c r="S48" s="112"/>
      <c r="T48" s="112"/>
      <c r="U48" s="112"/>
      <c r="V48" s="113"/>
    </row>
    <row r="49" spans="1:22" s="5" customFormat="1" ht="14.45" customHeight="1">
      <c r="A49" s="114" t="s">
        <v>280</v>
      </c>
      <c r="B49" s="115"/>
      <c r="C49" s="115"/>
      <c r="D49" s="115"/>
      <c r="E49" s="115"/>
      <c r="F49" s="115"/>
      <c r="G49" s="115"/>
      <c r="H49" s="115"/>
      <c r="I49" s="115"/>
      <c r="J49" s="115"/>
      <c r="K49" s="115"/>
      <c r="L49" s="115"/>
      <c r="M49" s="115"/>
      <c r="N49" s="115"/>
      <c r="O49" s="115"/>
      <c r="P49" s="115"/>
      <c r="Q49" s="115"/>
      <c r="R49" s="115"/>
      <c r="S49" s="115"/>
      <c r="T49" s="115"/>
      <c r="U49" s="115"/>
      <c r="V49" s="116"/>
    </row>
    <row r="50" spans="1:22" s="5" customFormat="1" ht="14.45" customHeight="1">
      <c r="A50" s="114" t="s">
        <v>281</v>
      </c>
      <c r="B50" s="115"/>
      <c r="C50" s="115"/>
      <c r="D50" s="115"/>
      <c r="E50" s="115"/>
      <c r="F50" s="115"/>
      <c r="G50" s="115"/>
      <c r="H50" s="115"/>
      <c r="I50" s="115"/>
      <c r="J50" s="115"/>
      <c r="K50" s="115"/>
      <c r="L50" s="115"/>
      <c r="M50" s="115"/>
      <c r="N50" s="115"/>
      <c r="O50" s="115"/>
      <c r="P50" s="115"/>
      <c r="Q50" s="115"/>
      <c r="R50" s="115"/>
      <c r="S50" s="115"/>
      <c r="T50" s="115"/>
      <c r="U50" s="115"/>
      <c r="V50" s="116"/>
    </row>
    <row r="51" spans="1:22" s="5" customFormat="1" ht="28.9" customHeight="1">
      <c r="A51" s="114" t="s">
        <v>282</v>
      </c>
      <c r="B51" s="115"/>
      <c r="C51" s="115"/>
      <c r="D51" s="115"/>
      <c r="E51" s="115"/>
      <c r="F51" s="115"/>
      <c r="G51" s="115"/>
      <c r="H51" s="115"/>
      <c r="I51" s="115"/>
      <c r="J51" s="115"/>
      <c r="K51" s="115"/>
      <c r="L51" s="115"/>
      <c r="M51" s="115"/>
      <c r="N51" s="115"/>
      <c r="O51" s="115"/>
      <c r="P51" s="115"/>
      <c r="Q51" s="115"/>
      <c r="R51" s="115"/>
      <c r="S51" s="115"/>
      <c r="T51" s="115"/>
      <c r="U51" s="115"/>
      <c r="V51" s="116"/>
    </row>
    <row r="52" spans="1:22" s="5" customFormat="1" ht="26.45" customHeight="1">
      <c r="A52" s="114" t="s">
        <v>283</v>
      </c>
      <c r="B52" s="115"/>
      <c r="C52" s="115"/>
      <c r="D52" s="115"/>
      <c r="E52" s="115"/>
      <c r="F52" s="115"/>
      <c r="G52" s="115"/>
      <c r="H52" s="115"/>
      <c r="I52" s="115"/>
      <c r="J52" s="115"/>
      <c r="K52" s="115"/>
      <c r="L52" s="115"/>
      <c r="M52" s="115"/>
      <c r="N52" s="115"/>
      <c r="O52" s="115"/>
      <c r="P52" s="115"/>
      <c r="Q52" s="115"/>
      <c r="R52" s="115"/>
      <c r="S52" s="115"/>
      <c r="T52" s="115"/>
      <c r="U52" s="115"/>
      <c r="V52" s="116"/>
    </row>
    <row r="53" spans="1:22" s="5" customFormat="1"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5"/>
      <c r="V53" s="116"/>
    </row>
    <row r="54" spans="1:22" s="5" customFormat="1"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5"/>
      <c r="V54" s="116"/>
    </row>
    <row r="55" spans="1:22" s="5" customFormat="1" ht="14.45" customHeight="1">
      <c r="A55" s="114" t="s">
        <v>286</v>
      </c>
      <c r="B55" s="115"/>
      <c r="C55" s="115"/>
      <c r="D55" s="115"/>
      <c r="E55" s="115"/>
      <c r="F55" s="115"/>
      <c r="G55" s="115"/>
      <c r="H55" s="115"/>
      <c r="I55" s="115"/>
      <c r="J55" s="115"/>
      <c r="K55" s="115"/>
      <c r="L55" s="115"/>
      <c r="M55" s="115"/>
      <c r="N55" s="115"/>
      <c r="O55" s="115"/>
      <c r="P55" s="115"/>
      <c r="Q55" s="115"/>
      <c r="R55" s="115"/>
      <c r="S55" s="115"/>
      <c r="T55" s="115"/>
      <c r="U55" s="115"/>
      <c r="V55" s="116"/>
    </row>
    <row r="56" spans="1:22" s="5" customFormat="1" ht="15.75" thickBot="1">
      <c r="A56" s="177"/>
      <c r="B56" s="178"/>
      <c r="C56" s="178"/>
      <c r="D56" s="178"/>
      <c r="E56" s="178"/>
      <c r="F56" s="178"/>
      <c r="G56" s="178"/>
      <c r="H56" s="178"/>
      <c r="I56" s="178"/>
      <c r="J56" s="178"/>
      <c r="K56" s="178"/>
      <c r="L56" s="178"/>
      <c r="M56" s="178"/>
      <c r="N56" s="178"/>
      <c r="O56" s="178"/>
      <c r="P56" s="178"/>
      <c r="Q56" s="178"/>
      <c r="R56" s="178"/>
      <c r="S56" s="178"/>
      <c r="T56" s="178"/>
      <c r="U56" s="178"/>
      <c r="V56" s="179"/>
    </row>
  </sheetData>
  <mergeCells count="85">
    <mergeCell ref="N3:P3"/>
    <mergeCell ref="J2:M2"/>
    <mergeCell ref="J3:M3"/>
    <mergeCell ref="F6:H6"/>
    <mergeCell ref="R8:V8"/>
    <mergeCell ref="R9:V9"/>
    <mergeCell ref="A10:V10"/>
    <mergeCell ref="L8:Q9"/>
    <mergeCell ref="A7:V7"/>
    <mergeCell ref="B9:C9"/>
    <mergeCell ref="D9:E9"/>
    <mergeCell ref="F9:G9"/>
    <mergeCell ref="H9:I9"/>
    <mergeCell ref="J9:K9"/>
    <mergeCell ref="B8:C8"/>
    <mergeCell ref="D8:E8"/>
    <mergeCell ref="F8:G8"/>
    <mergeCell ref="H8:I8"/>
    <mergeCell ref="J8:K8"/>
    <mergeCell ref="A54:V54"/>
    <mergeCell ref="A55:V55"/>
    <mergeCell ref="A56:V56"/>
    <mergeCell ref="A48:V48"/>
    <mergeCell ref="A49:V49"/>
    <mergeCell ref="A50:V50"/>
    <mergeCell ref="A51:V51"/>
    <mergeCell ref="A52:V52"/>
    <mergeCell ref="A53:V53"/>
    <mergeCell ref="A47:V47"/>
    <mergeCell ref="B38:V38"/>
    <mergeCell ref="A39:V39"/>
    <mergeCell ref="B40:V40"/>
    <mergeCell ref="B41:V41"/>
    <mergeCell ref="B42:V42"/>
    <mergeCell ref="B43:V43"/>
    <mergeCell ref="B44:E44"/>
    <mergeCell ref="F44:V44"/>
    <mergeCell ref="B45:F45"/>
    <mergeCell ref="G45:V45"/>
    <mergeCell ref="B46:V46"/>
    <mergeCell ref="B37:V37"/>
    <mergeCell ref="B27:V27"/>
    <mergeCell ref="A28:V28"/>
    <mergeCell ref="B29:V29"/>
    <mergeCell ref="B30:V30"/>
    <mergeCell ref="B31:V31"/>
    <mergeCell ref="A32:V32"/>
    <mergeCell ref="B33:V33"/>
    <mergeCell ref="B34:M34"/>
    <mergeCell ref="N34:V34"/>
    <mergeCell ref="A35:V35"/>
    <mergeCell ref="B36:V36"/>
    <mergeCell ref="B22:V22"/>
    <mergeCell ref="B23:V23"/>
    <mergeCell ref="B24:V24"/>
    <mergeCell ref="B25:V25"/>
    <mergeCell ref="B26:E26"/>
    <mergeCell ref="F26:V26"/>
    <mergeCell ref="B18:V18"/>
    <mergeCell ref="A19:V19"/>
    <mergeCell ref="B20:J20"/>
    <mergeCell ref="K20:V20"/>
    <mergeCell ref="B21:J21"/>
    <mergeCell ref="K21:V21"/>
    <mergeCell ref="B11:V11"/>
    <mergeCell ref="B16:J16"/>
    <mergeCell ref="K16:V16"/>
    <mergeCell ref="B17:J17"/>
    <mergeCell ref="K17:V17"/>
    <mergeCell ref="A1:E6"/>
    <mergeCell ref="F2:I2"/>
    <mergeCell ref="F4:H4"/>
    <mergeCell ref="F3:G3"/>
    <mergeCell ref="H3:I3"/>
    <mergeCell ref="I6:V6"/>
    <mergeCell ref="I5:V5"/>
    <mergeCell ref="I4:V4"/>
    <mergeCell ref="F5:H5"/>
    <mergeCell ref="T1:V1"/>
    <mergeCell ref="T2:V2"/>
    <mergeCell ref="T3:V3"/>
    <mergeCell ref="F1:S1"/>
    <mergeCell ref="Q2:S2"/>
    <mergeCell ref="Q3:S3"/>
    <mergeCell ref="N2:P2"/>
  </mergeCells>
  <printOptions horizontalCentered="1"/>
  <pageMargins left="0.7" right="0.7" top="0.75" bottom="0.75" header="0.3" footer="0.3"/>
  <pageSetup paperSize="9" scale="86" firstPageNumber="18" orientation="portrait" r:id="rId1"/>
  <legacyDrawingHF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759F-D6BB-4BBE-9707-69217705D224}">
  <sheetPr codeName="Sheet34">
    <tabColor rgb="FF7030A0"/>
    <pageSetUpPr fitToPage="1"/>
  </sheetPr>
  <dimension ref="A1:Z59"/>
  <sheetViews>
    <sheetView workbookViewId="0">
      <selection activeCell="Q2" sqref="Q2:R2"/>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368</v>
      </c>
      <c r="C14" s="17" t="s">
        <v>368</v>
      </c>
      <c r="D14" s="17" t="s">
        <v>368</v>
      </c>
      <c r="E14" s="17" t="s">
        <v>368</v>
      </c>
      <c r="F14" s="17" t="s">
        <v>368</v>
      </c>
      <c r="G14" s="17">
        <v>160</v>
      </c>
      <c r="H14" s="17">
        <v>120</v>
      </c>
      <c r="I14" s="17">
        <v>160</v>
      </c>
      <c r="J14" s="17">
        <v>140</v>
      </c>
      <c r="K14" s="17">
        <v>140</v>
      </c>
      <c r="L14" s="17">
        <v>140</v>
      </c>
      <c r="M14" s="10">
        <v>140</v>
      </c>
      <c r="N14" s="10">
        <v>140</v>
      </c>
      <c r="O14" s="10">
        <v>140</v>
      </c>
      <c r="P14" s="10">
        <v>140</v>
      </c>
      <c r="Q14" s="10">
        <v>160</v>
      </c>
      <c r="R14" s="86">
        <v>160</v>
      </c>
    </row>
    <row r="15" spans="1:18" s="3" customFormat="1">
      <c r="A15" s="70" t="s">
        <v>233</v>
      </c>
      <c r="B15" s="17">
        <v>3.73</v>
      </c>
      <c r="C15" s="17">
        <v>3.91</v>
      </c>
      <c r="D15" s="17">
        <v>4.55</v>
      </c>
      <c r="E15" s="17">
        <v>5.08</v>
      </c>
      <c r="F15" s="17">
        <v>5.54</v>
      </c>
      <c r="G15" s="17">
        <v>11.13</v>
      </c>
      <c r="H15" s="17">
        <v>11.13</v>
      </c>
      <c r="I15" s="17">
        <v>18.260000000000002</v>
      </c>
      <c r="J15" s="13">
        <v>20.62</v>
      </c>
      <c r="K15" s="13">
        <v>25.4</v>
      </c>
      <c r="L15" s="13">
        <v>28.58</v>
      </c>
      <c r="M15" s="18">
        <v>31.75</v>
      </c>
      <c r="N15" s="18">
        <v>36.53</v>
      </c>
      <c r="O15" s="18">
        <v>39.67</v>
      </c>
      <c r="P15" s="13">
        <v>44.45</v>
      </c>
      <c r="Q15" s="13">
        <v>53.98</v>
      </c>
      <c r="R15" s="78">
        <v>59.54</v>
      </c>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26">
      <c r="A17" s="69" t="s">
        <v>237</v>
      </c>
      <c r="B17" s="109" t="s">
        <v>402</v>
      </c>
      <c r="C17" s="109"/>
      <c r="D17" s="109"/>
      <c r="E17" s="109"/>
      <c r="F17" s="109"/>
      <c r="G17" s="109"/>
      <c r="H17" s="109"/>
      <c r="I17" s="109"/>
      <c r="J17" s="109"/>
      <c r="K17" s="109" t="s">
        <v>402</v>
      </c>
      <c r="L17" s="109"/>
      <c r="M17" s="109"/>
      <c r="N17" s="109"/>
      <c r="O17" s="109"/>
      <c r="P17" s="109"/>
      <c r="Q17" s="109"/>
      <c r="R17" s="110"/>
    </row>
    <row r="18" spans="1:26">
      <c r="A18" s="69" t="s">
        <v>240</v>
      </c>
      <c r="B18" s="144" t="s">
        <v>241</v>
      </c>
      <c r="C18" s="145"/>
      <c r="D18" s="145"/>
      <c r="E18" s="145"/>
      <c r="F18" s="145"/>
      <c r="G18" s="145"/>
      <c r="H18" s="145"/>
      <c r="I18" s="145"/>
      <c r="J18" s="145"/>
      <c r="K18" s="145"/>
      <c r="L18" s="145"/>
      <c r="M18" s="145"/>
      <c r="N18" s="145"/>
      <c r="O18" s="145"/>
      <c r="P18" s="145"/>
      <c r="Q18" s="145"/>
      <c r="R18" s="147"/>
    </row>
    <row r="19" spans="1:26">
      <c r="A19" s="117" t="s">
        <v>242</v>
      </c>
      <c r="B19" s="109"/>
      <c r="C19" s="109"/>
      <c r="D19" s="109"/>
      <c r="E19" s="109"/>
      <c r="F19" s="109"/>
      <c r="G19" s="109"/>
      <c r="H19" s="109"/>
      <c r="I19" s="109"/>
      <c r="J19" s="109"/>
      <c r="K19" s="109"/>
      <c r="L19" s="109"/>
      <c r="M19" s="109"/>
      <c r="N19" s="109"/>
      <c r="O19" s="109"/>
      <c r="P19" s="109"/>
      <c r="Q19" s="109"/>
      <c r="R19" s="110"/>
    </row>
    <row r="20" spans="1:26"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26" ht="15" customHeight="1">
      <c r="A21" s="69" t="s">
        <v>237</v>
      </c>
      <c r="B21" s="144" t="s">
        <v>403</v>
      </c>
      <c r="C21" s="145"/>
      <c r="D21" s="145"/>
      <c r="E21" s="145"/>
      <c r="F21" s="145"/>
      <c r="G21" s="145"/>
      <c r="H21" s="145"/>
      <c r="I21" s="145"/>
      <c r="J21" s="146"/>
      <c r="K21" s="109" t="s">
        <v>404</v>
      </c>
      <c r="L21" s="109"/>
      <c r="M21" s="109"/>
      <c r="N21" s="109"/>
      <c r="O21" s="109"/>
      <c r="P21" s="109"/>
      <c r="Q21" s="109"/>
      <c r="R21" s="110"/>
    </row>
    <row r="22" spans="1:26" ht="15" customHeight="1">
      <c r="A22" s="69" t="s">
        <v>246</v>
      </c>
      <c r="B22" s="144" t="s">
        <v>247</v>
      </c>
      <c r="C22" s="145"/>
      <c r="D22" s="145"/>
      <c r="E22" s="145"/>
      <c r="F22" s="145"/>
      <c r="G22" s="145"/>
      <c r="H22" s="145"/>
      <c r="I22" s="145"/>
      <c r="J22" s="145"/>
      <c r="K22" s="145"/>
      <c r="L22" s="145"/>
      <c r="M22" s="145"/>
      <c r="N22" s="145"/>
      <c r="O22" s="145"/>
      <c r="P22" s="145"/>
      <c r="Q22" s="145"/>
      <c r="R22" s="147"/>
      <c r="U22" s="3"/>
      <c r="W22" s="3"/>
      <c r="X22" s="3"/>
      <c r="Y22" s="3"/>
      <c r="Z22" s="3"/>
    </row>
    <row r="23" spans="1:26"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26"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26"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26" ht="15" customHeight="1">
      <c r="A26" s="69" t="s">
        <v>251</v>
      </c>
      <c r="B26" s="151" t="s">
        <v>290</v>
      </c>
      <c r="C26" s="145"/>
      <c r="D26" s="145"/>
      <c r="E26" s="146"/>
      <c r="F26" s="144"/>
      <c r="G26" s="145"/>
      <c r="H26" s="145"/>
      <c r="I26" s="145"/>
      <c r="J26" s="145"/>
      <c r="K26" s="145"/>
      <c r="L26" s="145"/>
      <c r="M26" s="145"/>
      <c r="N26" s="145"/>
      <c r="O26" s="145"/>
      <c r="P26" s="145"/>
      <c r="Q26" s="145"/>
      <c r="R26" s="147"/>
    </row>
    <row r="27" spans="1:26" ht="15" customHeight="1">
      <c r="A27" s="69" t="s">
        <v>253</v>
      </c>
      <c r="B27" s="144" t="s">
        <v>405</v>
      </c>
      <c r="C27" s="145"/>
      <c r="D27" s="145"/>
      <c r="E27" s="145"/>
      <c r="F27" s="145"/>
      <c r="G27" s="145"/>
      <c r="H27" s="145"/>
      <c r="I27" s="145"/>
      <c r="J27" s="145"/>
      <c r="K27" s="145" t="s">
        <v>392</v>
      </c>
      <c r="L27" s="145"/>
      <c r="M27" s="145"/>
      <c r="N27" s="145"/>
      <c r="O27" s="145"/>
      <c r="P27" s="145"/>
      <c r="Q27" s="145"/>
      <c r="R27" s="147"/>
    </row>
    <row r="28" spans="1:26">
      <c r="A28" s="117" t="s">
        <v>255</v>
      </c>
      <c r="B28" s="109"/>
      <c r="C28" s="109"/>
      <c r="D28" s="109"/>
      <c r="E28" s="109"/>
      <c r="F28" s="109"/>
      <c r="G28" s="109"/>
      <c r="H28" s="109"/>
      <c r="I28" s="109"/>
      <c r="J28" s="109"/>
      <c r="K28" s="109"/>
      <c r="L28" s="109"/>
      <c r="M28" s="109"/>
      <c r="N28" s="109"/>
      <c r="O28" s="109"/>
      <c r="P28" s="109"/>
      <c r="Q28" s="109"/>
      <c r="R28" s="110"/>
    </row>
    <row r="29" spans="1:26" ht="13.9" customHeight="1">
      <c r="A29" s="69" t="s">
        <v>237</v>
      </c>
      <c r="B29" s="144" t="s">
        <v>406</v>
      </c>
      <c r="C29" s="145"/>
      <c r="D29" s="145"/>
      <c r="E29" s="145"/>
      <c r="F29" s="145"/>
      <c r="G29" s="145"/>
      <c r="H29" s="145"/>
      <c r="I29" s="145"/>
      <c r="J29" s="145"/>
      <c r="K29" s="145"/>
      <c r="L29" s="145"/>
      <c r="M29" s="145"/>
      <c r="N29" s="145"/>
      <c r="O29" s="145"/>
      <c r="P29" s="145"/>
      <c r="Q29" s="145"/>
      <c r="R29" s="147"/>
    </row>
    <row r="30" spans="1:26" ht="13.9" customHeight="1">
      <c r="A30" s="69" t="s">
        <v>257</v>
      </c>
      <c r="B30" s="144" t="s">
        <v>299</v>
      </c>
      <c r="C30" s="145"/>
      <c r="D30" s="145"/>
      <c r="E30" s="145"/>
      <c r="F30" s="145"/>
      <c r="G30" s="145"/>
      <c r="H30" s="145"/>
      <c r="I30" s="145"/>
      <c r="J30" s="145"/>
      <c r="K30" s="145"/>
      <c r="L30" s="145"/>
      <c r="M30" s="145"/>
      <c r="N30" s="145"/>
      <c r="O30" s="145"/>
      <c r="P30" s="145"/>
      <c r="Q30" s="145"/>
      <c r="R30" s="147"/>
    </row>
    <row r="31" spans="1:26" ht="14.45" customHeight="1">
      <c r="A31" s="69" t="s">
        <v>234</v>
      </c>
      <c r="B31" s="144" t="s">
        <v>376</v>
      </c>
      <c r="C31" s="145"/>
      <c r="D31" s="145"/>
      <c r="E31" s="145"/>
      <c r="F31" s="145"/>
      <c r="G31" s="145"/>
      <c r="H31" s="145"/>
      <c r="I31" s="145"/>
      <c r="J31" s="145"/>
      <c r="K31" s="145"/>
      <c r="L31" s="145"/>
      <c r="M31" s="145"/>
      <c r="N31" s="145"/>
      <c r="O31" s="145"/>
      <c r="P31" s="145"/>
      <c r="Q31" s="145"/>
      <c r="R31" s="147"/>
    </row>
    <row r="32" spans="1:26" s="1" customFormat="1" ht="30">
      <c r="A32" s="69" t="s">
        <v>315</v>
      </c>
      <c r="B32" s="144"/>
      <c r="C32" s="145"/>
      <c r="D32" s="145"/>
      <c r="E32" s="145"/>
      <c r="F32" s="146"/>
      <c r="G32" s="144" t="s">
        <v>316</v>
      </c>
      <c r="H32" s="145"/>
      <c r="I32" s="145"/>
      <c r="J32" s="145"/>
      <c r="K32" s="145"/>
      <c r="L32" s="145"/>
      <c r="M32" s="145"/>
      <c r="N32" s="145"/>
      <c r="O32" s="145"/>
      <c r="P32" s="145"/>
      <c r="Q32" s="145"/>
      <c r="R32" s="147"/>
    </row>
    <row r="33" spans="1:25" s="1" customFormat="1" ht="41.45" customHeight="1">
      <c r="A33" s="69" t="s">
        <v>317</v>
      </c>
      <c r="B33" s="144"/>
      <c r="C33" s="145"/>
      <c r="D33" s="145"/>
      <c r="E33" s="145"/>
      <c r="F33" s="146"/>
      <c r="G33" s="144" t="s">
        <v>408</v>
      </c>
      <c r="H33" s="145"/>
      <c r="I33" s="145"/>
      <c r="J33" s="145"/>
      <c r="K33" s="145"/>
      <c r="L33" s="145"/>
      <c r="M33" s="145"/>
      <c r="N33" s="145"/>
      <c r="O33" s="145"/>
      <c r="P33" s="145"/>
      <c r="Q33" s="145"/>
      <c r="R33" s="147"/>
    </row>
    <row r="34" spans="1:25" ht="14.45" customHeight="1">
      <c r="A34" s="117" t="s">
        <v>260</v>
      </c>
      <c r="B34" s="109"/>
      <c r="C34" s="109"/>
      <c r="D34" s="109"/>
      <c r="E34" s="109"/>
      <c r="F34" s="109"/>
      <c r="G34" s="109"/>
      <c r="H34" s="109"/>
      <c r="I34" s="109"/>
      <c r="J34" s="109"/>
      <c r="K34" s="109"/>
      <c r="L34" s="109"/>
      <c r="M34" s="109"/>
      <c r="N34" s="109"/>
      <c r="O34" s="109"/>
      <c r="P34" s="109"/>
      <c r="Q34" s="109"/>
      <c r="R34" s="110"/>
      <c r="Y34" s="3"/>
    </row>
    <row r="35" spans="1:25" ht="13.9" customHeight="1">
      <c r="A35" s="69" t="s">
        <v>237</v>
      </c>
      <c r="B35" s="144" t="s">
        <v>406</v>
      </c>
      <c r="C35" s="145"/>
      <c r="D35" s="145"/>
      <c r="E35" s="145"/>
      <c r="F35" s="145"/>
      <c r="G35" s="145"/>
      <c r="H35" s="145"/>
      <c r="I35" s="145"/>
      <c r="J35" s="145"/>
      <c r="K35" s="145"/>
      <c r="L35" s="145"/>
      <c r="M35" s="145"/>
      <c r="N35" s="145"/>
      <c r="O35" s="145"/>
      <c r="P35" s="145"/>
      <c r="Q35" s="145"/>
      <c r="R35" s="147"/>
    </row>
    <row r="36" spans="1:25" ht="14.45"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25" ht="14.45" customHeight="1">
      <c r="A37" s="117" t="s">
        <v>264</v>
      </c>
      <c r="B37" s="109"/>
      <c r="C37" s="109"/>
      <c r="D37" s="109"/>
      <c r="E37" s="109"/>
      <c r="F37" s="109"/>
      <c r="G37" s="109"/>
      <c r="H37" s="109"/>
      <c r="I37" s="109"/>
      <c r="J37" s="109"/>
      <c r="K37" s="109"/>
      <c r="L37" s="109"/>
      <c r="M37" s="109"/>
      <c r="N37" s="109"/>
      <c r="O37" s="109"/>
      <c r="P37" s="109"/>
      <c r="Q37" s="109"/>
      <c r="R37" s="110"/>
    </row>
    <row r="38" spans="1:25" ht="14.45" customHeight="1">
      <c r="A38" s="69" t="s">
        <v>265</v>
      </c>
      <c r="B38" s="144" t="s">
        <v>394</v>
      </c>
      <c r="C38" s="145"/>
      <c r="D38" s="145"/>
      <c r="E38" s="145"/>
      <c r="F38" s="145"/>
      <c r="G38" s="145"/>
      <c r="H38" s="145"/>
      <c r="I38" s="145"/>
      <c r="J38" s="145"/>
      <c r="K38" s="145"/>
      <c r="L38" s="145"/>
      <c r="M38" s="145"/>
      <c r="N38" s="145"/>
      <c r="O38" s="145"/>
      <c r="P38" s="145"/>
      <c r="Q38" s="145"/>
      <c r="R38" s="147"/>
    </row>
    <row r="39" spans="1:25" ht="14.45" customHeight="1">
      <c r="A39" s="69" t="s">
        <v>267</v>
      </c>
      <c r="B39" s="144" t="s">
        <v>394</v>
      </c>
      <c r="C39" s="145"/>
      <c r="D39" s="145"/>
      <c r="E39" s="145"/>
      <c r="F39" s="145"/>
      <c r="G39" s="145"/>
      <c r="H39" s="145"/>
      <c r="I39" s="145"/>
      <c r="J39" s="145"/>
      <c r="K39" s="145"/>
      <c r="L39" s="145"/>
      <c r="M39" s="145"/>
      <c r="N39" s="145"/>
      <c r="O39" s="145"/>
      <c r="P39" s="145"/>
      <c r="Q39" s="145"/>
      <c r="R39" s="147"/>
    </row>
    <row r="40" spans="1:25">
      <c r="A40" s="69" t="s">
        <v>269</v>
      </c>
      <c r="B40" s="109" t="s">
        <v>409</v>
      </c>
      <c r="C40" s="109"/>
      <c r="D40" s="109"/>
      <c r="E40" s="109"/>
      <c r="F40" s="109"/>
      <c r="G40" s="109"/>
      <c r="H40" s="109"/>
      <c r="I40" s="109"/>
      <c r="J40" s="109"/>
      <c r="K40" s="109"/>
      <c r="L40" s="109"/>
      <c r="M40" s="109"/>
      <c r="N40" s="109"/>
      <c r="O40" s="109"/>
      <c r="P40" s="109"/>
      <c r="Q40" s="109"/>
      <c r="R40" s="110"/>
    </row>
    <row r="41" spans="1:25" ht="14.45" customHeight="1">
      <c r="A41" s="141" t="s">
        <v>271</v>
      </c>
      <c r="B41" s="142"/>
      <c r="C41" s="142"/>
      <c r="D41" s="142"/>
      <c r="E41" s="142"/>
      <c r="F41" s="142"/>
      <c r="G41" s="142"/>
      <c r="H41" s="142"/>
      <c r="I41" s="142"/>
      <c r="J41" s="142"/>
      <c r="K41" s="142"/>
      <c r="L41" s="142"/>
      <c r="M41" s="142"/>
      <c r="N41" s="142"/>
      <c r="O41" s="142"/>
      <c r="P41" s="142"/>
      <c r="Q41" s="142"/>
      <c r="R41" s="143"/>
    </row>
    <row r="42" spans="1:25"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25" ht="14.45"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25">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25">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25">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25"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25" ht="13.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ht="13.9" customHeight="1">
      <c r="A49" s="148" t="s">
        <v>278</v>
      </c>
      <c r="B49" s="149"/>
      <c r="C49" s="149"/>
      <c r="D49" s="149"/>
      <c r="E49" s="149"/>
      <c r="F49" s="149"/>
      <c r="G49" s="149"/>
      <c r="H49" s="149"/>
      <c r="I49" s="149"/>
      <c r="J49" s="149"/>
      <c r="K49" s="149"/>
      <c r="L49" s="149"/>
      <c r="M49" s="149"/>
      <c r="N49" s="149"/>
      <c r="O49" s="149"/>
      <c r="P49" s="149"/>
      <c r="Q49" s="149"/>
      <c r="R49" s="150"/>
    </row>
    <row r="50" spans="1:18" ht="28.1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ht="14.45" customHeight="1">
      <c r="A52" s="114" t="s">
        <v>281</v>
      </c>
      <c r="B52" s="115"/>
      <c r="C52" s="115"/>
      <c r="D52" s="115"/>
      <c r="E52" s="115"/>
      <c r="F52" s="115"/>
      <c r="G52" s="115"/>
      <c r="H52" s="115"/>
      <c r="I52" s="115"/>
      <c r="J52" s="115"/>
      <c r="K52" s="115"/>
      <c r="L52" s="115"/>
      <c r="M52" s="115"/>
      <c r="N52" s="115"/>
      <c r="O52" s="115"/>
      <c r="P52" s="115"/>
      <c r="Q52" s="115"/>
      <c r="R52" s="116"/>
    </row>
    <row r="53" spans="1:18" ht="27" customHeight="1">
      <c r="A53" s="114" t="s">
        <v>324</v>
      </c>
      <c r="B53" s="115"/>
      <c r="C53" s="115"/>
      <c r="D53" s="115"/>
      <c r="E53" s="115"/>
      <c r="F53" s="115"/>
      <c r="G53" s="115"/>
      <c r="H53" s="115"/>
      <c r="I53" s="115"/>
      <c r="J53" s="115"/>
      <c r="K53" s="115"/>
      <c r="L53" s="115"/>
      <c r="M53" s="115"/>
      <c r="N53" s="115"/>
      <c r="O53" s="115"/>
      <c r="P53" s="115"/>
      <c r="Q53" s="115"/>
      <c r="R53" s="116"/>
    </row>
    <row r="54" spans="1:18" ht="28.15" customHeight="1">
      <c r="A54" s="114" t="s">
        <v>283</v>
      </c>
      <c r="B54" s="115"/>
      <c r="C54" s="115"/>
      <c r="D54" s="115"/>
      <c r="E54" s="115"/>
      <c r="F54" s="115"/>
      <c r="G54" s="115"/>
      <c r="H54" s="115"/>
      <c r="I54" s="115"/>
      <c r="J54" s="115"/>
      <c r="K54" s="115"/>
      <c r="L54" s="115"/>
      <c r="M54" s="115"/>
      <c r="N54" s="115"/>
      <c r="O54" s="115"/>
      <c r="P54" s="115"/>
      <c r="Q54" s="115"/>
      <c r="R54" s="116"/>
    </row>
    <row r="55" spans="1:18">
      <c r="A55" s="114" t="s">
        <v>378</v>
      </c>
      <c r="B55" s="115"/>
      <c r="C55" s="115"/>
      <c r="D55" s="115"/>
      <c r="E55" s="115"/>
      <c r="F55" s="115"/>
      <c r="G55" s="115"/>
      <c r="H55" s="115"/>
      <c r="I55" s="115"/>
      <c r="J55" s="115"/>
      <c r="K55" s="115"/>
      <c r="L55" s="115"/>
      <c r="M55" s="115"/>
      <c r="N55" s="115"/>
      <c r="O55" s="115"/>
      <c r="P55" s="115"/>
      <c r="Q55" s="115"/>
      <c r="R55" s="116"/>
    </row>
    <row r="56" spans="1:18">
      <c r="A56" s="114" t="s">
        <v>397</v>
      </c>
      <c r="B56" s="115"/>
      <c r="C56" s="115"/>
      <c r="D56" s="115"/>
      <c r="E56" s="115"/>
      <c r="F56" s="115"/>
      <c r="G56" s="115"/>
      <c r="H56" s="115"/>
      <c r="I56" s="115"/>
      <c r="J56" s="115"/>
      <c r="K56" s="115"/>
      <c r="L56" s="115"/>
      <c r="M56" s="115"/>
      <c r="N56" s="115"/>
      <c r="O56" s="115"/>
      <c r="P56" s="115"/>
      <c r="Q56" s="115"/>
      <c r="R56" s="116"/>
    </row>
    <row r="57" spans="1:18">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1">
    <mergeCell ref="A58:R58"/>
    <mergeCell ref="A59:R59"/>
    <mergeCell ref="A52:R52"/>
    <mergeCell ref="A53:R53"/>
    <mergeCell ref="A54:R54"/>
    <mergeCell ref="A55:R55"/>
    <mergeCell ref="A56:R56"/>
    <mergeCell ref="A57:R57"/>
    <mergeCell ref="A51:R51"/>
    <mergeCell ref="B43:E43"/>
    <mergeCell ref="F43:R43"/>
    <mergeCell ref="B44:R44"/>
    <mergeCell ref="B45:R45"/>
    <mergeCell ref="B46:E46"/>
    <mergeCell ref="F46:R46"/>
    <mergeCell ref="B47:F47"/>
    <mergeCell ref="G47:R47"/>
    <mergeCell ref="B48:R48"/>
    <mergeCell ref="A49:R49"/>
    <mergeCell ref="A50:R50"/>
    <mergeCell ref="B42:R42"/>
    <mergeCell ref="B33:F33"/>
    <mergeCell ref="G33:R33"/>
    <mergeCell ref="A34:R34"/>
    <mergeCell ref="B35:R35"/>
    <mergeCell ref="B36:L36"/>
    <mergeCell ref="M36:R36"/>
    <mergeCell ref="A37:R37"/>
    <mergeCell ref="B38:R38"/>
    <mergeCell ref="B39:R39"/>
    <mergeCell ref="B40:R40"/>
    <mergeCell ref="A41:R41"/>
    <mergeCell ref="B32:F32"/>
    <mergeCell ref="G32:R32"/>
    <mergeCell ref="B22:R22"/>
    <mergeCell ref="B23:R23"/>
    <mergeCell ref="B24:R24"/>
    <mergeCell ref="B25:R25"/>
    <mergeCell ref="B26:E26"/>
    <mergeCell ref="F26:R26"/>
    <mergeCell ref="B27:R27"/>
    <mergeCell ref="A28:R28"/>
    <mergeCell ref="B29:R29"/>
    <mergeCell ref="B30:R30"/>
    <mergeCell ref="B31:R31"/>
    <mergeCell ref="B18:R18"/>
    <mergeCell ref="A19:R19"/>
    <mergeCell ref="B20:J20"/>
    <mergeCell ref="K20:R20"/>
    <mergeCell ref="B21:J21"/>
    <mergeCell ref="K21:R21"/>
    <mergeCell ref="A10:R10"/>
    <mergeCell ref="B11:R11"/>
    <mergeCell ref="B16:J16"/>
    <mergeCell ref="K16:R16"/>
    <mergeCell ref="B17:J17"/>
    <mergeCell ref="K17:R17"/>
    <mergeCell ref="L8:O9"/>
    <mergeCell ref="P8:R8"/>
    <mergeCell ref="B9:C9"/>
    <mergeCell ref="D9:E9"/>
    <mergeCell ref="F9:G9"/>
    <mergeCell ref="H9:I9"/>
    <mergeCell ref="J9:K9"/>
    <mergeCell ref="P9:R9"/>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4" firstPageNumber="18" orientation="portrait" r:id="rId1"/>
  <legacyDrawingHF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BAFE-C6EB-4F08-AC12-2FDD544DD775}">
  <sheetPr codeName="Sheet35">
    <tabColor rgb="FF7030A0"/>
    <pageSetUpPr fitToPage="1"/>
  </sheetPr>
  <dimension ref="A1:V56"/>
  <sheetViews>
    <sheetView workbookViewId="0">
      <selection activeCell="T2" sqref="T2:V2"/>
    </sheetView>
  </sheetViews>
  <sheetFormatPr defaultColWidth="9.140625" defaultRowHeight="15"/>
  <cols>
    <col min="1" max="1" width="10.7109375" style="1" customWidth="1"/>
    <col min="2" max="5" width="4.7109375" style="1" customWidth="1"/>
    <col min="6" max="22" width="4.28515625" style="1" customWidth="1"/>
    <col min="23" max="16384" width="9.140625" style="1"/>
  </cols>
  <sheetData>
    <row r="1" spans="1:22" s="5" customFormat="1" ht="15" customHeight="1">
      <c r="A1" s="132" t="e" vm="1">
        <v>#VALUE!</v>
      </c>
      <c r="B1" s="133"/>
      <c r="C1" s="133"/>
      <c r="D1" s="133"/>
      <c r="E1" s="134"/>
      <c r="F1" s="165" t="s">
        <v>213</v>
      </c>
      <c r="G1" s="166"/>
      <c r="H1" s="166"/>
      <c r="I1" s="166"/>
      <c r="J1" s="166"/>
      <c r="K1" s="166"/>
      <c r="L1" s="166"/>
      <c r="M1" s="166"/>
      <c r="N1" s="166"/>
      <c r="O1" s="166"/>
      <c r="P1" s="166"/>
      <c r="Q1" s="166"/>
      <c r="R1" s="166"/>
      <c r="S1" s="166"/>
      <c r="T1" s="153" t="s">
        <v>214</v>
      </c>
      <c r="U1" s="153"/>
      <c r="V1" s="154"/>
    </row>
    <row r="2" spans="1:22" s="5" customFormat="1" ht="15" customHeight="1">
      <c r="A2" s="135"/>
      <c r="B2" s="136"/>
      <c r="C2" s="136"/>
      <c r="D2" s="136"/>
      <c r="E2" s="137"/>
      <c r="F2" s="127" t="s">
        <v>215</v>
      </c>
      <c r="G2" s="101"/>
      <c r="H2" s="101"/>
      <c r="I2" s="101"/>
      <c r="J2" s="101" t="s">
        <v>216</v>
      </c>
      <c r="K2" s="101"/>
      <c r="L2" s="101"/>
      <c r="M2" s="101"/>
      <c r="N2" s="101" t="s">
        <v>217</v>
      </c>
      <c r="O2" s="101"/>
      <c r="P2" s="101"/>
      <c r="Q2" s="101" t="s">
        <v>13</v>
      </c>
      <c r="R2" s="101"/>
      <c r="S2" s="101"/>
      <c r="T2" s="101" t="s">
        <v>10</v>
      </c>
      <c r="U2" s="101"/>
      <c r="V2" s="102"/>
    </row>
    <row r="3" spans="1:22" s="5" customFormat="1" ht="15" customHeight="1">
      <c r="A3" s="135"/>
      <c r="B3" s="136"/>
      <c r="C3" s="136"/>
      <c r="D3" s="136"/>
      <c r="E3" s="137"/>
      <c r="F3" s="127" t="e">
        <f ca="1">MID(CELL("filename",A4),FIND("]",CELL("filename",A4))+1,255)</f>
        <v>#VALUE!</v>
      </c>
      <c r="G3" s="101"/>
      <c r="H3" s="101" t="e">
        <f ca="1">VLOOKUP(F3,INDEX!B:J,2,0)</f>
        <v>#VALUE!</v>
      </c>
      <c r="I3" s="101"/>
      <c r="J3" s="101" t="e">
        <f ca="1">VLOOKUP(F3,INDEX!B:J,4,0)</f>
        <v>#VALUE!</v>
      </c>
      <c r="K3" s="101"/>
      <c r="L3" s="101"/>
      <c r="M3" s="101"/>
      <c r="N3" s="101" t="e">
        <f ca="1">VLOOKUP(F3,INDEX!B:J,5,0)</f>
        <v>#VALUE!</v>
      </c>
      <c r="O3" s="101"/>
      <c r="P3" s="101"/>
      <c r="Q3" s="105" t="e">
        <f ca="1">VLOOKUP(F3,INDEX!B:AF,17,0)</f>
        <v>#VALUE!</v>
      </c>
      <c r="R3" s="105"/>
      <c r="S3" s="105"/>
      <c r="T3" s="101" t="e">
        <f ca="1">VLOOKUP(F3,INDEX!B:J,9,0)</f>
        <v>#VALUE!</v>
      </c>
      <c r="U3" s="101"/>
      <c r="V3" s="102"/>
    </row>
    <row r="4" spans="1:22" s="5" customFormat="1" ht="15" customHeight="1">
      <c r="A4" s="135"/>
      <c r="B4" s="136"/>
      <c r="C4" s="136"/>
      <c r="D4" s="136"/>
      <c r="E4" s="137"/>
      <c r="F4" s="241" t="s">
        <v>218</v>
      </c>
      <c r="G4" s="242"/>
      <c r="H4" s="242"/>
      <c r="I4" s="237" t="e">
        <f ca="1">VLOOKUP(F3,INDEX!B:AF,18,0)</f>
        <v>#VALUE!</v>
      </c>
      <c r="J4" s="237"/>
      <c r="K4" s="237"/>
      <c r="L4" s="237"/>
      <c r="M4" s="237"/>
      <c r="N4" s="237"/>
      <c r="O4" s="237"/>
      <c r="P4" s="237"/>
      <c r="Q4" s="237"/>
      <c r="R4" s="237"/>
      <c r="S4" s="237"/>
      <c r="T4" s="237"/>
      <c r="U4" s="237"/>
      <c r="V4" s="238"/>
    </row>
    <row r="5" spans="1:22" s="5" customFormat="1" ht="15" customHeight="1">
      <c r="A5" s="135"/>
      <c r="B5" s="136"/>
      <c r="C5" s="136"/>
      <c r="D5" s="136"/>
      <c r="E5" s="137"/>
      <c r="F5" s="239" t="s">
        <v>219</v>
      </c>
      <c r="G5" s="240"/>
      <c r="H5" s="240"/>
      <c r="I5" s="237" t="e">
        <f ca="1">VLOOKUP(F3,INDEX!B:J,6,0)</f>
        <v>#VALUE!</v>
      </c>
      <c r="J5" s="237"/>
      <c r="K5" s="237"/>
      <c r="L5" s="237"/>
      <c r="M5" s="237"/>
      <c r="N5" s="237"/>
      <c r="O5" s="237"/>
      <c r="P5" s="237"/>
      <c r="Q5" s="237"/>
      <c r="R5" s="237"/>
      <c r="S5" s="237"/>
      <c r="T5" s="237"/>
      <c r="U5" s="237"/>
      <c r="V5" s="238"/>
    </row>
    <row r="6" spans="1:22" s="5" customFormat="1" ht="15" customHeight="1" thickBot="1">
      <c r="A6" s="138"/>
      <c r="B6" s="139"/>
      <c r="C6" s="139"/>
      <c r="D6" s="139"/>
      <c r="E6" s="140"/>
      <c r="F6" s="241" t="s">
        <v>220</v>
      </c>
      <c r="G6" s="242"/>
      <c r="H6" s="242"/>
      <c r="I6" s="235" t="e">
        <f ca="1">VLOOKUP(F3,INDEX!B:AF,16,0)</f>
        <v>#VALUE!</v>
      </c>
      <c r="J6" s="235"/>
      <c r="K6" s="235"/>
      <c r="L6" s="235"/>
      <c r="M6" s="235"/>
      <c r="N6" s="235"/>
      <c r="O6" s="235"/>
      <c r="P6" s="235"/>
      <c r="Q6" s="235"/>
      <c r="R6" s="235"/>
      <c r="S6" s="235"/>
      <c r="T6" s="235"/>
      <c r="U6" s="235"/>
      <c r="V6" s="236"/>
    </row>
    <row r="7" spans="1:22" s="5" customFormat="1" ht="14.45" customHeight="1">
      <c r="A7" s="120" t="s">
        <v>221</v>
      </c>
      <c r="B7" s="121"/>
      <c r="C7" s="121"/>
      <c r="D7" s="121"/>
      <c r="E7" s="121"/>
      <c r="F7" s="122"/>
      <c r="G7" s="122"/>
      <c r="H7" s="122"/>
      <c r="I7" s="122"/>
      <c r="J7" s="122"/>
      <c r="K7" s="122"/>
      <c r="L7" s="122"/>
      <c r="M7" s="122"/>
      <c r="N7" s="122"/>
      <c r="O7" s="122"/>
      <c r="P7" s="122"/>
      <c r="Q7" s="122"/>
      <c r="R7" s="122"/>
      <c r="S7" s="122"/>
      <c r="T7" s="122"/>
      <c r="U7" s="122"/>
      <c r="V7" s="123"/>
    </row>
    <row r="8" spans="1:22" s="3" customFormat="1">
      <c r="A8" s="67" t="s">
        <v>222</v>
      </c>
      <c r="B8" s="101" t="e">
        <f ca="1">VLOOKUP(F3,INDEX!B:AF,20,0)</f>
        <v>#VALUE!</v>
      </c>
      <c r="C8" s="101"/>
      <c r="D8" s="101" t="e">
        <f ca="1">VLOOKUP(F3,INDEX!B:AF,21,0)</f>
        <v>#VALUE!</v>
      </c>
      <c r="E8" s="101"/>
      <c r="F8" s="101" t="e">
        <f ca="1">VLOOKUP(F3,INDEX!B:AF,22,0)</f>
        <v>#VALUE!</v>
      </c>
      <c r="G8" s="101"/>
      <c r="H8" s="101" t="e">
        <f ca="1">VLOOKUP(F3,INDEX!B:AF,23,0)</f>
        <v>#VALUE!</v>
      </c>
      <c r="I8" s="101"/>
      <c r="J8" s="101" t="e">
        <f ca="1">VLOOKUP(F3,INDEX!B:AF,24,0)</f>
        <v>#VALUE!</v>
      </c>
      <c r="K8" s="101"/>
      <c r="L8" s="101"/>
      <c r="M8" s="101"/>
      <c r="N8" s="101"/>
      <c r="O8" s="101"/>
      <c r="P8" s="101"/>
      <c r="Q8" s="101"/>
      <c r="R8" s="101" t="s">
        <v>223</v>
      </c>
      <c r="S8" s="101"/>
      <c r="T8" s="101"/>
      <c r="U8" s="101"/>
      <c r="V8" s="102"/>
    </row>
    <row r="9" spans="1:22" s="3" customFormat="1">
      <c r="A9" s="67" t="s">
        <v>224</v>
      </c>
      <c r="B9" s="101" t="e">
        <f ca="1">VLOOKUP(F3,INDEX!B:Z,19,0)&amp;" to 38"</f>
        <v>#VALUE!</v>
      </c>
      <c r="C9" s="101"/>
      <c r="D9" s="101">
        <v>50</v>
      </c>
      <c r="E9" s="101"/>
      <c r="F9" s="101">
        <v>100</v>
      </c>
      <c r="G9" s="101"/>
      <c r="H9" s="101">
        <v>150</v>
      </c>
      <c r="I9" s="101"/>
      <c r="J9" s="101">
        <v>200</v>
      </c>
      <c r="K9" s="101"/>
      <c r="L9" s="101"/>
      <c r="M9" s="101"/>
      <c r="N9" s="101"/>
      <c r="O9" s="101"/>
      <c r="P9" s="101"/>
      <c r="Q9" s="101"/>
      <c r="R9" s="101" t="e">
        <f ca="1">B8*1.5</f>
        <v>#VALUE!</v>
      </c>
      <c r="S9" s="101"/>
      <c r="T9" s="101"/>
      <c r="U9" s="101"/>
      <c r="V9" s="102"/>
    </row>
    <row r="10" spans="1:22" s="3" customFormat="1">
      <c r="A10" s="162" t="s">
        <v>225</v>
      </c>
      <c r="B10" s="163"/>
      <c r="C10" s="163"/>
      <c r="D10" s="163"/>
      <c r="E10" s="163"/>
      <c r="F10" s="163"/>
      <c r="G10" s="163"/>
      <c r="H10" s="163"/>
      <c r="I10" s="163"/>
      <c r="J10" s="163"/>
      <c r="K10" s="163"/>
      <c r="L10" s="163"/>
      <c r="M10" s="163"/>
      <c r="N10" s="163"/>
      <c r="O10" s="163"/>
      <c r="P10" s="163"/>
      <c r="Q10" s="163"/>
      <c r="R10" s="163"/>
      <c r="S10" s="163"/>
      <c r="T10" s="163"/>
      <c r="U10" s="163"/>
      <c r="V10" s="164"/>
    </row>
    <row r="11" spans="1:22">
      <c r="A11" s="69" t="s">
        <v>226</v>
      </c>
      <c r="B11" s="109" t="s">
        <v>367</v>
      </c>
      <c r="C11" s="109"/>
      <c r="D11" s="109"/>
      <c r="E11" s="109"/>
      <c r="F11" s="109"/>
      <c r="G11" s="109"/>
      <c r="H11" s="109"/>
      <c r="I11" s="109"/>
      <c r="J11" s="109"/>
      <c r="K11" s="109"/>
      <c r="L11" s="109"/>
      <c r="M11" s="109"/>
      <c r="N11" s="109"/>
      <c r="O11" s="109"/>
      <c r="P11" s="109"/>
      <c r="Q11" s="109"/>
      <c r="R11" s="109"/>
      <c r="S11" s="109"/>
      <c r="T11" s="109"/>
      <c r="U11" s="109"/>
      <c r="V11" s="110"/>
    </row>
    <row r="12" spans="1:22" s="12"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17">
        <v>30</v>
      </c>
      <c r="V12" s="66">
        <v>32</v>
      </c>
    </row>
    <row r="13" spans="1:22" s="12"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17">
        <v>762</v>
      </c>
      <c r="V13" s="66">
        <v>812.8</v>
      </c>
    </row>
    <row r="14" spans="1:22" s="12" customFormat="1">
      <c r="A14" s="70" t="s">
        <v>230</v>
      </c>
      <c r="B14" s="17" t="s">
        <v>368</v>
      </c>
      <c r="C14" s="17" t="s">
        <v>368</v>
      </c>
      <c r="D14" s="17" t="s">
        <v>368</v>
      </c>
      <c r="E14" s="17" t="s">
        <v>368</v>
      </c>
      <c r="F14" s="17" t="s">
        <v>368</v>
      </c>
      <c r="G14" s="17" t="s">
        <v>385</v>
      </c>
      <c r="H14" s="17" t="s">
        <v>385</v>
      </c>
      <c r="I14" s="17" t="s">
        <v>385</v>
      </c>
      <c r="J14" s="17" t="s">
        <v>385</v>
      </c>
      <c r="K14" s="17" t="s">
        <v>385</v>
      </c>
      <c r="L14" s="17" t="s">
        <v>385</v>
      </c>
      <c r="M14" s="17" t="s">
        <v>385</v>
      </c>
      <c r="N14" s="17" t="s">
        <v>385</v>
      </c>
      <c r="O14" s="17" t="s">
        <v>385</v>
      </c>
      <c r="P14" s="17" t="s">
        <v>385</v>
      </c>
      <c r="Q14" s="17" t="s">
        <v>385</v>
      </c>
      <c r="R14" s="17" t="s">
        <v>385</v>
      </c>
      <c r="S14" s="17">
        <v>10</v>
      </c>
      <c r="T14" s="17">
        <v>10</v>
      </c>
      <c r="U14" s="17" t="s">
        <v>385</v>
      </c>
      <c r="V14" s="66">
        <v>10</v>
      </c>
    </row>
    <row r="15" spans="1:22" s="12" customFormat="1">
      <c r="A15" s="70" t="s">
        <v>233</v>
      </c>
      <c r="B15" s="17">
        <v>3.73</v>
      </c>
      <c r="C15" s="17">
        <v>3.91</v>
      </c>
      <c r="D15" s="17">
        <v>4.55</v>
      </c>
      <c r="E15" s="17">
        <v>5.08</v>
      </c>
      <c r="F15" s="17">
        <v>5.54</v>
      </c>
      <c r="G15" s="17">
        <v>3.05</v>
      </c>
      <c r="H15" s="17">
        <v>3.05</v>
      </c>
      <c r="I15" s="17">
        <v>3.4</v>
      </c>
      <c r="J15" s="17">
        <v>3.76</v>
      </c>
      <c r="K15" s="17">
        <v>4.1900000000000004</v>
      </c>
      <c r="L15" s="17">
        <v>4.57</v>
      </c>
      <c r="M15" s="17">
        <v>4.7699999999999996</v>
      </c>
      <c r="N15" s="17">
        <v>4.7699999999999996</v>
      </c>
      <c r="O15" s="17">
        <v>4.7699999999999996</v>
      </c>
      <c r="P15" s="17">
        <v>5.54</v>
      </c>
      <c r="Q15" s="17">
        <v>5.54</v>
      </c>
      <c r="R15" s="17">
        <v>6.35</v>
      </c>
      <c r="S15" s="17">
        <v>7.92</v>
      </c>
      <c r="T15" s="17">
        <v>7.92</v>
      </c>
      <c r="U15" s="17">
        <v>7.92</v>
      </c>
      <c r="V15" s="66">
        <v>7.92</v>
      </c>
    </row>
    <row r="16" spans="1:22">
      <c r="A16" s="69" t="s">
        <v>234</v>
      </c>
      <c r="B16" s="109" t="s">
        <v>235</v>
      </c>
      <c r="C16" s="109"/>
      <c r="D16" s="109"/>
      <c r="E16" s="109"/>
      <c r="F16" s="109"/>
      <c r="G16" s="109"/>
      <c r="H16" s="109"/>
      <c r="I16" s="109"/>
      <c r="J16" s="109"/>
      <c r="K16" s="109" t="s">
        <v>386</v>
      </c>
      <c r="L16" s="109"/>
      <c r="M16" s="109"/>
      <c r="N16" s="109"/>
      <c r="O16" s="109"/>
      <c r="P16" s="109"/>
      <c r="Q16" s="109"/>
      <c r="R16" s="109"/>
      <c r="S16" s="109"/>
      <c r="T16" s="109"/>
      <c r="U16" s="109"/>
      <c r="V16" s="110"/>
    </row>
    <row r="17" spans="1:22" ht="15.75" customHeight="1">
      <c r="A17" s="69" t="s">
        <v>237</v>
      </c>
      <c r="B17" s="109" t="s">
        <v>402</v>
      </c>
      <c r="C17" s="109"/>
      <c r="D17" s="109"/>
      <c r="E17" s="109"/>
      <c r="F17" s="109"/>
      <c r="G17" s="109"/>
      <c r="H17" s="109"/>
      <c r="I17" s="109"/>
      <c r="J17" s="109"/>
      <c r="K17" s="109" t="s">
        <v>402</v>
      </c>
      <c r="L17" s="109"/>
      <c r="M17" s="109"/>
      <c r="N17" s="109"/>
      <c r="O17" s="109"/>
      <c r="P17" s="109"/>
      <c r="Q17" s="109"/>
      <c r="R17" s="109"/>
      <c r="S17" s="109"/>
      <c r="T17" s="109"/>
      <c r="U17" s="109"/>
      <c r="V17" s="110"/>
    </row>
    <row r="18" spans="1:22">
      <c r="A18" s="69" t="s">
        <v>240</v>
      </c>
      <c r="B18" s="144" t="s">
        <v>241</v>
      </c>
      <c r="C18" s="145"/>
      <c r="D18" s="145"/>
      <c r="E18" s="145"/>
      <c r="F18" s="145"/>
      <c r="G18" s="145"/>
      <c r="H18" s="145"/>
      <c r="I18" s="145"/>
      <c r="J18" s="145"/>
      <c r="K18" s="145"/>
      <c r="L18" s="145"/>
      <c r="M18" s="145"/>
      <c r="N18" s="145"/>
      <c r="O18" s="145"/>
      <c r="P18" s="145"/>
      <c r="Q18" s="145"/>
      <c r="R18" s="145"/>
      <c r="S18" s="145"/>
      <c r="T18" s="145"/>
      <c r="U18" s="145"/>
      <c r="V18" s="147"/>
    </row>
    <row r="19" spans="1:22" ht="15.75" customHeight="1">
      <c r="A19" s="117" t="s">
        <v>242</v>
      </c>
      <c r="B19" s="109"/>
      <c r="C19" s="109"/>
      <c r="D19" s="109"/>
      <c r="E19" s="109"/>
      <c r="F19" s="109"/>
      <c r="G19" s="109"/>
      <c r="H19" s="109"/>
      <c r="I19" s="109"/>
      <c r="J19" s="109"/>
      <c r="K19" s="109"/>
      <c r="L19" s="109"/>
      <c r="M19" s="109"/>
      <c r="N19" s="109"/>
      <c r="O19" s="109"/>
      <c r="P19" s="109"/>
      <c r="Q19" s="109"/>
      <c r="R19" s="109"/>
      <c r="S19" s="109"/>
      <c r="T19" s="109"/>
      <c r="U19" s="109"/>
      <c r="V19" s="110"/>
    </row>
    <row r="20" spans="1:22" ht="15" customHeight="1">
      <c r="A20" s="69" t="s">
        <v>234</v>
      </c>
      <c r="B20" s="144" t="s">
        <v>243</v>
      </c>
      <c r="C20" s="145"/>
      <c r="D20" s="145"/>
      <c r="E20" s="145"/>
      <c r="F20" s="145"/>
      <c r="G20" s="145"/>
      <c r="H20" s="145"/>
      <c r="I20" s="145"/>
      <c r="J20" s="146"/>
      <c r="K20" s="144" t="s">
        <v>244</v>
      </c>
      <c r="L20" s="145"/>
      <c r="M20" s="145"/>
      <c r="N20" s="145"/>
      <c r="O20" s="145"/>
      <c r="P20" s="145"/>
      <c r="Q20" s="145"/>
      <c r="R20" s="145"/>
      <c r="S20" s="145"/>
      <c r="T20" s="145"/>
      <c r="U20" s="145"/>
      <c r="V20" s="147"/>
    </row>
    <row r="21" spans="1:22" ht="15.75" customHeight="1">
      <c r="A21" s="69" t="s">
        <v>237</v>
      </c>
      <c r="B21" s="144" t="s">
        <v>403</v>
      </c>
      <c r="C21" s="145"/>
      <c r="D21" s="145"/>
      <c r="E21" s="145"/>
      <c r="F21" s="145"/>
      <c r="G21" s="145"/>
      <c r="H21" s="145"/>
      <c r="I21" s="145"/>
      <c r="J21" s="146"/>
      <c r="K21" s="109" t="s">
        <v>404</v>
      </c>
      <c r="L21" s="109"/>
      <c r="M21" s="109"/>
      <c r="N21" s="109"/>
      <c r="O21" s="109"/>
      <c r="P21" s="109"/>
      <c r="Q21" s="109"/>
      <c r="R21" s="109"/>
      <c r="S21" s="109"/>
      <c r="T21" s="109"/>
      <c r="U21" s="109"/>
      <c r="V21" s="110"/>
    </row>
    <row r="22" spans="1:22" ht="15.75" customHeight="1">
      <c r="A22" s="69" t="s">
        <v>246</v>
      </c>
      <c r="B22" s="144" t="s">
        <v>247</v>
      </c>
      <c r="C22" s="145"/>
      <c r="D22" s="145"/>
      <c r="E22" s="145"/>
      <c r="F22" s="145"/>
      <c r="G22" s="145"/>
      <c r="H22" s="145"/>
      <c r="I22" s="145"/>
      <c r="J22" s="145"/>
      <c r="K22" s="145"/>
      <c r="L22" s="145"/>
      <c r="M22" s="145"/>
      <c r="N22" s="145"/>
      <c r="O22" s="145"/>
      <c r="P22" s="145"/>
      <c r="Q22" s="145"/>
      <c r="R22" s="145"/>
      <c r="S22" s="145"/>
      <c r="T22" s="145"/>
      <c r="U22" s="145"/>
      <c r="V22" s="147"/>
    </row>
    <row r="23" spans="1:22" ht="15.75" customHeight="1">
      <c r="A23" s="69" t="s">
        <v>248</v>
      </c>
      <c r="B23" s="144" t="s">
        <v>247</v>
      </c>
      <c r="C23" s="145"/>
      <c r="D23" s="145"/>
      <c r="E23" s="145"/>
      <c r="F23" s="145"/>
      <c r="G23" s="145"/>
      <c r="H23" s="145"/>
      <c r="I23" s="145"/>
      <c r="J23" s="145"/>
      <c r="K23" s="145" t="s">
        <v>247</v>
      </c>
      <c r="L23" s="145"/>
      <c r="M23" s="145"/>
      <c r="N23" s="145"/>
      <c r="O23" s="145"/>
      <c r="P23" s="145"/>
      <c r="Q23" s="145"/>
      <c r="R23" s="145"/>
      <c r="S23" s="145"/>
      <c r="T23" s="145"/>
      <c r="U23" s="145"/>
      <c r="V23" s="147"/>
    </row>
    <row r="24" spans="1:22" ht="15.75" customHeight="1">
      <c r="A24" s="69" t="s">
        <v>249</v>
      </c>
      <c r="B24" s="144" t="s">
        <v>247</v>
      </c>
      <c r="C24" s="145"/>
      <c r="D24" s="145"/>
      <c r="E24" s="145"/>
      <c r="F24" s="145"/>
      <c r="G24" s="145"/>
      <c r="H24" s="145"/>
      <c r="I24" s="145"/>
      <c r="J24" s="145"/>
      <c r="K24" s="145" t="s">
        <v>247</v>
      </c>
      <c r="L24" s="145"/>
      <c r="M24" s="145"/>
      <c r="N24" s="145"/>
      <c r="O24" s="145"/>
      <c r="P24" s="145"/>
      <c r="Q24" s="145"/>
      <c r="R24" s="145"/>
      <c r="S24" s="145"/>
      <c r="T24" s="145"/>
      <c r="U24" s="145"/>
      <c r="V24" s="147"/>
    </row>
    <row r="25" spans="1:22" ht="15.75" customHeight="1">
      <c r="A25" s="69" t="s">
        <v>250</v>
      </c>
      <c r="B25" s="144" t="s">
        <v>247</v>
      </c>
      <c r="C25" s="145"/>
      <c r="D25" s="145"/>
      <c r="E25" s="145"/>
      <c r="F25" s="145"/>
      <c r="G25" s="145"/>
      <c r="H25" s="145"/>
      <c r="I25" s="145"/>
      <c r="J25" s="145"/>
      <c r="K25" s="145" t="s">
        <v>247</v>
      </c>
      <c r="L25" s="145"/>
      <c r="M25" s="145"/>
      <c r="N25" s="145"/>
      <c r="O25" s="145"/>
      <c r="P25" s="145"/>
      <c r="Q25" s="145"/>
      <c r="R25" s="145"/>
      <c r="S25" s="145"/>
      <c r="T25" s="145"/>
      <c r="U25" s="145"/>
      <c r="V25" s="147"/>
    </row>
    <row r="26" spans="1:22" ht="15.75" customHeight="1">
      <c r="A26" s="69" t="s">
        <v>251</v>
      </c>
      <c r="B26" s="151" t="s">
        <v>290</v>
      </c>
      <c r="C26" s="145"/>
      <c r="D26" s="145"/>
      <c r="E26" s="146"/>
      <c r="F26" s="109"/>
      <c r="G26" s="109"/>
      <c r="H26" s="109"/>
      <c r="I26" s="109"/>
      <c r="J26" s="109"/>
      <c r="K26" s="109"/>
      <c r="L26" s="109"/>
      <c r="M26" s="109"/>
      <c r="N26" s="109"/>
      <c r="O26" s="109"/>
      <c r="P26" s="109"/>
      <c r="Q26" s="109"/>
      <c r="R26" s="109"/>
      <c r="S26" s="109"/>
      <c r="T26" s="109"/>
      <c r="U26" s="109"/>
      <c r="V26" s="110"/>
    </row>
    <row r="27" spans="1:22" ht="15.75" customHeight="1">
      <c r="A27" s="69" t="s">
        <v>253</v>
      </c>
      <c r="B27" s="144" t="s">
        <v>405</v>
      </c>
      <c r="C27" s="145"/>
      <c r="D27" s="145"/>
      <c r="E27" s="145"/>
      <c r="F27" s="145"/>
      <c r="G27" s="145"/>
      <c r="H27" s="145"/>
      <c r="I27" s="145"/>
      <c r="J27" s="145"/>
      <c r="K27" s="145" t="s">
        <v>392</v>
      </c>
      <c r="L27" s="145"/>
      <c r="M27" s="145"/>
      <c r="N27" s="145"/>
      <c r="O27" s="145"/>
      <c r="P27" s="145"/>
      <c r="Q27" s="145"/>
      <c r="R27" s="145"/>
      <c r="S27" s="145"/>
      <c r="T27" s="145"/>
      <c r="U27" s="145"/>
      <c r="V27" s="147"/>
    </row>
    <row r="28" spans="1:22" s="5" customFormat="1">
      <c r="A28" s="117" t="s">
        <v>255</v>
      </c>
      <c r="B28" s="118"/>
      <c r="C28" s="118"/>
      <c r="D28" s="118"/>
      <c r="E28" s="118"/>
      <c r="F28" s="118"/>
      <c r="G28" s="118"/>
      <c r="H28" s="118"/>
      <c r="I28" s="118"/>
      <c r="J28" s="118"/>
      <c r="K28" s="118"/>
      <c r="L28" s="118"/>
      <c r="M28" s="118"/>
      <c r="N28" s="118"/>
      <c r="O28" s="118"/>
      <c r="P28" s="118"/>
      <c r="Q28" s="118"/>
      <c r="R28" s="118"/>
      <c r="S28" s="118"/>
      <c r="T28" s="118"/>
      <c r="U28" s="118"/>
      <c r="V28" s="119"/>
    </row>
    <row r="29" spans="1:22" s="5" customFormat="1" ht="13.9" customHeight="1">
      <c r="A29" s="69" t="s">
        <v>237</v>
      </c>
      <c r="B29" s="109" t="s">
        <v>406</v>
      </c>
      <c r="C29" s="109"/>
      <c r="D29" s="109"/>
      <c r="E29" s="109"/>
      <c r="F29" s="109"/>
      <c r="G29" s="109"/>
      <c r="H29" s="109"/>
      <c r="I29" s="109"/>
      <c r="J29" s="109"/>
      <c r="K29" s="109"/>
      <c r="L29" s="109"/>
      <c r="M29" s="109"/>
      <c r="N29" s="109"/>
      <c r="O29" s="109"/>
      <c r="P29" s="109"/>
      <c r="Q29" s="109"/>
      <c r="R29" s="109"/>
      <c r="S29" s="109"/>
      <c r="T29" s="109"/>
      <c r="U29" s="109"/>
      <c r="V29" s="110"/>
    </row>
    <row r="30" spans="1:22" s="5" customFormat="1" ht="13.9" customHeight="1">
      <c r="A30" s="69" t="s">
        <v>257</v>
      </c>
      <c r="B30" s="109" t="s">
        <v>258</v>
      </c>
      <c r="C30" s="109"/>
      <c r="D30" s="109"/>
      <c r="E30" s="109"/>
      <c r="F30" s="109"/>
      <c r="G30" s="109"/>
      <c r="H30" s="109"/>
      <c r="I30" s="109"/>
      <c r="J30" s="109"/>
      <c r="K30" s="109"/>
      <c r="L30" s="109"/>
      <c r="M30" s="109"/>
      <c r="N30" s="109"/>
      <c r="O30" s="109"/>
      <c r="P30" s="109"/>
      <c r="Q30" s="109"/>
      <c r="R30" s="109"/>
      <c r="S30" s="109"/>
      <c r="T30" s="109"/>
      <c r="U30" s="109"/>
      <c r="V30" s="110"/>
    </row>
    <row r="31" spans="1:22" s="5" customFormat="1" ht="14.45" customHeight="1">
      <c r="A31" s="69" t="s">
        <v>234</v>
      </c>
      <c r="B31" s="109" t="s">
        <v>259</v>
      </c>
      <c r="C31" s="109"/>
      <c r="D31" s="109"/>
      <c r="E31" s="109"/>
      <c r="F31" s="109"/>
      <c r="G31" s="109"/>
      <c r="H31" s="109"/>
      <c r="I31" s="109"/>
      <c r="J31" s="109"/>
      <c r="K31" s="109"/>
      <c r="L31" s="109"/>
      <c r="M31" s="109"/>
      <c r="N31" s="109"/>
      <c r="O31" s="109"/>
      <c r="P31" s="109"/>
      <c r="Q31" s="109"/>
      <c r="R31" s="109"/>
      <c r="S31" s="109"/>
      <c r="T31" s="109"/>
      <c r="U31" s="109"/>
      <c r="V31" s="110"/>
    </row>
    <row r="32" spans="1:22" s="5" customFormat="1" ht="13.9" customHeight="1">
      <c r="A32" s="148" t="s">
        <v>260</v>
      </c>
      <c r="B32" s="149"/>
      <c r="C32" s="149"/>
      <c r="D32" s="149"/>
      <c r="E32" s="149"/>
      <c r="F32" s="149"/>
      <c r="G32" s="149"/>
      <c r="H32" s="149"/>
      <c r="I32" s="149"/>
      <c r="J32" s="149"/>
      <c r="K32" s="149"/>
      <c r="L32" s="149"/>
      <c r="M32" s="149"/>
      <c r="N32" s="149"/>
      <c r="O32" s="149"/>
      <c r="P32" s="149"/>
      <c r="Q32" s="149"/>
      <c r="R32" s="149"/>
      <c r="S32" s="149"/>
      <c r="T32" s="149"/>
      <c r="U32" s="149"/>
      <c r="V32" s="150"/>
    </row>
    <row r="33" spans="1:22" s="5" customFormat="1" ht="13.9" customHeight="1">
      <c r="A33" s="84" t="s">
        <v>237</v>
      </c>
      <c r="B33" s="233" t="s">
        <v>406</v>
      </c>
      <c r="C33" s="142"/>
      <c r="D33" s="142"/>
      <c r="E33" s="142"/>
      <c r="F33" s="142"/>
      <c r="G33" s="142"/>
      <c r="H33" s="142"/>
      <c r="I33" s="142"/>
      <c r="J33" s="142"/>
      <c r="K33" s="142"/>
      <c r="L33" s="142"/>
      <c r="M33" s="142"/>
      <c r="N33" s="142"/>
      <c r="O33" s="142"/>
      <c r="P33" s="142"/>
      <c r="Q33" s="142"/>
      <c r="R33" s="142"/>
      <c r="S33" s="142"/>
      <c r="T33" s="142"/>
      <c r="U33" s="142"/>
      <c r="V33" s="143"/>
    </row>
    <row r="34" spans="1:22" s="5" customFormat="1" ht="13.9" customHeight="1">
      <c r="A34" s="69" t="s">
        <v>261</v>
      </c>
      <c r="B34" s="144" t="s">
        <v>262</v>
      </c>
      <c r="C34" s="145"/>
      <c r="D34" s="145"/>
      <c r="E34" s="145"/>
      <c r="F34" s="145"/>
      <c r="G34" s="145"/>
      <c r="H34" s="145"/>
      <c r="I34" s="145"/>
      <c r="J34" s="145"/>
      <c r="K34" s="145"/>
      <c r="L34" s="145"/>
      <c r="M34" s="146"/>
      <c r="N34" s="101" t="s">
        <v>263</v>
      </c>
      <c r="O34" s="101"/>
      <c r="P34" s="101"/>
      <c r="Q34" s="101"/>
      <c r="R34" s="101"/>
      <c r="S34" s="101"/>
      <c r="T34" s="101"/>
      <c r="U34" s="101"/>
      <c r="V34" s="102"/>
    </row>
    <row r="35" spans="1:22" s="5" customFormat="1" ht="13.9" customHeight="1">
      <c r="A35" s="117" t="s">
        <v>264</v>
      </c>
      <c r="B35" s="118"/>
      <c r="C35" s="118"/>
      <c r="D35" s="118"/>
      <c r="E35" s="118"/>
      <c r="F35" s="118"/>
      <c r="G35" s="118"/>
      <c r="H35" s="118"/>
      <c r="I35" s="118"/>
      <c r="J35" s="118"/>
      <c r="K35" s="118"/>
      <c r="L35" s="118"/>
      <c r="M35" s="118"/>
      <c r="N35" s="118"/>
      <c r="O35" s="118"/>
      <c r="P35" s="118"/>
      <c r="Q35" s="118"/>
      <c r="R35" s="118"/>
      <c r="S35" s="118"/>
      <c r="T35" s="118"/>
      <c r="U35" s="118"/>
      <c r="V35" s="119"/>
    </row>
    <row r="36" spans="1:22" s="5" customFormat="1" ht="13.9" customHeight="1">
      <c r="A36" s="69" t="s">
        <v>265</v>
      </c>
      <c r="B36" s="144" t="s">
        <v>394</v>
      </c>
      <c r="C36" s="145"/>
      <c r="D36" s="145"/>
      <c r="E36" s="145"/>
      <c r="F36" s="145"/>
      <c r="G36" s="145"/>
      <c r="H36" s="145"/>
      <c r="I36" s="145"/>
      <c r="J36" s="145"/>
      <c r="K36" s="145"/>
      <c r="L36" s="145"/>
      <c r="M36" s="145"/>
      <c r="N36" s="145"/>
      <c r="O36" s="145"/>
      <c r="P36" s="145"/>
      <c r="Q36" s="145"/>
      <c r="R36" s="145"/>
      <c r="S36" s="145"/>
      <c r="T36" s="145"/>
      <c r="U36" s="145"/>
      <c r="V36" s="147"/>
    </row>
    <row r="37" spans="1:22" s="5" customFormat="1" ht="13.9" customHeight="1">
      <c r="A37" s="69" t="s">
        <v>267</v>
      </c>
      <c r="B37" s="144" t="s">
        <v>394</v>
      </c>
      <c r="C37" s="145"/>
      <c r="D37" s="145"/>
      <c r="E37" s="145"/>
      <c r="F37" s="145"/>
      <c r="G37" s="145"/>
      <c r="H37" s="145"/>
      <c r="I37" s="145"/>
      <c r="J37" s="145"/>
      <c r="K37" s="145"/>
      <c r="L37" s="145"/>
      <c r="M37" s="145"/>
      <c r="N37" s="145"/>
      <c r="O37" s="145"/>
      <c r="P37" s="145"/>
      <c r="Q37" s="145"/>
      <c r="R37" s="145"/>
      <c r="S37" s="145"/>
      <c r="T37" s="145"/>
      <c r="U37" s="145"/>
      <c r="V37" s="147"/>
    </row>
    <row r="38" spans="1:22" s="5" customFormat="1" ht="13.9" customHeight="1">
      <c r="A38" s="69" t="s">
        <v>269</v>
      </c>
      <c r="B38" s="144" t="s">
        <v>407</v>
      </c>
      <c r="C38" s="145"/>
      <c r="D38" s="145"/>
      <c r="E38" s="145"/>
      <c r="F38" s="145"/>
      <c r="G38" s="145"/>
      <c r="H38" s="145"/>
      <c r="I38" s="145"/>
      <c r="J38" s="145"/>
      <c r="K38" s="145"/>
      <c r="L38" s="145"/>
      <c r="M38" s="145"/>
      <c r="N38" s="145"/>
      <c r="O38" s="145"/>
      <c r="P38" s="145"/>
      <c r="Q38" s="145"/>
      <c r="R38" s="145"/>
      <c r="S38" s="145"/>
      <c r="T38" s="145"/>
      <c r="U38" s="145"/>
      <c r="V38" s="147"/>
    </row>
    <row r="39" spans="1:22" s="5" customFormat="1" ht="13.9" customHeight="1">
      <c r="A39" s="117" t="s">
        <v>271</v>
      </c>
      <c r="B39" s="118"/>
      <c r="C39" s="118"/>
      <c r="D39" s="118"/>
      <c r="E39" s="118"/>
      <c r="F39" s="118"/>
      <c r="G39" s="118"/>
      <c r="H39" s="118"/>
      <c r="I39" s="118"/>
      <c r="J39" s="118"/>
      <c r="K39" s="118"/>
      <c r="L39" s="118"/>
      <c r="M39" s="118"/>
      <c r="N39" s="118"/>
      <c r="O39" s="118"/>
      <c r="P39" s="118"/>
      <c r="Q39" s="118"/>
      <c r="R39" s="118"/>
      <c r="S39" s="118"/>
      <c r="T39" s="118"/>
      <c r="U39" s="118"/>
      <c r="V39" s="119"/>
    </row>
    <row r="40" spans="1:22" s="5" customFormat="1"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09"/>
      <c r="V40" s="110"/>
    </row>
    <row r="41" spans="1:22" s="5" customFormat="1"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09"/>
      <c r="V41" s="110"/>
    </row>
    <row r="42" spans="1:22" s="5" customFormat="1"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09"/>
      <c r="V42" s="110"/>
    </row>
    <row r="43" spans="1:22" s="5" customFormat="1"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09"/>
      <c r="V43" s="110"/>
    </row>
    <row r="44" spans="1:22" s="5" customFormat="1"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5"/>
      <c r="V44" s="147"/>
    </row>
    <row r="45" spans="1:22" s="5" customFormat="1" ht="13.9" customHeight="1">
      <c r="A45" s="69" t="s">
        <v>277</v>
      </c>
      <c r="B45" s="144"/>
      <c r="C45" s="145"/>
      <c r="D45" s="145"/>
      <c r="E45" s="145"/>
      <c r="F45" s="146"/>
      <c r="G45" s="144" t="e">
        <f ca="1">"BFD"&amp;VLOOKUP(F3,INDEX!B:AH,33,0)&amp;"WR"</f>
        <v>#VALUE!</v>
      </c>
      <c r="H45" s="145"/>
      <c r="I45" s="145"/>
      <c r="J45" s="145"/>
      <c r="K45" s="145"/>
      <c r="L45" s="145"/>
      <c r="M45" s="145"/>
      <c r="N45" s="145"/>
      <c r="O45" s="145"/>
      <c r="P45" s="145"/>
      <c r="Q45" s="145"/>
      <c r="R45" s="145"/>
      <c r="S45" s="145"/>
      <c r="T45" s="145"/>
      <c r="U45" s="145"/>
      <c r="V45" s="147"/>
    </row>
    <row r="46" spans="1:22" s="5" customFormat="1" ht="13.9" customHeight="1">
      <c r="A46" s="69"/>
      <c r="B46" s="109"/>
      <c r="C46" s="109"/>
      <c r="D46" s="109"/>
      <c r="E46" s="109"/>
      <c r="F46" s="109"/>
      <c r="G46" s="109"/>
      <c r="H46" s="109"/>
      <c r="I46" s="109"/>
      <c r="J46" s="109"/>
      <c r="K46" s="109"/>
      <c r="L46" s="109"/>
      <c r="M46" s="109"/>
      <c r="N46" s="109"/>
      <c r="O46" s="109"/>
      <c r="P46" s="109"/>
      <c r="Q46" s="109"/>
      <c r="R46" s="109"/>
      <c r="S46" s="109"/>
      <c r="T46" s="109"/>
      <c r="U46" s="109"/>
      <c r="V46" s="110"/>
    </row>
    <row r="47" spans="1:22" s="5" customFormat="1">
      <c r="A47" s="117" t="s">
        <v>278</v>
      </c>
      <c r="B47" s="118"/>
      <c r="C47" s="118"/>
      <c r="D47" s="118"/>
      <c r="E47" s="118"/>
      <c r="F47" s="118"/>
      <c r="G47" s="118"/>
      <c r="H47" s="118"/>
      <c r="I47" s="118"/>
      <c r="J47" s="118"/>
      <c r="K47" s="118"/>
      <c r="L47" s="118"/>
      <c r="M47" s="118"/>
      <c r="N47" s="118"/>
      <c r="O47" s="118"/>
      <c r="P47" s="118"/>
      <c r="Q47" s="118"/>
      <c r="R47" s="118"/>
      <c r="S47" s="118"/>
      <c r="T47" s="118"/>
      <c r="U47" s="118"/>
      <c r="V47" s="119"/>
    </row>
    <row r="48" spans="1:22" s="5" customFormat="1" ht="28.15" customHeight="1">
      <c r="A48" s="111" t="s">
        <v>279</v>
      </c>
      <c r="B48" s="112"/>
      <c r="C48" s="112"/>
      <c r="D48" s="112"/>
      <c r="E48" s="112"/>
      <c r="F48" s="112"/>
      <c r="G48" s="112"/>
      <c r="H48" s="112"/>
      <c r="I48" s="112"/>
      <c r="J48" s="112"/>
      <c r="K48" s="112"/>
      <c r="L48" s="112"/>
      <c r="M48" s="112"/>
      <c r="N48" s="112"/>
      <c r="O48" s="112"/>
      <c r="P48" s="112"/>
      <c r="Q48" s="112"/>
      <c r="R48" s="112"/>
      <c r="S48" s="112"/>
      <c r="T48" s="112"/>
      <c r="U48" s="112"/>
      <c r="V48" s="113"/>
    </row>
    <row r="49" spans="1:22" s="5" customFormat="1" ht="14.45" customHeight="1">
      <c r="A49" s="114" t="s">
        <v>280</v>
      </c>
      <c r="B49" s="115"/>
      <c r="C49" s="115"/>
      <c r="D49" s="115"/>
      <c r="E49" s="115"/>
      <c r="F49" s="115"/>
      <c r="G49" s="115"/>
      <c r="H49" s="115"/>
      <c r="I49" s="115"/>
      <c r="J49" s="115"/>
      <c r="K49" s="115"/>
      <c r="L49" s="115"/>
      <c r="M49" s="115"/>
      <c r="N49" s="115"/>
      <c r="O49" s="115"/>
      <c r="P49" s="115"/>
      <c r="Q49" s="115"/>
      <c r="R49" s="115"/>
      <c r="S49" s="115"/>
      <c r="T49" s="115"/>
      <c r="U49" s="115"/>
      <c r="V49" s="116"/>
    </row>
    <row r="50" spans="1:22" s="5" customFormat="1" ht="14.45" customHeight="1">
      <c r="A50" s="114" t="s">
        <v>281</v>
      </c>
      <c r="B50" s="115"/>
      <c r="C50" s="115"/>
      <c r="D50" s="115"/>
      <c r="E50" s="115"/>
      <c r="F50" s="115"/>
      <c r="G50" s="115"/>
      <c r="H50" s="115"/>
      <c r="I50" s="115"/>
      <c r="J50" s="115"/>
      <c r="K50" s="115"/>
      <c r="L50" s="115"/>
      <c r="M50" s="115"/>
      <c r="N50" s="115"/>
      <c r="O50" s="115"/>
      <c r="P50" s="115"/>
      <c r="Q50" s="115"/>
      <c r="R50" s="115"/>
      <c r="S50" s="115"/>
      <c r="T50" s="115"/>
      <c r="U50" s="115"/>
      <c r="V50" s="116"/>
    </row>
    <row r="51" spans="1:22" s="5" customFormat="1" ht="28.9" customHeight="1">
      <c r="A51" s="114" t="s">
        <v>282</v>
      </c>
      <c r="B51" s="115"/>
      <c r="C51" s="115"/>
      <c r="D51" s="115"/>
      <c r="E51" s="115"/>
      <c r="F51" s="115"/>
      <c r="G51" s="115"/>
      <c r="H51" s="115"/>
      <c r="I51" s="115"/>
      <c r="J51" s="115"/>
      <c r="K51" s="115"/>
      <c r="L51" s="115"/>
      <c r="M51" s="115"/>
      <c r="N51" s="115"/>
      <c r="O51" s="115"/>
      <c r="P51" s="115"/>
      <c r="Q51" s="115"/>
      <c r="R51" s="115"/>
      <c r="S51" s="115"/>
      <c r="T51" s="115"/>
      <c r="U51" s="115"/>
      <c r="V51" s="116"/>
    </row>
    <row r="52" spans="1:22" s="5" customFormat="1" ht="26.45" customHeight="1">
      <c r="A52" s="114" t="s">
        <v>283</v>
      </c>
      <c r="B52" s="115"/>
      <c r="C52" s="115"/>
      <c r="D52" s="115"/>
      <c r="E52" s="115"/>
      <c r="F52" s="115"/>
      <c r="G52" s="115"/>
      <c r="H52" s="115"/>
      <c r="I52" s="115"/>
      <c r="J52" s="115"/>
      <c r="K52" s="115"/>
      <c r="L52" s="115"/>
      <c r="M52" s="115"/>
      <c r="N52" s="115"/>
      <c r="O52" s="115"/>
      <c r="P52" s="115"/>
      <c r="Q52" s="115"/>
      <c r="R52" s="115"/>
      <c r="S52" s="115"/>
      <c r="T52" s="115"/>
      <c r="U52" s="115"/>
      <c r="V52" s="116"/>
    </row>
    <row r="53" spans="1:22" s="5" customFormat="1"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5"/>
      <c r="V53" s="116"/>
    </row>
    <row r="54" spans="1:22" s="5" customFormat="1"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5"/>
      <c r="V54" s="116"/>
    </row>
    <row r="55" spans="1:22" s="5" customFormat="1" ht="14.45" customHeight="1">
      <c r="A55" s="114" t="s">
        <v>286</v>
      </c>
      <c r="B55" s="115"/>
      <c r="C55" s="115"/>
      <c r="D55" s="115"/>
      <c r="E55" s="115"/>
      <c r="F55" s="115"/>
      <c r="G55" s="115"/>
      <c r="H55" s="115"/>
      <c r="I55" s="115"/>
      <c r="J55" s="115"/>
      <c r="K55" s="115"/>
      <c r="L55" s="115"/>
      <c r="M55" s="115"/>
      <c r="N55" s="115"/>
      <c r="O55" s="115"/>
      <c r="P55" s="115"/>
      <c r="Q55" s="115"/>
      <c r="R55" s="115"/>
      <c r="S55" s="115"/>
      <c r="T55" s="115"/>
      <c r="U55" s="115"/>
      <c r="V55" s="116"/>
    </row>
    <row r="56" spans="1:22" s="5" customFormat="1" ht="15.75" thickBot="1">
      <c r="A56" s="177"/>
      <c r="B56" s="178"/>
      <c r="C56" s="178"/>
      <c r="D56" s="178"/>
      <c r="E56" s="178"/>
      <c r="F56" s="178"/>
      <c r="G56" s="178"/>
      <c r="H56" s="178"/>
      <c r="I56" s="178"/>
      <c r="J56" s="178"/>
      <c r="K56" s="178"/>
      <c r="L56" s="178"/>
      <c r="M56" s="178"/>
      <c r="N56" s="178"/>
      <c r="O56" s="178"/>
      <c r="P56" s="178"/>
      <c r="Q56" s="178"/>
      <c r="R56" s="178"/>
      <c r="S56" s="178"/>
      <c r="T56" s="178"/>
      <c r="U56" s="178"/>
      <c r="V56" s="179"/>
    </row>
  </sheetData>
  <mergeCells count="85">
    <mergeCell ref="A53:V53"/>
    <mergeCell ref="A54:V54"/>
    <mergeCell ref="A55:V55"/>
    <mergeCell ref="A56:V56"/>
    <mergeCell ref="A48:V48"/>
    <mergeCell ref="A49:V49"/>
    <mergeCell ref="A50:V50"/>
    <mergeCell ref="A51:V51"/>
    <mergeCell ref="A52:V52"/>
    <mergeCell ref="B44:E44"/>
    <mergeCell ref="F44:V44"/>
    <mergeCell ref="A47:V47"/>
    <mergeCell ref="B46:V46"/>
    <mergeCell ref="B45:F45"/>
    <mergeCell ref="G45:V45"/>
    <mergeCell ref="B43:V43"/>
    <mergeCell ref="B33:V33"/>
    <mergeCell ref="B34:M34"/>
    <mergeCell ref="N34:V34"/>
    <mergeCell ref="A35:V35"/>
    <mergeCell ref="B36:V36"/>
    <mergeCell ref="B37:V37"/>
    <mergeCell ref="B38:V38"/>
    <mergeCell ref="A39:V39"/>
    <mergeCell ref="B40:V40"/>
    <mergeCell ref="B41:V41"/>
    <mergeCell ref="B42:V42"/>
    <mergeCell ref="A32:V32"/>
    <mergeCell ref="B22:V22"/>
    <mergeCell ref="B23:V23"/>
    <mergeCell ref="B24:V24"/>
    <mergeCell ref="B25:V25"/>
    <mergeCell ref="B26:E26"/>
    <mergeCell ref="F26:V26"/>
    <mergeCell ref="B27:V27"/>
    <mergeCell ref="A28:V28"/>
    <mergeCell ref="B29:V29"/>
    <mergeCell ref="B30:V30"/>
    <mergeCell ref="B31:V31"/>
    <mergeCell ref="B18:V18"/>
    <mergeCell ref="A19:V19"/>
    <mergeCell ref="B20:J20"/>
    <mergeCell ref="K20:V20"/>
    <mergeCell ref="B21:J21"/>
    <mergeCell ref="K21:V21"/>
    <mergeCell ref="B16:J16"/>
    <mergeCell ref="K16:V16"/>
    <mergeCell ref="B17:J17"/>
    <mergeCell ref="K17:V17"/>
    <mergeCell ref="A10:V10"/>
    <mergeCell ref="J9:K9"/>
    <mergeCell ref="R8:V8"/>
    <mergeCell ref="R9:V9"/>
    <mergeCell ref="L8:Q9"/>
    <mergeCell ref="B11:V11"/>
    <mergeCell ref="J8:K8"/>
    <mergeCell ref="B9:C9"/>
    <mergeCell ref="B8:C8"/>
    <mergeCell ref="D8:E8"/>
    <mergeCell ref="F8:G8"/>
    <mergeCell ref="H8:I8"/>
    <mergeCell ref="D9:E9"/>
    <mergeCell ref="F9:G9"/>
    <mergeCell ref="H9:I9"/>
    <mergeCell ref="Q3:S3"/>
    <mergeCell ref="N2:P2"/>
    <mergeCell ref="N3:P3"/>
    <mergeCell ref="J2:M2"/>
    <mergeCell ref="J3:M3"/>
    <mergeCell ref="A7:V7"/>
    <mergeCell ref="I6:V6"/>
    <mergeCell ref="I5:V5"/>
    <mergeCell ref="I4:V4"/>
    <mergeCell ref="F5:H5"/>
    <mergeCell ref="F6:H6"/>
    <mergeCell ref="A1:E6"/>
    <mergeCell ref="F2:I2"/>
    <mergeCell ref="T1:V1"/>
    <mergeCell ref="T2:V2"/>
    <mergeCell ref="T3:V3"/>
    <mergeCell ref="F1:S1"/>
    <mergeCell ref="Q2:S2"/>
    <mergeCell ref="F4:H4"/>
    <mergeCell ref="F3:G3"/>
    <mergeCell ref="H3:I3"/>
  </mergeCells>
  <printOptions horizontalCentered="1"/>
  <pageMargins left="0.7" right="0.7" top="0.75" bottom="0.75" header="0.3" footer="0.3"/>
  <pageSetup paperSize="9" scale="86" firstPageNumber="18" orientation="portrait" r:id="rId1"/>
  <legacyDrawingHF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65DA-449C-48F7-B679-2CDE8ED1F0F7}">
  <sheetPr codeName="Sheet37">
    <tabColor rgb="FF7030A0"/>
    <pageSetUpPr fitToPage="1"/>
  </sheetPr>
  <dimension ref="A1:AW55"/>
  <sheetViews>
    <sheetView zoomScale="115" zoomScaleNormal="115" workbookViewId="0">
      <selection activeCell="Y9" sqref="Y9"/>
    </sheetView>
  </sheetViews>
  <sheetFormatPr defaultColWidth="9.140625" defaultRowHeight="15"/>
  <cols>
    <col min="1" max="1" width="10.7109375" style="5" customWidth="1"/>
    <col min="2" max="18" width="4.28515625" style="5" customWidth="1"/>
    <col min="19" max="22" width="4.28515625" style="1" customWidth="1"/>
    <col min="23" max="16384" width="9.140625" style="5"/>
  </cols>
  <sheetData>
    <row r="1" spans="1:49" ht="14.45" customHeight="1">
      <c r="A1" s="132" t="e" vm="1">
        <v>#VALUE!</v>
      </c>
      <c r="B1" s="133"/>
      <c r="C1" s="133"/>
      <c r="D1" s="133"/>
      <c r="E1" s="134"/>
      <c r="F1" s="165" t="s">
        <v>213</v>
      </c>
      <c r="G1" s="166"/>
      <c r="H1" s="166"/>
      <c r="I1" s="166"/>
      <c r="J1" s="166"/>
      <c r="K1" s="166"/>
      <c r="L1" s="166"/>
      <c r="M1" s="166"/>
      <c r="N1" s="166"/>
      <c r="O1" s="166"/>
      <c r="P1" s="166"/>
      <c r="Q1" s="166"/>
      <c r="R1" s="166"/>
      <c r="S1" s="166"/>
      <c r="T1" s="153" t="s">
        <v>214</v>
      </c>
      <c r="U1" s="153"/>
      <c r="V1" s="154"/>
    </row>
    <row r="2" spans="1:49" ht="15.75" customHeight="1">
      <c r="A2" s="135"/>
      <c r="B2" s="136"/>
      <c r="C2" s="136"/>
      <c r="D2" s="136"/>
      <c r="E2" s="137"/>
      <c r="F2" s="127" t="s">
        <v>215</v>
      </c>
      <c r="G2" s="101"/>
      <c r="H2" s="101"/>
      <c r="I2" s="101"/>
      <c r="J2" s="101" t="s">
        <v>216</v>
      </c>
      <c r="K2" s="101"/>
      <c r="L2" s="101"/>
      <c r="M2" s="101"/>
      <c r="N2" s="101" t="s">
        <v>217</v>
      </c>
      <c r="O2" s="101"/>
      <c r="P2" s="101"/>
      <c r="Q2" s="101" t="s">
        <v>13</v>
      </c>
      <c r="R2" s="101"/>
      <c r="S2" s="101"/>
      <c r="T2" s="101" t="s">
        <v>10</v>
      </c>
      <c r="U2" s="101"/>
      <c r="V2" s="102"/>
    </row>
    <row r="3" spans="1:49">
      <c r="A3" s="135"/>
      <c r="B3" s="136"/>
      <c r="C3" s="136"/>
      <c r="D3" s="136"/>
      <c r="E3" s="137"/>
      <c r="F3" s="127" t="e">
        <f ca="1">MID(CELL("filename",A4),FIND("]",CELL("filename",A4))+1,255)</f>
        <v>#VALUE!</v>
      </c>
      <c r="G3" s="101"/>
      <c r="H3" s="101" t="e">
        <f ca="1">VLOOKUP(F3,INDEX!B:J,2,0)</f>
        <v>#VALUE!</v>
      </c>
      <c r="I3" s="101"/>
      <c r="J3" s="101" t="e">
        <f ca="1">VLOOKUP(F3,INDEX!B:J,4,0)</f>
        <v>#VALUE!</v>
      </c>
      <c r="K3" s="101"/>
      <c r="L3" s="101"/>
      <c r="M3" s="101"/>
      <c r="N3" s="101" t="e">
        <f ca="1">VLOOKUP(F3,INDEX!B:J,5,0)</f>
        <v>#VALUE!</v>
      </c>
      <c r="O3" s="101"/>
      <c r="P3" s="101"/>
      <c r="Q3" s="105" t="e">
        <f ca="1">VLOOKUP(F3,INDEX!B:AF,17,0)</f>
        <v>#VALUE!</v>
      </c>
      <c r="R3" s="105"/>
      <c r="S3" s="105"/>
      <c r="T3" s="101" t="e">
        <f ca="1">VLOOKUP(F3,INDEX!B:J,9,0)</f>
        <v>#VALUE!</v>
      </c>
      <c r="U3" s="101"/>
      <c r="V3" s="102"/>
    </row>
    <row r="4" spans="1:49" ht="15" customHeight="1">
      <c r="A4" s="135"/>
      <c r="B4" s="136"/>
      <c r="C4" s="136"/>
      <c r="D4" s="136"/>
      <c r="E4" s="137"/>
      <c r="F4" s="130" t="s">
        <v>218</v>
      </c>
      <c r="G4" s="131"/>
      <c r="H4" s="131"/>
      <c r="I4" s="101" t="e">
        <f ca="1">VLOOKUP(F3,INDEX!B:AF,18,0)</f>
        <v>#VALUE!</v>
      </c>
      <c r="J4" s="101"/>
      <c r="K4" s="101"/>
      <c r="L4" s="101"/>
      <c r="M4" s="101"/>
      <c r="N4" s="101"/>
      <c r="O4" s="101"/>
      <c r="P4" s="101"/>
      <c r="Q4" s="101"/>
      <c r="R4" s="101"/>
      <c r="S4" s="101"/>
      <c r="T4" s="101"/>
      <c r="U4" s="101"/>
      <c r="V4" s="102"/>
    </row>
    <row r="5" spans="1:49" ht="13.9" customHeight="1">
      <c r="A5" s="135"/>
      <c r="B5" s="136"/>
      <c r="C5" s="136"/>
      <c r="D5" s="136"/>
      <c r="E5" s="137"/>
      <c r="F5" s="180" t="s">
        <v>219</v>
      </c>
      <c r="G5" s="118"/>
      <c r="H5" s="118"/>
      <c r="I5" s="101" t="e">
        <f ca="1">VLOOKUP(F3,INDEX!B:J,6,0)</f>
        <v>#VALUE!</v>
      </c>
      <c r="J5" s="101"/>
      <c r="K5" s="101"/>
      <c r="L5" s="101"/>
      <c r="M5" s="101"/>
      <c r="N5" s="101"/>
      <c r="O5" s="101"/>
      <c r="P5" s="101"/>
      <c r="Q5" s="101"/>
      <c r="R5" s="101"/>
      <c r="S5" s="101"/>
      <c r="T5" s="101"/>
      <c r="U5" s="101"/>
      <c r="V5" s="102"/>
    </row>
    <row r="6" spans="1:49" ht="14.45" customHeight="1" thickBot="1">
      <c r="A6" s="138"/>
      <c r="B6" s="139"/>
      <c r="C6" s="139"/>
      <c r="D6" s="139"/>
      <c r="E6" s="140"/>
      <c r="F6" s="130" t="s">
        <v>220</v>
      </c>
      <c r="G6" s="131"/>
      <c r="H6" s="131"/>
      <c r="I6" s="109" t="e">
        <f ca="1">VLOOKUP(F3,INDEX!B:AF,16,0)</f>
        <v>#VALUE!</v>
      </c>
      <c r="J6" s="109"/>
      <c r="K6" s="109"/>
      <c r="L6" s="109"/>
      <c r="M6" s="109"/>
      <c r="N6" s="109"/>
      <c r="O6" s="109"/>
      <c r="P6" s="109"/>
      <c r="Q6" s="109"/>
      <c r="R6" s="109"/>
      <c r="S6" s="109"/>
      <c r="T6" s="109"/>
      <c r="U6" s="109"/>
      <c r="V6" s="110"/>
    </row>
    <row r="7" spans="1:49" ht="14.45" customHeight="1">
      <c r="A7" s="120" t="s">
        <v>221</v>
      </c>
      <c r="B7" s="121"/>
      <c r="C7" s="121"/>
      <c r="D7" s="121"/>
      <c r="E7" s="121"/>
      <c r="F7" s="122"/>
      <c r="G7" s="122"/>
      <c r="H7" s="122"/>
      <c r="I7" s="122"/>
      <c r="J7" s="122"/>
      <c r="K7" s="122"/>
      <c r="L7" s="122"/>
      <c r="M7" s="122"/>
      <c r="N7" s="122"/>
      <c r="O7" s="122"/>
      <c r="P7" s="122"/>
      <c r="Q7" s="122"/>
      <c r="R7" s="122"/>
      <c r="S7" s="122"/>
      <c r="T7" s="122"/>
      <c r="U7" s="122"/>
      <c r="V7" s="123"/>
    </row>
    <row r="8" spans="1:49" s="3" customFormat="1">
      <c r="A8" s="67" t="s">
        <v>222</v>
      </c>
      <c r="B8" s="101" t="e">
        <f ca="1">VLOOKUP(F3,INDEX!B:AF,20,0)</f>
        <v>#VALUE!</v>
      </c>
      <c r="C8" s="101"/>
      <c r="D8" s="101" t="e">
        <f ca="1">VLOOKUP(F3,INDEX!B:AF,21,0)</f>
        <v>#VALUE!</v>
      </c>
      <c r="E8" s="101"/>
      <c r="F8" s="101" t="e">
        <f ca="1">VLOOKUP(F3,INDEX!B:AF,22,0)</f>
        <v>#VALUE!</v>
      </c>
      <c r="G8" s="101"/>
      <c r="H8" s="101" t="e">
        <f ca="1">VLOOKUP(F3,INDEX!B:AF,23,0)</f>
        <v>#VALUE!</v>
      </c>
      <c r="I8" s="101"/>
      <c r="J8" s="101" t="e">
        <f ca="1">VLOOKUP(F3,INDEX!B:AF,24,0)</f>
        <v>#VALUE!</v>
      </c>
      <c r="K8" s="101"/>
      <c r="L8" s="101"/>
      <c r="M8" s="101"/>
      <c r="N8" s="101"/>
      <c r="O8" s="101"/>
      <c r="P8" s="101"/>
      <c r="Q8" s="101"/>
      <c r="R8" s="101" t="s">
        <v>223</v>
      </c>
      <c r="S8" s="101"/>
      <c r="T8" s="101"/>
      <c r="U8" s="101"/>
      <c r="V8" s="102"/>
    </row>
    <row r="9" spans="1:49" s="3" customFormat="1">
      <c r="A9" s="67" t="s">
        <v>224</v>
      </c>
      <c r="B9" s="101" t="e">
        <f ca="1">VLOOKUP(F3,INDEX!B:Z,19,0)&amp;" to 38"</f>
        <v>#VALUE!</v>
      </c>
      <c r="C9" s="101"/>
      <c r="D9" s="101">
        <v>50</v>
      </c>
      <c r="E9" s="101"/>
      <c r="F9" s="101">
        <v>100</v>
      </c>
      <c r="G9" s="101"/>
      <c r="H9" s="101">
        <v>150</v>
      </c>
      <c r="I9" s="101"/>
      <c r="J9" s="101">
        <v>200</v>
      </c>
      <c r="K9" s="101"/>
      <c r="L9" s="101"/>
      <c r="M9" s="101"/>
      <c r="N9" s="101"/>
      <c r="O9" s="101"/>
      <c r="P9" s="101"/>
      <c r="Q9" s="101"/>
      <c r="R9" s="101" t="e">
        <f ca="1">B8*1.5</f>
        <v>#VALUE!</v>
      </c>
      <c r="S9" s="101"/>
      <c r="T9" s="101"/>
      <c r="U9" s="101"/>
      <c r="V9" s="102"/>
    </row>
    <row r="10" spans="1:49" s="3" customFormat="1">
      <c r="A10" s="124" t="s">
        <v>225</v>
      </c>
      <c r="B10" s="125"/>
      <c r="C10" s="125"/>
      <c r="D10" s="125"/>
      <c r="E10" s="125"/>
      <c r="F10" s="125"/>
      <c r="G10" s="125"/>
      <c r="H10" s="125"/>
      <c r="I10" s="125"/>
      <c r="J10" s="125"/>
      <c r="K10" s="125"/>
      <c r="L10" s="125"/>
      <c r="M10" s="125"/>
      <c r="N10" s="125"/>
      <c r="O10" s="125"/>
      <c r="P10" s="125"/>
      <c r="Q10" s="125"/>
      <c r="R10" s="125"/>
      <c r="S10" s="125"/>
      <c r="T10" s="125"/>
      <c r="U10" s="125"/>
      <c r="V10" s="126"/>
    </row>
    <row r="11" spans="1:49">
      <c r="A11" s="69" t="s">
        <v>226</v>
      </c>
      <c r="B11" s="109" t="s">
        <v>375</v>
      </c>
      <c r="C11" s="109"/>
      <c r="D11" s="109"/>
      <c r="E11" s="109"/>
      <c r="F11" s="109"/>
      <c r="G11" s="109"/>
      <c r="H11" s="109"/>
      <c r="I11" s="109"/>
      <c r="J11" s="109"/>
      <c r="K11" s="109"/>
      <c r="L11" s="109"/>
      <c r="M11" s="109"/>
      <c r="N11" s="109"/>
      <c r="O11" s="109"/>
      <c r="P11" s="109"/>
      <c r="Q11" s="109"/>
      <c r="R11" s="109"/>
      <c r="S11" s="222"/>
      <c r="T11" s="222"/>
      <c r="U11" s="222"/>
      <c r="V11" s="223"/>
    </row>
    <row r="12" spans="1:49"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17">
        <v>24</v>
      </c>
      <c r="S12" s="17">
        <v>26</v>
      </c>
      <c r="T12" s="17">
        <v>28</v>
      </c>
      <c r="U12" s="17">
        <v>30</v>
      </c>
      <c r="V12" s="66">
        <v>32</v>
      </c>
      <c r="AH12" s="5"/>
      <c r="AI12" s="5"/>
      <c r="AJ12" s="5"/>
      <c r="AK12" s="5"/>
      <c r="AL12" s="5"/>
      <c r="AM12" s="5"/>
      <c r="AN12" s="5"/>
      <c r="AO12" s="5"/>
      <c r="AP12" s="5"/>
      <c r="AQ12" s="5"/>
      <c r="AR12" s="5"/>
      <c r="AS12" s="5"/>
      <c r="AT12" s="5"/>
      <c r="AU12" s="5"/>
      <c r="AV12" s="5"/>
      <c r="AW12" s="5"/>
    </row>
    <row r="13" spans="1:49"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17">
        <v>610</v>
      </c>
      <c r="S13" s="17">
        <v>660</v>
      </c>
      <c r="T13" s="17">
        <v>711</v>
      </c>
      <c r="U13" s="17">
        <v>762</v>
      </c>
      <c r="V13" s="66">
        <v>812.8</v>
      </c>
      <c r="AH13" s="5"/>
      <c r="AI13" s="5"/>
      <c r="AJ13" s="5"/>
      <c r="AK13" s="5"/>
      <c r="AL13" s="5"/>
      <c r="AM13" s="5"/>
      <c r="AN13" s="5"/>
      <c r="AO13" s="5"/>
      <c r="AP13" s="5"/>
      <c r="AQ13" s="5"/>
      <c r="AR13" s="5"/>
      <c r="AS13" s="5"/>
      <c r="AT13" s="5"/>
      <c r="AU13" s="5"/>
      <c r="AV13" s="5"/>
      <c r="AW13" s="5"/>
    </row>
    <row r="14" spans="1:49" s="3" customFormat="1">
      <c r="A14" s="70" t="s">
        <v>230</v>
      </c>
      <c r="B14" s="17" t="s">
        <v>368</v>
      </c>
      <c r="C14" s="17" t="s">
        <v>368</v>
      </c>
      <c r="D14" s="17" t="s">
        <v>368</v>
      </c>
      <c r="E14" s="17" t="s">
        <v>368</v>
      </c>
      <c r="F14" s="17" t="s">
        <v>368</v>
      </c>
      <c r="G14" s="17" t="s">
        <v>385</v>
      </c>
      <c r="H14" s="17" t="s">
        <v>385</v>
      </c>
      <c r="I14" s="17" t="s">
        <v>385</v>
      </c>
      <c r="J14" s="17" t="s">
        <v>385</v>
      </c>
      <c r="K14" s="17" t="s">
        <v>385</v>
      </c>
      <c r="L14" s="17" t="s">
        <v>385</v>
      </c>
      <c r="M14" s="17" t="s">
        <v>385</v>
      </c>
      <c r="N14" s="17" t="s">
        <v>385</v>
      </c>
      <c r="O14" s="17">
        <v>10</v>
      </c>
      <c r="P14" s="17">
        <v>10</v>
      </c>
      <c r="Q14" s="17">
        <v>10</v>
      </c>
      <c r="R14" s="17" t="s">
        <v>369</v>
      </c>
      <c r="S14" s="17" t="s">
        <v>231</v>
      </c>
      <c r="T14" s="17" t="s">
        <v>231</v>
      </c>
      <c r="U14" s="17" t="s">
        <v>231</v>
      </c>
      <c r="V14" s="66" t="s">
        <v>231</v>
      </c>
    </row>
    <row r="15" spans="1:49" s="3" customFormat="1">
      <c r="A15" s="70" t="s">
        <v>233</v>
      </c>
      <c r="B15" s="17">
        <v>3.73</v>
      </c>
      <c r="C15" s="17">
        <v>3.91</v>
      </c>
      <c r="D15" s="17">
        <v>4.55</v>
      </c>
      <c r="E15" s="17">
        <v>4.55</v>
      </c>
      <c r="F15" s="17">
        <v>5.54</v>
      </c>
      <c r="G15" s="17">
        <v>3.05</v>
      </c>
      <c r="H15" s="17">
        <v>3.05</v>
      </c>
      <c r="I15" s="17">
        <v>3.4</v>
      </c>
      <c r="J15" s="17">
        <v>3.76</v>
      </c>
      <c r="K15" s="17">
        <v>4.1900000000000004</v>
      </c>
      <c r="L15" s="17">
        <v>4.57</v>
      </c>
      <c r="M15" s="17">
        <v>4.78</v>
      </c>
      <c r="N15" s="17">
        <v>4.78</v>
      </c>
      <c r="O15" s="17">
        <v>6.35</v>
      </c>
      <c r="P15" s="17">
        <v>6.35</v>
      </c>
      <c r="Q15" s="17">
        <v>6.35</v>
      </c>
      <c r="R15" s="17">
        <v>9.5299999999999994</v>
      </c>
      <c r="S15" s="17">
        <v>9.5299999999999994</v>
      </c>
      <c r="T15" s="17">
        <v>9.5299999999999994</v>
      </c>
      <c r="U15" s="17">
        <v>9.5299999999999994</v>
      </c>
      <c r="V15" s="66">
        <v>9.5299999999999994</v>
      </c>
      <c r="Z15" s="5"/>
    </row>
    <row r="16" spans="1:49" ht="14.45" customHeight="1">
      <c r="A16" s="69" t="s">
        <v>234</v>
      </c>
      <c r="B16" s="109" t="s">
        <v>235</v>
      </c>
      <c r="C16" s="109"/>
      <c r="D16" s="109"/>
      <c r="E16" s="109"/>
      <c r="F16" s="109"/>
      <c r="G16" s="109"/>
      <c r="H16" s="109"/>
      <c r="I16" s="109"/>
      <c r="J16" s="109"/>
      <c r="K16" s="144" t="s">
        <v>386</v>
      </c>
      <c r="L16" s="145"/>
      <c r="M16" s="145"/>
      <c r="N16" s="145"/>
      <c r="O16" s="145"/>
      <c r="P16" s="145"/>
      <c r="Q16" s="145"/>
      <c r="R16" s="145"/>
      <c r="S16" s="145"/>
      <c r="T16" s="145"/>
      <c r="U16" s="145"/>
      <c r="V16" s="147"/>
    </row>
    <row r="17" spans="1:22" ht="16.899999999999999" customHeight="1">
      <c r="A17" s="69" t="s">
        <v>237</v>
      </c>
      <c r="B17" s="109" t="s">
        <v>402</v>
      </c>
      <c r="C17" s="109"/>
      <c r="D17" s="109"/>
      <c r="E17" s="109"/>
      <c r="F17" s="109"/>
      <c r="G17" s="109"/>
      <c r="H17" s="109"/>
      <c r="I17" s="109"/>
      <c r="J17" s="109"/>
      <c r="K17" s="144" t="s">
        <v>402</v>
      </c>
      <c r="L17" s="145"/>
      <c r="M17" s="145"/>
      <c r="N17" s="145"/>
      <c r="O17" s="145"/>
      <c r="P17" s="145"/>
      <c r="Q17" s="145"/>
      <c r="R17" s="145"/>
      <c r="S17" s="145"/>
      <c r="T17" s="145"/>
      <c r="U17" s="145"/>
      <c r="V17" s="147"/>
    </row>
    <row r="18" spans="1:22">
      <c r="A18" s="69" t="s">
        <v>240</v>
      </c>
      <c r="B18" s="144" t="s">
        <v>241</v>
      </c>
      <c r="C18" s="145"/>
      <c r="D18" s="145"/>
      <c r="E18" s="145"/>
      <c r="F18" s="145"/>
      <c r="G18" s="145"/>
      <c r="H18" s="145"/>
      <c r="I18" s="145"/>
      <c r="J18" s="145"/>
      <c r="K18" s="145"/>
      <c r="L18" s="145"/>
      <c r="M18" s="145"/>
      <c r="N18" s="145"/>
      <c r="O18" s="145"/>
      <c r="P18" s="145"/>
      <c r="Q18" s="145"/>
      <c r="R18" s="145"/>
      <c r="S18" s="145"/>
      <c r="T18" s="145"/>
      <c r="U18" s="145"/>
      <c r="V18" s="147"/>
    </row>
    <row r="19" spans="1:22" ht="14.45" customHeight="1">
      <c r="A19" s="148" t="s">
        <v>242</v>
      </c>
      <c r="B19" s="149"/>
      <c r="C19" s="149"/>
      <c r="D19" s="149"/>
      <c r="E19" s="149"/>
      <c r="F19" s="149"/>
      <c r="G19" s="149"/>
      <c r="H19" s="149"/>
      <c r="I19" s="149"/>
      <c r="J19" s="149"/>
      <c r="K19" s="149"/>
      <c r="L19" s="149"/>
      <c r="M19" s="149"/>
      <c r="N19" s="149"/>
      <c r="O19" s="149"/>
      <c r="P19" s="149"/>
      <c r="Q19" s="149"/>
      <c r="R19" s="149"/>
      <c r="S19" s="149"/>
      <c r="T19" s="149"/>
      <c r="U19" s="149"/>
      <c r="V19" s="150"/>
    </row>
    <row r="20" spans="1:22" ht="15" customHeight="1">
      <c r="A20" s="69" t="s">
        <v>234</v>
      </c>
      <c r="B20" s="144" t="s">
        <v>243</v>
      </c>
      <c r="C20" s="145"/>
      <c r="D20" s="145"/>
      <c r="E20" s="145"/>
      <c r="F20" s="145"/>
      <c r="G20" s="145"/>
      <c r="H20" s="145"/>
      <c r="I20" s="145"/>
      <c r="J20" s="146"/>
      <c r="K20" s="144" t="s">
        <v>244</v>
      </c>
      <c r="L20" s="145"/>
      <c r="M20" s="145"/>
      <c r="N20" s="145"/>
      <c r="O20" s="145"/>
      <c r="P20" s="145"/>
      <c r="Q20" s="145"/>
      <c r="R20" s="145"/>
      <c r="S20" s="145"/>
      <c r="T20" s="145"/>
      <c r="U20" s="145"/>
      <c r="V20" s="147"/>
    </row>
    <row r="21" spans="1:22" ht="15" customHeight="1">
      <c r="A21" s="69" t="s">
        <v>237</v>
      </c>
      <c r="B21" s="144" t="s">
        <v>403</v>
      </c>
      <c r="C21" s="145"/>
      <c r="D21" s="145"/>
      <c r="E21" s="145"/>
      <c r="F21" s="145"/>
      <c r="G21" s="145"/>
      <c r="H21" s="145"/>
      <c r="I21" s="145"/>
      <c r="J21" s="146"/>
      <c r="K21" s="144" t="s">
        <v>404</v>
      </c>
      <c r="L21" s="145"/>
      <c r="M21" s="145"/>
      <c r="N21" s="145"/>
      <c r="O21" s="145"/>
      <c r="P21" s="145"/>
      <c r="Q21" s="145"/>
      <c r="R21" s="145"/>
      <c r="S21" s="145"/>
      <c r="T21" s="145"/>
      <c r="U21" s="145"/>
      <c r="V21" s="147"/>
    </row>
    <row r="22" spans="1:22" ht="15" customHeight="1">
      <c r="A22" s="69" t="s">
        <v>246</v>
      </c>
      <c r="B22" s="144" t="s">
        <v>247</v>
      </c>
      <c r="C22" s="145"/>
      <c r="D22" s="145"/>
      <c r="E22" s="145"/>
      <c r="F22" s="145"/>
      <c r="G22" s="145"/>
      <c r="H22" s="145"/>
      <c r="I22" s="145"/>
      <c r="J22" s="145"/>
      <c r="K22" s="145"/>
      <c r="L22" s="145"/>
      <c r="M22" s="145"/>
      <c r="N22" s="145"/>
      <c r="O22" s="145"/>
      <c r="P22" s="145"/>
      <c r="Q22" s="145"/>
      <c r="R22" s="145"/>
      <c r="S22" s="145"/>
      <c r="T22" s="145"/>
      <c r="U22" s="145"/>
      <c r="V22" s="147"/>
    </row>
    <row r="23" spans="1:22" ht="15" customHeight="1">
      <c r="A23" s="69" t="s">
        <v>248</v>
      </c>
      <c r="B23" s="144" t="s">
        <v>247</v>
      </c>
      <c r="C23" s="145"/>
      <c r="D23" s="145"/>
      <c r="E23" s="145"/>
      <c r="F23" s="145"/>
      <c r="G23" s="145"/>
      <c r="H23" s="145"/>
      <c r="I23" s="145"/>
      <c r="J23" s="145"/>
      <c r="K23" s="145" t="s">
        <v>247</v>
      </c>
      <c r="L23" s="145"/>
      <c r="M23" s="145"/>
      <c r="N23" s="145"/>
      <c r="O23" s="145"/>
      <c r="P23" s="145"/>
      <c r="Q23" s="145"/>
      <c r="R23" s="145"/>
      <c r="S23" s="145"/>
      <c r="T23" s="145"/>
      <c r="U23" s="145"/>
      <c r="V23" s="147"/>
    </row>
    <row r="24" spans="1:22" ht="15" customHeight="1">
      <c r="A24" s="69" t="s">
        <v>249</v>
      </c>
      <c r="B24" s="144" t="s">
        <v>247</v>
      </c>
      <c r="C24" s="145"/>
      <c r="D24" s="145"/>
      <c r="E24" s="145"/>
      <c r="F24" s="145"/>
      <c r="G24" s="145"/>
      <c r="H24" s="145"/>
      <c r="I24" s="145"/>
      <c r="J24" s="145"/>
      <c r="K24" s="145" t="s">
        <v>247</v>
      </c>
      <c r="L24" s="145"/>
      <c r="M24" s="145"/>
      <c r="N24" s="145"/>
      <c r="O24" s="145"/>
      <c r="P24" s="145"/>
      <c r="Q24" s="145"/>
      <c r="R24" s="145"/>
      <c r="S24" s="145"/>
      <c r="T24" s="145"/>
      <c r="U24" s="145"/>
      <c r="V24" s="147"/>
    </row>
    <row r="25" spans="1:22" ht="15" customHeight="1">
      <c r="A25" s="69" t="s">
        <v>250</v>
      </c>
      <c r="B25" s="144" t="s">
        <v>247</v>
      </c>
      <c r="C25" s="145"/>
      <c r="D25" s="145"/>
      <c r="E25" s="145"/>
      <c r="F25" s="145"/>
      <c r="G25" s="145"/>
      <c r="H25" s="145"/>
      <c r="I25" s="145"/>
      <c r="J25" s="145"/>
      <c r="K25" s="145" t="s">
        <v>247</v>
      </c>
      <c r="L25" s="145"/>
      <c r="M25" s="145"/>
      <c r="N25" s="145"/>
      <c r="O25" s="145"/>
      <c r="P25" s="145"/>
      <c r="Q25" s="145"/>
      <c r="R25" s="145"/>
      <c r="S25" s="145"/>
      <c r="T25" s="145"/>
      <c r="U25" s="145"/>
      <c r="V25" s="147"/>
    </row>
    <row r="26" spans="1:22" ht="15" customHeight="1">
      <c r="A26" s="69" t="s">
        <v>251</v>
      </c>
      <c r="B26" s="151" t="s">
        <v>290</v>
      </c>
      <c r="C26" s="145"/>
      <c r="D26" s="145"/>
      <c r="E26" s="146"/>
      <c r="F26" s="144"/>
      <c r="G26" s="145"/>
      <c r="H26" s="145"/>
      <c r="I26" s="145"/>
      <c r="J26" s="145"/>
      <c r="K26" s="145"/>
      <c r="L26" s="145"/>
      <c r="M26" s="145"/>
      <c r="N26" s="145"/>
      <c r="O26" s="145"/>
      <c r="P26" s="145"/>
      <c r="Q26" s="145"/>
      <c r="R26" s="145"/>
      <c r="S26" s="145"/>
      <c r="T26" s="145"/>
      <c r="U26" s="145"/>
      <c r="V26" s="147"/>
    </row>
    <row r="27" spans="1:22" ht="15" customHeight="1">
      <c r="A27" s="69" t="s">
        <v>253</v>
      </c>
      <c r="B27" s="144" t="s">
        <v>405</v>
      </c>
      <c r="C27" s="145"/>
      <c r="D27" s="145"/>
      <c r="E27" s="145"/>
      <c r="F27" s="145"/>
      <c r="G27" s="145"/>
      <c r="H27" s="145"/>
      <c r="I27" s="145"/>
      <c r="J27" s="145"/>
      <c r="K27" s="145"/>
      <c r="L27" s="145"/>
      <c r="M27" s="145"/>
      <c r="N27" s="145"/>
      <c r="O27" s="145"/>
      <c r="P27" s="145"/>
      <c r="Q27" s="145"/>
      <c r="R27" s="145"/>
      <c r="S27" s="145"/>
      <c r="T27" s="145"/>
      <c r="U27" s="145"/>
      <c r="V27" s="147"/>
    </row>
    <row r="28" spans="1:22">
      <c r="A28" s="117" t="s">
        <v>255</v>
      </c>
      <c r="B28" s="118"/>
      <c r="C28" s="118"/>
      <c r="D28" s="118"/>
      <c r="E28" s="118"/>
      <c r="F28" s="118"/>
      <c r="G28" s="118"/>
      <c r="H28" s="118"/>
      <c r="I28" s="118"/>
      <c r="J28" s="118"/>
      <c r="K28" s="118"/>
      <c r="L28" s="118"/>
      <c r="M28" s="118"/>
      <c r="N28" s="118"/>
      <c r="O28" s="118"/>
      <c r="P28" s="118"/>
      <c r="Q28" s="118"/>
      <c r="R28" s="118"/>
      <c r="S28" s="118"/>
      <c r="T28" s="118"/>
      <c r="U28" s="118"/>
      <c r="V28" s="119"/>
    </row>
    <row r="29" spans="1:22" ht="13.9" customHeight="1">
      <c r="A29" s="69" t="s">
        <v>237</v>
      </c>
      <c r="B29" s="109" t="s">
        <v>406</v>
      </c>
      <c r="C29" s="109"/>
      <c r="D29" s="109"/>
      <c r="E29" s="109"/>
      <c r="F29" s="109"/>
      <c r="G29" s="109"/>
      <c r="H29" s="109"/>
      <c r="I29" s="109"/>
      <c r="J29" s="109"/>
      <c r="K29" s="109"/>
      <c r="L29" s="109"/>
      <c r="M29" s="109"/>
      <c r="N29" s="109"/>
      <c r="O29" s="109"/>
      <c r="P29" s="109"/>
      <c r="Q29" s="109"/>
      <c r="R29" s="109"/>
      <c r="S29" s="109"/>
      <c r="T29" s="109"/>
      <c r="U29" s="109"/>
      <c r="V29" s="110"/>
    </row>
    <row r="30" spans="1:22" ht="13.9" customHeight="1">
      <c r="A30" s="69" t="s">
        <v>257</v>
      </c>
      <c r="B30" s="109" t="s">
        <v>291</v>
      </c>
      <c r="C30" s="109"/>
      <c r="D30" s="109"/>
      <c r="E30" s="109"/>
      <c r="F30" s="109"/>
      <c r="G30" s="109"/>
      <c r="H30" s="109"/>
      <c r="I30" s="109"/>
      <c r="J30" s="109"/>
      <c r="K30" s="109"/>
      <c r="L30" s="109"/>
      <c r="M30" s="109"/>
      <c r="N30" s="109"/>
      <c r="O30" s="109"/>
      <c r="P30" s="109"/>
      <c r="Q30" s="109"/>
      <c r="R30" s="109"/>
      <c r="S30" s="109"/>
      <c r="T30" s="109"/>
      <c r="U30" s="109"/>
      <c r="V30" s="110"/>
    </row>
    <row r="31" spans="1:22" ht="14.45" customHeight="1">
      <c r="A31" s="69" t="s">
        <v>234</v>
      </c>
      <c r="B31" s="109" t="s">
        <v>259</v>
      </c>
      <c r="C31" s="109"/>
      <c r="D31" s="109"/>
      <c r="E31" s="109"/>
      <c r="F31" s="109"/>
      <c r="G31" s="109"/>
      <c r="H31" s="109"/>
      <c r="I31" s="109"/>
      <c r="J31" s="109"/>
      <c r="K31" s="109"/>
      <c r="L31" s="109"/>
      <c r="M31" s="109"/>
      <c r="N31" s="109"/>
      <c r="O31" s="109"/>
      <c r="P31" s="109"/>
      <c r="Q31" s="109"/>
      <c r="R31" s="109"/>
      <c r="S31" s="109"/>
      <c r="T31" s="109"/>
      <c r="U31" s="109"/>
      <c r="V31" s="110"/>
    </row>
    <row r="32" spans="1:22" ht="13.9" customHeight="1">
      <c r="A32" s="148" t="s">
        <v>260</v>
      </c>
      <c r="B32" s="149"/>
      <c r="C32" s="149"/>
      <c r="D32" s="149"/>
      <c r="E32" s="149"/>
      <c r="F32" s="149"/>
      <c r="G32" s="149"/>
      <c r="H32" s="149"/>
      <c r="I32" s="149"/>
      <c r="J32" s="149"/>
      <c r="K32" s="149"/>
      <c r="L32" s="149"/>
      <c r="M32" s="149"/>
      <c r="N32" s="149"/>
      <c r="O32" s="149"/>
      <c r="P32" s="149"/>
      <c r="Q32" s="149"/>
      <c r="R32" s="149"/>
      <c r="S32" s="149"/>
      <c r="T32" s="149"/>
      <c r="U32" s="149"/>
      <c r="V32" s="150"/>
    </row>
    <row r="33" spans="1:22" ht="13.9" customHeight="1">
      <c r="A33" s="84" t="s">
        <v>237</v>
      </c>
      <c r="B33" s="233" t="s">
        <v>406</v>
      </c>
      <c r="C33" s="142"/>
      <c r="D33" s="142"/>
      <c r="E33" s="142"/>
      <c r="F33" s="142"/>
      <c r="G33" s="142"/>
      <c r="H33" s="142"/>
      <c r="I33" s="142"/>
      <c r="J33" s="142"/>
      <c r="K33" s="142"/>
      <c r="L33" s="142"/>
      <c r="M33" s="142"/>
      <c r="N33" s="142"/>
      <c r="O33" s="142"/>
      <c r="P33" s="142"/>
      <c r="Q33" s="142"/>
      <c r="R33" s="142"/>
      <c r="S33" s="142"/>
      <c r="T33" s="142"/>
      <c r="U33" s="142"/>
      <c r="V33" s="143"/>
    </row>
    <row r="34" spans="1:22" ht="13.9" customHeight="1">
      <c r="A34" s="69" t="s">
        <v>261</v>
      </c>
      <c r="B34" s="144" t="s">
        <v>262</v>
      </c>
      <c r="C34" s="145"/>
      <c r="D34" s="145"/>
      <c r="E34" s="145"/>
      <c r="F34" s="145"/>
      <c r="G34" s="145"/>
      <c r="H34" s="145"/>
      <c r="I34" s="145"/>
      <c r="J34" s="145"/>
      <c r="K34" s="145"/>
      <c r="L34" s="145"/>
      <c r="M34" s="146"/>
      <c r="N34" s="101" t="s">
        <v>263</v>
      </c>
      <c r="O34" s="101"/>
      <c r="P34" s="101"/>
      <c r="Q34" s="101"/>
      <c r="R34" s="101"/>
      <c r="S34" s="101"/>
      <c r="T34" s="101"/>
      <c r="U34" s="101"/>
      <c r="V34" s="102"/>
    </row>
    <row r="35" spans="1:22" ht="13.9" customHeight="1">
      <c r="A35" s="117" t="s">
        <v>264</v>
      </c>
      <c r="B35" s="118"/>
      <c r="C35" s="118"/>
      <c r="D35" s="118"/>
      <c r="E35" s="118"/>
      <c r="F35" s="118"/>
      <c r="G35" s="118"/>
      <c r="H35" s="118"/>
      <c r="I35" s="118"/>
      <c r="J35" s="118"/>
      <c r="K35" s="118"/>
      <c r="L35" s="118"/>
      <c r="M35" s="118"/>
      <c r="N35" s="118"/>
      <c r="O35" s="118"/>
      <c r="P35" s="118"/>
      <c r="Q35" s="118"/>
      <c r="R35" s="118"/>
      <c r="S35" s="118"/>
      <c r="T35" s="118"/>
      <c r="U35" s="118"/>
      <c r="V35" s="119"/>
    </row>
    <row r="36" spans="1:22" ht="13.9" customHeight="1">
      <c r="A36" s="69" t="s">
        <v>265</v>
      </c>
      <c r="B36" s="144" t="s">
        <v>394</v>
      </c>
      <c r="C36" s="145"/>
      <c r="D36" s="145"/>
      <c r="E36" s="145"/>
      <c r="F36" s="145"/>
      <c r="G36" s="145"/>
      <c r="H36" s="145"/>
      <c r="I36" s="145"/>
      <c r="J36" s="145"/>
      <c r="K36" s="145"/>
      <c r="L36" s="145"/>
      <c r="M36" s="145"/>
      <c r="N36" s="145"/>
      <c r="O36" s="145"/>
      <c r="P36" s="145"/>
      <c r="Q36" s="145"/>
      <c r="R36" s="145"/>
      <c r="S36" s="145"/>
      <c r="T36" s="145"/>
      <c r="U36" s="145"/>
      <c r="V36" s="147"/>
    </row>
    <row r="37" spans="1:22" ht="13.9" customHeight="1">
      <c r="A37" s="69" t="s">
        <v>267</v>
      </c>
      <c r="B37" s="144" t="s">
        <v>394</v>
      </c>
      <c r="C37" s="145"/>
      <c r="D37" s="145"/>
      <c r="E37" s="145"/>
      <c r="F37" s="145"/>
      <c r="G37" s="145"/>
      <c r="H37" s="145"/>
      <c r="I37" s="145"/>
      <c r="J37" s="145"/>
      <c r="K37" s="145"/>
      <c r="L37" s="145"/>
      <c r="M37" s="145"/>
      <c r="N37" s="145"/>
      <c r="O37" s="145"/>
      <c r="P37" s="145"/>
      <c r="Q37" s="145"/>
      <c r="R37" s="145"/>
      <c r="S37" s="145"/>
      <c r="T37" s="145"/>
      <c r="U37" s="145"/>
      <c r="V37" s="147"/>
    </row>
    <row r="38" spans="1:22" ht="13.9" customHeight="1">
      <c r="A38" s="69" t="s">
        <v>269</v>
      </c>
      <c r="B38" s="144" t="s">
        <v>407</v>
      </c>
      <c r="C38" s="145"/>
      <c r="D38" s="145"/>
      <c r="E38" s="145"/>
      <c r="F38" s="145"/>
      <c r="G38" s="145"/>
      <c r="H38" s="145"/>
      <c r="I38" s="145"/>
      <c r="J38" s="145"/>
      <c r="K38" s="145"/>
      <c r="L38" s="145"/>
      <c r="M38" s="145"/>
      <c r="N38" s="145"/>
      <c r="O38" s="145"/>
      <c r="P38" s="145"/>
      <c r="Q38" s="145"/>
      <c r="R38" s="145"/>
      <c r="S38" s="145"/>
      <c r="T38" s="145"/>
      <c r="U38" s="145"/>
      <c r="V38" s="147"/>
    </row>
    <row r="39" spans="1:22" ht="13.9" customHeight="1">
      <c r="A39" s="117" t="s">
        <v>271</v>
      </c>
      <c r="B39" s="118"/>
      <c r="C39" s="118"/>
      <c r="D39" s="118"/>
      <c r="E39" s="118"/>
      <c r="F39" s="118"/>
      <c r="G39" s="118"/>
      <c r="H39" s="118"/>
      <c r="I39" s="118"/>
      <c r="J39" s="118"/>
      <c r="K39" s="118"/>
      <c r="L39" s="118"/>
      <c r="M39" s="118"/>
      <c r="N39" s="118"/>
      <c r="O39" s="118"/>
      <c r="P39" s="118"/>
      <c r="Q39" s="118"/>
      <c r="R39" s="118"/>
      <c r="S39" s="118"/>
      <c r="T39" s="118"/>
      <c r="U39" s="118"/>
      <c r="V39" s="119"/>
    </row>
    <row r="40" spans="1:22"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09"/>
      <c r="S40" s="109"/>
      <c r="T40" s="109"/>
      <c r="U40" s="109"/>
      <c r="V40" s="110"/>
    </row>
    <row r="41" spans="1:22"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09"/>
      <c r="S41" s="109"/>
      <c r="T41" s="109"/>
      <c r="U41" s="109"/>
      <c r="V41" s="110"/>
    </row>
    <row r="42" spans="1:22"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09"/>
      <c r="S42" s="109"/>
      <c r="T42" s="109"/>
      <c r="U42" s="109"/>
      <c r="V42" s="110"/>
    </row>
    <row r="43" spans="1:22"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09"/>
      <c r="S43" s="109"/>
      <c r="T43" s="109"/>
      <c r="U43" s="109"/>
      <c r="V43" s="110"/>
    </row>
    <row r="44" spans="1:22"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5"/>
      <c r="S44" s="145"/>
      <c r="T44" s="145"/>
      <c r="U44" s="145"/>
      <c r="V44" s="147"/>
    </row>
    <row r="45" spans="1:22" ht="13.9" customHeight="1">
      <c r="A45" s="69"/>
      <c r="B45" s="144"/>
      <c r="C45" s="145"/>
      <c r="D45" s="145"/>
      <c r="E45" s="145"/>
      <c r="F45" s="145"/>
      <c r="G45" s="145"/>
      <c r="H45" s="145"/>
      <c r="I45" s="145"/>
      <c r="J45" s="145"/>
      <c r="K45" s="145"/>
      <c r="L45" s="145"/>
      <c r="M45" s="145"/>
      <c r="N45" s="145"/>
      <c r="O45" s="145"/>
      <c r="P45" s="145"/>
      <c r="Q45" s="145"/>
      <c r="R45" s="145"/>
      <c r="S45" s="145"/>
      <c r="T45" s="145"/>
      <c r="U45" s="145"/>
      <c r="V45" s="147"/>
    </row>
    <row r="46" spans="1:22" ht="13.9" customHeight="1">
      <c r="A46" s="69"/>
      <c r="B46" s="144"/>
      <c r="C46" s="145"/>
      <c r="D46" s="145"/>
      <c r="E46" s="145"/>
      <c r="F46" s="145"/>
      <c r="G46" s="145"/>
      <c r="H46" s="145"/>
      <c r="I46" s="145"/>
      <c r="J46" s="145"/>
      <c r="K46" s="145"/>
      <c r="L46" s="145"/>
      <c r="M46" s="145"/>
      <c r="N46" s="145"/>
      <c r="O46" s="145"/>
      <c r="P46" s="145"/>
      <c r="Q46" s="145"/>
      <c r="R46" s="145"/>
      <c r="S46" s="145"/>
      <c r="T46" s="145"/>
      <c r="U46" s="145"/>
      <c r="V46" s="147"/>
    </row>
    <row r="47" spans="1:22">
      <c r="A47" s="117" t="s">
        <v>278</v>
      </c>
      <c r="B47" s="118"/>
      <c r="C47" s="118"/>
      <c r="D47" s="118"/>
      <c r="E47" s="118"/>
      <c r="F47" s="118"/>
      <c r="G47" s="118"/>
      <c r="H47" s="118"/>
      <c r="I47" s="118"/>
      <c r="J47" s="118"/>
      <c r="K47" s="118"/>
      <c r="L47" s="118"/>
      <c r="M47" s="118"/>
      <c r="N47" s="118"/>
      <c r="O47" s="118"/>
      <c r="P47" s="118"/>
      <c r="Q47" s="118"/>
      <c r="R47" s="118"/>
      <c r="S47" s="118"/>
      <c r="T47" s="118"/>
      <c r="U47" s="118"/>
      <c r="V47" s="119"/>
    </row>
    <row r="48" spans="1:22" ht="28.15" customHeight="1">
      <c r="A48" s="111" t="s">
        <v>279</v>
      </c>
      <c r="B48" s="112"/>
      <c r="C48" s="112"/>
      <c r="D48" s="112"/>
      <c r="E48" s="112"/>
      <c r="F48" s="112"/>
      <c r="G48" s="112"/>
      <c r="H48" s="112"/>
      <c r="I48" s="112"/>
      <c r="J48" s="112"/>
      <c r="K48" s="112"/>
      <c r="L48" s="112"/>
      <c r="M48" s="112"/>
      <c r="N48" s="112"/>
      <c r="O48" s="112"/>
      <c r="P48" s="112"/>
      <c r="Q48" s="112"/>
      <c r="R48" s="112"/>
      <c r="S48" s="112"/>
      <c r="T48" s="112"/>
      <c r="U48" s="112"/>
      <c r="V48" s="113"/>
    </row>
    <row r="49" spans="1:22" ht="14.45" customHeight="1">
      <c r="A49" s="114" t="s">
        <v>280</v>
      </c>
      <c r="B49" s="115"/>
      <c r="C49" s="115"/>
      <c r="D49" s="115"/>
      <c r="E49" s="115"/>
      <c r="F49" s="115"/>
      <c r="G49" s="115"/>
      <c r="H49" s="115"/>
      <c r="I49" s="115"/>
      <c r="J49" s="115"/>
      <c r="K49" s="115"/>
      <c r="L49" s="115"/>
      <c r="M49" s="115"/>
      <c r="N49" s="115"/>
      <c r="O49" s="115"/>
      <c r="P49" s="115"/>
      <c r="Q49" s="115"/>
      <c r="R49" s="115"/>
      <c r="S49" s="115"/>
      <c r="T49" s="115"/>
      <c r="U49" s="115"/>
      <c r="V49" s="116"/>
    </row>
    <row r="50" spans="1:22" ht="14.45" customHeight="1">
      <c r="A50" s="114" t="s">
        <v>281</v>
      </c>
      <c r="B50" s="115"/>
      <c r="C50" s="115"/>
      <c r="D50" s="115"/>
      <c r="E50" s="115"/>
      <c r="F50" s="115"/>
      <c r="G50" s="115"/>
      <c r="H50" s="115"/>
      <c r="I50" s="115"/>
      <c r="J50" s="115"/>
      <c r="K50" s="115"/>
      <c r="L50" s="115"/>
      <c r="M50" s="115"/>
      <c r="N50" s="115"/>
      <c r="O50" s="115"/>
      <c r="P50" s="115"/>
      <c r="Q50" s="115"/>
      <c r="R50" s="115"/>
      <c r="S50" s="115"/>
      <c r="T50" s="115"/>
      <c r="U50" s="115"/>
      <c r="V50" s="116"/>
    </row>
    <row r="51" spans="1:22" ht="28.9" customHeight="1">
      <c r="A51" s="114" t="s">
        <v>282</v>
      </c>
      <c r="B51" s="115"/>
      <c r="C51" s="115"/>
      <c r="D51" s="115"/>
      <c r="E51" s="115"/>
      <c r="F51" s="115"/>
      <c r="G51" s="115"/>
      <c r="H51" s="115"/>
      <c r="I51" s="115"/>
      <c r="J51" s="115"/>
      <c r="K51" s="115"/>
      <c r="L51" s="115"/>
      <c r="M51" s="115"/>
      <c r="N51" s="115"/>
      <c r="O51" s="115"/>
      <c r="P51" s="115"/>
      <c r="Q51" s="115"/>
      <c r="R51" s="115"/>
      <c r="S51" s="115"/>
      <c r="T51" s="115"/>
      <c r="U51" s="115"/>
      <c r="V51" s="116"/>
    </row>
    <row r="52" spans="1:22" ht="26.45" customHeight="1">
      <c r="A52" s="114" t="s">
        <v>283</v>
      </c>
      <c r="B52" s="115"/>
      <c r="C52" s="115"/>
      <c r="D52" s="115"/>
      <c r="E52" s="115"/>
      <c r="F52" s="115"/>
      <c r="G52" s="115"/>
      <c r="H52" s="115"/>
      <c r="I52" s="115"/>
      <c r="J52" s="115"/>
      <c r="K52" s="115"/>
      <c r="L52" s="115"/>
      <c r="M52" s="115"/>
      <c r="N52" s="115"/>
      <c r="O52" s="115"/>
      <c r="P52" s="115"/>
      <c r="Q52" s="115"/>
      <c r="R52" s="115"/>
      <c r="S52" s="115"/>
      <c r="T52" s="115"/>
      <c r="U52" s="115"/>
      <c r="V52" s="116"/>
    </row>
    <row r="53" spans="1:22" ht="14.45" customHeight="1">
      <c r="A53" s="114" t="s">
        <v>284</v>
      </c>
      <c r="B53" s="115"/>
      <c r="C53" s="115"/>
      <c r="D53" s="115"/>
      <c r="E53" s="115"/>
      <c r="F53" s="115"/>
      <c r="G53" s="115"/>
      <c r="H53" s="115"/>
      <c r="I53" s="115"/>
      <c r="J53" s="115"/>
      <c r="K53" s="115"/>
      <c r="L53" s="115"/>
      <c r="M53" s="115"/>
      <c r="N53" s="115"/>
      <c r="O53" s="115"/>
      <c r="P53" s="115"/>
      <c r="Q53" s="115"/>
      <c r="R53" s="115"/>
      <c r="S53" s="115"/>
      <c r="T53" s="115"/>
      <c r="U53" s="115"/>
      <c r="V53" s="116"/>
    </row>
    <row r="54" spans="1:22" ht="14.45" customHeight="1">
      <c r="A54" s="114" t="s">
        <v>285</v>
      </c>
      <c r="B54" s="115"/>
      <c r="C54" s="115"/>
      <c r="D54" s="115"/>
      <c r="E54" s="115"/>
      <c r="F54" s="115"/>
      <c r="G54" s="115"/>
      <c r="H54" s="115"/>
      <c r="I54" s="115"/>
      <c r="J54" s="115"/>
      <c r="K54" s="115"/>
      <c r="L54" s="115"/>
      <c r="M54" s="115"/>
      <c r="N54" s="115"/>
      <c r="O54" s="115"/>
      <c r="P54" s="115"/>
      <c r="Q54" s="115"/>
      <c r="R54" s="115"/>
      <c r="S54" s="115"/>
      <c r="T54" s="115"/>
      <c r="U54" s="115"/>
      <c r="V54" s="116"/>
    </row>
    <row r="55" spans="1:22" ht="15.75" thickBot="1">
      <c r="A55" s="177"/>
      <c r="B55" s="178"/>
      <c r="C55" s="178"/>
      <c r="D55" s="178"/>
      <c r="E55" s="178"/>
      <c r="F55" s="178"/>
      <c r="G55" s="178"/>
      <c r="H55" s="178"/>
      <c r="I55" s="178"/>
      <c r="J55" s="178"/>
      <c r="K55" s="178"/>
      <c r="L55" s="178"/>
      <c r="M55" s="178"/>
      <c r="N55" s="178"/>
      <c r="O55" s="178"/>
      <c r="P55" s="178"/>
      <c r="Q55" s="178"/>
      <c r="R55" s="178"/>
      <c r="S55" s="178"/>
      <c r="T55" s="178"/>
      <c r="U55" s="178"/>
      <c r="V55" s="179"/>
    </row>
  </sheetData>
  <mergeCells count="84">
    <mergeCell ref="A52:V52"/>
    <mergeCell ref="A53:V53"/>
    <mergeCell ref="A54:V54"/>
    <mergeCell ref="A55:V55"/>
    <mergeCell ref="F44:V44"/>
    <mergeCell ref="B45:V45"/>
    <mergeCell ref="A47:V47"/>
    <mergeCell ref="B46:V46"/>
    <mergeCell ref="A51:V51"/>
    <mergeCell ref="A48:V48"/>
    <mergeCell ref="A49:V49"/>
    <mergeCell ref="A50:V50"/>
    <mergeCell ref="B44:E44"/>
    <mergeCell ref="A19:V19"/>
    <mergeCell ref="B43:V43"/>
    <mergeCell ref="B33:V33"/>
    <mergeCell ref="B34:M34"/>
    <mergeCell ref="N34:V34"/>
    <mergeCell ref="A35:V35"/>
    <mergeCell ref="B36:V36"/>
    <mergeCell ref="B37:V37"/>
    <mergeCell ref="B38:V38"/>
    <mergeCell ref="A39:V39"/>
    <mergeCell ref="B40:V40"/>
    <mergeCell ref="B41:V41"/>
    <mergeCell ref="B42:V42"/>
    <mergeCell ref="F26:V26"/>
    <mergeCell ref="B27:V27"/>
    <mergeCell ref="A10:V10"/>
    <mergeCell ref="B18:V18"/>
    <mergeCell ref="A32:V32"/>
    <mergeCell ref="B26:E26"/>
    <mergeCell ref="A28:V28"/>
    <mergeCell ref="B29:V29"/>
    <mergeCell ref="B30:V30"/>
    <mergeCell ref="B31:V31"/>
    <mergeCell ref="B22:V22"/>
    <mergeCell ref="B23:V23"/>
    <mergeCell ref="B24:V24"/>
    <mergeCell ref="B25:V25"/>
    <mergeCell ref="B20:J20"/>
    <mergeCell ref="B21:J21"/>
    <mergeCell ref="K21:V21"/>
    <mergeCell ref="K20:V20"/>
    <mergeCell ref="B11:R11"/>
    <mergeCell ref="S11:V11"/>
    <mergeCell ref="B16:J16"/>
    <mergeCell ref="B17:J17"/>
    <mergeCell ref="K16:V16"/>
    <mergeCell ref="K17:V17"/>
    <mergeCell ref="D9:E9"/>
    <mergeCell ref="F9:G9"/>
    <mergeCell ref="H9:I9"/>
    <mergeCell ref="J9:K9"/>
    <mergeCell ref="R8:V8"/>
    <mergeCell ref="R9:V9"/>
    <mergeCell ref="L8:Q9"/>
    <mergeCell ref="J8:K8"/>
    <mergeCell ref="B9:C9"/>
    <mergeCell ref="F4:H4"/>
    <mergeCell ref="F3:G3"/>
    <mergeCell ref="H3:I3"/>
    <mergeCell ref="B8:C8"/>
    <mergeCell ref="D8:E8"/>
    <mergeCell ref="F8:G8"/>
    <mergeCell ref="H8:I8"/>
    <mergeCell ref="F6:H6"/>
    <mergeCell ref="A1:E6"/>
    <mergeCell ref="F2:I2"/>
    <mergeCell ref="A7:V7"/>
    <mergeCell ref="I6:V6"/>
    <mergeCell ref="F5:H5"/>
    <mergeCell ref="I4:V4"/>
    <mergeCell ref="T1:V1"/>
    <mergeCell ref="F1:S1"/>
    <mergeCell ref="N2:P2"/>
    <mergeCell ref="N3:P3"/>
    <mergeCell ref="J2:M2"/>
    <mergeCell ref="J3:M3"/>
    <mergeCell ref="I5:V5"/>
    <mergeCell ref="T2:V2"/>
    <mergeCell ref="T3:V3"/>
    <mergeCell ref="Q2:S2"/>
    <mergeCell ref="Q3:S3"/>
  </mergeCells>
  <printOptions horizontalCentered="1"/>
  <pageMargins left="0.7" right="0.7" top="0.75" bottom="0.75" header="0.3" footer="0.3"/>
  <pageSetup paperSize="9" scale="88" firstPageNumber="18" orientation="portrait" r:id="rId1"/>
  <legacyDrawingHF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14CC-6617-4EBF-8E4F-95310BBDA487}">
  <sheetPr codeName="Sheet38">
    <tabColor rgb="FF7030A0"/>
    <pageSetUpPr fitToPage="1"/>
  </sheetPr>
  <dimension ref="A1:R55"/>
  <sheetViews>
    <sheetView workbookViewId="0">
      <selection activeCell="S2" sqref="S2:U2"/>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375</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368</v>
      </c>
      <c r="C14" s="17" t="s">
        <v>368</v>
      </c>
      <c r="D14" s="17" t="s">
        <v>368</v>
      </c>
      <c r="E14" s="17" t="s">
        <v>368</v>
      </c>
      <c r="F14" s="17" t="s">
        <v>368</v>
      </c>
      <c r="G14" s="17" t="s">
        <v>369</v>
      </c>
      <c r="H14" s="17" t="s">
        <v>369</v>
      </c>
      <c r="I14" s="17" t="s">
        <v>369</v>
      </c>
      <c r="J14" s="17">
        <v>20</v>
      </c>
      <c r="K14" s="17">
        <v>20</v>
      </c>
      <c r="L14" s="17" t="s">
        <v>369</v>
      </c>
      <c r="M14" s="17" t="s">
        <v>369</v>
      </c>
      <c r="N14" s="17" t="s">
        <v>369</v>
      </c>
      <c r="O14" s="17" t="s">
        <v>368</v>
      </c>
      <c r="P14" s="17" t="s">
        <v>368</v>
      </c>
      <c r="Q14" s="17" t="s">
        <v>232</v>
      </c>
      <c r="R14" s="66">
        <v>30</v>
      </c>
    </row>
    <row r="15" spans="1:18" s="3" customFormat="1">
      <c r="A15" s="70" t="s">
        <v>233</v>
      </c>
      <c r="B15" s="17">
        <v>3.73</v>
      </c>
      <c r="C15" s="17">
        <v>3.91</v>
      </c>
      <c r="D15" s="17">
        <v>4.55</v>
      </c>
      <c r="E15" s="17">
        <v>5.08</v>
      </c>
      <c r="F15" s="17">
        <v>5.54</v>
      </c>
      <c r="G15" s="17">
        <v>5.49</v>
      </c>
      <c r="H15" s="17">
        <v>6.02</v>
      </c>
      <c r="I15" s="17">
        <v>7.11</v>
      </c>
      <c r="J15" s="17">
        <v>6.35</v>
      </c>
      <c r="K15" s="17">
        <v>6.35</v>
      </c>
      <c r="L15" s="17">
        <v>9.5299999999999994</v>
      </c>
      <c r="M15" s="17">
        <v>9.5299999999999994</v>
      </c>
      <c r="N15" s="17">
        <v>9.5299999999999994</v>
      </c>
      <c r="O15" s="17">
        <v>12.7</v>
      </c>
      <c r="P15" s="17">
        <v>12.7</v>
      </c>
      <c r="Q15" s="17">
        <v>12.7</v>
      </c>
      <c r="R15" s="66">
        <v>14.27</v>
      </c>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18">
      <c r="A17" s="69" t="s">
        <v>237</v>
      </c>
      <c r="B17" s="109" t="s">
        <v>402</v>
      </c>
      <c r="C17" s="109"/>
      <c r="D17" s="109"/>
      <c r="E17" s="109"/>
      <c r="F17" s="109"/>
      <c r="G17" s="109"/>
      <c r="H17" s="109"/>
      <c r="I17" s="109"/>
      <c r="J17" s="109"/>
      <c r="K17" s="109" t="s">
        <v>402</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403</v>
      </c>
      <c r="C21" s="145"/>
      <c r="D21" s="145"/>
      <c r="E21" s="145"/>
      <c r="F21" s="145"/>
      <c r="G21" s="145"/>
      <c r="H21" s="145"/>
      <c r="I21" s="145"/>
      <c r="J21" s="146"/>
      <c r="K21" s="109" t="s">
        <v>404</v>
      </c>
      <c r="L21" s="109"/>
      <c r="M21" s="109"/>
      <c r="N21" s="109"/>
      <c r="O21" s="109"/>
      <c r="P21" s="109"/>
      <c r="Q21" s="109"/>
      <c r="R21" s="110"/>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18"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18"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18" ht="15"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405</v>
      </c>
      <c r="C27" s="145"/>
      <c r="D27" s="145"/>
      <c r="E27" s="145"/>
      <c r="F27" s="145"/>
      <c r="G27" s="145"/>
      <c r="H27" s="145"/>
      <c r="I27" s="145"/>
      <c r="J27" s="145"/>
      <c r="K27" s="145" t="s">
        <v>392</v>
      </c>
      <c r="L27" s="145"/>
      <c r="M27" s="145"/>
      <c r="N27" s="145"/>
      <c r="O27" s="145"/>
      <c r="P27" s="145"/>
      <c r="Q27" s="145"/>
      <c r="R27" s="147"/>
    </row>
    <row r="28" spans="1:18">
      <c r="A28" s="117" t="s">
        <v>255</v>
      </c>
      <c r="B28" s="118"/>
      <c r="C28" s="118"/>
      <c r="D28" s="118"/>
      <c r="E28" s="118"/>
      <c r="F28" s="118"/>
      <c r="G28" s="118"/>
      <c r="H28" s="118"/>
      <c r="I28" s="118"/>
      <c r="J28" s="118"/>
      <c r="K28" s="118"/>
      <c r="L28" s="118"/>
      <c r="M28" s="118"/>
      <c r="N28" s="118"/>
      <c r="O28" s="118"/>
      <c r="P28" s="118"/>
      <c r="Q28" s="118"/>
      <c r="R28" s="119"/>
    </row>
    <row r="29" spans="1:18" ht="13.9" customHeight="1">
      <c r="A29" s="69" t="s">
        <v>237</v>
      </c>
      <c r="B29" s="109" t="s">
        <v>406</v>
      </c>
      <c r="C29" s="109"/>
      <c r="D29" s="109"/>
      <c r="E29" s="109"/>
      <c r="F29" s="109"/>
      <c r="G29" s="109"/>
      <c r="H29" s="109"/>
      <c r="I29" s="109"/>
      <c r="J29" s="109"/>
      <c r="K29" s="109"/>
      <c r="L29" s="109"/>
      <c r="M29" s="109"/>
      <c r="N29" s="109"/>
      <c r="O29" s="109"/>
      <c r="P29" s="109"/>
      <c r="Q29" s="109"/>
      <c r="R29" s="110"/>
    </row>
    <row r="30" spans="1:18" ht="13.9" customHeight="1">
      <c r="A30" s="69" t="s">
        <v>257</v>
      </c>
      <c r="B30" s="109" t="s">
        <v>298</v>
      </c>
      <c r="C30" s="109"/>
      <c r="D30" s="109"/>
      <c r="E30" s="109"/>
      <c r="F30" s="109"/>
      <c r="G30" s="109"/>
      <c r="H30" s="109"/>
      <c r="I30" s="109"/>
      <c r="J30" s="109"/>
      <c r="K30" s="109"/>
      <c r="L30" s="109"/>
      <c r="M30" s="109"/>
      <c r="N30" s="109"/>
      <c r="O30" s="109"/>
      <c r="P30" s="109"/>
      <c r="Q30" s="109"/>
      <c r="R30" s="110"/>
    </row>
    <row r="31" spans="1:18" ht="14.45" customHeight="1">
      <c r="A31" s="69" t="s">
        <v>234</v>
      </c>
      <c r="B31" s="109" t="s">
        <v>292</v>
      </c>
      <c r="C31" s="109"/>
      <c r="D31" s="109"/>
      <c r="E31" s="109"/>
      <c r="F31" s="109"/>
      <c r="G31" s="109"/>
      <c r="H31" s="109"/>
      <c r="I31" s="109"/>
      <c r="J31" s="109"/>
      <c r="K31" s="109"/>
      <c r="L31" s="109"/>
      <c r="M31" s="109"/>
      <c r="N31" s="109"/>
      <c r="O31" s="109"/>
      <c r="P31" s="109"/>
      <c r="Q31" s="109"/>
      <c r="R31" s="110"/>
    </row>
    <row r="32" spans="1:18" ht="13.9" customHeight="1">
      <c r="A32" s="148" t="s">
        <v>260</v>
      </c>
      <c r="B32" s="149"/>
      <c r="C32" s="149"/>
      <c r="D32" s="149"/>
      <c r="E32" s="149"/>
      <c r="F32" s="149"/>
      <c r="G32" s="149"/>
      <c r="H32" s="149"/>
      <c r="I32" s="149"/>
      <c r="J32" s="149"/>
      <c r="K32" s="149"/>
      <c r="L32" s="149"/>
      <c r="M32" s="149"/>
      <c r="N32" s="149"/>
      <c r="O32" s="149"/>
      <c r="P32" s="149"/>
      <c r="Q32" s="149"/>
      <c r="R32" s="150"/>
    </row>
    <row r="33" spans="1:18" ht="13.9" customHeight="1">
      <c r="A33" s="84" t="s">
        <v>237</v>
      </c>
      <c r="B33" s="233" t="s">
        <v>406</v>
      </c>
      <c r="C33" s="142"/>
      <c r="D33" s="142"/>
      <c r="E33" s="142"/>
      <c r="F33" s="142"/>
      <c r="G33" s="142"/>
      <c r="H33" s="142"/>
      <c r="I33" s="142"/>
      <c r="J33" s="142"/>
      <c r="K33" s="142"/>
      <c r="L33" s="142"/>
      <c r="M33" s="142"/>
      <c r="N33" s="142"/>
      <c r="O33" s="142"/>
      <c r="P33" s="142"/>
      <c r="Q33" s="142"/>
      <c r="R33" s="143"/>
    </row>
    <row r="34" spans="1:18" ht="13.9" customHeight="1">
      <c r="A34" s="69" t="s">
        <v>261</v>
      </c>
      <c r="B34" s="144" t="s">
        <v>262</v>
      </c>
      <c r="C34" s="145"/>
      <c r="D34" s="145"/>
      <c r="E34" s="145"/>
      <c r="F34" s="145"/>
      <c r="G34" s="145"/>
      <c r="H34" s="145"/>
      <c r="I34" s="145"/>
      <c r="J34" s="145"/>
      <c r="K34" s="145"/>
      <c r="L34" s="145"/>
      <c r="M34" s="146"/>
      <c r="N34" s="101" t="s">
        <v>263</v>
      </c>
      <c r="O34" s="101"/>
      <c r="P34" s="101"/>
      <c r="Q34" s="101"/>
      <c r="R34" s="102"/>
    </row>
    <row r="35" spans="1:18" ht="13.9" customHeight="1">
      <c r="A35" s="117" t="s">
        <v>264</v>
      </c>
      <c r="B35" s="118"/>
      <c r="C35" s="118"/>
      <c r="D35" s="118"/>
      <c r="E35" s="118"/>
      <c r="F35" s="118"/>
      <c r="G35" s="118"/>
      <c r="H35" s="118"/>
      <c r="I35" s="118"/>
      <c r="J35" s="118"/>
      <c r="K35" s="118"/>
      <c r="L35" s="118"/>
      <c r="M35" s="118"/>
      <c r="N35" s="118"/>
      <c r="O35" s="118"/>
      <c r="P35" s="118"/>
      <c r="Q35" s="118"/>
      <c r="R35" s="119"/>
    </row>
    <row r="36" spans="1:18" ht="13.9" customHeight="1">
      <c r="A36" s="69" t="s">
        <v>265</v>
      </c>
      <c r="B36" s="144" t="s">
        <v>394</v>
      </c>
      <c r="C36" s="145"/>
      <c r="D36" s="145"/>
      <c r="E36" s="145"/>
      <c r="F36" s="145"/>
      <c r="G36" s="145"/>
      <c r="H36" s="145"/>
      <c r="I36" s="145"/>
      <c r="J36" s="145"/>
      <c r="K36" s="145"/>
      <c r="L36" s="145"/>
      <c r="M36" s="145"/>
      <c r="N36" s="145"/>
      <c r="O36" s="145"/>
      <c r="P36" s="145"/>
      <c r="Q36" s="145"/>
      <c r="R36" s="147"/>
    </row>
    <row r="37" spans="1:18" ht="13.9" customHeight="1">
      <c r="A37" s="69" t="s">
        <v>267</v>
      </c>
      <c r="B37" s="144" t="s">
        <v>394</v>
      </c>
      <c r="C37" s="145"/>
      <c r="D37" s="145"/>
      <c r="E37" s="145"/>
      <c r="F37" s="145"/>
      <c r="G37" s="145"/>
      <c r="H37" s="145"/>
      <c r="I37" s="145"/>
      <c r="J37" s="145"/>
      <c r="K37" s="145"/>
      <c r="L37" s="145"/>
      <c r="M37" s="145"/>
      <c r="N37" s="145"/>
      <c r="O37" s="145"/>
      <c r="P37" s="145"/>
      <c r="Q37" s="145"/>
      <c r="R37" s="147"/>
    </row>
    <row r="38" spans="1:18" ht="13.9" customHeight="1">
      <c r="A38" s="69" t="s">
        <v>269</v>
      </c>
      <c r="B38" s="144" t="s">
        <v>407</v>
      </c>
      <c r="C38" s="145"/>
      <c r="D38" s="145"/>
      <c r="E38" s="145"/>
      <c r="F38" s="145"/>
      <c r="G38" s="145"/>
      <c r="H38" s="145"/>
      <c r="I38" s="145"/>
      <c r="J38" s="145"/>
      <c r="K38" s="145"/>
      <c r="L38" s="145"/>
      <c r="M38" s="145"/>
      <c r="N38" s="145"/>
      <c r="O38" s="145"/>
      <c r="P38" s="145"/>
      <c r="Q38" s="145"/>
      <c r="R38" s="147"/>
    </row>
    <row r="39" spans="1:18" ht="13.9" customHeight="1">
      <c r="A39" s="117" t="s">
        <v>271</v>
      </c>
      <c r="B39" s="118"/>
      <c r="C39" s="118"/>
      <c r="D39" s="118"/>
      <c r="E39" s="118"/>
      <c r="F39" s="118"/>
      <c r="G39" s="118"/>
      <c r="H39" s="118"/>
      <c r="I39" s="118"/>
      <c r="J39" s="118"/>
      <c r="K39" s="118"/>
      <c r="L39" s="118"/>
      <c r="M39" s="118"/>
      <c r="N39" s="118"/>
      <c r="O39" s="118"/>
      <c r="P39" s="118"/>
      <c r="Q39" s="118"/>
      <c r="R39" s="119"/>
    </row>
    <row r="40" spans="1:18" ht="13.9" customHeight="1">
      <c r="A40" s="69" t="s">
        <v>272</v>
      </c>
      <c r="B40" s="109" t="e">
        <f ca="1">VLOOKUP(F3,INDEX!B:J,2,0)&amp;", RF"</f>
        <v>#VALUE!</v>
      </c>
      <c r="C40" s="109"/>
      <c r="D40" s="109"/>
      <c r="E40" s="109"/>
      <c r="F40" s="109"/>
      <c r="G40" s="109"/>
      <c r="H40" s="109"/>
      <c r="I40" s="109"/>
      <c r="J40" s="109"/>
      <c r="K40" s="109"/>
      <c r="L40" s="109"/>
      <c r="M40" s="109"/>
      <c r="N40" s="109"/>
      <c r="O40" s="109"/>
      <c r="P40" s="109"/>
      <c r="Q40" s="109"/>
      <c r="R40" s="110"/>
    </row>
    <row r="41" spans="1:18" ht="13.9" customHeight="1">
      <c r="A41" s="69" t="s">
        <v>273</v>
      </c>
      <c r="B41" s="109" t="e">
        <f ca="1">"BSR"&amp;VLOOKUP(F3,INDEX!B:AH,33,0)&amp;"R"&amp;", BSF"&amp;VLOOKUP(F3,INDEX!B:AH,33,0)&amp;"R"</f>
        <v>#VALUE!</v>
      </c>
      <c r="C41" s="109"/>
      <c r="D41" s="109"/>
      <c r="E41" s="109"/>
      <c r="F41" s="109"/>
      <c r="G41" s="109"/>
      <c r="H41" s="109"/>
      <c r="I41" s="109"/>
      <c r="J41" s="109"/>
      <c r="K41" s="109"/>
      <c r="L41" s="109"/>
      <c r="M41" s="109"/>
      <c r="N41" s="109"/>
      <c r="O41" s="109"/>
      <c r="P41" s="109"/>
      <c r="Q41" s="109"/>
      <c r="R41" s="110"/>
    </row>
    <row r="42" spans="1:18" ht="13.9" customHeight="1">
      <c r="A42" s="69" t="s">
        <v>274</v>
      </c>
      <c r="B42" s="109" t="e">
        <f ca="1">"GAW"&amp;VLOOKUP(F3,INDEX!B:AH,33,0)&amp;"R"</f>
        <v>#VALUE!</v>
      </c>
      <c r="C42" s="109"/>
      <c r="D42" s="109"/>
      <c r="E42" s="109"/>
      <c r="F42" s="109"/>
      <c r="G42" s="109"/>
      <c r="H42" s="109"/>
      <c r="I42" s="109"/>
      <c r="J42" s="109"/>
      <c r="K42" s="109"/>
      <c r="L42" s="109"/>
      <c r="M42" s="109"/>
      <c r="N42" s="109"/>
      <c r="O42" s="109"/>
      <c r="P42" s="109"/>
      <c r="Q42" s="109"/>
      <c r="R42" s="110"/>
    </row>
    <row r="43" spans="1:18" ht="13.9" customHeight="1">
      <c r="A43" s="69" t="s">
        <v>275</v>
      </c>
      <c r="B43" s="109" t="e">
        <f ca="1">"GLS"&amp;VLOOKUP(F3,INDEX!B:AH,33,0)&amp;"R"</f>
        <v>#VALUE!</v>
      </c>
      <c r="C43" s="109"/>
      <c r="D43" s="109"/>
      <c r="E43" s="109"/>
      <c r="F43" s="109"/>
      <c r="G43" s="109"/>
      <c r="H43" s="109"/>
      <c r="I43" s="109"/>
      <c r="J43" s="109"/>
      <c r="K43" s="109"/>
      <c r="L43" s="109"/>
      <c r="M43" s="109"/>
      <c r="N43" s="109"/>
      <c r="O43" s="109"/>
      <c r="P43" s="109"/>
      <c r="Q43" s="109"/>
      <c r="R43" s="110"/>
    </row>
    <row r="44" spans="1:18" ht="13.9" customHeight="1">
      <c r="A44" s="69" t="s">
        <v>276</v>
      </c>
      <c r="B44" s="144" t="e">
        <f ca="1">"CHP"&amp;VLOOKUP(F3,INDEX!B:AH,33,0)&amp;"R"</f>
        <v>#VALUE!</v>
      </c>
      <c r="C44" s="145"/>
      <c r="D44" s="145"/>
      <c r="E44" s="146"/>
      <c r="F44" s="144" t="e">
        <f ca="1">"CSW"&amp;VLOOKUP(F3,INDEX!B:AH,33,0)&amp;"R"&amp;", CDP"&amp;VLOOKUP(F3,INDEX!B:AH,33,0)&amp;"R"</f>
        <v>#VALUE!</v>
      </c>
      <c r="G44" s="145"/>
      <c r="H44" s="145"/>
      <c r="I44" s="145"/>
      <c r="J44" s="145"/>
      <c r="K44" s="145"/>
      <c r="L44" s="145"/>
      <c r="M44" s="145"/>
      <c r="N44" s="145"/>
      <c r="O44" s="145"/>
      <c r="P44" s="145"/>
      <c r="Q44" s="145"/>
      <c r="R44" s="147"/>
    </row>
    <row r="45" spans="1:18" ht="13.9" customHeight="1">
      <c r="A45" s="69"/>
      <c r="B45" s="144"/>
      <c r="C45" s="145"/>
      <c r="D45" s="145"/>
      <c r="E45" s="145"/>
      <c r="F45" s="145"/>
      <c r="G45" s="145"/>
      <c r="H45" s="145"/>
      <c r="I45" s="145"/>
      <c r="J45" s="145"/>
      <c r="K45" s="145"/>
      <c r="L45" s="145"/>
      <c r="M45" s="145"/>
      <c r="N45" s="145"/>
      <c r="O45" s="145"/>
      <c r="P45" s="145"/>
      <c r="Q45" s="145"/>
      <c r="R45" s="147"/>
    </row>
    <row r="46" spans="1:18" ht="13.9" customHeight="1">
      <c r="A46" s="69"/>
      <c r="B46" s="144"/>
      <c r="C46" s="145"/>
      <c r="D46" s="145"/>
      <c r="E46" s="145"/>
      <c r="F46" s="145"/>
      <c r="G46" s="145"/>
      <c r="H46" s="145"/>
      <c r="I46" s="145"/>
      <c r="J46" s="145"/>
      <c r="K46" s="145"/>
      <c r="L46" s="145"/>
      <c r="M46" s="145"/>
      <c r="N46" s="145"/>
      <c r="O46" s="145"/>
      <c r="P46" s="145"/>
      <c r="Q46" s="145"/>
      <c r="R46" s="147"/>
    </row>
    <row r="47" spans="1:18">
      <c r="A47" s="117" t="s">
        <v>278</v>
      </c>
      <c r="B47" s="118"/>
      <c r="C47" s="118"/>
      <c r="D47" s="118"/>
      <c r="E47" s="118"/>
      <c r="F47" s="118"/>
      <c r="G47" s="118"/>
      <c r="H47" s="118"/>
      <c r="I47" s="118"/>
      <c r="J47" s="118"/>
      <c r="K47" s="118"/>
      <c r="L47" s="118"/>
      <c r="M47" s="118"/>
      <c r="N47" s="118"/>
      <c r="O47" s="118"/>
      <c r="P47" s="118"/>
      <c r="Q47" s="118"/>
      <c r="R47" s="119"/>
    </row>
    <row r="48" spans="1:18"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c r="A50" s="114" t="s">
        <v>281</v>
      </c>
      <c r="B50" s="115"/>
      <c r="C50" s="115"/>
      <c r="D50" s="115"/>
      <c r="E50" s="115"/>
      <c r="F50" s="115"/>
      <c r="G50" s="115"/>
      <c r="H50" s="115"/>
      <c r="I50" s="115"/>
      <c r="J50" s="115"/>
      <c r="K50" s="115"/>
      <c r="L50" s="115"/>
      <c r="M50" s="115"/>
      <c r="N50" s="115"/>
      <c r="O50" s="115"/>
      <c r="P50" s="115"/>
      <c r="Q50" s="115"/>
      <c r="R50" s="116"/>
    </row>
    <row r="51" spans="1:18" ht="28.9" customHeight="1">
      <c r="A51" s="114" t="s">
        <v>282</v>
      </c>
      <c r="B51" s="115"/>
      <c r="C51" s="115"/>
      <c r="D51" s="115"/>
      <c r="E51" s="115"/>
      <c r="F51" s="115"/>
      <c r="G51" s="115"/>
      <c r="H51" s="115"/>
      <c r="I51" s="115"/>
      <c r="J51" s="115"/>
      <c r="K51" s="115"/>
      <c r="L51" s="115"/>
      <c r="M51" s="115"/>
      <c r="N51" s="115"/>
      <c r="O51" s="115"/>
      <c r="P51" s="115"/>
      <c r="Q51" s="115"/>
      <c r="R51" s="116"/>
    </row>
    <row r="52" spans="1:18" ht="26.4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284</v>
      </c>
      <c r="B53" s="115"/>
      <c r="C53" s="115"/>
      <c r="D53" s="115"/>
      <c r="E53" s="115"/>
      <c r="F53" s="115"/>
      <c r="G53" s="115"/>
      <c r="H53" s="115"/>
      <c r="I53" s="115"/>
      <c r="J53" s="115"/>
      <c r="K53" s="115"/>
      <c r="L53" s="115"/>
      <c r="M53" s="115"/>
      <c r="N53" s="115"/>
      <c r="O53" s="115"/>
      <c r="P53" s="115"/>
      <c r="Q53" s="115"/>
      <c r="R53" s="116"/>
    </row>
    <row r="54" spans="1:18">
      <c r="A54" s="114" t="s">
        <v>285</v>
      </c>
      <c r="B54" s="115"/>
      <c r="C54" s="115"/>
      <c r="D54" s="115"/>
      <c r="E54" s="115"/>
      <c r="F54" s="115"/>
      <c r="G54" s="115"/>
      <c r="H54" s="115"/>
      <c r="I54" s="115"/>
      <c r="J54" s="115"/>
      <c r="K54" s="115"/>
      <c r="L54" s="115"/>
      <c r="M54" s="115"/>
      <c r="N54" s="115"/>
      <c r="O54" s="115"/>
      <c r="P54" s="115"/>
      <c r="Q54" s="115"/>
      <c r="R54" s="116"/>
    </row>
    <row r="55" spans="1:18" ht="15.75" thickBot="1">
      <c r="A55" s="177"/>
      <c r="B55" s="178"/>
      <c r="C55" s="178"/>
      <c r="D55" s="178"/>
      <c r="E55" s="178"/>
      <c r="F55" s="178"/>
      <c r="G55" s="178"/>
      <c r="H55" s="178"/>
      <c r="I55" s="178"/>
      <c r="J55" s="178"/>
      <c r="K55" s="178"/>
      <c r="L55" s="178"/>
      <c r="M55" s="178"/>
      <c r="N55" s="178"/>
      <c r="O55" s="178"/>
      <c r="P55" s="178"/>
      <c r="Q55" s="178"/>
      <c r="R55" s="179"/>
    </row>
  </sheetData>
  <mergeCells count="83">
    <mergeCell ref="A55:R55"/>
    <mergeCell ref="B44:E44"/>
    <mergeCell ref="F44:R44"/>
    <mergeCell ref="B45:R45"/>
    <mergeCell ref="A47:R47"/>
    <mergeCell ref="A48:R48"/>
    <mergeCell ref="A49:R49"/>
    <mergeCell ref="A50:R50"/>
    <mergeCell ref="A51:R51"/>
    <mergeCell ref="A52:R52"/>
    <mergeCell ref="A53:R53"/>
    <mergeCell ref="A54:R54"/>
    <mergeCell ref="B46:R46"/>
    <mergeCell ref="B43:R43"/>
    <mergeCell ref="B33:R33"/>
    <mergeCell ref="B34:M34"/>
    <mergeCell ref="N34:R34"/>
    <mergeCell ref="A35:R35"/>
    <mergeCell ref="B36:R36"/>
    <mergeCell ref="B37:R37"/>
    <mergeCell ref="B38:R38"/>
    <mergeCell ref="A39:R39"/>
    <mergeCell ref="B40:R40"/>
    <mergeCell ref="B41:R41"/>
    <mergeCell ref="B42:R42"/>
    <mergeCell ref="A32:R32"/>
    <mergeCell ref="B22:R22"/>
    <mergeCell ref="B23:R23"/>
    <mergeCell ref="B24:R24"/>
    <mergeCell ref="B25:R25"/>
    <mergeCell ref="B26:E26"/>
    <mergeCell ref="F26:R26"/>
    <mergeCell ref="B27:R27"/>
    <mergeCell ref="A28:R28"/>
    <mergeCell ref="B29:R29"/>
    <mergeCell ref="B30:R30"/>
    <mergeCell ref="B31:R31"/>
    <mergeCell ref="B18:R18"/>
    <mergeCell ref="A19:R19"/>
    <mergeCell ref="B20:J20"/>
    <mergeCell ref="K20:R20"/>
    <mergeCell ref="B21:J21"/>
    <mergeCell ref="K21:R21"/>
    <mergeCell ref="A10:R10"/>
    <mergeCell ref="B11:R11"/>
    <mergeCell ref="B16:J16"/>
    <mergeCell ref="K16:R16"/>
    <mergeCell ref="B17:J17"/>
    <mergeCell ref="K17:R17"/>
    <mergeCell ref="L8:O9"/>
    <mergeCell ref="P8:R8"/>
    <mergeCell ref="D9:E9"/>
    <mergeCell ref="F9:G9"/>
    <mergeCell ref="H9:I9"/>
    <mergeCell ref="J9:K9"/>
    <mergeCell ref="P9:R9"/>
    <mergeCell ref="A1:E6"/>
    <mergeCell ref="F1:P1"/>
    <mergeCell ref="Q1:R1"/>
    <mergeCell ref="F2:I2"/>
    <mergeCell ref="J2:L2"/>
    <mergeCell ref="M2:N2"/>
    <mergeCell ref="O2:P2"/>
    <mergeCell ref="Q2:R2"/>
    <mergeCell ref="J3:L3"/>
    <mergeCell ref="M3:N3"/>
    <mergeCell ref="O3:P3"/>
    <mergeCell ref="B9:C9"/>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s>
  <printOptions horizontalCentered="1"/>
  <pageMargins left="0.7" right="0.7" top="0.75" bottom="0.75" header="0.3" footer="0.3"/>
  <pageSetup paperSize="9" scale="88" firstPageNumber="18" orientation="portrait" r:id="rId1"/>
  <legacyDrawingHF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951B-3AF5-404A-B035-E6183EDD4081}">
  <sheetPr codeName="Sheet39">
    <tabColor rgb="FF7030A0"/>
    <pageSetUpPr fitToPage="1"/>
  </sheetPr>
  <dimension ref="A1:AA57"/>
  <sheetViews>
    <sheetView workbookViewId="0">
      <selection activeCell="S2" sqref="S2:U2"/>
    </sheetView>
  </sheetViews>
  <sheetFormatPr defaultColWidth="9.140625" defaultRowHeight="15"/>
  <cols>
    <col min="1" max="1" width="10.7109375" style="5" customWidth="1"/>
    <col min="2" max="22" width="5.28515625" style="5" customWidth="1"/>
    <col min="23" max="16384" width="9.140625" style="5"/>
  </cols>
  <sheetData>
    <row r="1" spans="1:27" ht="14.45" customHeight="1">
      <c r="A1" s="132" t="e" vm="1">
        <v>#VALUE!</v>
      </c>
      <c r="B1" s="133"/>
      <c r="C1" s="133"/>
      <c r="D1" s="133"/>
      <c r="E1" s="134"/>
      <c r="F1" s="165" t="s">
        <v>213</v>
      </c>
      <c r="G1" s="166"/>
      <c r="H1" s="166"/>
      <c r="I1" s="166"/>
      <c r="J1" s="166"/>
      <c r="K1" s="166"/>
      <c r="L1" s="166"/>
      <c r="M1" s="166"/>
      <c r="N1" s="166"/>
      <c r="O1" s="166"/>
      <c r="P1" s="166"/>
      <c r="Q1" s="153" t="s">
        <v>214</v>
      </c>
      <c r="R1" s="154"/>
    </row>
    <row r="2" spans="1:27"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27">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27"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27"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27"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27" ht="14.45" customHeight="1">
      <c r="A7" s="167" t="s">
        <v>221</v>
      </c>
      <c r="B7" s="168"/>
      <c r="C7" s="168"/>
      <c r="D7" s="168"/>
      <c r="E7" s="168"/>
      <c r="F7" s="169"/>
      <c r="G7" s="169"/>
      <c r="H7" s="169"/>
      <c r="I7" s="169"/>
      <c r="J7" s="169"/>
      <c r="K7" s="169"/>
      <c r="L7" s="169"/>
      <c r="M7" s="169"/>
      <c r="N7" s="169"/>
      <c r="O7" s="169"/>
      <c r="P7" s="169"/>
      <c r="Q7" s="169"/>
      <c r="R7" s="170"/>
    </row>
    <row r="8" spans="1:27"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27"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27" s="3" customFormat="1">
      <c r="A10" s="162" t="s">
        <v>225</v>
      </c>
      <c r="B10" s="163"/>
      <c r="C10" s="163"/>
      <c r="D10" s="163"/>
      <c r="E10" s="163"/>
      <c r="F10" s="163"/>
      <c r="G10" s="163"/>
      <c r="H10" s="163"/>
      <c r="I10" s="163"/>
      <c r="J10" s="163"/>
      <c r="K10" s="163"/>
      <c r="L10" s="163"/>
      <c r="M10" s="163"/>
      <c r="N10" s="163"/>
      <c r="O10" s="163"/>
      <c r="P10" s="163"/>
      <c r="Q10" s="163"/>
      <c r="R10" s="164"/>
    </row>
    <row r="11" spans="1:27">
      <c r="A11" s="69" t="s">
        <v>226</v>
      </c>
      <c r="B11" s="109" t="s">
        <v>375</v>
      </c>
      <c r="C11" s="109"/>
      <c r="D11" s="109"/>
      <c r="E11" s="109"/>
      <c r="F11" s="109"/>
      <c r="G11" s="109"/>
      <c r="H11" s="109"/>
      <c r="I11" s="109"/>
      <c r="J11" s="109"/>
      <c r="K11" s="109"/>
      <c r="L11" s="109"/>
      <c r="M11" s="109"/>
      <c r="N11" s="109"/>
      <c r="O11" s="109"/>
      <c r="P11" s="109"/>
      <c r="Q11" s="109"/>
      <c r="R11" s="110"/>
    </row>
    <row r="12" spans="1:27"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c r="W12" s="5"/>
      <c r="X12" s="5"/>
      <c r="Y12" s="5"/>
      <c r="Z12" s="5"/>
      <c r="AA12" s="5"/>
    </row>
    <row r="13" spans="1:27"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c r="W13" s="5"/>
      <c r="X13" s="5"/>
      <c r="Y13" s="5"/>
      <c r="Z13" s="5"/>
      <c r="AA13" s="5"/>
    </row>
    <row r="14" spans="1:27" s="3" customFormat="1">
      <c r="A14" s="70" t="s">
        <v>230</v>
      </c>
      <c r="B14" s="17" t="s">
        <v>368</v>
      </c>
      <c r="C14" s="17" t="s">
        <v>368</v>
      </c>
      <c r="D14" s="17" t="s">
        <v>368</v>
      </c>
      <c r="E14" s="17" t="s">
        <v>368</v>
      </c>
      <c r="F14" s="17" t="s">
        <v>368</v>
      </c>
      <c r="G14" s="17" t="s">
        <v>369</v>
      </c>
      <c r="H14" s="17" t="s">
        <v>369</v>
      </c>
      <c r="I14" s="17" t="s">
        <v>369</v>
      </c>
      <c r="J14" s="17" t="s">
        <v>369</v>
      </c>
      <c r="K14" s="17" t="s">
        <v>369</v>
      </c>
      <c r="L14" s="17" t="s">
        <v>368</v>
      </c>
      <c r="M14" s="17" t="s">
        <v>368</v>
      </c>
      <c r="N14" s="17">
        <v>60</v>
      </c>
      <c r="O14" s="17">
        <v>60</v>
      </c>
      <c r="P14" s="17">
        <v>60</v>
      </c>
      <c r="Q14" s="17">
        <v>60</v>
      </c>
      <c r="R14" s="66">
        <v>60</v>
      </c>
    </row>
    <row r="15" spans="1:27" s="3" customFormat="1">
      <c r="A15" s="70" t="s">
        <v>233</v>
      </c>
      <c r="B15" s="17">
        <v>3.73</v>
      </c>
      <c r="C15" s="17">
        <v>3.91</v>
      </c>
      <c r="D15" s="17">
        <v>4.55</v>
      </c>
      <c r="E15" s="17">
        <v>5.08</v>
      </c>
      <c r="F15" s="17">
        <v>5.54</v>
      </c>
      <c r="G15" s="17">
        <v>5.49</v>
      </c>
      <c r="H15" s="17">
        <v>6.02</v>
      </c>
      <c r="I15" s="17">
        <v>7.11</v>
      </c>
      <c r="J15" s="17">
        <v>8.18</v>
      </c>
      <c r="K15" s="17">
        <v>9.27</v>
      </c>
      <c r="L15" s="17">
        <v>12.7</v>
      </c>
      <c r="M15" s="17">
        <v>12.7</v>
      </c>
      <c r="N15" s="17">
        <v>16.66</v>
      </c>
      <c r="O15" s="17">
        <v>19.05</v>
      </c>
      <c r="P15" s="17">
        <v>20.62</v>
      </c>
      <c r="Q15" s="17">
        <v>22.23</v>
      </c>
      <c r="R15" s="66">
        <v>24.61</v>
      </c>
    </row>
    <row r="16" spans="1:27">
      <c r="A16" s="69" t="s">
        <v>234</v>
      </c>
      <c r="B16" s="109" t="s">
        <v>235</v>
      </c>
      <c r="C16" s="109"/>
      <c r="D16" s="109"/>
      <c r="E16" s="109"/>
      <c r="F16" s="109"/>
      <c r="G16" s="109"/>
      <c r="H16" s="109"/>
      <c r="I16" s="109"/>
      <c r="J16" s="109"/>
      <c r="K16" s="109" t="s">
        <v>386</v>
      </c>
      <c r="L16" s="109"/>
      <c r="M16" s="109"/>
      <c r="N16" s="109"/>
      <c r="O16" s="109"/>
      <c r="P16" s="109"/>
      <c r="Q16" s="109"/>
      <c r="R16" s="110"/>
    </row>
    <row r="17" spans="1:18">
      <c r="A17" s="69" t="s">
        <v>237</v>
      </c>
      <c r="B17" s="109" t="s">
        <v>402</v>
      </c>
      <c r="C17" s="109"/>
      <c r="D17" s="109"/>
      <c r="E17" s="109"/>
      <c r="F17" s="109"/>
      <c r="G17" s="109"/>
      <c r="H17" s="109"/>
      <c r="I17" s="109"/>
      <c r="J17" s="109"/>
      <c r="K17" s="109" t="s">
        <v>402</v>
      </c>
      <c r="L17" s="109"/>
      <c r="M17" s="109"/>
      <c r="N17" s="109"/>
      <c r="O17" s="109"/>
      <c r="P17" s="109"/>
      <c r="Q17" s="109"/>
      <c r="R17" s="110"/>
    </row>
    <row r="18" spans="1:18">
      <c r="A18" s="69" t="s">
        <v>240</v>
      </c>
      <c r="B18" s="144" t="s">
        <v>241</v>
      </c>
      <c r="C18" s="145"/>
      <c r="D18" s="145"/>
      <c r="E18" s="145"/>
      <c r="F18" s="145"/>
      <c r="G18" s="145"/>
      <c r="H18" s="145"/>
      <c r="I18" s="145"/>
      <c r="J18" s="145"/>
      <c r="K18" s="145"/>
      <c r="L18" s="145"/>
      <c r="M18" s="145"/>
      <c r="N18" s="145"/>
      <c r="O18" s="145"/>
      <c r="P18" s="145"/>
      <c r="Q18" s="145"/>
      <c r="R18" s="147"/>
    </row>
    <row r="19" spans="1:18">
      <c r="A19" s="117" t="s">
        <v>242</v>
      </c>
      <c r="B19" s="109"/>
      <c r="C19" s="109"/>
      <c r="D19" s="109"/>
      <c r="E19" s="109"/>
      <c r="F19" s="109"/>
      <c r="G19" s="109"/>
      <c r="H19" s="109"/>
      <c r="I19" s="109"/>
      <c r="J19" s="109"/>
      <c r="K19" s="109"/>
      <c r="L19" s="109"/>
      <c r="M19" s="109"/>
      <c r="N19" s="109"/>
      <c r="O19" s="109"/>
      <c r="P19" s="109"/>
      <c r="Q19" s="109"/>
      <c r="R19" s="110"/>
    </row>
    <row r="20" spans="1:18"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18" ht="15" customHeight="1">
      <c r="A21" s="69" t="s">
        <v>237</v>
      </c>
      <c r="B21" s="144" t="s">
        <v>403</v>
      </c>
      <c r="C21" s="145"/>
      <c r="D21" s="145"/>
      <c r="E21" s="145"/>
      <c r="F21" s="145"/>
      <c r="G21" s="145"/>
      <c r="H21" s="145"/>
      <c r="I21" s="145"/>
      <c r="J21" s="146"/>
      <c r="K21" s="109" t="s">
        <v>404</v>
      </c>
      <c r="L21" s="109"/>
      <c r="M21" s="109"/>
      <c r="N21" s="109"/>
      <c r="O21" s="109"/>
      <c r="P21" s="109"/>
      <c r="Q21" s="109"/>
      <c r="R21" s="110"/>
    </row>
    <row r="22" spans="1:18" ht="15" customHeight="1">
      <c r="A22" s="69" t="s">
        <v>246</v>
      </c>
      <c r="B22" s="144" t="s">
        <v>247</v>
      </c>
      <c r="C22" s="145"/>
      <c r="D22" s="145"/>
      <c r="E22" s="145"/>
      <c r="F22" s="145"/>
      <c r="G22" s="145"/>
      <c r="H22" s="145"/>
      <c r="I22" s="145"/>
      <c r="J22" s="145"/>
      <c r="K22" s="145"/>
      <c r="L22" s="145"/>
      <c r="M22" s="145"/>
      <c r="N22" s="145"/>
      <c r="O22" s="145"/>
      <c r="P22" s="145"/>
      <c r="Q22" s="145"/>
      <c r="R22" s="147"/>
    </row>
    <row r="23" spans="1:18"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18"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18"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18" ht="15" customHeight="1">
      <c r="A26" s="69" t="s">
        <v>251</v>
      </c>
      <c r="B26" s="151" t="s">
        <v>290</v>
      </c>
      <c r="C26" s="145"/>
      <c r="D26" s="145"/>
      <c r="E26" s="146"/>
      <c r="F26" s="144"/>
      <c r="G26" s="145"/>
      <c r="H26" s="145"/>
      <c r="I26" s="145"/>
      <c r="J26" s="145"/>
      <c r="K26" s="145"/>
      <c r="L26" s="145"/>
      <c r="M26" s="145"/>
      <c r="N26" s="145"/>
      <c r="O26" s="145"/>
      <c r="P26" s="145"/>
      <c r="Q26" s="145"/>
      <c r="R26" s="147"/>
    </row>
    <row r="27" spans="1:18" ht="15" customHeight="1">
      <c r="A27" s="69" t="s">
        <v>253</v>
      </c>
      <c r="B27" s="144" t="s">
        <v>405</v>
      </c>
      <c r="C27" s="145"/>
      <c r="D27" s="145"/>
      <c r="E27" s="145"/>
      <c r="F27" s="145"/>
      <c r="G27" s="145"/>
      <c r="H27" s="145"/>
      <c r="I27" s="145"/>
      <c r="J27" s="145"/>
      <c r="K27" s="145" t="s">
        <v>392</v>
      </c>
      <c r="L27" s="145"/>
      <c r="M27" s="145"/>
      <c r="N27" s="145"/>
      <c r="O27" s="145"/>
      <c r="P27" s="145"/>
      <c r="Q27" s="145"/>
      <c r="R27" s="147"/>
    </row>
    <row r="28" spans="1:18" s="1" customFormat="1">
      <c r="A28" s="117" t="s">
        <v>255</v>
      </c>
      <c r="B28" s="109"/>
      <c r="C28" s="109"/>
      <c r="D28" s="109"/>
      <c r="E28" s="109"/>
      <c r="F28" s="109"/>
      <c r="G28" s="109"/>
      <c r="H28" s="109"/>
      <c r="I28" s="109"/>
      <c r="J28" s="109"/>
      <c r="K28" s="109"/>
      <c r="L28" s="109"/>
      <c r="M28" s="109"/>
      <c r="N28" s="109"/>
      <c r="O28" s="109"/>
      <c r="P28" s="109"/>
      <c r="Q28" s="109"/>
      <c r="R28" s="110"/>
    </row>
    <row r="29" spans="1:18" s="1" customFormat="1" ht="14.45" customHeight="1">
      <c r="A29" s="69" t="s">
        <v>237</v>
      </c>
      <c r="B29" s="144" t="s">
        <v>406</v>
      </c>
      <c r="C29" s="145"/>
      <c r="D29" s="145"/>
      <c r="E29" s="145"/>
      <c r="F29" s="145"/>
      <c r="G29" s="145"/>
      <c r="H29" s="145"/>
      <c r="I29" s="145"/>
      <c r="J29" s="145"/>
      <c r="K29" s="145"/>
      <c r="L29" s="145"/>
      <c r="M29" s="145"/>
      <c r="N29" s="145"/>
      <c r="O29" s="145"/>
      <c r="P29" s="145"/>
      <c r="Q29" s="145"/>
      <c r="R29" s="147"/>
    </row>
    <row r="30" spans="1:18" s="1" customFormat="1" ht="15.75" customHeight="1">
      <c r="A30" s="69" t="s">
        <v>257</v>
      </c>
      <c r="B30" s="144" t="s">
        <v>299</v>
      </c>
      <c r="C30" s="145"/>
      <c r="D30" s="145"/>
      <c r="E30" s="146"/>
      <c r="F30" s="144" t="s">
        <v>300</v>
      </c>
      <c r="G30" s="145"/>
      <c r="H30" s="145"/>
      <c r="I30" s="145"/>
      <c r="J30" s="145"/>
      <c r="K30" s="145"/>
      <c r="L30" s="145"/>
      <c r="M30" s="145"/>
      <c r="N30" s="145"/>
      <c r="O30" s="145"/>
      <c r="P30" s="145"/>
      <c r="Q30" s="145"/>
      <c r="R30" s="147"/>
    </row>
    <row r="31" spans="1:18" s="1" customFormat="1" ht="15.75" customHeight="1">
      <c r="A31" s="69" t="s">
        <v>234</v>
      </c>
      <c r="B31" s="144" t="s">
        <v>376</v>
      </c>
      <c r="C31" s="145"/>
      <c r="D31" s="145"/>
      <c r="E31" s="145"/>
      <c r="F31" s="145"/>
      <c r="G31" s="145"/>
      <c r="H31" s="145"/>
      <c r="I31" s="145"/>
      <c r="J31" s="145"/>
      <c r="K31" s="145"/>
      <c r="L31" s="145"/>
      <c r="M31" s="145"/>
      <c r="N31" s="145"/>
      <c r="O31" s="145"/>
      <c r="P31" s="145"/>
      <c r="Q31" s="145"/>
      <c r="R31" s="147"/>
    </row>
    <row r="32" spans="1:18" s="1" customFormat="1" ht="15.75" customHeight="1">
      <c r="A32" s="117" t="s">
        <v>260</v>
      </c>
      <c r="B32" s="109"/>
      <c r="C32" s="109"/>
      <c r="D32" s="109"/>
      <c r="E32" s="109"/>
      <c r="F32" s="109"/>
      <c r="G32" s="109"/>
      <c r="H32" s="109"/>
      <c r="I32" s="109"/>
      <c r="J32" s="109"/>
      <c r="K32" s="109"/>
      <c r="L32" s="109"/>
      <c r="M32" s="109"/>
      <c r="N32" s="109"/>
      <c r="O32" s="109"/>
      <c r="P32" s="109"/>
      <c r="Q32" s="109"/>
      <c r="R32" s="110"/>
    </row>
    <row r="33" spans="1:20" s="1" customFormat="1" ht="13.9" customHeight="1">
      <c r="A33" s="69" t="s">
        <v>237</v>
      </c>
      <c r="B33" s="144" t="s">
        <v>406</v>
      </c>
      <c r="C33" s="145"/>
      <c r="D33" s="145"/>
      <c r="E33" s="145"/>
      <c r="F33" s="145"/>
      <c r="G33" s="145"/>
      <c r="H33" s="145"/>
      <c r="I33" s="145"/>
      <c r="J33" s="145"/>
      <c r="K33" s="145"/>
      <c r="L33" s="145"/>
      <c r="M33" s="145"/>
      <c r="N33" s="145"/>
      <c r="O33" s="145"/>
      <c r="P33" s="145"/>
      <c r="Q33" s="145"/>
      <c r="R33" s="147"/>
    </row>
    <row r="34" spans="1:20" s="1" customFormat="1" ht="15" customHeight="1">
      <c r="A34" s="69" t="s">
        <v>261</v>
      </c>
      <c r="B34" s="109" t="s">
        <v>262</v>
      </c>
      <c r="C34" s="109"/>
      <c r="D34" s="109"/>
      <c r="E34" s="109"/>
      <c r="F34" s="109"/>
      <c r="G34" s="109"/>
      <c r="H34" s="109"/>
      <c r="I34" s="109"/>
      <c r="J34" s="109"/>
      <c r="K34" s="109"/>
      <c r="L34" s="109"/>
      <c r="M34" s="101" t="s">
        <v>293</v>
      </c>
      <c r="N34" s="101"/>
      <c r="O34" s="101"/>
      <c r="P34" s="101"/>
      <c r="Q34" s="101"/>
      <c r="R34" s="102"/>
    </row>
    <row r="35" spans="1:20" s="1" customFormat="1" ht="15" customHeight="1">
      <c r="A35" s="117" t="s">
        <v>264</v>
      </c>
      <c r="B35" s="109"/>
      <c r="C35" s="109"/>
      <c r="D35" s="109"/>
      <c r="E35" s="109"/>
      <c r="F35" s="109"/>
      <c r="G35" s="109"/>
      <c r="H35" s="109"/>
      <c r="I35" s="109"/>
      <c r="J35" s="109"/>
      <c r="K35" s="109"/>
      <c r="L35" s="109"/>
      <c r="M35" s="109"/>
      <c r="N35" s="109"/>
      <c r="O35" s="109"/>
      <c r="P35" s="109"/>
      <c r="Q35" s="109"/>
      <c r="R35" s="110"/>
    </row>
    <row r="36" spans="1:20" s="1" customFormat="1" ht="13.9" customHeight="1">
      <c r="A36" s="69" t="s">
        <v>265</v>
      </c>
      <c r="B36" s="144" t="s">
        <v>394</v>
      </c>
      <c r="C36" s="145"/>
      <c r="D36" s="145"/>
      <c r="E36" s="145"/>
      <c r="F36" s="145"/>
      <c r="G36" s="145"/>
      <c r="H36" s="145"/>
      <c r="I36" s="145"/>
      <c r="J36" s="145"/>
      <c r="K36" s="145"/>
      <c r="L36" s="145"/>
      <c r="M36" s="145"/>
      <c r="N36" s="145"/>
      <c r="O36" s="145"/>
      <c r="P36" s="145"/>
      <c r="Q36" s="145"/>
      <c r="R36" s="147"/>
    </row>
    <row r="37" spans="1:20" s="1" customFormat="1" ht="13.9" customHeight="1">
      <c r="A37" s="69" t="s">
        <v>267</v>
      </c>
      <c r="B37" s="144" t="s">
        <v>394</v>
      </c>
      <c r="C37" s="145"/>
      <c r="D37" s="145"/>
      <c r="E37" s="145"/>
      <c r="F37" s="145"/>
      <c r="G37" s="145"/>
      <c r="H37" s="145"/>
      <c r="I37" s="145"/>
      <c r="J37" s="145"/>
      <c r="K37" s="145"/>
      <c r="L37" s="145"/>
      <c r="M37" s="145"/>
      <c r="N37" s="145"/>
      <c r="O37" s="145"/>
      <c r="P37" s="145"/>
      <c r="Q37" s="145"/>
      <c r="R37" s="147"/>
    </row>
    <row r="38" spans="1:20" s="1" customFormat="1" ht="13.9" customHeight="1">
      <c r="A38" s="69" t="s">
        <v>269</v>
      </c>
      <c r="B38" s="109" t="s">
        <v>409</v>
      </c>
      <c r="C38" s="109"/>
      <c r="D38" s="109"/>
      <c r="E38" s="109"/>
      <c r="F38" s="109"/>
      <c r="G38" s="109"/>
      <c r="H38" s="109"/>
      <c r="I38" s="109"/>
      <c r="J38" s="109"/>
      <c r="K38" s="109"/>
      <c r="L38" s="109"/>
      <c r="M38" s="109"/>
      <c r="N38" s="109"/>
      <c r="O38" s="109"/>
      <c r="P38" s="109"/>
      <c r="Q38" s="109"/>
      <c r="R38" s="110"/>
    </row>
    <row r="39" spans="1:20" s="1" customFormat="1" ht="13.9" customHeight="1">
      <c r="A39" s="141" t="s">
        <v>271</v>
      </c>
      <c r="B39" s="142"/>
      <c r="C39" s="142"/>
      <c r="D39" s="142"/>
      <c r="E39" s="142"/>
      <c r="F39" s="142"/>
      <c r="G39" s="142"/>
      <c r="H39" s="142"/>
      <c r="I39" s="142"/>
      <c r="J39" s="142"/>
      <c r="K39" s="142"/>
      <c r="L39" s="142"/>
      <c r="M39" s="142"/>
      <c r="N39" s="142"/>
      <c r="O39" s="142"/>
      <c r="P39" s="142"/>
      <c r="Q39" s="142"/>
      <c r="R39" s="143"/>
    </row>
    <row r="40" spans="1:20" s="1" customFormat="1">
      <c r="A40" s="69" t="s">
        <v>272</v>
      </c>
      <c r="B40" s="109" t="e">
        <f ca="1">VLOOKUP(F3,INDEX!B:J,2,0)&amp;", RTJ"</f>
        <v>#VALUE!</v>
      </c>
      <c r="C40" s="109"/>
      <c r="D40" s="109"/>
      <c r="E40" s="109"/>
      <c r="F40" s="109"/>
      <c r="G40" s="109"/>
      <c r="H40" s="109"/>
      <c r="I40" s="109"/>
      <c r="J40" s="109"/>
      <c r="K40" s="109"/>
      <c r="L40" s="109"/>
      <c r="M40" s="109"/>
      <c r="N40" s="109"/>
      <c r="O40" s="109"/>
      <c r="P40" s="109"/>
      <c r="Q40" s="109"/>
      <c r="R40" s="110"/>
    </row>
    <row r="41" spans="1:20" ht="14.45" customHeight="1">
      <c r="A41" s="69" t="s">
        <v>273</v>
      </c>
      <c r="B41" s="144" t="s">
        <v>303</v>
      </c>
      <c r="C41" s="145"/>
      <c r="D41" s="145"/>
      <c r="E41" s="146"/>
      <c r="F41" s="144" t="e">
        <f ca="1">"BSR"&amp;VLOOKUP(F3,INDEX!B:AH,33,0)&amp;"J"&amp;", BSF"&amp;VLOOKUP(F3,INDEX!B:AH,33,0)&amp;"J"</f>
        <v>#VALUE!</v>
      </c>
      <c r="G41" s="145"/>
      <c r="H41" s="145"/>
      <c r="I41" s="145"/>
      <c r="J41" s="145"/>
      <c r="K41" s="145"/>
      <c r="L41" s="145"/>
      <c r="M41" s="145"/>
      <c r="N41" s="145"/>
      <c r="O41" s="145"/>
      <c r="P41" s="145"/>
      <c r="Q41" s="145"/>
      <c r="R41" s="147"/>
    </row>
    <row r="42" spans="1:20" ht="14.45" customHeight="1">
      <c r="A42" s="69" t="s">
        <v>274</v>
      </c>
      <c r="B42" s="109" t="e">
        <f ca="1">"GAW"&amp;VLOOKUP(F3,INDEX!B:AH,33,0)&amp;"J"</f>
        <v>#VALUE!</v>
      </c>
      <c r="C42" s="109"/>
      <c r="D42" s="109"/>
      <c r="E42" s="109"/>
      <c r="F42" s="109"/>
      <c r="G42" s="109"/>
      <c r="H42" s="109"/>
      <c r="I42" s="109"/>
      <c r="J42" s="109"/>
      <c r="K42" s="109"/>
      <c r="L42" s="109"/>
      <c r="M42" s="109"/>
      <c r="N42" s="109"/>
      <c r="O42" s="109"/>
      <c r="P42" s="109"/>
      <c r="Q42" s="109"/>
      <c r="R42" s="110"/>
      <c r="T42" s="6"/>
    </row>
    <row r="43" spans="1:20">
      <c r="A43" s="69" t="s">
        <v>275</v>
      </c>
      <c r="B43" s="109" t="e">
        <f ca="1">"GLS"&amp;VLOOKUP(F3,INDEX!B:AH,33,0)&amp;"J"</f>
        <v>#VALUE!</v>
      </c>
      <c r="C43" s="109"/>
      <c r="D43" s="109"/>
      <c r="E43" s="109"/>
      <c r="F43" s="109"/>
      <c r="G43" s="109"/>
      <c r="H43" s="109"/>
      <c r="I43" s="109"/>
      <c r="J43" s="109"/>
      <c r="K43" s="109"/>
      <c r="L43" s="109"/>
      <c r="M43" s="109"/>
      <c r="N43" s="109"/>
      <c r="O43" s="109"/>
      <c r="P43" s="109"/>
      <c r="Q43" s="109"/>
      <c r="R43" s="110"/>
    </row>
    <row r="44" spans="1:20">
      <c r="A44" s="69" t="s">
        <v>276</v>
      </c>
      <c r="B44" s="144" t="e">
        <f ca="1">"CHP"&amp;VLOOKUP(F3,INDEX!B:AH,33,0)&amp;"J"</f>
        <v>#VALUE!</v>
      </c>
      <c r="C44" s="145"/>
      <c r="D44" s="145"/>
      <c r="E44" s="146"/>
      <c r="F44" s="144" t="e">
        <f ca="1">"CSW"&amp;VLOOKUP(F3,INDEX!B:AH,33,0)&amp;"J"&amp;", CDP"&amp;VLOOKUP(F3,INDEX!B:AH,33,0)&amp;"J"</f>
        <v>#VALUE!</v>
      </c>
      <c r="G44" s="145"/>
      <c r="H44" s="145"/>
      <c r="I44" s="145"/>
      <c r="J44" s="145"/>
      <c r="K44" s="145"/>
      <c r="L44" s="145"/>
      <c r="M44" s="145"/>
      <c r="N44" s="145"/>
      <c r="O44" s="145"/>
      <c r="P44" s="145"/>
      <c r="Q44" s="145"/>
      <c r="R44" s="147"/>
    </row>
    <row r="45" spans="1:20" ht="13.9" customHeight="1">
      <c r="A45" s="69" t="s">
        <v>304</v>
      </c>
      <c r="B45" s="144" t="e">
        <f ca="1">"DSR"&amp;VLOOKUP(F3,INDEX!B:AH,33,0)&amp;"JT"</f>
        <v>#VALUE!</v>
      </c>
      <c r="C45" s="145"/>
      <c r="D45" s="145"/>
      <c r="E45" s="145"/>
      <c r="F45" s="145"/>
      <c r="G45" s="144"/>
      <c r="H45" s="145"/>
      <c r="I45" s="145"/>
      <c r="J45" s="145"/>
      <c r="K45" s="145"/>
      <c r="L45" s="145"/>
      <c r="M45" s="145"/>
      <c r="N45" s="145"/>
      <c r="O45" s="145"/>
      <c r="P45" s="145"/>
      <c r="Q45" s="145"/>
      <c r="R45" s="147"/>
    </row>
    <row r="46" spans="1:20" ht="13.9" customHeight="1">
      <c r="A46" s="69" t="s">
        <v>305</v>
      </c>
      <c r="B46" s="144" t="e">
        <f ca="1">"DSR"&amp;VLOOKUP(F3,INDEX!B:AH,33,0)&amp;"J"&amp;", DSF"&amp;VLOOKUP(F3,INDEX!B:AH,33,0)&amp;"J"</f>
        <v>#VALUE!</v>
      </c>
      <c r="C46" s="145"/>
      <c r="D46" s="145"/>
      <c r="E46" s="145"/>
      <c r="F46" s="145"/>
      <c r="G46" s="145"/>
      <c r="H46" s="145"/>
      <c r="I46" s="145"/>
      <c r="J46" s="145"/>
      <c r="K46" s="145"/>
      <c r="L46" s="145"/>
      <c r="M46" s="145"/>
      <c r="N46" s="145"/>
      <c r="O46" s="145"/>
      <c r="P46" s="145"/>
      <c r="Q46" s="145"/>
      <c r="R46" s="147"/>
    </row>
    <row r="47" spans="1:20">
      <c r="A47" s="148" t="s">
        <v>278</v>
      </c>
      <c r="B47" s="149"/>
      <c r="C47" s="149"/>
      <c r="D47" s="149"/>
      <c r="E47" s="149"/>
      <c r="F47" s="149"/>
      <c r="G47" s="149"/>
      <c r="H47" s="149"/>
      <c r="I47" s="149"/>
      <c r="J47" s="149"/>
      <c r="K47" s="149"/>
      <c r="L47" s="149"/>
      <c r="M47" s="149"/>
      <c r="N47" s="149"/>
      <c r="O47" s="149"/>
      <c r="P47" s="149"/>
      <c r="Q47" s="149"/>
      <c r="R47" s="150"/>
    </row>
    <row r="48" spans="1:20" ht="28.15" customHeight="1">
      <c r="A48" s="114" t="s">
        <v>279</v>
      </c>
      <c r="B48" s="115"/>
      <c r="C48" s="115"/>
      <c r="D48" s="115"/>
      <c r="E48" s="115"/>
      <c r="F48" s="115"/>
      <c r="G48" s="115"/>
      <c r="H48" s="115"/>
      <c r="I48" s="115"/>
      <c r="J48" s="115"/>
      <c r="K48" s="115"/>
      <c r="L48" s="115"/>
      <c r="M48" s="115"/>
      <c r="N48" s="115"/>
      <c r="O48" s="115"/>
      <c r="P48" s="115"/>
      <c r="Q48" s="115"/>
      <c r="R48" s="116"/>
    </row>
    <row r="49" spans="1:18">
      <c r="A49" s="114" t="s">
        <v>280</v>
      </c>
      <c r="B49" s="115"/>
      <c r="C49" s="115"/>
      <c r="D49" s="115"/>
      <c r="E49" s="115"/>
      <c r="F49" s="115"/>
      <c r="G49" s="115"/>
      <c r="H49" s="115"/>
      <c r="I49" s="115"/>
      <c r="J49" s="115"/>
      <c r="K49" s="115"/>
      <c r="L49" s="115"/>
      <c r="M49" s="115"/>
      <c r="N49" s="115"/>
      <c r="O49" s="115"/>
      <c r="P49" s="115"/>
      <c r="Q49" s="115"/>
      <c r="R49" s="116"/>
    </row>
    <row r="50" spans="1:18" s="1" customFormat="1">
      <c r="A50" s="114" t="s">
        <v>281</v>
      </c>
      <c r="B50" s="115"/>
      <c r="C50" s="115"/>
      <c r="D50" s="115"/>
      <c r="E50" s="115"/>
      <c r="F50" s="115"/>
      <c r="G50" s="115"/>
      <c r="H50" s="115"/>
      <c r="I50" s="115"/>
      <c r="J50" s="115"/>
      <c r="K50" s="115"/>
      <c r="L50" s="115"/>
      <c r="M50" s="115"/>
      <c r="N50" s="115"/>
      <c r="O50" s="115"/>
      <c r="P50" s="115"/>
      <c r="Q50" s="115"/>
      <c r="R50" s="116"/>
    </row>
    <row r="51" spans="1:18" s="1" customFormat="1" ht="27.6" customHeight="1">
      <c r="A51" s="114" t="s">
        <v>324</v>
      </c>
      <c r="B51" s="115"/>
      <c r="C51" s="115"/>
      <c r="D51" s="115"/>
      <c r="E51" s="115"/>
      <c r="F51" s="115"/>
      <c r="G51" s="115"/>
      <c r="H51" s="115"/>
      <c r="I51" s="115"/>
      <c r="J51" s="115"/>
      <c r="K51" s="115"/>
      <c r="L51" s="115"/>
      <c r="M51" s="115"/>
      <c r="N51" s="115"/>
      <c r="O51" s="115"/>
      <c r="P51" s="115"/>
      <c r="Q51" s="115"/>
      <c r="R51" s="116"/>
    </row>
    <row r="52" spans="1:18" s="1" customFormat="1" ht="28.15" customHeight="1">
      <c r="A52" s="114" t="s">
        <v>283</v>
      </c>
      <c r="B52" s="115"/>
      <c r="C52" s="115"/>
      <c r="D52" s="115"/>
      <c r="E52" s="115"/>
      <c r="F52" s="115"/>
      <c r="G52" s="115"/>
      <c r="H52" s="115"/>
      <c r="I52" s="115"/>
      <c r="J52" s="115"/>
      <c r="K52" s="115"/>
      <c r="L52" s="115"/>
      <c r="M52" s="115"/>
      <c r="N52" s="115"/>
      <c r="O52" s="115"/>
      <c r="P52" s="115"/>
      <c r="Q52" s="115"/>
      <c r="R52" s="116"/>
    </row>
    <row r="53" spans="1:18">
      <c r="A53" s="114" t="s">
        <v>378</v>
      </c>
      <c r="B53" s="115"/>
      <c r="C53" s="115"/>
      <c r="D53" s="115"/>
      <c r="E53" s="115"/>
      <c r="F53" s="115"/>
      <c r="G53" s="115"/>
      <c r="H53" s="115"/>
      <c r="I53" s="115"/>
      <c r="J53" s="115"/>
      <c r="K53" s="115"/>
      <c r="L53" s="115"/>
      <c r="M53" s="115"/>
      <c r="N53" s="115"/>
      <c r="O53" s="115"/>
      <c r="P53" s="115"/>
      <c r="Q53" s="115"/>
      <c r="R53" s="116"/>
    </row>
    <row r="54" spans="1:18" ht="14.45" customHeight="1">
      <c r="A54" s="114" t="s">
        <v>397</v>
      </c>
      <c r="B54" s="115"/>
      <c r="C54" s="115"/>
      <c r="D54" s="115"/>
      <c r="E54" s="115"/>
      <c r="F54" s="115"/>
      <c r="G54" s="115"/>
      <c r="H54" s="115"/>
      <c r="I54" s="115"/>
      <c r="J54" s="115"/>
      <c r="K54" s="115"/>
      <c r="L54" s="115"/>
      <c r="M54" s="115"/>
      <c r="N54" s="115"/>
      <c r="O54" s="115"/>
      <c r="P54" s="115"/>
      <c r="Q54" s="115"/>
      <c r="R54" s="116"/>
    </row>
    <row r="55" spans="1:18" s="1" customFormat="1">
      <c r="A55" s="114" t="s">
        <v>380</v>
      </c>
      <c r="B55" s="115"/>
      <c r="C55" s="115"/>
      <c r="D55" s="115"/>
      <c r="E55" s="115"/>
      <c r="F55" s="115"/>
      <c r="G55" s="115"/>
      <c r="H55" s="115"/>
      <c r="I55" s="115"/>
      <c r="J55" s="115"/>
      <c r="K55" s="115"/>
      <c r="L55" s="115"/>
      <c r="M55" s="115"/>
      <c r="N55" s="115"/>
      <c r="O55" s="115"/>
      <c r="P55" s="115"/>
      <c r="Q55" s="115"/>
      <c r="R55" s="116"/>
    </row>
    <row r="56" spans="1:18" s="1" customFormat="1">
      <c r="A56" s="114" t="s">
        <v>381</v>
      </c>
      <c r="B56" s="115"/>
      <c r="C56" s="115"/>
      <c r="D56" s="115"/>
      <c r="E56" s="115"/>
      <c r="F56" s="115"/>
      <c r="G56" s="115"/>
      <c r="H56" s="115"/>
      <c r="I56" s="115"/>
      <c r="J56" s="115"/>
      <c r="K56" s="115"/>
      <c r="L56" s="115"/>
      <c r="M56" s="115"/>
      <c r="N56" s="115"/>
      <c r="O56" s="115"/>
      <c r="P56" s="115"/>
      <c r="Q56" s="115"/>
      <c r="R56" s="116"/>
    </row>
    <row r="57" spans="1:18" s="1" customFormat="1" ht="15.75" thickBot="1">
      <c r="A57" s="177"/>
      <c r="B57" s="178"/>
      <c r="C57" s="178"/>
      <c r="D57" s="178"/>
      <c r="E57" s="178"/>
      <c r="F57" s="178"/>
      <c r="G57" s="178"/>
      <c r="H57" s="178"/>
      <c r="I57" s="178"/>
      <c r="J57" s="178"/>
      <c r="K57" s="178"/>
      <c r="L57" s="178"/>
      <c r="M57" s="178"/>
      <c r="N57" s="178"/>
      <c r="O57" s="178"/>
      <c r="P57" s="178"/>
      <c r="Q57" s="178"/>
      <c r="R57" s="179"/>
    </row>
  </sheetData>
  <mergeCells count="88">
    <mergeCell ref="A54:R54"/>
    <mergeCell ref="A55:R55"/>
    <mergeCell ref="A56:R56"/>
    <mergeCell ref="A57:R57"/>
    <mergeCell ref="A48:R48"/>
    <mergeCell ref="A49:R49"/>
    <mergeCell ref="A50:R50"/>
    <mergeCell ref="A51:R51"/>
    <mergeCell ref="A52:R52"/>
    <mergeCell ref="A53:R53"/>
    <mergeCell ref="A47:R47"/>
    <mergeCell ref="B37:R37"/>
    <mergeCell ref="B38:R38"/>
    <mergeCell ref="A39:R39"/>
    <mergeCell ref="B40:R40"/>
    <mergeCell ref="B41:E41"/>
    <mergeCell ref="F41:R41"/>
    <mergeCell ref="B42:R42"/>
    <mergeCell ref="B43:R43"/>
    <mergeCell ref="B44:E44"/>
    <mergeCell ref="F44:R44"/>
    <mergeCell ref="B46:R46"/>
    <mergeCell ref="B45:F45"/>
    <mergeCell ref="G45:R45"/>
    <mergeCell ref="B36:R36"/>
    <mergeCell ref="B27:R27"/>
    <mergeCell ref="A28:R28"/>
    <mergeCell ref="B29:R29"/>
    <mergeCell ref="B30:E30"/>
    <mergeCell ref="F30:R30"/>
    <mergeCell ref="B31:R31"/>
    <mergeCell ref="A32:R32"/>
    <mergeCell ref="B33:R33"/>
    <mergeCell ref="B34:L34"/>
    <mergeCell ref="M34:R34"/>
    <mergeCell ref="A35:R35"/>
    <mergeCell ref="B22:R22"/>
    <mergeCell ref="B23:R23"/>
    <mergeCell ref="B24:R24"/>
    <mergeCell ref="B25:R25"/>
    <mergeCell ref="B26:E26"/>
    <mergeCell ref="F26:R26"/>
    <mergeCell ref="B18:R18"/>
    <mergeCell ref="A19:R19"/>
    <mergeCell ref="B20:J20"/>
    <mergeCell ref="K20:R20"/>
    <mergeCell ref="B21:J21"/>
    <mergeCell ref="K21:R21"/>
    <mergeCell ref="A10:R10"/>
    <mergeCell ref="B11:R11"/>
    <mergeCell ref="B16:J16"/>
    <mergeCell ref="K16:R16"/>
    <mergeCell ref="B17:J17"/>
    <mergeCell ref="K17:R17"/>
    <mergeCell ref="L8:O9"/>
    <mergeCell ref="P8:R8"/>
    <mergeCell ref="D9:E9"/>
    <mergeCell ref="F9:G9"/>
    <mergeCell ref="H9:I9"/>
    <mergeCell ref="J9:K9"/>
    <mergeCell ref="P9:R9"/>
    <mergeCell ref="A1:E6"/>
    <mergeCell ref="F1:P1"/>
    <mergeCell ref="Q1:R1"/>
    <mergeCell ref="F2:I2"/>
    <mergeCell ref="J2:L2"/>
    <mergeCell ref="M2:N2"/>
    <mergeCell ref="O2:P2"/>
    <mergeCell ref="Q2:R2"/>
    <mergeCell ref="J3:L3"/>
    <mergeCell ref="M3:N3"/>
    <mergeCell ref="O3:P3"/>
    <mergeCell ref="B9:C9"/>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s>
  <printOptions horizontalCentered="1"/>
  <pageMargins left="0.7" right="0.7" top="0.75" bottom="0.75" header="0.3" footer="0.3"/>
  <pageSetup paperSize="9" scale="88" firstPageNumber="18" orientation="portrait" r:id="rId1"/>
  <legacyDrawingHF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964DA-27E0-4D40-8D50-250AE9097C11}">
  <sheetPr codeName="Sheet40">
    <tabColor rgb="FF7030A0"/>
    <pageSetUpPr fitToPage="1"/>
  </sheetPr>
  <dimension ref="A1:AF59"/>
  <sheetViews>
    <sheetView workbookViewId="0">
      <selection activeCell="S2" sqref="S2:U2"/>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398</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368</v>
      </c>
      <c r="C14" s="17" t="s">
        <v>368</v>
      </c>
      <c r="D14" s="17" t="s">
        <v>368</v>
      </c>
      <c r="E14" s="17" t="s">
        <v>368</v>
      </c>
      <c r="F14" s="17" t="s">
        <v>368</v>
      </c>
      <c r="G14" s="17" t="s">
        <v>369</v>
      </c>
      <c r="H14" s="17" t="s">
        <v>368</v>
      </c>
      <c r="I14" s="17" t="s">
        <v>368</v>
      </c>
      <c r="J14" s="17" t="s">
        <v>368</v>
      </c>
      <c r="K14" s="17">
        <v>80</v>
      </c>
      <c r="L14" s="17">
        <v>80</v>
      </c>
      <c r="M14" s="17">
        <v>80</v>
      </c>
      <c r="N14" s="17">
        <v>100</v>
      </c>
      <c r="O14" s="17">
        <v>100</v>
      </c>
      <c r="P14" s="17">
        <v>100</v>
      </c>
      <c r="Q14" s="17">
        <v>100</v>
      </c>
      <c r="R14" s="66">
        <v>100</v>
      </c>
    </row>
    <row r="15" spans="1:18" s="3" customFormat="1">
      <c r="A15" s="70" t="s">
        <v>233</v>
      </c>
      <c r="B15" s="17">
        <v>3.73</v>
      </c>
      <c r="C15" s="17">
        <v>3.91</v>
      </c>
      <c r="D15" s="17">
        <v>4.55</v>
      </c>
      <c r="E15" s="17">
        <v>5.08</v>
      </c>
      <c r="F15" s="17">
        <v>5.54</v>
      </c>
      <c r="G15" s="17">
        <v>5.49</v>
      </c>
      <c r="H15" s="17">
        <v>8.56</v>
      </c>
      <c r="I15" s="17">
        <v>10.97</v>
      </c>
      <c r="J15" s="17">
        <v>12.7</v>
      </c>
      <c r="K15" s="17">
        <v>15.09</v>
      </c>
      <c r="L15" s="17">
        <v>17.48</v>
      </c>
      <c r="M15" s="17">
        <v>19.05</v>
      </c>
      <c r="N15" s="17">
        <v>26.19</v>
      </c>
      <c r="O15" s="17">
        <v>29.36</v>
      </c>
      <c r="P15" s="17">
        <v>32.54</v>
      </c>
      <c r="Q15" s="17">
        <v>34.93</v>
      </c>
      <c r="R15" s="66">
        <v>38.89</v>
      </c>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32">
      <c r="A17" s="69" t="s">
        <v>237</v>
      </c>
      <c r="B17" s="109" t="s">
        <v>402</v>
      </c>
      <c r="C17" s="109"/>
      <c r="D17" s="109"/>
      <c r="E17" s="109"/>
      <c r="F17" s="109"/>
      <c r="G17" s="109"/>
      <c r="H17" s="109"/>
      <c r="I17" s="109"/>
      <c r="J17" s="109"/>
      <c r="K17" s="109" t="s">
        <v>402</v>
      </c>
      <c r="L17" s="109"/>
      <c r="M17" s="109"/>
      <c r="N17" s="109"/>
      <c r="O17" s="109"/>
      <c r="P17" s="109"/>
      <c r="Q17" s="109"/>
      <c r="R17" s="110"/>
    </row>
    <row r="18" spans="1:32">
      <c r="A18" s="69" t="s">
        <v>240</v>
      </c>
      <c r="B18" s="144" t="s">
        <v>241</v>
      </c>
      <c r="C18" s="145"/>
      <c r="D18" s="145"/>
      <c r="E18" s="145"/>
      <c r="F18" s="145"/>
      <c r="G18" s="145"/>
      <c r="H18" s="145"/>
      <c r="I18" s="145"/>
      <c r="J18" s="145"/>
      <c r="K18" s="145"/>
      <c r="L18" s="145"/>
      <c r="M18" s="145"/>
      <c r="N18" s="145"/>
      <c r="O18" s="145"/>
      <c r="P18" s="145"/>
      <c r="Q18" s="145"/>
      <c r="R18" s="147"/>
    </row>
    <row r="19" spans="1:32">
      <c r="A19" s="117" t="s">
        <v>242</v>
      </c>
      <c r="B19" s="109"/>
      <c r="C19" s="109"/>
      <c r="D19" s="109"/>
      <c r="E19" s="109"/>
      <c r="F19" s="109"/>
      <c r="G19" s="109"/>
      <c r="H19" s="109"/>
      <c r="I19" s="109"/>
      <c r="J19" s="109"/>
      <c r="K19" s="109"/>
      <c r="L19" s="109"/>
      <c r="M19" s="109"/>
      <c r="N19" s="109"/>
      <c r="O19" s="109"/>
      <c r="P19" s="109"/>
      <c r="Q19" s="109"/>
      <c r="R19" s="110"/>
    </row>
    <row r="20" spans="1:32" ht="15" customHeight="1">
      <c r="A20" s="69" t="s">
        <v>234</v>
      </c>
      <c r="B20" s="144" t="s">
        <v>243</v>
      </c>
      <c r="C20" s="145"/>
      <c r="D20" s="145"/>
      <c r="E20" s="145"/>
      <c r="F20" s="145"/>
      <c r="G20" s="145"/>
      <c r="H20" s="145"/>
      <c r="I20" s="145"/>
      <c r="J20" s="146"/>
      <c r="K20" s="144" t="s">
        <v>244</v>
      </c>
      <c r="L20" s="145"/>
      <c r="M20" s="145"/>
      <c r="N20" s="145"/>
      <c r="O20" s="145"/>
      <c r="P20" s="145"/>
      <c r="Q20" s="145"/>
      <c r="R20" s="147"/>
      <c r="Y20" s="3"/>
      <c r="Z20" s="3"/>
      <c r="AA20" s="3"/>
      <c r="AC20" s="3"/>
      <c r="AD20" s="3"/>
      <c r="AE20" s="3"/>
      <c r="AF20" s="3"/>
    </row>
    <row r="21" spans="1:32" ht="15" customHeight="1">
      <c r="A21" s="69" t="s">
        <v>237</v>
      </c>
      <c r="B21" s="144" t="s">
        <v>403</v>
      </c>
      <c r="C21" s="145"/>
      <c r="D21" s="145"/>
      <c r="E21" s="145"/>
      <c r="F21" s="145"/>
      <c r="G21" s="145"/>
      <c r="H21" s="145"/>
      <c r="I21" s="145"/>
      <c r="J21" s="146"/>
      <c r="K21" s="109" t="s">
        <v>404</v>
      </c>
      <c r="L21" s="109"/>
      <c r="M21" s="109"/>
      <c r="N21" s="109"/>
      <c r="O21" s="109"/>
      <c r="P21" s="109"/>
      <c r="Q21" s="109"/>
      <c r="R21" s="110"/>
      <c r="Y21" s="3"/>
      <c r="Z21" s="3"/>
      <c r="AA21" s="3"/>
      <c r="AC21" s="3"/>
      <c r="AD21" s="3"/>
      <c r="AE21" s="3"/>
      <c r="AF21" s="3"/>
    </row>
    <row r="22" spans="1:32" ht="15" customHeight="1">
      <c r="A22" s="69" t="s">
        <v>246</v>
      </c>
      <c r="B22" s="144" t="s">
        <v>247</v>
      </c>
      <c r="C22" s="145"/>
      <c r="D22" s="145"/>
      <c r="E22" s="145"/>
      <c r="F22" s="145"/>
      <c r="G22" s="145"/>
      <c r="H22" s="145"/>
      <c r="I22" s="145"/>
      <c r="J22" s="145"/>
      <c r="K22" s="145"/>
      <c r="L22" s="145"/>
      <c r="M22" s="145"/>
      <c r="N22" s="145"/>
      <c r="O22" s="145"/>
      <c r="P22" s="145"/>
      <c r="Q22" s="145"/>
      <c r="R22" s="147"/>
    </row>
    <row r="23" spans="1:32"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32"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32"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32" ht="15" customHeight="1">
      <c r="A26" s="69" t="s">
        <v>251</v>
      </c>
      <c r="B26" s="151" t="s">
        <v>290</v>
      </c>
      <c r="C26" s="145"/>
      <c r="D26" s="145"/>
      <c r="E26" s="146"/>
      <c r="F26" s="144"/>
      <c r="G26" s="145"/>
      <c r="H26" s="145"/>
      <c r="I26" s="145"/>
      <c r="J26" s="145"/>
      <c r="K26" s="145"/>
      <c r="L26" s="145"/>
      <c r="M26" s="145"/>
      <c r="N26" s="145"/>
      <c r="O26" s="145"/>
      <c r="P26" s="145"/>
      <c r="Q26" s="145"/>
      <c r="R26" s="147"/>
    </row>
    <row r="27" spans="1:32" ht="15" customHeight="1">
      <c r="A27" s="69" t="s">
        <v>253</v>
      </c>
      <c r="B27" s="144" t="s">
        <v>405</v>
      </c>
      <c r="C27" s="145"/>
      <c r="D27" s="145"/>
      <c r="E27" s="145"/>
      <c r="F27" s="145"/>
      <c r="G27" s="145"/>
      <c r="H27" s="145"/>
      <c r="I27" s="145"/>
      <c r="J27" s="145"/>
      <c r="K27" s="145" t="s">
        <v>392</v>
      </c>
      <c r="L27" s="145"/>
      <c r="M27" s="145"/>
      <c r="N27" s="145"/>
      <c r="O27" s="145"/>
      <c r="P27" s="145"/>
      <c r="Q27" s="145"/>
      <c r="R27" s="147"/>
    </row>
    <row r="28" spans="1:32" s="1" customFormat="1">
      <c r="A28" s="117" t="s">
        <v>255</v>
      </c>
      <c r="B28" s="109"/>
      <c r="C28" s="109"/>
      <c r="D28" s="109"/>
      <c r="E28" s="109"/>
      <c r="F28" s="109"/>
      <c r="G28" s="109"/>
      <c r="H28" s="109"/>
      <c r="I28" s="109"/>
      <c r="J28" s="109"/>
      <c r="K28" s="109"/>
      <c r="L28" s="109"/>
      <c r="M28" s="109"/>
      <c r="N28" s="109"/>
      <c r="O28" s="109"/>
      <c r="P28" s="109"/>
      <c r="Q28" s="109"/>
      <c r="R28" s="110"/>
    </row>
    <row r="29" spans="1:32" s="1" customFormat="1" ht="14.45" customHeight="1">
      <c r="A29" s="69" t="s">
        <v>237</v>
      </c>
      <c r="B29" s="144" t="s">
        <v>406</v>
      </c>
      <c r="C29" s="145"/>
      <c r="D29" s="145"/>
      <c r="E29" s="145"/>
      <c r="F29" s="145"/>
      <c r="G29" s="145"/>
      <c r="H29" s="145"/>
      <c r="I29" s="145"/>
      <c r="J29" s="145"/>
      <c r="K29" s="145"/>
      <c r="L29" s="145"/>
      <c r="M29" s="145"/>
      <c r="N29" s="145"/>
      <c r="O29" s="145"/>
      <c r="P29" s="145"/>
      <c r="Q29" s="145"/>
      <c r="R29" s="147"/>
    </row>
    <row r="30" spans="1:32" s="1" customFormat="1" ht="15.75" customHeight="1">
      <c r="A30" s="69" t="s">
        <v>257</v>
      </c>
      <c r="B30" s="144" t="s">
        <v>299</v>
      </c>
      <c r="C30" s="145"/>
      <c r="D30" s="145"/>
      <c r="E30" s="145"/>
      <c r="F30" s="145"/>
      <c r="G30" s="145"/>
      <c r="H30" s="145"/>
      <c r="I30" s="145"/>
      <c r="J30" s="145"/>
      <c r="K30" s="145"/>
      <c r="L30" s="145"/>
      <c r="M30" s="145"/>
      <c r="N30" s="145"/>
      <c r="O30" s="145"/>
      <c r="P30" s="145"/>
      <c r="Q30" s="145"/>
      <c r="R30" s="147"/>
    </row>
    <row r="31" spans="1:32" s="1" customFormat="1" ht="15.75" customHeight="1">
      <c r="A31" s="69" t="s">
        <v>234</v>
      </c>
      <c r="B31" s="144" t="s">
        <v>376</v>
      </c>
      <c r="C31" s="145"/>
      <c r="D31" s="145"/>
      <c r="E31" s="145"/>
      <c r="F31" s="145"/>
      <c r="G31" s="145"/>
      <c r="H31" s="145"/>
      <c r="I31" s="145"/>
      <c r="J31" s="145"/>
      <c r="K31" s="145"/>
      <c r="L31" s="145"/>
      <c r="M31" s="145"/>
      <c r="N31" s="145"/>
      <c r="O31" s="145"/>
      <c r="P31" s="145"/>
      <c r="Q31" s="145"/>
      <c r="R31" s="147"/>
    </row>
    <row r="32" spans="1:32" s="1" customFormat="1" ht="30">
      <c r="A32" s="69" t="s">
        <v>315</v>
      </c>
      <c r="B32" s="144"/>
      <c r="C32" s="145"/>
      <c r="D32" s="145"/>
      <c r="E32" s="145"/>
      <c r="F32" s="146"/>
      <c r="G32" s="144" t="s">
        <v>316</v>
      </c>
      <c r="H32" s="145"/>
      <c r="I32" s="145"/>
      <c r="J32" s="145"/>
      <c r="K32" s="145"/>
      <c r="L32" s="145"/>
      <c r="M32" s="145"/>
      <c r="N32" s="145"/>
      <c r="O32" s="145"/>
      <c r="P32" s="145"/>
      <c r="Q32" s="145"/>
      <c r="R32" s="147"/>
    </row>
    <row r="33" spans="1:20" s="1" customFormat="1" ht="44.45" customHeight="1">
      <c r="A33" s="69" t="s">
        <v>317</v>
      </c>
      <c r="B33" s="144"/>
      <c r="C33" s="145"/>
      <c r="D33" s="145"/>
      <c r="E33" s="145"/>
      <c r="F33" s="146"/>
      <c r="G33" s="144" t="s">
        <v>408</v>
      </c>
      <c r="H33" s="145"/>
      <c r="I33" s="145"/>
      <c r="J33" s="145"/>
      <c r="K33" s="145"/>
      <c r="L33" s="145"/>
      <c r="M33" s="145"/>
      <c r="N33" s="145"/>
      <c r="O33" s="145"/>
      <c r="P33" s="145"/>
      <c r="Q33" s="145"/>
      <c r="R33" s="147"/>
    </row>
    <row r="34" spans="1:20" s="1" customFormat="1" ht="15" customHeight="1">
      <c r="A34" s="117" t="s">
        <v>260</v>
      </c>
      <c r="B34" s="109"/>
      <c r="C34" s="109"/>
      <c r="D34" s="109"/>
      <c r="E34" s="109"/>
      <c r="F34" s="109"/>
      <c r="G34" s="109"/>
      <c r="H34" s="109"/>
      <c r="I34" s="109"/>
      <c r="J34" s="109"/>
      <c r="K34" s="109"/>
      <c r="L34" s="109"/>
      <c r="M34" s="109"/>
      <c r="N34" s="109"/>
      <c r="O34" s="109"/>
      <c r="P34" s="109"/>
      <c r="Q34" s="109"/>
      <c r="R34" s="110"/>
    </row>
    <row r="35" spans="1:20" s="1" customFormat="1" ht="15" customHeight="1">
      <c r="A35" s="69" t="s">
        <v>237</v>
      </c>
      <c r="B35" s="144" t="s">
        <v>406</v>
      </c>
      <c r="C35" s="145"/>
      <c r="D35" s="145"/>
      <c r="E35" s="145"/>
      <c r="F35" s="145"/>
      <c r="G35" s="145"/>
      <c r="H35" s="145"/>
      <c r="I35" s="145"/>
      <c r="J35" s="145"/>
      <c r="K35" s="145"/>
      <c r="L35" s="145"/>
      <c r="M35" s="145"/>
      <c r="N35" s="145"/>
      <c r="O35" s="145"/>
      <c r="P35" s="145"/>
      <c r="Q35" s="145"/>
      <c r="R35" s="147"/>
    </row>
    <row r="36" spans="1:20" s="1" customFormat="1" ht="13.9"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20" s="1" customFormat="1" ht="13.9" customHeight="1">
      <c r="A37" s="117" t="s">
        <v>264</v>
      </c>
      <c r="B37" s="109"/>
      <c r="C37" s="109"/>
      <c r="D37" s="109"/>
      <c r="E37" s="109"/>
      <c r="F37" s="109"/>
      <c r="G37" s="109"/>
      <c r="H37" s="109"/>
      <c r="I37" s="109"/>
      <c r="J37" s="109"/>
      <c r="K37" s="109"/>
      <c r="L37" s="109"/>
      <c r="M37" s="109"/>
      <c r="N37" s="109"/>
      <c r="O37" s="109"/>
      <c r="P37" s="109"/>
      <c r="Q37" s="109"/>
      <c r="R37" s="110"/>
    </row>
    <row r="38" spans="1:20" s="1" customFormat="1" ht="13.9" customHeight="1">
      <c r="A38" s="69" t="s">
        <v>265</v>
      </c>
      <c r="B38" s="144" t="s">
        <v>394</v>
      </c>
      <c r="C38" s="145"/>
      <c r="D38" s="145"/>
      <c r="E38" s="145"/>
      <c r="F38" s="145"/>
      <c r="G38" s="145"/>
      <c r="H38" s="145"/>
      <c r="I38" s="145"/>
      <c r="J38" s="145"/>
      <c r="K38" s="145"/>
      <c r="L38" s="145"/>
      <c r="M38" s="145"/>
      <c r="N38" s="145"/>
      <c r="O38" s="145"/>
      <c r="P38" s="145"/>
      <c r="Q38" s="145"/>
      <c r="R38" s="147"/>
    </row>
    <row r="39" spans="1:20" s="1" customFormat="1" ht="13.9" customHeight="1">
      <c r="A39" s="69" t="s">
        <v>267</v>
      </c>
      <c r="B39" s="144" t="s">
        <v>394</v>
      </c>
      <c r="C39" s="145"/>
      <c r="D39" s="145"/>
      <c r="E39" s="145"/>
      <c r="F39" s="145"/>
      <c r="G39" s="145"/>
      <c r="H39" s="145"/>
      <c r="I39" s="145"/>
      <c r="J39" s="145"/>
      <c r="K39" s="145"/>
      <c r="L39" s="145"/>
      <c r="M39" s="145"/>
      <c r="N39" s="145"/>
      <c r="O39" s="145"/>
      <c r="P39" s="145"/>
      <c r="Q39" s="145"/>
      <c r="R39" s="147"/>
    </row>
    <row r="40" spans="1:20" s="1" customFormat="1">
      <c r="A40" s="69" t="s">
        <v>269</v>
      </c>
      <c r="B40" s="109" t="s">
        <v>409</v>
      </c>
      <c r="C40" s="109"/>
      <c r="D40" s="109"/>
      <c r="E40" s="109"/>
      <c r="F40" s="109"/>
      <c r="G40" s="109"/>
      <c r="H40" s="109"/>
      <c r="I40" s="109"/>
      <c r="J40" s="109"/>
      <c r="K40" s="109"/>
      <c r="L40" s="109"/>
      <c r="M40" s="109"/>
      <c r="N40" s="109"/>
      <c r="O40" s="109"/>
      <c r="P40" s="109"/>
      <c r="Q40" s="109"/>
      <c r="R40" s="110"/>
    </row>
    <row r="41" spans="1:20" ht="14.45" customHeight="1">
      <c r="A41" s="141" t="s">
        <v>271</v>
      </c>
      <c r="B41" s="142"/>
      <c r="C41" s="142"/>
      <c r="D41" s="142"/>
      <c r="E41" s="142"/>
      <c r="F41" s="142"/>
      <c r="G41" s="142"/>
      <c r="H41" s="142"/>
      <c r="I41" s="142"/>
      <c r="J41" s="142"/>
      <c r="K41" s="142"/>
      <c r="L41" s="142"/>
      <c r="M41" s="142"/>
      <c r="N41" s="142"/>
      <c r="O41" s="142"/>
      <c r="P41" s="142"/>
      <c r="Q41" s="142"/>
      <c r="R41" s="143"/>
    </row>
    <row r="42" spans="1:20"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c r="T42" s="6"/>
    </row>
    <row r="43" spans="1:20">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20">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20" ht="13.9" customHeight="1">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20" ht="13.9" customHeight="1">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20">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20" ht="29.45"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c r="A49" s="148" t="s">
        <v>278</v>
      </c>
      <c r="B49" s="149"/>
      <c r="C49" s="149"/>
      <c r="D49" s="149"/>
      <c r="E49" s="149"/>
      <c r="F49" s="149"/>
      <c r="G49" s="149"/>
      <c r="H49" s="149"/>
      <c r="I49" s="149"/>
      <c r="J49" s="149"/>
      <c r="K49" s="149"/>
      <c r="L49" s="149"/>
      <c r="M49" s="149"/>
      <c r="N49" s="149"/>
      <c r="O49" s="149"/>
      <c r="P49" s="149"/>
      <c r="Q49" s="149"/>
      <c r="R49" s="150"/>
    </row>
    <row r="50" spans="1:18" s="1" customFormat="1" ht="29.45" customHeight="1">
      <c r="A50" s="114" t="s">
        <v>279</v>
      </c>
      <c r="B50" s="115"/>
      <c r="C50" s="115"/>
      <c r="D50" s="115"/>
      <c r="E50" s="115"/>
      <c r="F50" s="115"/>
      <c r="G50" s="115"/>
      <c r="H50" s="115"/>
      <c r="I50" s="115"/>
      <c r="J50" s="115"/>
      <c r="K50" s="115"/>
      <c r="L50" s="115"/>
      <c r="M50" s="115"/>
      <c r="N50" s="115"/>
      <c r="O50" s="115"/>
      <c r="P50" s="115"/>
      <c r="Q50" s="115"/>
      <c r="R50" s="116"/>
    </row>
    <row r="51" spans="1:18" s="1" customFormat="1">
      <c r="A51" s="114" t="s">
        <v>280</v>
      </c>
      <c r="B51" s="115"/>
      <c r="C51" s="115"/>
      <c r="D51" s="115"/>
      <c r="E51" s="115"/>
      <c r="F51" s="115"/>
      <c r="G51" s="115"/>
      <c r="H51" s="115"/>
      <c r="I51" s="115"/>
      <c r="J51" s="115"/>
      <c r="K51" s="115"/>
      <c r="L51" s="115"/>
      <c r="M51" s="115"/>
      <c r="N51" s="115"/>
      <c r="O51" s="115"/>
      <c r="P51" s="115"/>
      <c r="Q51" s="115"/>
      <c r="R51" s="116"/>
    </row>
    <row r="52" spans="1:18" s="1" customFormat="1">
      <c r="A52" s="114" t="s">
        <v>281</v>
      </c>
      <c r="B52" s="115"/>
      <c r="C52" s="115"/>
      <c r="D52" s="115"/>
      <c r="E52" s="115"/>
      <c r="F52" s="115"/>
      <c r="G52" s="115"/>
      <c r="H52" s="115"/>
      <c r="I52" s="115"/>
      <c r="J52" s="115"/>
      <c r="K52" s="115"/>
      <c r="L52" s="115"/>
      <c r="M52" s="115"/>
      <c r="N52" s="115"/>
      <c r="O52" s="115"/>
      <c r="P52" s="115"/>
      <c r="Q52" s="115"/>
      <c r="R52" s="116"/>
    </row>
    <row r="53" spans="1:18">
      <c r="A53" s="114" t="s">
        <v>324</v>
      </c>
      <c r="B53" s="115"/>
      <c r="C53" s="115"/>
      <c r="D53" s="115"/>
      <c r="E53" s="115"/>
      <c r="F53" s="115"/>
      <c r="G53" s="115"/>
      <c r="H53" s="115"/>
      <c r="I53" s="115"/>
      <c r="J53" s="115"/>
      <c r="K53" s="115"/>
      <c r="L53" s="115"/>
      <c r="M53" s="115"/>
      <c r="N53" s="115"/>
      <c r="O53" s="115"/>
      <c r="P53" s="115"/>
      <c r="Q53" s="115"/>
      <c r="R53" s="116"/>
    </row>
    <row r="54" spans="1:18" ht="14.45" customHeight="1">
      <c r="A54" s="114" t="s">
        <v>283</v>
      </c>
      <c r="B54" s="115"/>
      <c r="C54" s="115"/>
      <c r="D54" s="115"/>
      <c r="E54" s="115"/>
      <c r="F54" s="115"/>
      <c r="G54" s="115"/>
      <c r="H54" s="115"/>
      <c r="I54" s="115"/>
      <c r="J54" s="115"/>
      <c r="K54" s="115"/>
      <c r="L54" s="115"/>
      <c r="M54" s="115"/>
      <c r="N54" s="115"/>
      <c r="O54" s="115"/>
      <c r="P54" s="115"/>
      <c r="Q54" s="115"/>
      <c r="R54" s="116"/>
    </row>
    <row r="55" spans="1:18" s="1" customFormat="1">
      <c r="A55" s="114" t="s">
        <v>378</v>
      </c>
      <c r="B55" s="115"/>
      <c r="C55" s="115"/>
      <c r="D55" s="115"/>
      <c r="E55" s="115"/>
      <c r="F55" s="115"/>
      <c r="G55" s="115"/>
      <c r="H55" s="115"/>
      <c r="I55" s="115"/>
      <c r="J55" s="115"/>
      <c r="K55" s="115"/>
      <c r="L55" s="115"/>
      <c r="M55" s="115"/>
      <c r="N55" s="115"/>
      <c r="O55" s="115"/>
      <c r="P55" s="115"/>
      <c r="Q55" s="115"/>
      <c r="R55" s="116"/>
    </row>
    <row r="56" spans="1:18" s="1" customFormat="1">
      <c r="A56" s="114" t="s">
        <v>397</v>
      </c>
      <c r="B56" s="115"/>
      <c r="C56" s="115"/>
      <c r="D56" s="115"/>
      <c r="E56" s="115"/>
      <c r="F56" s="115"/>
      <c r="G56" s="115"/>
      <c r="H56" s="115"/>
      <c r="I56" s="115"/>
      <c r="J56" s="115"/>
      <c r="K56" s="115"/>
      <c r="L56" s="115"/>
      <c r="M56" s="115"/>
      <c r="N56" s="115"/>
      <c r="O56" s="115"/>
      <c r="P56" s="115"/>
      <c r="Q56" s="115"/>
      <c r="R56" s="116"/>
    </row>
    <row r="57" spans="1:18" s="1" customFormat="1">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1">
    <mergeCell ref="A57:R57"/>
    <mergeCell ref="A58:R58"/>
    <mergeCell ref="A59:R59"/>
    <mergeCell ref="A51:R51"/>
    <mergeCell ref="A52:R52"/>
    <mergeCell ref="A53:R53"/>
    <mergeCell ref="A54:R54"/>
    <mergeCell ref="A55:R55"/>
    <mergeCell ref="A56:R56"/>
    <mergeCell ref="A50:R50"/>
    <mergeCell ref="B40:R40"/>
    <mergeCell ref="A41:R41"/>
    <mergeCell ref="B42:R42"/>
    <mergeCell ref="B43:E43"/>
    <mergeCell ref="F43:R43"/>
    <mergeCell ref="B44:R44"/>
    <mergeCell ref="B45:R45"/>
    <mergeCell ref="B46:E46"/>
    <mergeCell ref="F46:R46"/>
    <mergeCell ref="A49:R49"/>
    <mergeCell ref="B48:R48"/>
    <mergeCell ref="B47:F47"/>
    <mergeCell ref="G47:R47"/>
    <mergeCell ref="B39:R39"/>
    <mergeCell ref="B27:R27"/>
    <mergeCell ref="A28:R28"/>
    <mergeCell ref="B29:R29"/>
    <mergeCell ref="B30:R30"/>
    <mergeCell ref="B31:R31"/>
    <mergeCell ref="A34:R34"/>
    <mergeCell ref="B35:R35"/>
    <mergeCell ref="B36:L36"/>
    <mergeCell ref="M36:R36"/>
    <mergeCell ref="A37:R37"/>
    <mergeCell ref="B38:R38"/>
    <mergeCell ref="B32:F32"/>
    <mergeCell ref="G32:R32"/>
    <mergeCell ref="B33:F33"/>
    <mergeCell ref="G33:R33"/>
    <mergeCell ref="B22:R22"/>
    <mergeCell ref="B23:R23"/>
    <mergeCell ref="B24:R24"/>
    <mergeCell ref="B25:R25"/>
    <mergeCell ref="B26:E26"/>
    <mergeCell ref="F26:R26"/>
    <mergeCell ref="B18:R18"/>
    <mergeCell ref="A19:R19"/>
    <mergeCell ref="B20:J20"/>
    <mergeCell ref="K20:R20"/>
    <mergeCell ref="B21:J21"/>
    <mergeCell ref="K21:R21"/>
    <mergeCell ref="A10:R10"/>
    <mergeCell ref="B11:R11"/>
    <mergeCell ref="B16:J16"/>
    <mergeCell ref="K16:R16"/>
    <mergeCell ref="B17:J17"/>
    <mergeCell ref="K17:R17"/>
    <mergeCell ref="L8:O9"/>
    <mergeCell ref="P8:R8"/>
    <mergeCell ref="D9:E9"/>
    <mergeCell ref="F9:G9"/>
    <mergeCell ref="H9:I9"/>
    <mergeCell ref="J9:K9"/>
    <mergeCell ref="P9:R9"/>
    <mergeCell ref="A1:E6"/>
    <mergeCell ref="F1:P1"/>
    <mergeCell ref="Q1:R1"/>
    <mergeCell ref="F2:I2"/>
    <mergeCell ref="J2:L2"/>
    <mergeCell ref="M2:N2"/>
    <mergeCell ref="O2:P2"/>
    <mergeCell ref="Q2:R2"/>
    <mergeCell ref="J3:L3"/>
    <mergeCell ref="M3:N3"/>
    <mergeCell ref="O3:P3"/>
    <mergeCell ref="B9:C9"/>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s>
  <printOptions horizontalCentered="1"/>
  <pageMargins left="0.7" right="0.7" top="0.75" bottom="0.75" header="0.3" footer="0.3"/>
  <pageSetup paperSize="9" scale="83" firstPageNumber="18" orientation="portrait" r:id="rId1"/>
  <legacyDrawingHF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B26E-99FC-4A5F-B03B-2EB7478A9F3C}">
  <sheetPr codeName="Sheet41">
    <tabColor rgb="FF7030A0"/>
    <pageSetUpPr fitToPage="1"/>
  </sheetPr>
  <dimension ref="A1:Z59"/>
  <sheetViews>
    <sheetView workbookViewId="0">
      <selection activeCell="S2" sqref="S2:U2"/>
    </sheetView>
  </sheetViews>
  <sheetFormatPr defaultColWidth="9.140625" defaultRowHeight="15"/>
  <cols>
    <col min="1" max="1" width="10.7109375" style="5" customWidth="1"/>
    <col min="2" max="22" width="5.28515625" style="5" customWidth="1"/>
    <col min="23" max="16384" width="9.140625" style="5"/>
  </cols>
  <sheetData>
    <row r="1" spans="1:18" ht="14.45" customHeight="1">
      <c r="A1" s="132" t="e" vm="1">
        <v>#VALUE!</v>
      </c>
      <c r="B1" s="133"/>
      <c r="C1" s="133"/>
      <c r="D1" s="133"/>
      <c r="E1" s="134"/>
      <c r="F1" s="165" t="s">
        <v>213</v>
      </c>
      <c r="G1" s="166"/>
      <c r="H1" s="166"/>
      <c r="I1" s="166"/>
      <c r="J1" s="166"/>
      <c r="K1" s="166"/>
      <c r="L1" s="166"/>
      <c r="M1" s="166"/>
      <c r="N1" s="166"/>
      <c r="O1" s="166"/>
      <c r="P1" s="166"/>
      <c r="Q1" s="153" t="s">
        <v>214</v>
      </c>
      <c r="R1" s="154"/>
    </row>
    <row r="2" spans="1:18" ht="15.75" customHeight="1">
      <c r="A2" s="135"/>
      <c r="B2" s="136"/>
      <c r="C2" s="136"/>
      <c r="D2" s="136"/>
      <c r="E2" s="137"/>
      <c r="F2" s="127" t="s">
        <v>215</v>
      </c>
      <c r="G2" s="101"/>
      <c r="H2" s="101"/>
      <c r="I2" s="101"/>
      <c r="J2" s="151" t="s">
        <v>216</v>
      </c>
      <c r="K2" s="152"/>
      <c r="L2" s="127"/>
      <c r="M2" s="101" t="s">
        <v>217</v>
      </c>
      <c r="N2" s="101"/>
      <c r="O2" s="101" t="s">
        <v>13</v>
      </c>
      <c r="P2" s="101"/>
      <c r="Q2" s="101" t="s">
        <v>10</v>
      </c>
      <c r="R2" s="102"/>
    </row>
    <row r="3" spans="1:18">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ht="13.9"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ht="14.4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ht="14.45" customHeight="1">
      <c r="A7" s="167" t="s">
        <v>221</v>
      </c>
      <c r="B7" s="168"/>
      <c r="C7" s="168"/>
      <c r="D7" s="168"/>
      <c r="E7" s="168"/>
      <c r="F7" s="169"/>
      <c r="G7" s="169"/>
      <c r="H7" s="169"/>
      <c r="I7" s="169"/>
      <c r="J7" s="169"/>
      <c r="K7" s="169"/>
      <c r="L7" s="169"/>
      <c r="M7" s="169"/>
      <c r="N7" s="169"/>
      <c r="O7" s="169"/>
      <c r="P7" s="169"/>
      <c r="Q7" s="169"/>
      <c r="R7" s="170"/>
    </row>
    <row r="8" spans="1:18" s="3" customFormat="1">
      <c r="A8" s="67"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171"/>
      <c r="M8" s="172"/>
      <c r="N8" s="172"/>
      <c r="O8" s="173"/>
      <c r="P8" s="151" t="s">
        <v>223</v>
      </c>
      <c r="Q8" s="152"/>
      <c r="R8" s="161"/>
    </row>
    <row r="9" spans="1:18" s="3" customFormat="1">
      <c r="A9" s="67" t="s">
        <v>224</v>
      </c>
      <c r="B9" s="151" t="e">
        <f ca="1">VLOOKUP(F3,INDEX!B:Z,19,0)&amp;" to 38"</f>
        <v>#VALUE!</v>
      </c>
      <c r="C9" s="127"/>
      <c r="D9" s="151">
        <v>50</v>
      </c>
      <c r="E9" s="127"/>
      <c r="F9" s="151">
        <v>100</v>
      </c>
      <c r="G9" s="127"/>
      <c r="H9" s="151">
        <v>150</v>
      </c>
      <c r="I9" s="127"/>
      <c r="J9" s="151">
        <v>200</v>
      </c>
      <c r="K9" s="127"/>
      <c r="L9" s="174"/>
      <c r="M9" s="175"/>
      <c r="N9" s="175"/>
      <c r="O9" s="176"/>
      <c r="P9" s="151" t="e">
        <f ca="1">B8*1.5</f>
        <v>#VALUE!</v>
      </c>
      <c r="Q9" s="152"/>
      <c r="R9" s="161"/>
    </row>
    <row r="10" spans="1:18" s="3" customFormat="1">
      <c r="A10" s="162" t="s">
        <v>225</v>
      </c>
      <c r="B10" s="163"/>
      <c r="C10" s="163"/>
      <c r="D10" s="163"/>
      <c r="E10" s="163"/>
      <c r="F10" s="163"/>
      <c r="G10" s="163"/>
      <c r="H10" s="163"/>
      <c r="I10" s="163"/>
      <c r="J10" s="163"/>
      <c r="K10" s="163"/>
      <c r="L10" s="163"/>
      <c r="M10" s="163"/>
      <c r="N10" s="163"/>
      <c r="O10" s="163"/>
      <c r="P10" s="163"/>
      <c r="Q10" s="163"/>
      <c r="R10" s="164"/>
    </row>
    <row r="11" spans="1:18">
      <c r="A11" s="69" t="s">
        <v>226</v>
      </c>
      <c r="B11" s="109" t="s">
        <v>227</v>
      </c>
      <c r="C11" s="109"/>
      <c r="D11" s="109"/>
      <c r="E11" s="109"/>
      <c r="F11" s="109"/>
      <c r="G11" s="109"/>
      <c r="H11" s="109"/>
      <c r="I11" s="109"/>
      <c r="J11" s="109"/>
      <c r="K11" s="109"/>
      <c r="L11" s="109"/>
      <c r="M11" s="109"/>
      <c r="N11" s="109"/>
      <c r="O11" s="109"/>
      <c r="P11" s="109"/>
      <c r="Q11" s="109"/>
      <c r="R11" s="110"/>
    </row>
    <row r="12" spans="1:18" s="3" customFormat="1">
      <c r="A12" s="70" t="s">
        <v>228</v>
      </c>
      <c r="B12" s="17">
        <v>0.5</v>
      </c>
      <c r="C12" s="17">
        <v>0.75</v>
      </c>
      <c r="D12" s="17">
        <v>1</v>
      </c>
      <c r="E12" s="17">
        <v>1.5</v>
      </c>
      <c r="F12" s="17">
        <v>2</v>
      </c>
      <c r="G12" s="17">
        <v>3</v>
      </c>
      <c r="H12" s="17">
        <v>4</v>
      </c>
      <c r="I12" s="17">
        <v>6</v>
      </c>
      <c r="J12" s="17">
        <v>8</v>
      </c>
      <c r="K12" s="17">
        <v>10</v>
      </c>
      <c r="L12" s="17">
        <v>12</v>
      </c>
      <c r="M12" s="17">
        <v>14</v>
      </c>
      <c r="N12" s="17">
        <v>16</v>
      </c>
      <c r="O12" s="17">
        <v>18</v>
      </c>
      <c r="P12" s="17">
        <v>20</v>
      </c>
      <c r="Q12" s="17">
        <v>22</v>
      </c>
      <c r="R12" s="66">
        <v>24</v>
      </c>
    </row>
    <row r="13" spans="1:18" s="3" customFormat="1">
      <c r="A13" s="70" t="s">
        <v>229</v>
      </c>
      <c r="B13" s="17">
        <v>21.3</v>
      </c>
      <c r="C13" s="17">
        <v>26.7</v>
      </c>
      <c r="D13" s="17">
        <v>33.4</v>
      </c>
      <c r="E13" s="17">
        <v>48.3</v>
      </c>
      <c r="F13" s="17">
        <v>60.3</v>
      </c>
      <c r="G13" s="17">
        <v>88.9</v>
      </c>
      <c r="H13" s="17">
        <v>114.3</v>
      </c>
      <c r="I13" s="17">
        <v>168.3</v>
      </c>
      <c r="J13" s="17">
        <v>219.1</v>
      </c>
      <c r="K13" s="17">
        <v>273.10000000000002</v>
      </c>
      <c r="L13" s="17">
        <v>323.89999999999998</v>
      </c>
      <c r="M13" s="17">
        <v>355.6</v>
      </c>
      <c r="N13" s="17">
        <v>406.4</v>
      </c>
      <c r="O13" s="17">
        <v>457</v>
      </c>
      <c r="P13" s="17">
        <v>508</v>
      </c>
      <c r="Q13" s="17">
        <v>559</v>
      </c>
      <c r="R13" s="66">
        <v>610</v>
      </c>
    </row>
    <row r="14" spans="1:18" s="3" customFormat="1">
      <c r="A14" s="70" t="s">
        <v>230</v>
      </c>
      <c r="B14" s="17" t="s">
        <v>368</v>
      </c>
      <c r="C14" s="17" t="s">
        <v>368</v>
      </c>
      <c r="D14" s="17" t="s">
        <v>368</v>
      </c>
      <c r="E14" s="17" t="s">
        <v>368</v>
      </c>
      <c r="F14" s="17" t="s">
        <v>368</v>
      </c>
      <c r="G14" s="17">
        <v>160</v>
      </c>
      <c r="H14" s="17">
        <v>120</v>
      </c>
      <c r="I14" s="17">
        <v>160</v>
      </c>
      <c r="J14" s="17">
        <v>140</v>
      </c>
      <c r="K14" s="17">
        <v>140</v>
      </c>
      <c r="L14" s="17">
        <v>140</v>
      </c>
      <c r="M14" s="10">
        <v>140</v>
      </c>
      <c r="N14" s="10">
        <v>140</v>
      </c>
      <c r="O14" s="10">
        <v>140</v>
      </c>
      <c r="P14" s="10">
        <v>140</v>
      </c>
      <c r="Q14" s="10">
        <v>160</v>
      </c>
      <c r="R14" s="86">
        <v>160</v>
      </c>
    </row>
    <row r="15" spans="1:18" s="3" customFormat="1">
      <c r="A15" s="70" t="s">
        <v>233</v>
      </c>
      <c r="B15" s="17">
        <v>3.73</v>
      </c>
      <c r="C15" s="17">
        <v>3.91</v>
      </c>
      <c r="D15" s="17">
        <v>4.55</v>
      </c>
      <c r="E15" s="17">
        <v>5.08</v>
      </c>
      <c r="F15" s="17">
        <v>5.54</v>
      </c>
      <c r="G15" s="17">
        <v>11.13</v>
      </c>
      <c r="H15" s="17">
        <v>11.13</v>
      </c>
      <c r="I15" s="17">
        <v>18.260000000000002</v>
      </c>
      <c r="J15" s="13">
        <v>20.62</v>
      </c>
      <c r="K15" s="13">
        <v>25.4</v>
      </c>
      <c r="L15" s="13">
        <v>28.58</v>
      </c>
      <c r="M15" s="18">
        <v>31.75</v>
      </c>
      <c r="N15" s="18">
        <v>36.53</v>
      </c>
      <c r="O15" s="18">
        <v>39.67</v>
      </c>
      <c r="P15" s="13">
        <v>44.45</v>
      </c>
      <c r="Q15" s="13">
        <v>53.98</v>
      </c>
      <c r="R15" s="78">
        <v>59.54</v>
      </c>
    </row>
    <row r="16" spans="1:18">
      <c r="A16" s="69" t="s">
        <v>234</v>
      </c>
      <c r="B16" s="109" t="s">
        <v>235</v>
      </c>
      <c r="C16" s="109"/>
      <c r="D16" s="109"/>
      <c r="E16" s="109"/>
      <c r="F16" s="109"/>
      <c r="G16" s="109"/>
      <c r="H16" s="109"/>
      <c r="I16" s="109"/>
      <c r="J16" s="109"/>
      <c r="K16" s="109" t="s">
        <v>386</v>
      </c>
      <c r="L16" s="109"/>
      <c r="M16" s="109"/>
      <c r="N16" s="109"/>
      <c r="O16" s="109"/>
      <c r="P16" s="109"/>
      <c r="Q16" s="109"/>
      <c r="R16" s="110"/>
    </row>
    <row r="17" spans="1:26">
      <c r="A17" s="69" t="s">
        <v>237</v>
      </c>
      <c r="B17" s="109" t="s">
        <v>402</v>
      </c>
      <c r="C17" s="109"/>
      <c r="D17" s="109"/>
      <c r="E17" s="109"/>
      <c r="F17" s="109"/>
      <c r="G17" s="109"/>
      <c r="H17" s="109"/>
      <c r="I17" s="109"/>
      <c r="J17" s="109"/>
      <c r="K17" s="109" t="s">
        <v>402</v>
      </c>
      <c r="L17" s="109"/>
      <c r="M17" s="109"/>
      <c r="N17" s="109"/>
      <c r="O17" s="109"/>
      <c r="P17" s="109"/>
      <c r="Q17" s="109"/>
      <c r="R17" s="110"/>
    </row>
    <row r="18" spans="1:26">
      <c r="A18" s="69" t="s">
        <v>240</v>
      </c>
      <c r="B18" s="144" t="s">
        <v>241</v>
      </c>
      <c r="C18" s="145"/>
      <c r="D18" s="145"/>
      <c r="E18" s="145"/>
      <c r="F18" s="145"/>
      <c r="G18" s="145"/>
      <c r="H18" s="145"/>
      <c r="I18" s="145"/>
      <c r="J18" s="145"/>
      <c r="K18" s="145"/>
      <c r="L18" s="145"/>
      <c r="M18" s="145"/>
      <c r="N18" s="145"/>
      <c r="O18" s="145"/>
      <c r="P18" s="145"/>
      <c r="Q18" s="145"/>
      <c r="R18" s="147"/>
    </row>
    <row r="19" spans="1:26">
      <c r="A19" s="117" t="s">
        <v>242</v>
      </c>
      <c r="B19" s="109"/>
      <c r="C19" s="109"/>
      <c r="D19" s="109"/>
      <c r="E19" s="109"/>
      <c r="F19" s="109"/>
      <c r="G19" s="109"/>
      <c r="H19" s="109"/>
      <c r="I19" s="109"/>
      <c r="J19" s="109"/>
      <c r="K19" s="109"/>
      <c r="L19" s="109"/>
      <c r="M19" s="109"/>
      <c r="N19" s="109"/>
      <c r="O19" s="109"/>
      <c r="P19" s="109"/>
      <c r="Q19" s="109"/>
      <c r="R19" s="110"/>
    </row>
    <row r="20" spans="1:26" ht="15" customHeight="1">
      <c r="A20" s="69" t="s">
        <v>234</v>
      </c>
      <c r="B20" s="144" t="s">
        <v>243</v>
      </c>
      <c r="C20" s="145"/>
      <c r="D20" s="145"/>
      <c r="E20" s="145"/>
      <c r="F20" s="145"/>
      <c r="G20" s="145"/>
      <c r="H20" s="145"/>
      <c r="I20" s="145"/>
      <c r="J20" s="146"/>
      <c r="K20" s="144" t="s">
        <v>244</v>
      </c>
      <c r="L20" s="145"/>
      <c r="M20" s="145"/>
      <c r="N20" s="145"/>
      <c r="O20" s="145"/>
      <c r="P20" s="145"/>
      <c r="Q20" s="145"/>
      <c r="R20" s="147"/>
    </row>
    <row r="21" spans="1:26" ht="15" customHeight="1">
      <c r="A21" s="69" t="s">
        <v>237</v>
      </c>
      <c r="B21" s="144" t="s">
        <v>403</v>
      </c>
      <c r="C21" s="145"/>
      <c r="D21" s="145"/>
      <c r="E21" s="145"/>
      <c r="F21" s="145"/>
      <c r="G21" s="145"/>
      <c r="H21" s="145"/>
      <c r="I21" s="145"/>
      <c r="J21" s="146"/>
      <c r="K21" s="109" t="s">
        <v>404</v>
      </c>
      <c r="L21" s="109"/>
      <c r="M21" s="109"/>
      <c r="N21" s="109"/>
      <c r="O21" s="109"/>
      <c r="P21" s="109"/>
      <c r="Q21" s="109"/>
      <c r="R21" s="110"/>
    </row>
    <row r="22" spans="1:26" ht="15" customHeight="1">
      <c r="A22" s="69" t="s">
        <v>246</v>
      </c>
      <c r="B22" s="144" t="s">
        <v>247</v>
      </c>
      <c r="C22" s="145"/>
      <c r="D22" s="145"/>
      <c r="E22" s="145"/>
      <c r="F22" s="145"/>
      <c r="G22" s="145"/>
      <c r="H22" s="145"/>
      <c r="I22" s="145"/>
      <c r="J22" s="145"/>
      <c r="K22" s="145"/>
      <c r="L22" s="145"/>
      <c r="M22" s="145"/>
      <c r="N22" s="145"/>
      <c r="O22" s="145"/>
      <c r="P22" s="145"/>
      <c r="Q22" s="145"/>
      <c r="R22" s="147"/>
      <c r="U22" s="3"/>
      <c r="W22" s="3"/>
      <c r="X22" s="3"/>
      <c r="Y22" s="3"/>
      <c r="Z22" s="3"/>
    </row>
    <row r="23" spans="1:26" ht="15" customHeight="1">
      <c r="A23" s="69" t="s">
        <v>248</v>
      </c>
      <c r="B23" s="144" t="s">
        <v>247</v>
      </c>
      <c r="C23" s="145"/>
      <c r="D23" s="145"/>
      <c r="E23" s="145"/>
      <c r="F23" s="145"/>
      <c r="G23" s="145"/>
      <c r="H23" s="145"/>
      <c r="I23" s="145"/>
      <c r="J23" s="145"/>
      <c r="K23" s="145" t="s">
        <v>247</v>
      </c>
      <c r="L23" s="145"/>
      <c r="M23" s="145"/>
      <c r="N23" s="145"/>
      <c r="O23" s="145"/>
      <c r="P23" s="145"/>
      <c r="Q23" s="145"/>
      <c r="R23" s="147"/>
    </row>
    <row r="24" spans="1:26" ht="15" customHeight="1">
      <c r="A24" s="69" t="s">
        <v>249</v>
      </c>
      <c r="B24" s="144" t="s">
        <v>247</v>
      </c>
      <c r="C24" s="145"/>
      <c r="D24" s="145"/>
      <c r="E24" s="145"/>
      <c r="F24" s="145"/>
      <c r="G24" s="145"/>
      <c r="H24" s="145"/>
      <c r="I24" s="145"/>
      <c r="J24" s="145"/>
      <c r="K24" s="145" t="s">
        <v>247</v>
      </c>
      <c r="L24" s="145"/>
      <c r="M24" s="145"/>
      <c r="N24" s="145"/>
      <c r="O24" s="145"/>
      <c r="P24" s="145"/>
      <c r="Q24" s="145"/>
      <c r="R24" s="147"/>
    </row>
    <row r="25" spans="1:26" ht="15" customHeight="1">
      <c r="A25" s="69" t="s">
        <v>250</v>
      </c>
      <c r="B25" s="144" t="s">
        <v>247</v>
      </c>
      <c r="C25" s="145"/>
      <c r="D25" s="145"/>
      <c r="E25" s="145"/>
      <c r="F25" s="145"/>
      <c r="G25" s="145"/>
      <c r="H25" s="145"/>
      <c r="I25" s="145"/>
      <c r="J25" s="145"/>
      <c r="K25" s="145" t="s">
        <v>247</v>
      </c>
      <c r="L25" s="145"/>
      <c r="M25" s="145"/>
      <c r="N25" s="145"/>
      <c r="O25" s="145"/>
      <c r="P25" s="145"/>
      <c r="Q25" s="145"/>
      <c r="R25" s="147"/>
    </row>
    <row r="26" spans="1:26" ht="15" customHeight="1">
      <c r="A26" s="69" t="s">
        <v>251</v>
      </c>
      <c r="B26" s="151" t="s">
        <v>290</v>
      </c>
      <c r="C26" s="145"/>
      <c r="D26" s="145"/>
      <c r="E26" s="146"/>
      <c r="F26" s="144"/>
      <c r="G26" s="145"/>
      <c r="H26" s="145"/>
      <c r="I26" s="145"/>
      <c r="J26" s="145"/>
      <c r="K26" s="145"/>
      <c r="L26" s="145"/>
      <c r="M26" s="145"/>
      <c r="N26" s="145"/>
      <c r="O26" s="145"/>
      <c r="P26" s="145"/>
      <c r="Q26" s="145"/>
      <c r="R26" s="147"/>
    </row>
    <row r="27" spans="1:26" ht="15" customHeight="1">
      <c r="A27" s="69" t="s">
        <v>253</v>
      </c>
      <c r="B27" s="144" t="s">
        <v>405</v>
      </c>
      <c r="C27" s="145"/>
      <c r="D27" s="145"/>
      <c r="E27" s="145"/>
      <c r="F27" s="145"/>
      <c r="G27" s="145"/>
      <c r="H27" s="145"/>
      <c r="I27" s="145"/>
      <c r="J27" s="145"/>
      <c r="K27" s="145" t="s">
        <v>392</v>
      </c>
      <c r="L27" s="145"/>
      <c r="M27" s="145"/>
      <c r="N27" s="145"/>
      <c r="O27" s="145"/>
      <c r="P27" s="145"/>
      <c r="Q27" s="145"/>
      <c r="R27" s="147"/>
    </row>
    <row r="28" spans="1:26">
      <c r="A28" s="117" t="s">
        <v>255</v>
      </c>
      <c r="B28" s="109"/>
      <c r="C28" s="109"/>
      <c r="D28" s="109"/>
      <c r="E28" s="109"/>
      <c r="F28" s="109"/>
      <c r="G28" s="109"/>
      <c r="H28" s="109"/>
      <c r="I28" s="109"/>
      <c r="J28" s="109"/>
      <c r="K28" s="109"/>
      <c r="L28" s="109"/>
      <c r="M28" s="109"/>
      <c r="N28" s="109"/>
      <c r="O28" s="109"/>
      <c r="P28" s="109"/>
      <c r="Q28" s="109"/>
      <c r="R28" s="110"/>
    </row>
    <row r="29" spans="1:26" ht="13.9" customHeight="1">
      <c r="A29" s="69" t="s">
        <v>237</v>
      </c>
      <c r="B29" s="144" t="s">
        <v>406</v>
      </c>
      <c r="C29" s="145"/>
      <c r="D29" s="145"/>
      <c r="E29" s="145"/>
      <c r="F29" s="145"/>
      <c r="G29" s="145"/>
      <c r="H29" s="145"/>
      <c r="I29" s="145"/>
      <c r="J29" s="145"/>
      <c r="K29" s="145"/>
      <c r="L29" s="145"/>
      <c r="M29" s="145"/>
      <c r="N29" s="145"/>
      <c r="O29" s="145"/>
      <c r="P29" s="145"/>
      <c r="Q29" s="145"/>
      <c r="R29" s="147"/>
    </row>
    <row r="30" spans="1:26" ht="13.9" customHeight="1">
      <c r="A30" s="69" t="s">
        <v>257</v>
      </c>
      <c r="B30" s="144" t="s">
        <v>299</v>
      </c>
      <c r="C30" s="145"/>
      <c r="D30" s="145"/>
      <c r="E30" s="145"/>
      <c r="F30" s="145"/>
      <c r="G30" s="145"/>
      <c r="H30" s="145"/>
      <c r="I30" s="145"/>
      <c r="J30" s="145"/>
      <c r="K30" s="145"/>
      <c r="L30" s="145"/>
      <c r="M30" s="145"/>
      <c r="N30" s="145"/>
      <c r="O30" s="145"/>
      <c r="P30" s="145"/>
      <c r="Q30" s="145"/>
      <c r="R30" s="147"/>
    </row>
    <row r="31" spans="1:26" ht="14.45" customHeight="1">
      <c r="A31" s="69" t="s">
        <v>234</v>
      </c>
      <c r="B31" s="144" t="s">
        <v>376</v>
      </c>
      <c r="C31" s="145"/>
      <c r="D31" s="145"/>
      <c r="E31" s="145"/>
      <c r="F31" s="145"/>
      <c r="G31" s="145"/>
      <c r="H31" s="145"/>
      <c r="I31" s="145"/>
      <c r="J31" s="145"/>
      <c r="K31" s="145"/>
      <c r="L31" s="145"/>
      <c r="M31" s="145"/>
      <c r="N31" s="145"/>
      <c r="O31" s="145"/>
      <c r="P31" s="145"/>
      <c r="Q31" s="145"/>
      <c r="R31" s="147"/>
    </row>
    <row r="32" spans="1:26" s="1" customFormat="1" ht="30">
      <c r="A32" s="69" t="s">
        <v>315</v>
      </c>
      <c r="B32" s="144"/>
      <c r="C32" s="145"/>
      <c r="D32" s="145"/>
      <c r="E32" s="145"/>
      <c r="F32" s="146"/>
      <c r="G32" s="144" t="s">
        <v>316</v>
      </c>
      <c r="H32" s="145"/>
      <c r="I32" s="145"/>
      <c r="J32" s="145"/>
      <c r="K32" s="145"/>
      <c r="L32" s="145"/>
      <c r="M32" s="145"/>
      <c r="N32" s="145"/>
      <c r="O32" s="145"/>
      <c r="P32" s="145"/>
      <c r="Q32" s="145"/>
      <c r="R32" s="147"/>
    </row>
    <row r="33" spans="1:25" s="1" customFormat="1" ht="42" customHeight="1">
      <c r="A33" s="69" t="s">
        <v>317</v>
      </c>
      <c r="B33" s="144"/>
      <c r="C33" s="145"/>
      <c r="D33" s="145"/>
      <c r="E33" s="145"/>
      <c r="F33" s="146"/>
      <c r="G33" s="144" t="s">
        <v>408</v>
      </c>
      <c r="H33" s="145"/>
      <c r="I33" s="145"/>
      <c r="J33" s="145"/>
      <c r="K33" s="145"/>
      <c r="L33" s="145"/>
      <c r="M33" s="145"/>
      <c r="N33" s="145"/>
      <c r="O33" s="145"/>
      <c r="P33" s="145"/>
      <c r="Q33" s="145"/>
      <c r="R33" s="147"/>
    </row>
    <row r="34" spans="1:25" ht="14.45" customHeight="1">
      <c r="A34" s="117" t="s">
        <v>260</v>
      </c>
      <c r="B34" s="109"/>
      <c r="C34" s="109"/>
      <c r="D34" s="109"/>
      <c r="E34" s="109"/>
      <c r="F34" s="109"/>
      <c r="G34" s="109"/>
      <c r="H34" s="109"/>
      <c r="I34" s="109"/>
      <c r="J34" s="109"/>
      <c r="K34" s="109"/>
      <c r="L34" s="109"/>
      <c r="M34" s="109"/>
      <c r="N34" s="109"/>
      <c r="O34" s="109"/>
      <c r="P34" s="109"/>
      <c r="Q34" s="109"/>
      <c r="R34" s="110"/>
      <c r="Y34" s="3"/>
    </row>
    <row r="35" spans="1:25" ht="13.9" customHeight="1">
      <c r="A35" s="69" t="s">
        <v>237</v>
      </c>
      <c r="B35" s="144" t="s">
        <v>406</v>
      </c>
      <c r="C35" s="145"/>
      <c r="D35" s="145"/>
      <c r="E35" s="145"/>
      <c r="F35" s="145"/>
      <c r="G35" s="145"/>
      <c r="H35" s="145"/>
      <c r="I35" s="145"/>
      <c r="J35" s="145"/>
      <c r="K35" s="145"/>
      <c r="L35" s="145"/>
      <c r="M35" s="145"/>
      <c r="N35" s="145"/>
      <c r="O35" s="145"/>
      <c r="P35" s="145"/>
      <c r="Q35" s="145"/>
      <c r="R35" s="147"/>
    </row>
    <row r="36" spans="1:25" ht="14.45" customHeight="1">
      <c r="A36" s="69" t="s">
        <v>261</v>
      </c>
      <c r="B36" s="109" t="s">
        <v>262</v>
      </c>
      <c r="C36" s="109"/>
      <c r="D36" s="109"/>
      <c r="E36" s="109"/>
      <c r="F36" s="109"/>
      <c r="G36" s="109"/>
      <c r="H36" s="109"/>
      <c r="I36" s="109"/>
      <c r="J36" s="109"/>
      <c r="K36" s="109"/>
      <c r="L36" s="109"/>
      <c r="M36" s="101" t="s">
        <v>293</v>
      </c>
      <c r="N36" s="101"/>
      <c r="O36" s="101"/>
      <c r="P36" s="101"/>
      <c r="Q36" s="101"/>
      <c r="R36" s="102"/>
    </row>
    <row r="37" spans="1:25" ht="14.45" customHeight="1">
      <c r="A37" s="117" t="s">
        <v>264</v>
      </c>
      <c r="B37" s="109"/>
      <c r="C37" s="109"/>
      <c r="D37" s="109"/>
      <c r="E37" s="109"/>
      <c r="F37" s="109"/>
      <c r="G37" s="109"/>
      <c r="H37" s="109"/>
      <c r="I37" s="109"/>
      <c r="J37" s="109"/>
      <c r="K37" s="109"/>
      <c r="L37" s="109"/>
      <c r="M37" s="109"/>
      <c r="N37" s="109"/>
      <c r="O37" s="109"/>
      <c r="P37" s="109"/>
      <c r="Q37" s="109"/>
      <c r="R37" s="110"/>
    </row>
    <row r="38" spans="1:25" ht="14.45" customHeight="1">
      <c r="A38" s="69" t="s">
        <v>265</v>
      </c>
      <c r="B38" s="144" t="s">
        <v>394</v>
      </c>
      <c r="C38" s="145"/>
      <c r="D38" s="145"/>
      <c r="E38" s="145"/>
      <c r="F38" s="145"/>
      <c r="G38" s="145"/>
      <c r="H38" s="145"/>
      <c r="I38" s="145"/>
      <c r="J38" s="145"/>
      <c r="K38" s="145"/>
      <c r="L38" s="145"/>
      <c r="M38" s="145"/>
      <c r="N38" s="145"/>
      <c r="O38" s="145"/>
      <c r="P38" s="145"/>
      <c r="Q38" s="145"/>
      <c r="R38" s="147"/>
    </row>
    <row r="39" spans="1:25" ht="14.45" customHeight="1">
      <c r="A39" s="69" t="s">
        <v>267</v>
      </c>
      <c r="B39" s="144" t="s">
        <v>394</v>
      </c>
      <c r="C39" s="145"/>
      <c r="D39" s="145"/>
      <c r="E39" s="145"/>
      <c r="F39" s="145"/>
      <c r="G39" s="145"/>
      <c r="H39" s="145"/>
      <c r="I39" s="145"/>
      <c r="J39" s="145"/>
      <c r="K39" s="145"/>
      <c r="L39" s="145"/>
      <c r="M39" s="145"/>
      <c r="N39" s="145"/>
      <c r="O39" s="145"/>
      <c r="P39" s="145"/>
      <c r="Q39" s="145"/>
      <c r="R39" s="147"/>
    </row>
    <row r="40" spans="1:25">
      <c r="A40" s="69" t="s">
        <v>269</v>
      </c>
      <c r="B40" s="109" t="s">
        <v>409</v>
      </c>
      <c r="C40" s="109"/>
      <c r="D40" s="109"/>
      <c r="E40" s="109"/>
      <c r="F40" s="109"/>
      <c r="G40" s="109"/>
      <c r="H40" s="109"/>
      <c r="I40" s="109"/>
      <c r="J40" s="109"/>
      <c r="K40" s="109"/>
      <c r="L40" s="109"/>
      <c r="M40" s="109"/>
      <c r="N40" s="109"/>
      <c r="O40" s="109"/>
      <c r="P40" s="109"/>
      <c r="Q40" s="109"/>
      <c r="R40" s="110"/>
    </row>
    <row r="41" spans="1:25" ht="14.45" customHeight="1">
      <c r="A41" s="141" t="s">
        <v>271</v>
      </c>
      <c r="B41" s="142"/>
      <c r="C41" s="142"/>
      <c r="D41" s="142"/>
      <c r="E41" s="142"/>
      <c r="F41" s="142"/>
      <c r="G41" s="142"/>
      <c r="H41" s="142"/>
      <c r="I41" s="142"/>
      <c r="J41" s="142"/>
      <c r="K41" s="142"/>
      <c r="L41" s="142"/>
      <c r="M41" s="142"/>
      <c r="N41" s="142"/>
      <c r="O41" s="142"/>
      <c r="P41" s="142"/>
      <c r="Q41" s="142"/>
      <c r="R41" s="143"/>
    </row>
    <row r="42" spans="1:25" ht="14.45" customHeight="1">
      <c r="A42" s="69" t="s">
        <v>272</v>
      </c>
      <c r="B42" s="109" t="e">
        <f ca="1">VLOOKUP(F3,INDEX!B:J,2,0)&amp;", RTJ"</f>
        <v>#VALUE!</v>
      </c>
      <c r="C42" s="109"/>
      <c r="D42" s="109"/>
      <c r="E42" s="109"/>
      <c r="F42" s="109"/>
      <c r="G42" s="109"/>
      <c r="H42" s="109"/>
      <c r="I42" s="109"/>
      <c r="J42" s="109"/>
      <c r="K42" s="109"/>
      <c r="L42" s="109"/>
      <c r="M42" s="109"/>
      <c r="N42" s="109"/>
      <c r="O42" s="109"/>
      <c r="P42" s="109"/>
      <c r="Q42" s="109"/>
      <c r="R42" s="110"/>
    </row>
    <row r="43" spans="1:25" ht="14.45" customHeight="1">
      <c r="A43" s="69" t="s">
        <v>273</v>
      </c>
      <c r="B43" s="144" t="s">
        <v>303</v>
      </c>
      <c r="C43" s="145"/>
      <c r="D43" s="145"/>
      <c r="E43" s="146"/>
      <c r="F43" s="144" t="e">
        <f ca="1">"BSR"&amp;VLOOKUP(F3,INDEX!B:AH,33,0)&amp;"J"&amp;", BSF"&amp;VLOOKUP(F3,INDEX!B:AH,33,0)&amp;"J"</f>
        <v>#VALUE!</v>
      </c>
      <c r="G43" s="145"/>
      <c r="H43" s="145"/>
      <c r="I43" s="145"/>
      <c r="J43" s="145"/>
      <c r="K43" s="145"/>
      <c r="L43" s="145"/>
      <c r="M43" s="145"/>
      <c r="N43" s="145"/>
      <c r="O43" s="145"/>
      <c r="P43" s="145"/>
      <c r="Q43" s="145"/>
      <c r="R43" s="147"/>
    </row>
    <row r="44" spans="1:25">
      <c r="A44" s="69" t="s">
        <v>274</v>
      </c>
      <c r="B44" s="109" t="e">
        <f ca="1">"GAW"&amp;VLOOKUP(F3,INDEX!B:AH,33,0)&amp;"J"</f>
        <v>#VALUE!</v>
      </c>
      <c r="C44" s="109"/>
      <c r="D44" s="109"/>
      <c r="E44" s="109"/>
      <c r="F44" s="109"/>
      <c r="G44" s="109"/>
      <c r="H44" s="109"/>
      <c r="I44" s="109"/>
      <c r="J44" s="109"/>
      <c r="K44" s="109"/>
      <c r="L44" s="109"/>
      <c r="M44" s="109"/>
      <c r="N44" s="109"/>
      <c r="O44" s="109"/>
      <c r="P44" s="109"/>
      <c r="Q44" s="109"/>
      <c r="R44" s="110"/>
    </row>
    <row r="45" spans="1:25">
      <c r="A45" s="69" t="s">
        <v>275</v>
      </c>
      <c r="B45" s="109" t="e">
        <f ca="1">"GLS"&amp;VLOOKUP(F3,INDEX!B:AH,33,0)&amp;"J"</f>
        <v>#VALUE!</v>
      </c>
      <c r="C45" s="109"/>
      <c r="D45" s="109"/>
      <c r="E45" s="109"/>
      <c r="F45" s="109"/>
      <c r="G45" s="109"/>
      <c r="H45" s="109"/>
      <c r="I45" s="109"/>
      <c r="J45" s="109"/>
      <c r="K45" s="109"/>
      <c r="L45" s="109"/>
      <c r="M45" s="109"/>
      <c r="N45" s="109"/>
      <c r="O45" s="109"/>
      <c r="P45" s="109"/>
      <c r="Q45" s="109"/>
      <c r="R45" s="110"/>
    </row>
    <row r="46" spans="1:25">
      <c r="A46" s="69" t="s">
        <v>276</v>
      </c>
      <c r="B46" s="144" t="e">
        <f ca="1">"CHP"&amp;VLOOKUP(F3,INDEX!B:AH,33,0)&amp;"J"</f>
        <v>#VALUE!</v>
      </c>
      <c r="C46" s="145"/>
      <c r="D46" s="145"/>
      <c r="E46" s="146"/>
      <c r="F46" s="144" t="e">
        <f ca="1">"CSW"&amp;VLOOKUP(F3,INDEX!B:AH,33,0)&amp;"J"&amp;", CDP"&amp;VLOOKUP(F3,INDEX!B:AH,33,0)&amp;"J"</f>
        <v>#VALUE!</v>
      </c>
      <c r="G46" s="145"/>
      <c r="H46" s="145"/>
      <c r="I46" s="145"/>
      <c r="J46" s="145"/>
      <c r="K46" s="145"/>
      <c r="L46" s="145"/>
      <c r="M46" s="145"/>
      <c r="N46" s="145"/>
      <c r="O46" s="145"/>
      <c r="P46" s="145"/>
      <c r="Q46" s="145"/>
      <c r="R46" s="147"/>
    </row>
    <row r="47" spans="1:25" ht="13.9" customHeight="1">
      <c r="A47" s="69" t="s">
        <v>304</v>
      </c>
      <c r="B47" s="144" t="e">
        <f ca="1">"DSR"&amp;VLOOKUP(F3,INDEX!B:AH,33,0)&amp;"JT"</f>
        <v>#VALUE!</v>
      </c>
      <c r="C47" s="145"/>
      <c r="D47" s="145"/>
      <c r="E47" s="145"/>
      <c r="F47" s="145"/>
      <c r="G47" s="144"/>
      <c r="H47" s="145"/>
      <c r="I47" s="145"/>
      <c r="J47" s="145"/>
      <c r="K47" s="145"/>
      <c r="L47" s="145"/>
      <c r="M47" s="145"/>
      <c r="N47" s="145"/>
      <c r="O47" s="145"/>
      <c r="P47" s="145"/>
      <c r="Q47" s="145"/>
      <c r="R47" s="147"/>
    </row>
    <row r="48" spans="1:25" ht="13.9" customHeight="1">
      <c r="A48" s="69" t="s">
        <v>305</v>
      </c>
      <c r="B48" s="144" t="e">
        <f ca="1">"DSR"&amp;VLOOKUP(F3,INDEX!B:AH,33,0)&amp;"J"&amp;", DSF"&amp;VLOOKUP(F3,INDEX!B:AH,33,0)&amp;"J"</f>
        <v>#VALUE!</v>
      </c>
      <c r="C48" s="145"/>
      <c r="D48" s="145"/>
      <c r="E48" s="145"/>
      <c r="F48" s="145"/>
      <c r="G48" s="145"/>
      <c r="H48" s="145"/>
      <c r="I48" s="145"/>
      <c r="J48" s="145"/>
      <c r="K48" s="145"/>
      <c r="L48" s="145"/>
      <c r="M48" s="145"/>
      <c r="N48" s="145"/>
      <c r="O48" s="145"/>
      <c r="P48" s="145"/>
      <c r="Q48" s="145"/>
      <c r="R48" s="147"/>
    </row>
    <row r="49" spans="1:18" ht="13.9" customHeight="1">
      <c r="A49" s="148" t="s">
        <v>278</v>
      </c>
      <c r="B49" s="149"/>
      <c r="C49" s="149"/>
      <c r="D49" s="149"/>
      <c r="E49" s="149"/>
      <c r="F49" s="149"/>
      <c r="G49" s="149"/>
      <c r="H49" s="149"/>
      <c r="I49" s="149"/>
      <c r="J49" s="149"/>
      <c r="K49" s="149"/>
      <c r="L49" s="149"/>
      <c r="M49" s="149"/>
      <c r="N49" s="149"/>
      <c r="O49" s="149"/>
      <c r="P49" s="149"/>
      <c r="Q49" s="149"/>
      <c r="R49" s="150"/>
    </row>
    <row r="50" spans="1:18" ht="28.15" customHeight="1">
      <c r="A50" s="114" t="s">
        <v>279</v>
      </c>
      <c r="B50" s="115"/>
      <c r="C50" s="115"/>
      <c r="D50" s="115"/>
      <c r="E50" s="115"/>
      <c r="F50" s="115"/>
      <c r="G50" s="115"/>
      <c r="H50" s="115"/>
      <c r="I50" s="115"/>
      <c r="J50" s="115"/>
      <c r="K50" s="115"/>
      <c r="L50" s="115"/>
      <c r="M50" s="115"/>
      <c r="N50" s="115"/>
      <c r="O50" s="115"/>
      <c r="P50" s="115"/>
      <c r="Q50" s="115"/>
      <c r="R50" s="116"/>
    </row>
    <row r="51" spans="1:18">
      <c r="A51" s="114" t="s">
        <v>280</v>
      </c>
      <c r="B51" s="115"/>
      <c r="C51" s="115"/>
      <c r="D51" s="115"/>
      <c r="E51" s="115"/>
      <c r="F51" s="115"/>
      <c r="G51" s="115"/>
      <c r="H51" s="115"/>
      <c r="I51" s="115"/>
      <c r="J51" s="115"/>
      <c r="K51" s="115"/>
      <c r="L51" s="115"/>
      <c r="M51" s="115"/>
      <c r="N51" s="115"/>
      <c r="O51" s="115"/>
      <c r="P51" s="115"/>
      <c r="Q51" s="115"/>
      <c r="R51" s="116"/>
    </row>
    <row r="52" spans="1:18" ht="14.45" customHeight="1">
      <c r="A52" s="114" t="s">
        <v>281</v>
      </c>
      <c r="B52" s="115"/>
      <c r="C52" s="115"/>
      <c r="D52" s="115"/>
      <c r="E52" s="115"/>
      <c r="F52" s="115"/>
      <c r="G52" s="115"/>
      <c r="H52" s="115"/>
      <c r="I52" s="115"/>
      <c r="J52" s="115"/>
      <c r="K52" s="115"/>
      <c r="L52" s="115"/>
      <c r="M52" s="115"/>
      <c r="N52" s="115"/>
      <c r="O52" s="115"/>
      <c r="P52" s="115"/>
      <c r="Q52" s="115"/>
      <c r="R52" s="116"/>
    </row>
    <row r="53" spans="1:18" ht="27" customHeight="1">
      <c r="A53" s="114" t="s">
        <v>324</v>
      </c>
      <c r="B53" s="115"/>
      <c r="C53" s="115"/>
      <c r="D53" s="115"/>
      <c r="E53" s="115"/>
      <c r="F53" s="115"/>
      <c r="G53" s="115"/>
      <c r="H53" s="115"/>
      <c r="I53" s="115"/>
      <c r="J53" s="115"/>
      <c r="K53" s="115"/>
      <c r="L53" s="115"/>
      <c r="M53" s="115"/>
      <c r="N53" s="115"/>
      <c r="O53" s="115"/>
      <c r="P53" s="115"/>
      <c r="Q53" s="115"/>
      <c r="R53" s="116"/>
    </row>
    <row r="54" spans="1:18" ht="28.15" customHeight="1">
      <c r="A54" s="114" t="s">
        <v>283</v>
      </c>
      <c r="B54" s="115"/>
      <c r="C54" s="115"/>
      <c r="D54" s="115"/>
      <c r="E54" s="115"/>
      <c r="F54" s="115"/>
      <c r="G54" s="115"/>
      <c r="H54" s="115"/>
      <c r="I54" s="115"/>
      <c r="J54" s="115"/>
      <c r="K54" s="115"/>
      <c r="L54" s="115"/>
      <c r="M54" s="115"/>
      <c r="N54" s="115"/>
      <c r="O54" s="115"/>
      <c r="P54" s="115"/>
      <c r="Q54" s="115"/>
      <c r="R54" s="116"/>
    </row>
    <row r="55" spans="1:18">
      <c r="A55" s="114" t="s">
        <v>378</v>
      </c>
      <c r="B55" s="115"/>
      <c r="C55" s="115"/>
      <c r="D55" s="115"/>
      <c r="E55" s="115"/>
      <c r="F55" s="115"/>
      <c r="G55" s="115"/>
      <c r="H55" s="115"/>
      <c r="I55" s="115"/>
      <c r="J55" s="115"/>
      <c r="K55" s="115"/>
      <c r="L55" s="115"/>
      <c r="M55" s="115"/>
      <c r="N55" s="115"/>
      <c r="O55" s="115"/>
      <c r="P55" s="115"/>
      <c r="Q55" s="115"/>
      <c r="R55" s="116"/>
    </row>
    <row r="56" spans="1:18">
      <c r="A56" s="114" t="s">
        <v>397</v>
      </c>
      <c r="B56" s="115"/>
      <c r="C56" s="115"/>
      <c r="D56" s="115"/>
      <c r="E56" s="115"/>
      <c r="F56" s="115"/>
      <c r="G56" s="115"/>
      <c r="H56" s="115"/>
      <c r="I56" s="115"/>
      <c r="J56" s="115"/>
      <c r="K56" s="115"/>
      <c r="L56" s="115"/>
      <c r="M56" s="115"/>
      <c r="N56" s="115"/>
      <c r="O56" s="115"/>
      <c r="P56" s="115"/>
      <c r="Q56" s="115"/>
      <c r="R56" s="116"/>
    </row>
    <row r="57" spans="1:18">
      <c r="A57" s="114" t="s">
        <v>380</v>
      </c>
      <c r="B57" s="115"/>
      <c r="C57" s="115"/>
      <c r="D57" s="115"/>
      <c r="E57" s="115"/>
      <c r="F57" s="115"/>
      <c r="G57" s="115"/>
      <c r="H57" s="115"/>
      <c r="I57" s="115"/>
      <c r="J57" s="115"/>
      <c r="K57" s="115"/>
      <c r="L57" s="115"/>
      <c r="M57" s="115"/>
      <c r="N57" s="115"/>
      <c r="O57" s="115"/>
      <c r="P57" s="115"/>
      <c r="Q57" s="115"/>
      <c r="R57" s="116"/>
    </row>
    <row r="58" spans="1:18">
      <c r="A58" s="114" t="s">
        <v>381</v>
      </c>
      <c r="B58" s="115"/>
      <c r="C58" s="115"/>
      <c r="D58" s="115"/>
      <c r="E58" s="115"/>
      <c r="F58" s="115"/>
      <c r="G58" s="115"/>
      <c r="H58" s="115"/>
      <c r="I58" s="115"/>
      <c r="J58" s="115"/>
      <c r="K58" s="115"/>
      <c r="L58" s="115"/>
      <c r="M58" s="115"/>
      <c r="N58" s="115"/>
      <c r="O58" s="115"/>
      <c r="P58" s="115"/>
      <c r="Q58" s="115"/>
      <c r="R58" s="116"/>
    </row>
    <row r="59" spans="1:18" ht="15.75" thickBot="1">
      <c r="A59" s="177"/>
      <c r="B59" s="178"/>
      <c r="C59" s="178"/>
      <c r="D59" s="178"/>
      <c r="E59" s="178"/>
      <c r="F59" s="178"/>
      <c r="G59" s="178"/>
      <c r="H59" s="178"/>
      <c r="I59" s="178"/>
      <c r="J59" s="178"/>
      <c r="K59" s="178"/>
      <c r="L59" s="178"/>
      <c r="M59" s="178"/>
      <c r="N59" s="178"/>
      <c r="O59" s="178"/>
      <c r="P59" s="178"/>
      <c r="Q59" s="178"/>
      <c r="R59" s="179"/>
    </row>
  </sheetData>
  <mergeCells count="91">
    <mergeCell ref="A57:R57"/>
    <mergeCell ref="A58:R58"/>
    <mergeCell ref="A59:R59"/>
    <mergeCell ref="A51:R51"/>
    <mergeCell ref="A52:R52"/>
    <mergeCell ref="A53:R53"/>
    <mergeCell ref="A54:R54"/>
    <mergeCell ref="A55:R55"/>
    <mergeCell ref="A56:R56"/>
    <mergeCell ref="A50:R50"/>
    <mergeCell ref="B40:R40"/>
    <mergeCell ref="A41:R41"/>
    <mergeCell ref="B42:R42"/>
    <mergeCell ref="B43:E43"/>
    <mergeCell ref="F43:R43"/>
    <mergeCell ref="B44:R44"/>
    <mergeCell ref="B45:R45"/>
    <mergeCell ref="B46:E46"/>
    <mergeCell ref="F46:R46"/>
    <mergeCell ref="A49:R49"/>
    <mergeCell ref="B48:R48"/>
    <mergeCell ref="B47:F47"/>
    <mergeCell ref="G47:R47"/>
    <mergeCell ref="B39:R39"/>
    <mergeCell ref="B27:R27"/>
    <mergeCell ref="A28:R28"/>
    <mergeCell ref="B29:R29"/>
    <mergeCell ref="B30:R30"/>
    <mergeCell ref="B31:R31"/>
    <mergeCell ref="A34:R34"/>
    <mergeCell ref="B35:R35"/>
    <mergeCell ref="B36:L36"/>
    <mergeCell ref="M36:R36"/>
    <mergeCell ref="A37:R37"/>
    <mergeCell ref="B38:R38"/>
    <mergeCell ref="B32:F32"/>
    <mergeCell ref="G32:R32"/>
    <mergeCell ref="B33:F33"/>
    <mergeCell ref="G33:R33"/>
    <mergeCell ref="B22:R22"/>
    <mergeCell ref="B23:R23"/>
    <mergeCell ref="B24:R24"/>
    <mergeCell ref="B25:R25"/>
    <mergeCell ref="B26:E26"/>
    <mergeCell ref="F26:R26"/>
    <mergeCell ref="B18:R18"/>
    <mergeCell ref="A19:R19"/>
    <mergeCell ref="B20:J20"/>
    <mergeCell ref="K20:R20"/>
    <mergeCell ref="B21:J21"/>
    <mergeCell ref="K21:R21"/>
    <mergeCell ref="A10:R10"/>
    <mergeCell ref="B11:R11"/>
    <mergeCell ref="B16:J16"/>
    <mergeCell ref="K16:R16"/>
    <mergeCell ref="B17:J17"/>
    <mergeCell ref="K17:R17"/>
    <mergeCell ref="L8:O9"/>
    <mergeCell ref="P8:R8"/>
    <mergeCell ref="D9:E9"/>
    <mergeCell ref="F9:G9"/>
    <mergeCell ref="H9:I9"/>
    <mergeCell ref="J9:K9"/>
    <mergeCell ref="P9:R9"/>
    <mergeCell ref="A1:E6"/>
    <mergeCell ref="F1:P1"/>
    <mergeCell ref="Q1:R1"/>
    <mergeCell ref="F2:I2"/>
    <mergeCell ref="J2:L2"/>
    <mergeCell ref="M2:N2"/>
    <mergeCell ref="O2:P2"/>
    <mergeCell ref="Q2:R2"/>
    <mergeCell ref="J3:L3"/>
    <mergeCell ref="M3:N3"/>
    <mergeCell ref="O3:P3"/>
    <mergeCell ref="B9:C9"/>
    <mergeCell ref="Q3:R3"/>
    <mergeCell ref="F4:H4"/>
    <mergeCell ref="I4:R4"/>
    <mergeCell ref="F3:G3"/>
    <mergeCell ref="H3:I3"/>
    <mergeCell ref="B8:C8"/>
    <mergeCell ref="D8:E8"/>
    <mergeCell ref="F8:G8"/>
    <mergeCell ref="H8:I8"/>
    <mergeCell ref="J8:K8"/>
    <mergeCell ref="F5:G5"/>
    <mergeCell ref="H5:R5"/>
    <mergeCell ref="F6:H6"/>
    <mergeCell ref="I6:R6"/>
    <mergeCell ref="A7:R7"/>
  </mergeCells>
  <printOptions horizontalCentered="1"/>
  <pageMargins left="0.7" right="0.7" top="0.75" bottom="0.75" header="0.3" footer="0.3"/>
  <pageSetup paperSize="9" scale="84" firstPageNumber="18" orientation="portrait" r:id="rId1"/>
  <legacyDrawingHF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8DAA6-29DA-440B-8615-D28E035627E1}">
  <sheetPr codeName="Sheet42">
    <tabColor rgb="FFC00000"/>
    <pageSetUpPr fitToPage="1"/>
  </sheetPr>
  <dimension ref="A1:R58"/>
  <sheetViews>
    <sheetView workbookViewId="0">
      <selection activeCell="S2" sqref="S2:U2"/>
    </sheetView>
  </sheetViews>
  <sheetFormatPr defaultColWidth="9.140625" defaultRowHeight="15"/>
  <cols>
    <col min="1" max="1" width="10.7109375" style="36" customWidth="1"/>
    <col min="2" max="18" width="5.7109375" style="36" customWidth="1"/>
    <col min="19" max="16384" width="9.140625" style="36"/>
  </cols>
  <sheetData>
    <row r="1" spans="1:18" s="4" customFormat="1" ht="15" customHeight="1">
      <c r="A1" s="132" t="e" vm="1">
        <v>#VALUE!</v>
      </c>
      <c r="B1" s="133"/>
      <c r="C1" s="133"/>
      <c r="D1" s="133"/>
      <c r="E1" s="134"/>
      <c r="F1" s="275" t="s">
        <v>213</v>
      </c>
      <c r="G1" s="276"/>
      <c r="H1" s="276"/>
      <c r="I1" s="276"/>
      <c r="J1" s="276"/>
      <c r="K1" s="276"/>
      <c r="L1" s="276"/>
      <c r="M1" s="276"/>
      <c r="N1" s="276"/>
      <c r="O1" s="276"/>
      <c r="P1" s="276"/>
      <c r="Q1" s="133" t="s">
        <v>214</v>
      </c>
      <c r="R1" s="134"/>
    </row>
    <row r="2" spans="1:18" s="4" customFormat="1" ht="1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18" s="4" customFormat="1" ht="15" customHeight="1">
      <c r="A3" s="135"/>
      <c r="B3" s="136"/>
      <c r="C3" s="136"/>
      <c r="D3" s="136"/>
      <c r="E3" s="137"/>
      <c r="F3" s="127" t="e">
        <f ca="1">MID(CELL("filename",A4),FIND("]",CELL("filename",A4))+1,255)</f>
        <v>#VALUE!</v>
      </c>
      <c r="G3" s="101"/>
      <c r="H3" s="101" t="e">
        <f ca="1">VLOOKUP(F3,INDEX!B:J,2,0)</f>
        <v>#VALUE!</v>
      </c>
      <c r="I3" s="101"/>
      <c r="J3" s="151" t="e">
        <f ca="1">VLOOKUP(F3,INDEX!B:J,4,0)</f>
        <v>#VALUE!</v>
      </c>
      <c r="K3" s="152"/>
      <c r="L3" s="127"/>
      <c r="M3" s="101" t="e">
        <f ca="1">VLOOKUP(F3,INDEX!B:J,5,0)</f>
        <v>#VALUE!</v>
      </c>
      <c r="N3" s="101"/>
      <c r="O3" s="105" t="e">
        <f ca="1">VLOOKUP(F3,INDEX!B:AF,17,0)</f>
        <v>#VALUE!</v>
      </c>
      <c r="P3" s="105"/>
      <c r="Q3" s="101" t="e">
        <f ca="1">VLOOKUP(F3,INDEX!B:J,9,0)</f>
        <v>#VALUE!</v>
      </c>
      <c r="R3" s="102"/>
    </row>
    <row r="4" spans="1:18" s="4" customFormat="1" ht="15" customHeight="1">
      <c r="A4" s="135"/>
      <c r="B4" s="136"/>
      <c r="C4" s="136"/>
      <c r="D4" s="136"/>
      <c r="E4" s="137"/>
      <c r="F4" s="155" t="s">
        <v>218</v>
      </c>
      <c r="G4" s="155"/>
      <c r="H4" s="155"/>
      <c r="I4" s="159" t="e">
        <f ca="1">VLOOKUP(F3,INDEX!B:AF,18,0)</f>
        <v>#VALUE!</v>
      </c>
      <c r="J4" s="159"/>
      <c r="K4" s="159"/>
      <c r="L4" s="159"/>
      <c r="M4" s="159"/>
      <c r="N4" s="159"/>
      <c r="O4" s="159"/>
      <c r="P4" s="159"/>
      <c r="Q4" s="159"/>
      <c r="R4" s="160"/>
    </row>
    <row r="5" spans="1:18" s="4" customFormat="1" ht="15" customHeight="1">
      <c r="A5" s="135"/>
      <c r="B5" s="136"/>
      <c r="C5" s="136"/>
      <c r="D5" s="136"/>
      <c r="E5" s="137"/>
      <c r="F5" s="158" t="s">
        <v>219</v>
      </c>
      <c r="G5" s="158"/>
      <c r="H5" s="159" t="e">
        <f ca="1">VLOOKUP(F3,INDEX!B:J,6,0)</f>
        <v>#VALUE!</v>
      </c>
      <c r="I5" s="159"/>
      <c r="J5" s="159"/>
      <c r="K5" s="159"/>
      <c r="L5" s="159"/>
      <c r="M5" s="159"/>
      <c r="N5" s="159"/>
      <c r="O5" s="159"/>
      <c r="P5" s="159"/>
      <c r="Q5" s="159"/>
      <c r="R5" s="160"/>
    </row>
    <row r="6" spans="1:18" s="4" customFormat="1" ht="15" customHeight="1" thickBot="1">
      <c r="A6" s="138"/>
      <c r="B6" s="139"/>
      <c r="C6" s="139"/>
      <c r="D6" s="139"/>
      <c r="E6" s="140"/>
      <c r="F6" s="155" t="s">
        <v>220</v>
      </c>
      <c r="G6" s="155"/>
      <c r="H6" s="155"/>
      <c r="I6" s="156" t="e">
        <f ca="1">VLOOKUP(F3,INDEX!B:AF,16,0)</f>
        <v>#VALUE!</v>
      </c>
      <c r="J6" s="156"/>
      <c r="K6" s="156"/>
      <c r="L6" s="156"/>
      <c r="M6" s="156"/>
      <c r="N6" s="156"/>
      <c r="O6" s="156"/>
      <c r="P6" s="156"/>
      <c r="Q6" s="156"/>
      <c r="R6" s="157"/>
    </row>
    <row r="7" spans="1:18" s="4" customFormat="1" ht="14.45" customHeight="1">
      <c r="A7" s="167" t="s">
        <v>410</v>
      </c>
      <c r="B7" s="168"/>
      <c r="C7" s="168"/>
      <c r="D7" s="168"/>
      <c r="E7" s="168"/>
      <c r="F7" s="169"/>
      <c r="G7" s="169"/>
      <c r="H7" s="169"/>
      <c r="I7" s="169"/>
      <c r="J7" s="169"/>
      <c r="K7" s="169"/>
      <c r="L7" s="169"/>
      <c r="M7" s="169"/>
      <c r="N7" s="169"/>
      <c r="O7" s="169"/>
      <c r="P7" s="169"/>
      <c r="Q7" s="169"/>
      <c r="R7" s="170"/>
    </row>
    <row r="8" spans="1:18" s="38" customFormat="1">
      <c r="A8" s="88" t="s">
        <v>222</v>
      </c>
      <c r="B8" s="151" t="e">
        <f ca="1">VLOOKUP(F3,INDEX!B:AF,20,0)</f>
        <v>#VALUE!</v>
      </c>
      <c r="C8" s="127"/>
      <c r="D8" s="151" t="e">
        <f ca="1">VLOOKUP(F3,INDEX!B:AF,21,0)</f>
        <v>#VALUE!</v>
      </c>
      <c r="E8" s="127"/>
      <c r="F8" s="151" t="e">
        <f ca="1">VLOOKUP(F3,INDEX!B:AF,22,0)</f>
        <v>#VALUE!</v>
      </c>
      <c r="G8" s="127"/>
      <c r="H8" s="151" t="e">
        <f ca="1">VLOOKUP(F3,INDEX!B:AF,23,0)</f>
        <v>#VALUE!</v>
      </c>
      <c r="I8" s="127"/>
      <c r="J8" s="151" t="e">
        <f ca="1">VLOOKUP(F3,INDEX!B:AF,24,0)</f>
        <v>#VALUE!</v>
      </c>
      <c r="K8" s="127"/>
      <c r="L8" s="269"/>
      <c r="M8" s="270"/>
      <c r="N8" s="270"/>
      <c r="O8" s="271"/>
      <c r="P8" s="246" t="s">
        <v>223</v>
      </c>
      <c r="Q8" s="247"/>
      <c r="R8" s="248"/>
    </row>
    <row r="9" spans="1:18" s="38" customFormat="1">
      <c r="A9" s="88" t="s">
        <v>224</v>
      </c>
      <c r="B9" s="151" t="e">
        <f ca="1">VLOOKUP(F3,INDEX!B:Z,19,0)&amp;" to 38"</f>
        <v>#VALUE!</v>
      </c>
      <c r="C9" s="127"/>
      <c r="D9" s="151">
        <v>50</v>
      </c>
      <c r="E9" s="127"/>
      <c r="F9" s="151">
        <v>100</v>
      </c>
      <c r="G9" s="127"/>
      <c r="H9" s="151">
        <v>150</v>
      </c>
      <c r="I9" s="127"/>
      <c r="J9" s="151">
        <v>200</v>
      </c>
      <c r="K9" s="127"/>
      <c r="L9" s="272"/>
      <c r="M9" s="273"/>
      <c r="N9" s="273"/>
      <c r="O9" s="274"/>
      <c r="P9" s="246" t="e">
        <f ca="1">B8*1.5</f>
        <v>#VALUE!</v>
      </c>
      <c r="Q9" s="247"/>
      <c r="R9" s="248"/>
    </row>
    <row r="10" spans="1:18" s="38" customFormat="1">
      <c r="A10" s="266" t="s">
        <v>225</v>
      </c>
      <c r="B10" s="267"/>
      <c r="C10" s="267"/>
      <c r="D10" s="267"/>
      <c r="E10" s="267"/>
      <c r="F10" s="267"/>
      <c r="G10" s="267"/>
      <c r="H10" s="267"/>
      <c r="I10" s="267"/>
      <c r="J10" s="267"/>
      <c r="K10" s="267"/>
      <c r="L10" s="267"/>
      <c r="M10" s="267"/>
      <c r="N10" s="267"/>
      <c r="O10" s="267"/>
      <c r="P10" s="267"/>
      <c r="Q10" s="267"/>
      <c r="R10" s="268"/>
    </row>
    <row r="11" spans="1:18">
      <c r="A11" s="73" t="s">
        <v>226</v>
      </c>
      <c r="B11" s="136" t="s">
        <v>411</v>
      </c>
      <c r="C11" s="136"/>
      <c r="D11" s="136"/>
      <c r="E11" s="136"/>
      <c r="F11" s="136"/>
      <c r="G11" s="136"/>
      <c r="H11" s="136"/>
      <c r="I11" s="136"/>
      <c r="J11" s="136"/>
      <c r="K11" s="136"/>
      <c r="L11" s="136"/>
      <c r="M11" s="136"/>
      <c r="N11" s="136"/>
      <c r="O11" s="136"/>
      <c r="P11" s="136"/>
      <c r="Q11" s="136"/>
      <c r="R11" s="137"/>
    </row>
    <row r="12" spans="1:18" s="39" customFormat="1">
      <c r="A12" s="90" t="s">
        <v>228</v>
      </c>
      <c r="B12" s="37">
        <v>0.5</v>
      </c>
      <c r="C12" s="37">
        <v>0.75</v>
      </c>
      <c r="D12" s="37">
        <v>1</v>
      </c>
      <c r="E12" s="37">
        <v>1.5</v>
      </c>
      <c r="F12" s="37">
        <v>2</v>
      </c>
      <c r="G12" s="37">
        <v>3</v>
      </c>
      <c r="H12" s="37">
        <v>4</v>
      </c>
      <c r="I12" s="37">
        <v>6</v>
      </c>
      <c r="J12" s="37">
        <v>8</v>
      </c>
      <c r="K12" s="37">
        <v>10</v>
      </c>
      <c r="L12" s="37">
        <v>12</v>
      </c>
      <c r="M12" s="37">
        <v>14</v>
      </c>
      <c r="N12" s="37">
        <v>16</v>
      </c>
      <c r="O12" s="37">
        <v>18</v>
      </c>
      <c r="P12" s="37">
        <v>20</v>
      </c>
      <c r="Q12" s="37">
        <v>24</v>
      </c>
      <c r="R12" s="87">
        <v>28</v>
      </c>
    </row>
    <row r="13" spans="1:18" s="39" customFormat="1">
      <c r="A13" s="90" t="s">
        <v>229</v>
      </c>
      <c r="B13" s="37">
        <v>16</v>
      </c>
      <c r="C13" s="37">
        <v>25</v>
      </c>
      <c r="D13" s="37">
        <v>30</v>
      </c>
      <c r="E13" s="37">
        <v>44.5</v>
      </c>
      <c r="F13" s="37">
        <v>57</v>
      </c>
      <c r="G13" s="37">
        <v>88.9</v>
      </c>
      <c r="H13" s="37">
        <v>108</v>
      </c>
      <c r="I13" s="37">
        <v>159</v>
      </c>
      <c r="J13" s="37">
        <v>219.1</v>
      </c>
      <c r="K13" s="37">
        <v>267</v>
      </c>
      <c r="L13" s="37">
        <v>323.89999999999998</v>
      </c>
      <c r="M13" s="37">
        <v>368</v>
      </c>
      <c r="N13" s="37">
        <v>419</v>
      </c>
      <c r="O13" s="37">
        <v>457.2</v>
      </c>
      <c r="P13" s="37">
        <v>508</v>
      </c>
      <c r="Q13" s="37">
        <v>610</v>
      </c>
      <c r="R13" s="87">
        <v>711</v>
      </c>
    </row>
    <row r="14" spans="1:18" s="39" customFormat="1">
      <c r="A14" s="90" t="s">
        <v>230</v>
      </c>
      <c r="B14" s="37" t="s">
        <v>174</v>
      </c>
      <c r="C14" s="37" t="s">
        <v>174</v>
      </c>
      <c r="D14" s="37" t="s">
        <v>174</v>
      </c>
      <c r="E14" s="37" t="s">
        <v>174</v>
      </c>
      <c r="F14" s="37" t="s">
        <v>174</v>
      </c>
      <c r="G14" s="37" t="s">
        <v>174</v>
      </c>
      <c r="H14" s="37" t="s">
        <v>174</v>
      </c>
      <c r="I14" s="37" t="s">
        <v>174</v>
      </c>
      <c r="J14" s="37" t="s">
        <v>174</v>
      </c>
      <c r="K14" s="37" t="s">
        <v>174</v>
      </c>
      <c r="L14" s="37" t="s">
        <v>174</v>
      </c>
      <c r="M14" s="37" t="s">
        <v>174</v>
      </c>
      <c r="N14" s="37" t="s">
        <v>174</v>
      </c>
      <c r="O14" s="37" t="s">
        <v>174</v>
      </c>
      <c r="P14" s="37" t="s">
        <v>174</v>
      </c>
      <c r="Q14" s="37" t="s">
        <v>174</v>
      </c>
      <c r="R14" s="87" t="s">
        <v>174</v>
      </c>
    </row>
    <row r="15" spans="1:18" s="39" customFormat="1">
      <c r="A15" s="90" t="s">
        <v>233</v>
      </c>
      <c r="B15" s="37">
        <v>2</v>
      </c>
      <c r="C15" s="37">
        <v>2</v>
      </c>
      <c r="D15" s="37">
        <v>2.5</v>
      </c>
      <c r="E15" s="37">
        <v>2.5</v>
      </c>
      <c r="F15" s="37">
        <v>2.5</v>
      </c>
      <c r="G15" s="37">
        <v>2.5</v>
      </c>
      <c r="H15" s="37">
        <v>3</v>
      </c>
      <c r="I15" s="37">
        <v>3.5</v>
      </c>
      <c r="J15" s="37">
        <v>4.5</v>
      </c>
      <c r="K15" s="37">
        <v>5.5</v>
      </c>
      <c r="L15" s="37">
        <v>7</v>
      </c>
      <c r="M15" s="37">
        <v>8</v>
      </c>
      <c r="N15" s="37">
        <v>9</v>
      </c>
      <c r="O15" s="37">
        <v>9.5</v>
      </c>
      <c r="P15" s="37">
        <v>11</v>
      </c>
      <c r="Q15" s="37">
        <v>13</v>
      </c>
      <c r="R15" s="87">
        <v>15</v>
      </c>
    </row>
    <row r="16" spans="1:18" s="39" customFormat="1">
      <c r="A16" s="90" t="s">
        <v>412</v>
      </c>
      <c r="B16" s="37">
        <f>B15-(0.1*B15)</f>
        <v>1.8</v>
      </c>
      <c r="C16" s="37">
        <f t="shared" ref="C16:H16" si="0">C15-(0.1*C15)</f>
        <v>1.8</v>
      </c>
      <c r="D16" s="37">
        <f t="shared" si="0"/>
        <v>2.25</v>
      </c>
      <c r="E16" s="37">
        <f t="shared" si="0"/>
        <v>2.25</v>
      </c>
      <c r="F16" s="37">
        <f t="shared" si="0"/>
        <v>2.25</v>
      </c>
      <c r="G16" s="37">
        <f t="shared" si="0"/>
        <v>2.25</v>
      </c>
      <c r="H16" s="37">
        <f t="shared" si="0"/>
        <v>2.7</v>
      </c>
      <c r="I16" s="40">
        <f>I15-(0.125*I15)</f>
        <v>3.0625</v>
      </c>
      <c r="J16" s="40">
        <f t="shared" ref="J16:N16" si="1">J15-(0.125*J15)</f>
        <v>3.9375</v>
      </c>
      <c r="K16" s="40">
        <f t="shared" si="1"/>
        <v>4.8125</v>
      </c>
      <c r="L16" s="40">
        <f t="shared" si="1"/>
        <v>6.125</v>
      </c>
      <c r="M16" s="40">
        <f t="shared" si="1"/>
        <v>7</v>
      </c>
      <c r="N16" s="40">
        <f t="shared" si="1"/>
        <v>7.875</v>
      </c>
      <c r="O16" s="37">
        <v>8.31</v>
      </c>
      <c r="P16" s="37">
        <v>9.6300000000000008</v>
      </c>
      <c r="Q16" s="37">
        <v>11.38</v>
      </c>
      <c r="R16" s="87">
        <v>13.13</v>
      </c>
    </row>
    <row r="17" spans="1:18">
      <c r="A17" s="73" t="s">
        <v>234</v>
      </c>
      <c r="B17" s="136" t="s">
        <v>235</v>
      </c>
      <c r="C17" s="136"/>
      <c r="D17" s="136"/>
      <c r="E17" s="136"/>
      <c r="F17" s="136"/>
      <c r="G17" s="136"/>
      <c r="H17" s="136"/>
      <c r="I17" s="136"/>
      <c r="J17" s="136"/>
      <c r="K17" s="136"/>
      <c r="L17" s="136"/>
      <c r="M17" s="136"/>
      <c r="N17" s="136"/>
      <c r="O17" s="136" t="s">
        <v>413</v>
      </c>
      <c r="P17" s="136"/>
      <c r="Q17" s="136"/>
      <c r="R17" s="137"/>
    </row>
    <row r="18" spans="1:18" ht="30.6" customHeight="1">
      <c r="A18" s="73" t="s">
        <v>237</v>
      </c>
      <c r="B18" s="249" t="s">
        <v>414</v>
      </c>
      <c r="C18" s="250"/>
      <c r="D18" s="250"/>
      <c r="E18" s="250"/>
      <c r="F18" s="250"/>
      <c r="G18" s="250"/>
      <c r="H18" s="250"/>
      <c r="I18" s="250"/>
      <c r="J18" s="250"/>
      <c r="K18" s="250"/>
      <c r="L18" s="250"/>
      <c r="M18" s="250"/>
      <c r="N18" s="250"/>
      <c r="O18" s="250"/>
      <c r="P18" s="250"/>
      <c r="Q18" s="250"/>
      <c r="R18" s="251"/>
    </row>
    <row r="19" spans="1:18" ht="14.45" customHeight="1">
      <c r="A19" s="73" t="s">
        <v>240</v>
      </c>
      <c r="B19" s="249" t="s">
        <v>415</v>
      </c>
      <c r="C19" s="250"/>
      <c r="D19" s="250"/>
      <c r="E19" s="250"/>
      <c r="F19" s="256"/>
      <c r="G19" s="249" t="s">
        <v>416</v>
      </c>
      <c r="H19" s="250"/>
      <c r="I19" s="250"/>
      <c r="J19" s="250"/>
      <c r="K19" s="250"/>
      <c r="L19" s="250"/>
      <c r="M19" s="250"/>
      <c r="N19" s="250"/>
      <c r="O19" s="250"/>
      <c r="P19" s="250"/>
      <c r="Q19" s="250"/>
      <c r="R19" s="251"/>
    </row>
    <row r="20" spans="1:18">
      <c r="A20" s="265" t="s">
        <v>242</v>
      </c>
      <c r="B20" s="136"/>
      <c r="C20" s="136"/>
      <c r="D20" s="136"/>
      <c r="E20" s="136"/>
      <c r="F20" s="136"/>
      <c r="G20" s="136"/>
      <c r="H20" s="136"/>
      <c r="I20" s="136"/>
      <c r="J20" s="136"/>
      <c r="K20" s="136"/>
      <c r="L20" s="136"/>
      <c r="M20" s="136"/>
      <c r="N20" s="136"/>
      <c r="O20" s="136"/>
      <c r="P20" s="136"/>
      <c r="Q20" s="136"/>
      <c r="R20" s="137"/>
    </row>
    <row r="21" spans="1:18" ht="13.9" customHeight="1">
      <c r="A21" s="73" t="s">
        <v>234</v>
      </c>
      <c r="B21" s="249" t="s">
        <v>417</v>
      </c>
      <c r="C21" s="250"/>
      <c r="D21" s="250"/>
      <c r="E21" s="256"/>
      <c r="F21" s="249" t="s">
        <v>243</v>
      </c>
      <c r="G21" s="250"/>
      <c r="H21" s="250"/>
      <c r="I21" s="250"/>
      <c r="J21" s="250"/>
      <c r="K21" s="250"/>
      <c r="L21" s="250"/>
      <c r="M21" s="250"/>
      <c r="N21" s="256"/>
      <c r="O21" s="249" t="s">
        <v>418</v>
      </c>
      <c r="P21" s="250"/>
      <c r="Q21" s="250"/>
      <c r="R21" s="251"/>
    </row>
    <row r="22" spans="1:18" ht="14.45" customHeight="1">
      <c r="A22" s="73" t="s">
        <v>237</v>
      </c>
      <c r="B22" s="249" t="s">
        <v>419</v>
      </c>
      <c r="C22" s="250"/>
      <c r="D22" s="250"/>
      <c r="E22" s="250"/>
      <c r="F22" s="250"/>
      <c r="G22" s="250"/>
      <c r="H22" s="250"/>
      <c r="I22" s="250"/>
      <c r="J22" s="250"/>
      <c r="K22" s="250"/>
      <c r="L22" s="250"/>
      <c r="M22" s="250"/>
      <c r="N22" s="250"/>
      <c r="O22" s="250"/>
      <c r="P22" s="250"/>
      <c r="Q22" s="250"/>
      <c r="R22" s="251"/>
    </row>
    <row r="23" spans="1:18" ht="13.9" customHeight="1">
      <c r="A23" s="73" t="s">
        <v>246</v>
      </c>
      <c r="B23" s="249" t="s">
        <v>420</v>
      </c>
      <c r="C23" s="250"/>
      <c r="D23" s="250"/>
      <c r="E23" s="250"/>
      <c r="F23" s="250"/>
      <c r="G23" s="250"/>
      <c r="H23" s="250"/>
      <c r="I23" s="250"/>
      <c r="J23" s="250"/>
      <c r="K23" s="250"/>
      <c r="L23" s="250"/>
      <c r="M23" s="250"/>
      <c r="N23" s="250"/>
      <c r="O23" s="250"/>
      <c r="P23" s="250"/>
      <c r="Q23" s="250"/>
      <c r="R23" s="251"/>
    </row>
    <row r="24" spans="1:18" ht="13.9" customHeight="1">
      <c r="A24" s="73" t="s">
        <v>248</v>
      </c>
      <c r="B24" s="249" t="s">
        <v>420</v>
      </c>
      <c r="C24" s="250"/>
      <c r="D24" s="250"/>
      <c r="E24" s="250"/>
      <c r="F24" s="250"/>
      <c r="G24" s="250" t="s">
        <v>420</v>
      </c>
      <c r="H24" s="250"/>
      <c r="I24" s="250"/>
      <c r="J24" s="250"/>
      <c r="K24" s="250"/>
      <c r="L24" s="250"/>
      <c r="M24" s="250"/>
      <c r="N24" s="250"/>
      <c r="O24" s="250"/>
      <c r="P24" s="250"/>
      <c r="Q24" s="250"/>
      <c r="R24" s="251"/>
    </row>
    <row r="25" spans="1:18" ht="13.9" customHeight="1">
      <c r="A25" s="73" t="s">
        <v>249</v>
      </c>
      <c r="B25" s="249" t="s">
        <v>420</v>
      </c>
      <c r="C25" s="250"/>
      <c r="D25" s="250"/>
      <c r="E25" s="250"/>
      <c r="F25" s="250"/>
      <c r="G25" s="250" t="s">
        <v>420</v>
      </c>
      <c r="H25" s="250"/>
      <c r="I25" s="250"/>
      <c r="J25" s="250"/>
      <c r="K25" s="250"/>
      <c r="L25" s="250"/>
      <c r="M25" s="250"/>
      <c r="N25" s="250"/>
      <c r="O25" s="250"/>
      <c r="P25" s="250"/>
      <c r="Q25" s="250"/>
      <c r="R25" s="251"/>
    </row>
    <row r="26" spans="1:18" ht="13.9" customHeight="1">
      <c r="A26" s="73" t="s">
        <v>250</v>
      </c>
      <c r="B26" s="249" t="s">
        <v>420</v>
      </c>
      <c r="C26" s="250"/>
      <c r="D26" s="250"/>
      <c r="E26" s="250"/>
      <c r="F26" s="250"/>
      <c r="G26" s="250" t="s">
        <v>420</v>
      </c>
      <c r="H26" s="250"/>
      <c r="I26" s="250"/>
      <c r="J26" s="250"/>
      <c r="K26" s="250"/>
      <c r="L26" s="250"/>
      <c r="M26" s="250"/>
      <c r="N26" s="250"/>
      <c r="O26" s="250"/>
      <c r="P26" s="250"/>
      <c r="Q26" s="250"/>
      <c r="R26" s="251"/>
    </row>
    <row r="27" spans="1:18" ht="13.9" customHeight="1">
      <c r="A27" s="73" t="s">
        <v>345</v>
      </c>
      <c r="B27" s="249" t="s">
        <v>420</v>
      </c>
      <c r="C27" s="250"/>
      <c r="D27" s="250"/>
      <c r="E27" s="256"/>
      <c r="F27" s="249"/>
      <c r="G27" s="250"/>
      <c r="H27" s="250"/>
      <c r="I27" s="250"/>
      <c r="J27" s="250"/>
      <c r="K27" s="250"/>
      <c r="L27" s="250"/>
      <c r="M27" s="250"/>
      <c r="N27" s="250"/>
      <c r="O27" s="250"/>
      <c r="P27" s="250"/>
      <c r="Q27" s="250"/>
      <c r="R27" s="251"/>
    </row>
    <row r="28" spans="1:18" ht="13.9" customHeight="1">
      <c r="A28" s="73" t="s">
        <v>251</v>
      </c>
      <c r="B28" s="249" t="s">
        <v>420</v>
      </c>
      <c r="C28" s="250"/>
      <c r="D28" s="250"/>
      <c r="E28" s="250"/>
      <c r="F28" s="250"/>
      <c r="G28" s="250" t="s">
        <v>420</v>
      </c>
      <c r="H28" s="250"/>
      <c r="I28" s="250"/>
      <c r="J28" s="250"/>
      <c r="K28" s="250"/>
      <c r="L28" s="250"/>
      <c r="M28" s="250"/>
      <c r="N28" s="250"/>
      <c r="O28" s="250"/>
      <c r="P28" s="250"/>
      <c r="Q28" s="250"/>
      <c r="R28" s="251"/>
    </row>
    <row r="29" spans="1:18" ht="13.9" customHeight="1">
      <c r="A29" s="73" t="s">
        <v>347</v>
      </c>
      <c r="B29" s="249" t="s">
        <v>420</v>
      </c>
      <c r="C29" s="250"/>
      <c r="D29" s="250"/>
      <c r="E29" s="250"/>
      <c r="F29" s="250"/>
      <c r="G29" s="250" t="s">
        <v>420</v>
      </c>
      <c r="H29" s="250"/>
      <c r="I29" s="250"/>
      <c r="J29" s="250"/>
      <c r="K29" s="250"/>
      <c r="L29" s="250"/>
      <c r="M29" s="250"/>
      <c r="N29" s="250"/>
      <c r="O29" s="250"/>
      <c r="P29" s="250"/>
      <c r="Q29" s="250"/>
      <c r="R29" s="251"/>
    </row>
    <row r="30" spans="1:18" ht="13.9" customHeight="1">
      <c r="A30" s="73" t="s">
        <v>421</v>
      </c>
      <c r="B30" s="249" t="s">
        <v>420</v>
      </c>
      <c r="C30" s="250"/>
      <c r="D30" s="250"/>
      <c r="E30" s="256"/>
      <c r="F30" s="249"/>
      <c r="G30" s="250"/>
      <c r="H30" s="250"/>
      <c r="I30" s="250"/>
      <c r="J30" s="250"/>
      <c r="K30" s="250"/>
      <c r="L30" s="250"/>
      <c r="M30" s="250"/>
      <c r="N30" s="250"/>
      <c r="O30" s="250"/>
      <c r="P30" s="250"/>
      <c r="Q30" s="250"/>
      <c r="R30" s="251"/>
    </row>
    <row r="31" spans="1:18" ht="13.9" customHeight="1">
      <c r="A31" s="73" t="s">
        <v>253</v>
      </c>
      <c r="B31" s="249" t="s">
        <v>420</v>
      </c>
      <c r="C31" s="250"/>
      <c r="D31" s="250"/>
      <c r="E31" s="250"/>
      <c r="F31" s="250"/>
      <c r="G31" s="250"/>
      <c r="H31" s="250"/>
      <c r="I31" s="250"/>
      <c r="J31" s="250"/>
      <c r="K31" s="250"/>
      <c r="L31" s="250"/>
      <c r="M31" s="250"/>
      <c r="N31" s="250"/>
      <c r="O31" s="250"/>
      <c r="P31" s="250"/>
      <c r="Q31" s="250"/>
      <c r="R31" s="251"/>
    </row>
    <row r="32" spans="1:18">
      <c r="A32" s="73" t="s">
        <v>422</v>
      </c>
      <c r="B32" s="252" t="s">
        <v>423</v>
      </c>
      <c r="C32" s="252"/>
      <c r="D32" s="252"/>
      <c r="E32" s="252"/>
      <c r="F32" s="252"/>
      <c r="G32" s="249"/>
      <c r="H32" s="250"/>
      <c r="I32" s="250"/>
      <c r="J32" s="250"/>
      <c r="K32" s="250"/>
      <c r="L32" s="250"/>
      <c r="M32" s="250"/>
      <c r="N32" s="250"/>
      <c r="O32" s="250"/>
      <c r="P32" s="250"/>
      <c r="Q32" s="250"/>
      <c r="R32" s="251"/>
    </row>
    <row r="33" spans="1:18" ht="13.9" customHeight="1">
      <c r="A33" s="73" t="s">
        <v>352</v>
      </c>
      <c r="B33" s="253" t="s">
        <v>423</v>
      </c>
      <c r="C33" s="254"/>
      <c r="D33" s="254"/>
      <c r="E33" s="254"/>
      <c r="F33" s="254"/>
      <c r="G33" s="254"/>
      <c r="H33" s="254"/>
      <c r="I33" s="254"/>
      <c r="J33" s="254"/>
      <c r="K33" s="254"/>
      <c r="L33" s="254"/>
      <c r="M33" s="254"/>
      <c r="N33" s="254"/>
      <c r="O33" s="254"/>
      <c r="P33" s="254"/>
      <c r="Q33" s="254"/>
      <c r="R33" s="255"/>
    </row>
    <row r="34" spans="1:18">
      <c r="A34" s="265" t="s">
        <v>255</v>
      </c>
      <c r="B34" s="136"/>
      <c r="C34" s="136"/>
      <c r="D34" s="136"/>
      <c r="E34" s="136"/>
      <c r="F34" s="136"/>
      <c r="G34" s="136"/>
      <c r="H34" s="136"/>
      <c r="I34" s="136"/>
      <c r="J34" s="136"/>
      <c r="K34" s="136"/>
      <c r="L34" s="136"/>
      <c r="M34" s="136"/>
      <c r="N34" s="136"/>
      <c r="O34" s="136"/>
      <c r="P34" s="136"/>
      <c r="Q34" s="136"/>
      <c r="R34" s="137"/>
    </row>
    <row r="35" spans="1:18" ht="15.6" customHeight="1">
      <c r="A35" s="73" t="s">
        <v>234</v>
      </c>
      <c r="B35" s="249" t="s">
        <v>424</v>
      </c>
      <c r="C35" s="250"/>
      <c r="D35" s="250"/>
      <c r="E35" s="256"/>
      <c r="F35" s="249" t="s">
        <v>313</v>
      </c>
      <c r="G35" s="250"/>
      <c r="H35" s="250"/>
      <c r="I35" s="250"/>
      <c r="J35" s="250"/>
      <c r="K35" s="250"/>
      <c r="L35" s="250"/>
      <c r="M35" s="250"/>
      <c r="N35" s="250"/>
      <c r="O35" s="250"/>
      <c r="P35" s="250"/>
      <c r="Q35" s="250"/>
      <c r="R35" s="251"/>
    </row>
    <row r="36" spans="1:18" ht="14.45" customHeight="1">
      <c r="A36" s="73" t="s">
        <v>237</v>
      </c>
      <c r="B36" s="246" t="s">
        <v>425</v>
      </c>
      <c r="C36" s="247"/>
      <c r="D36" s="247"/>
      <c r="E36" s="247"/>
      <c r="F36" s="247"/>
      <c r="G36" s="247"/>
      <c r="H36" s="247"/>
      <c r="I36" s="247"/>
      <c r="J36" s="247"/>
      <c r="K36" s="247"/>
      <c r="L36" s="247"/>
      <c r="M36" s="247"/>
      <c r="N36" s="247"/>
      <c r="O36" s="247"/>
      <c r="P36" s="247"/>
      <c r="Q36" s="247"/>
      <c r="R36" s="248"/>
    </row>
    <row r="37" spans="1:18" ht="14.45" customHeight="1">
      <c r="A37" s="73" t="s">
        <v>231</v>
      </c>
      <c r="B37" s="249" t="s">
        <v>411</v>
      </c>
      <c r="C37" s="250"/>
      <c r="D37" s="250"/>
      <c r="E37" s="250"/>
      <c r="F37" s="250"/>
      <c r="G37" s="250"/>
      <c r="H37" s="250"/>
      <c r="I37" s="250"/>
      <c r="J37" s="250"/>
      <c r="K37" s="250"/>
      <c r="L37" s="250"/>
      <c r="M37" s="250"/>
      <c r="N37" s="250"/>
      <c r="O37" s="250"/>
      <c r="P37" s="250"/>
      <c r="Q37" s="250"/>
      <c r="R37" s="251"/>
    </row>
    <row r="38" spans="1:18">
      <c r="A38" s="265" t="s">
        <v>426</v>
      </c>
      <c r="B38" s="122"/>
      <c r="C38" s="122"/>
      <c r="D38" s="122"/>
      <c r="E38" s="122"/>
      <c r="F38" s="122"/>
      <c r="G38" s="122"/>
      <c r="H38" s="122"/>
      <c r="I38" s="122"/>
      <c r="J38" s="122"/>
      <c r="K38" s="122"/>
      <c r="L38" s="122"/>
      <c r="M38" s="122"/>
      <c r="N38" s="122"/>
      <c r="O38" s="122"/>
      <c r="P38" s="122"/>
      <c r="Q38" s="122"/>
      <c r="R38" s="123"/>
    </row>
    <row r="39" spans="1:18" ht="15" customHeight="1">
      <c r="A39" s="73" t="s">
        <v>237</v>
      </c>
      <c r="B39" s="249" t="s">
        <v>427</v>
      </c>
      <c r="C39" s="250"/>
      <c r="D39" s="250"/>
      <c r="E39" s="250"/>
      <c r="F39" s="250"/>
      <c r="G39" s="250"/>
      <c r="H39" s="250"/>
      <c r="I39" s="250"/>
      <c r="J39" s="250"/>
      <c r="K39" s="250"/>
      <c r="L39" s="250"/>
      <c r="M39" s="250"/>
      <c r="N39" s="250"/>
      <c r="O39" s="250"/>
      <c r="P39" s="250"/>
      <c r="Q39" s="250"/>
      <c r="R39" s="251"/>
    </row>
    <row r="40" spans="1:18" ht="15" customHeight="1">
      <c r="A40" s="260" t="s">
        <v>264</v>
      </c>
      <c r="B40" s="250"/>
      <c r="C40" s="250"/>
      <c r="D40" s="250"/>
      <c r="E40" s="250"/>
      <c r="F40" s="250"/>
      <c r="G40" s="250"/>
      <c r="H40" s="250"/>
      <c r="I40" s="250"/>
      <c r="J40" s="250"/>
      <c r="K40" s="250"/>
      <c r="L40" s="250"/>
      <c r="M40" s="250"/>
      <c r="N40" s="250"/>
      <c r="O40" s="250"/>
      <c r="P40" s="250"/>
      <c r="Q40" s="250"/>
      <c r="R40" s="251"/>
    </row>
    <row r="41" spans="1:18" s="4" customFormat="1" ht="13.9" customHeight="1">
      <c r="A41" s="73" t="s">
        <v>358</v>
      </c>
      <c r="B41" s="136" t="s">
        <v>266</v>
      </c>
      <c r="C41" s="136"/>
      <c r="D41" s="136"/>
      <c r="E41" s="136"/>
      <c r="F41" s="136"/>
      <c r="G41" s="136"/>
      <c r="H41" s="136"/>
      <c r="I41" s="136"/>
      <c r="J41" s="136"/>
      <c r="K41" s="136"/>
      <c r="L41" s="136"/>
      <c r="M41" s="136"/>
      <c r="N41" s="136"/>
      <c r="O41" s="136"/>
      <c r="P41" s="136"/>
      <c r="Q41" s="136"/>
      <c r="R41" s="137"/>
    </row>
    <row r="42" spans="1:18" s="4" customFormat="1" ht="13.9" customHeight="1">
      <c r="A42" s="73" t="s">
        <v>267</v>
      </c>
      <c r="B42" s="136" t="s">
        <v>268</v>
      </c>
      <c r="C42" s="136"/>
      <c r="D42" s="136"/>
      <c r="E42" s="136"/>
      <c r="F42" s="136"/>
      <c r="G42" s="136"/>
      <c r="H42" s="136"/>
      <c r="I42" s="136"/>
      <c r="J42" s="136"/>
      <c r="K42" s="136"/>
      <c r="L42" s="136"/>
      <c r="M42" s="136"/>
      <c r="N42" s="136"/>
      <c r="O42" s="136"/>
      <c r="P42" s="136"/>
      <c r="Q42" s="136"/>
      <c r="R42" s="137"/>
    </row>
    <row r="43" spans="1:18" ht="14.45" customHeight="1">
      <c r="A43" s="73" t="s">
        <v>269</v>
      </c>
      <c r="B43" s="249" t="s">
        <v>359</v>
      </c>
      <c r="C43" s="250"/>
      <c r="D43" s="250"/>
      <c r="E43" s="250"/>
      <c r="F43" s="250"/>
      <c r="G43" s="250"/>
      <c r="H43" s="250"/>
      <c r="I43" s="250"/>
      <c r="J43" s="250"/>
      <c r="K43" s="250"/>
      <c r="L43" s="250"/>
      <c r="M43" s="250"/>
      <c r="N43" s="250"/>
      <c r="O43" s="250"/>
      <c r="P43" s="250"/>
      <c r="Q43" s="250"/>
      <c r="R43" s="251"/>
    </row>
    <row r="44" spans="1:18" s="4" customFormat="1" ht="13.9" customHeight="1">
      <c r="A44" s="264" t="s">
        <v>271</v>
      </c>
      <c r="B44" s="224"/>
      <c r="C44" s="224"/>
      <c r="D44" s="224"/>
      <c r="E44" s="224"/>
      <c r="F44" s="224"/>
      <c r="G44" s="224"/>
      <c r="H44" s="224"/>
      <c r="I44" s="224"/>
      <c r="J44" s="224"/>
      <c r="K44" s="224"/>
      <c r="L44" s="224"/>
      <c r="M44" s="224"/>
      <c r="N44" s="224"/>
      <c r="O44" s="224"/>
      <c r="P44" s="224"/>
      <c r="Q44" s="224"/>
      <c r="R44" s="225"/>
    </row>
    <row r="45" spans="1:18" s="5" customFormat="1" ht="13.9" customHeight="1">
      <c r="A45" s="69" t="s">
        <v>272</v>
      </c>
      <c r="B45" s="109" t="e">
        <f ca="1">VLOOKUP(F3,INDEX!B:J,2,0)&amp;", FF"</f>
        <v>#VALUE!</v>
      </c>
      <c r="C45" s="109"/>
      <c r="D45" s="109"/>
      <c r="E45" s="109"/>
      <c r="F45" s="109"/>
      <c r="G45" s="109"/>
      <c r="H45" s="109"/>
      <c r="I45" s="109"/>
      <c r="J45" s="109"/>
      <c r="K45" s="109"/>
      <c r="L45" s="109"/>
      <c r="M45" s="109"/>
      <c r="N45" s="109"/>
      <c r="O45" s="109"/>
      <c r="P45" s="109"/>
      <c r="Q45" s="109"/>
      <c r="R45" s="110"/>
    </row>
    <row r="46" spans="1:18" s="5" customFormat="1" ht="13.9" customHeight="1">
      <c r="A46" s="69" t="s">
        <v>273</v>
      </c>
      <c r="B46" s="109" t="e">
        <f ca="1">"BSR"&amp;VLOOKUP(F3,INDEX!B:AH,33,0)&amp;"F"&amp;", BSF"&amp;VLOOKUP(F3,INDEX!B:AH,33,0)&amp;"F"</f>
        <v>#VALUE!</v>
      </c>
      <c r="C46" s="109"/>
      <c r="D46" s="109"/>
      <c r="E46" s="109"/>
      <c r="F46" s="109"/>
      <c r="G46" s="109"/>
      <c r="H46" s="109"/>
      <c r="I46" s="109"/>
      <c r="J46" s="109"/>
      <c r="K46" s="109"/>
      <c r="L46" s="109"/>
      <c r="M46" s="109"/>
      <c r="N46" s="109"/>
      <c r="O46" s="109"/>
      <c r="P46" s="109"/>
      <c r="Q46" s="109"/>
      <c r="R46" s="110"/>
    </row>
    <row r="47" spans="1:18" s="5" customFormat="1" ht="13.9" customHeight="1">
      <c r="A47" s="69" t="s">
        <v>274</v>
      </c>
      <c r="B47" s="109" t="e">
        <f ca="1">"GAW"&amp;VLOOKUP(F3,INDEX!B:AH,33,0)&amp;"F"</f>
        <v>#VALUE!</v>
      </c>
      <c r="C47" s="109"/>
      <c r="D47" s="109"/>
      <c r="E47" s="109"/>
      <c r="F47" s="109"/>
      <c r="G47" s="109"/>
      <c r="H47" s="109"/>
      <c r="I47" s="109"/>
      <c r="J47" s="109"/>
      <c r="K47" s="109"/>
      <c r="L47" s="109"/>
      <c r="M47" s="109"/>
      <c r="N47" s="109"/>
      <c r="O47" s="109"/>
      <c r="P47" s="109"/>
      <c r="Q47" s="109"/>
      <c r="R47" s="110"/>
    </row>
    <row r="48" spans="1:18" s="5" customFormat="1" ht="13.9" customHeight="1">
      <c r="A48" s="69" t="s">
        <v>275</v>
      </c>
      <c r="B48" s="109" t="e">
        <f ca="1">"GLS"&amp;VLOOKUP(F3,INDEX!B:AH,33,0)&amp;"F"</f>
        <v>#VALUE!</v>
      </c>
      <c r="C48" s="109"/>
      <c r="D48" s="109"/>
      <c r="E48" s="109"/>
      <c r="F48" s="109"/>
      <c r="G48" s="109"/>
      <c r="H48" s="109"/>
      <c r="I48" s="109"/>
      <c r="J48" s="109"/>
      <c r="K48" s="109"/>
      <c r="L48" s="109"/>
      <c r="M48" s="109"/>
      <c r="N48" s="109"/>
      <c r="O48" s="109"/>
      <c r="P48" s="109"/>
      <c r="Q48" s="109"/>
      <c r="R48" s="110"/>
    </row>
    <row r="49" spans="1:18" s="5" customFormat="1" ht="13.9" customHeight="1">
      <c r="A49" s="69" t="s">
        <v>276</v>
      </c>
      <c r="B49" s="144" t="e">
        <f ca="1">"CHP"&amp;VLOOKUP(F3,INDEX!B:AH,33,0)&amp;"F"</f>
        <v>#VALUE!</v>
      </c>
      <c r="C49" s="145"/>
      <c r="D49" s="145"/>
      <c r="E49" s="146"/>
      <c r="F49" s="144" t="e">
        <f ca="1">"CSW"&amp;VLOOKUP(F3,INDEX!B:AH,33,0)&amp;"F"&amp;", CDP"&amp;VLOOKUP(F3,INDEX!B:AH,33,0)&amp;"F"</f>
        <v>#VALUE!</v>
      </c>
      <c r="G49" s="145"/>
      <c r="H49" s="145"/>
      <c r="I49" s="145"/>
      <c r="J49" s="145"/>
      <c r="K49" s="145"/>
      <c r="L49" s="145"/>
      <c r="M49" s="145"/>
      <c r="N49" s="145"/>
      <c r="O49" s="145"/>
      <c r="P49" s="145"/>
      <c r="Q49" s="145"/>
      <c r="R49" s="147"/>
    </row>
    <row r="50" spans="1:18" s="5" customFormat="1" ht="13.9" customHeight="1">
      <c r="A50" s="69" t="s">
        <v>277</v>
      </c>
      <c r="B50" s="144"/>
      <c r="C50" s="145"/>
      <c r="D50" s="145"/>
      <c r="E50" s="145"/>
      <c r="F50" s="146"/>
      <c r="G50" s="145" t="e">
        <f ca="1">"BFD"&amp;VLOOKUP(F3,INDEX!B:AH,33,0)&amp;"WF"</f>
        <v>#VALUE!</v>
      </c>
      <c r="H50" s="145"/>
      <c r="I50" s="145"/>
      <c r="J50" s="145"/>
      <c r="K50" s="145"/>
      <c r="L50" s="145"/>
      <c r="M50" s="145"/>
      <c r="N50" s="145"/>
      <c r="O50" s="145"/>
      <c r="P50" s="145"/>
      <c r="Q50" s="145"/>
      <c r="R50" s="147"/>
    </row>
    <row r="51" spans="1:18" s="4" customFormat="1" ht="13.9" customHeight="1">
      <c r="A51" s="260" t="s">
        <v>278</v>
      </c>
      <c r="B51" s="169"/>
      <c r="C51" s="169"/>
      <c r="D51" s="169"/>
      <c r="E51" s="169"/>
      <c r="F51" s="169"/>
      <c r="G51" s="169"/>
      <c r="H51" s="169"/>
      <c r="I51" s="169"/>
      <c r="J51" s="169"/>
      <c r="K51" s="169"/>
      <c r="L51" s="169"/>
      <c r="M51" s="169"/>
      <c r="N51" s="169"/>
      <c r="O51" s="169"/>
      <c r="P51" s="169"/>
      <c r="Q51" s="169"/>
      <c r="R51" s="170"/>
    </row>
    <row r="52" spans="1:18" s="4" customFormat="1" ht="29.45" customHeight="1">
      <c r="A52" s="261" t="s">
        <v>279</v>
      </c>
      <c r="B52" s="262"/>
      <c r="C52" s="262"/>
      <c r="D52" s="262"/>
      <c r="E52" s="262"/>
      <c r="F52" s="262"/>
      <c r="G52" s="262"/>
      <c r="H52" s="262"/>
      <c r="I52" s="262"/>
      <c r="J52" s="262"/>
      <c r="K52" s="262"/>
      <c r="L52" s="262"/>
      <c r="M52" s="262"/>
      <c r="N52" s="262"/>
      <c r="O52" s="262"/>
      <c r="P52" s="262"/>
      <c r="Q52" s="262"/>
      <c r="R52" s="263"/>
    </row>
    <row r="53" spans="1:18" s="4" customFormat="1" ht="13.9" customHeight="1">
      <c r="A53" s="243" t="s">
        <v>280</v>
      </c>
      <c r="B53" s="244"/>
      <c r="C53" s="244"/>
      <c r="D53" s="244"/>
      <c r="E53" s="244"/>
      <c r="F53" s="244"/>
      <c r="G53" s="244"/>
      <c r="H53" s="244"/>
      <c r="I53" s="244"/>
      <c r="J53" s="244"/>
      <c r="K53" s="244"/>
      <c r="L53" s="244"/>
      <c r="M53" s="244"/>
      <c r="N53" s="244"/>
      <c r="O53" s="244"/>
      <c r="P53" s="244"/>
      <c r="Q53" s="244"/>
      <c r="R53" s="245"/>
    </row>
    <row r="54" spans="1:18" s="4" customFormat="1" ht="13.9" customHeight="1">
      <c r="A54" s="243" t="s">
        <v>281</v>
      </c>
      <c r="B54" s="244"/>
      <c r="C54" s="244"/>
      <c r="D54" s="244"/>
      <c r="E54" s="244"/>
      <c r="F54" s="244"/>
      <c r="G54" s="244"/>
      <c r="H54" s="244"/>
      <c r="I54" s="244"/>
      <c r="J54" s="244"/>
      <c r="K54" s="244"/>
      <c r="L54" s="244"/>
      <c r="M54" s="244"/>
      <c r="N54" s="244"/>
      <c r="O54" s="244"/>
      <c r="P54" s="244"/>
      <c r="Q54" s="244"/>
      <c r="R54" s="245"/>
    </row>
    <row r="55" spans="1:18" s="4" customFormat="1" ht="29.45" customHeight="1">
      <c r="A55" s="243" t="s">
        <v>282</v>
      </c>
      <c r="B55" s="244"/>
      <c r="C55" s="244"/>
      <c r="D55" s="244"/>
      <c r="E55" s="244"/>
      <c r="F55" s="244"/>
      <c r="G55" s="244"/>
      <c r="H55" s="244"/>
      <c r="I55" s="244"/>
      <c r="J55" s="244"/>
      <c r="K55" s="244"/>
      <c r="L55" s="244"/>
      <c r="M55" s="244"/>
      <c r="N55" s="244"/>
      <c r="O55" s="244"/>
      <c r="P55" s="244"/>
      <c r="Q55" s="244"/>
      <c r="R55" s="245"/>
    </row>
    <row r="56" spans="1:18" ht="30" customHeight="1">
      <c r="A56" s="243" t="s">
        <v>283</v>
      </c>
      <c r="B56" s="244"/>
      <c r="C56" s="244"/>
      <c r="D56" s="244"/>
      <c r="E56" s="244"/>
      <c r="F56" s="244"/>
      <c r="G56" s="244"/>
      <c r="H56" s="244"/>
      <c r="I56" s="244"/>
      <c r="J56" s="244"/>
      <c r="K56" s="244"/>
      <c r="L56" s="244"/>
      <c r="M56" s="244"/>
      <c r="N56" s="244"/>
      <c r="O56" s="244"/>
      <c r="P56" s="244"/>
      <c r="Q56" s="244"/>
      <c r="R56" s="245"/>
    </row>
    <row r="57" spans="1:18" s="4" customFormat="1" ht="28.9" customHeight="1">
      <c r="A57" s="243" t="s">
        <v>428</v>
      </c>
      <c r="B57" s="244"/>
      <c r="C57" s="244"/>
      <c r="D57" s="244"/>
      <c r="E57" s="244"/>
      <c r="F57" s="244"/>
      <c r="G57" s="244"/>
      <c r="H57" s="244"/>
      <c r="I57" s="244"/>
      <c r="J57" s="244"/>
      <c r="K57" s="244"/>
      <c r="L57" s="244"/>
      <c r="M57" s="244"/>
      <c r="N57" s="244"/>
      <c r="O57" s="244"/>
      <c r="P57" s="244"/>
      <c r="Q57" s="244"/>
      <c r="R57" s="245"/>
    </row>
    <row r="58" spans="1:18" s="4" customFormat="1" ht="15.75" thickBot="1">
      <c r="A58" s="257"/>
      <c r="B58" s="258"/>
      <c r="C58" s="258"/>
      <c r="D58" s="258"/>
      <c r="E58" s="258"/>
      <c r="F58" s="258"/>
      <c r="G58" s="258"/>
      <c r="H58" s="258"/>
      <c r="I58" s="258"/>
      <c r="J58" s="258"/>
      <c r="K58" s="258"/>
      <c r="L58" s="258"/>
      <c r="M58" s="258"/>
      <c r="N58" s="258"/>
      <c r="O58" s="258"/>
      <c r="P58" s="258"/>
      <c r="Q58" s="258"/>
      <c r="R58" s="259"/>
    </row>
  </sheetData>
  <mergeCells count="88">
    <mergeCell ref="Q3:R3"/>
    <mergeCell ref="F4:H4"/>
    <mergeCell ref="I4:R4"/>
    <mergeCell ref="F3:G3"/>
    <mergeCell ref="H3:I3"/>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A10:R10"/>
    <mergeCell ref="B11:R11"/>
    <mergeCell ref="B17:N17"/>
    <mergeCell ref="O17:R17"/>
    <mergeCell ref="L8:O9"/>
    <mergeCell ref="P8:R8"/>
    <mergeCell ref="D9:E9"/>
    <mergeCell ref="F9:G9"/>
    <mergeCell ref="H9:I9"/>
    <mergeCell ref="J9:K9"/>
    <mergeCell ref="P9:R9"/>
    <mergeCell ref="B8:C8"/>
    <mergeCell ref="D8:E8"/>
    <mergeCell ref="F8:G8"/>
    <mergeCell ref="H8:I8"/>
    <mergeCell ref="J8:K8"/>
    <mergeCell ref="B26:R26"/>
    <mergeCell ref="F27:R27"/>
    <mergeCell ref="B24:R24"/>
    <mergeCell ref="B19:F19"/>
    <mergeCell ref="A20:R20"/>
    <mergeCell ref="B21:E21"/>
    <mergeCell ref="F21:N21"/>
    <mergeCell ref="O21:R21"/>
    <mergeCell ref="A58:R58"/>
    <mergeCell ref="B9:C9"/>
    <mergeCell ref="A51:R51"/>
    <mergeCell ref="A52:R52"/>
    <mergeCell ref="A53:R53"/>
    <mergeCell ref="B43:R43"/>
    <mergeCell ref="A44:R44"/>
    <mergeCell ref="B48:R48"/>
    <mergeCell ref="A38:R38"/>
    <mergeCell ref="A40:R40"/>
    <mergeCell ref="B41:R41"/>
    <mergeCell ref="B42:R42"/>
    <mergeCell ref="B39:R39"/>
    <mergeCell ref="A34:R34"/>
    <mergeCell ref="B35:E35"/>
    <mergeCell ref="F35:R35"/>
    <mergeCell ref="B18:R18"/>
    <mergeCell ref="G19:R19"/>
    <mergeCell ref="B22:R22"/>
    <mergeCell ref="B23:R23"/>
    <mergeCell ref="B45:R45"/>
    <mergeCell ref="B37:R37"/>
    <mergeCell ref="B32:F32"/>
    <mergeCell ref="B31:R31"/>
    <mergeCell ref="G32:R32"/>
    <mergeCell ref="B33:R33"/>
    <mergeCell ref="B30:E30"/>
    <mergeCell ref="B28:R28"/>
    <mergeCell ref="B29:R29"/>
    <mergeCell ref="F30:R30"/>
    <mergeCell ref="B27:E27"/>
    <mergeCell ref="B25:R25"/>
    <mergeCell ref="A54:R54"/>
    <mergeCell ref="A55:R55"/>
    <mergeCell ref="A56:R56"/>
    <mergeCell ref="A57:R57"/>
    <mergeCell ref="B36:R36"/>
    <mergeCell ref="B46:R46"/>
    <mergeCell ref="B47:R47"/>
    <mergeCell ref="B49:E49"/>
    <mergeCell ref="F49:R49"/>
    <mergeCell ref="B50:F50"/>
    <mergeCell ref="G50:R50"/>
  </mergeCells>
  <phoneticPr fontId="19" type="noConversion"/>
  <printOptions horizontalCentered="1"/>
  <pageMargins left="0.7" right="0.7" top="0.75" bottom="0.75" header="0.3" footer="0.3"/>
  <pageSetup paperSize="9" scale="81" firstPageNumber="18" orientation="portrait" r:id="rId1"/>
  <legacyDrawingHF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A547-CA39-4B7B-B55A-82E90B86C989}">
  <sheetPr codeName="Sheet43">
    <tabColor rgb="FFFF0000"/>
    <pageSetUpPr fitToPage="1"/>
  </sheetPr>
  <dimension ref="A1:R61"/>
  <sheetViews>
    <sheetView view="pageBreakPreview" zoomScaleNormal="70" zoomScaleSheetLayoutView="100" workbookViewId="0">
      <selection activeCell="S2" sqref="S2:U2"/>
    </sheetView>
  </sheetViews>
  <sheetFormatPr defaultColWidth="9.140625" defaultRowHeight="15"/>
  <cols>
    <col min="1" max="1" width="10.28515625" style="4" bestFit="1" customWidth="1"/>
    <col min="2" max="8" width="6" style="4" customWidth="1"/>
    <col min="9" max="18" width="5.7109375" style="4" customWidth="1"/>
    <col min="19" max="16384" width="9.140625" style="4"/>
  </cols>
  <sheetData>
    <row r="1" spans="1:18" ht="14.45" customHeight="1">
      <c r="A1" s="132" t="e" vm="1">
        <v>#VALUE!</v>
      </c>
      <c r="B1" s="133"/>
      <c r="C1" s="133"/>
      <c r="D1" s="133"/>
      <c r="E1" s="134"/>
      <c r="F1" s="275" t="s">
        <v>213</v>
      </c>
      <c r="G1" s="276"/>
      <c r="H1" s="276"/>
      <c r="I1" s="276"/>
      <c r="J1" s="276"/>
      <c r="K1" s="276"/>
      <c r="L1" s="276"/>
      <c r="M1" s="276"/>
      <c r="N1" s="276"/>
      <c r="O1" s="276"/>
      <c r="P1" s="276"/>
      <c r="Q1" s="133" t="s">
        <v>214</v>
      </c>
      <c r="R1" s="134"/>
    </row>
    <row r="2" spans="1:18"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18">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18"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18"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18"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18" ht="14.45" customHeight="1">
      <c r="A7" s="167" t="s">
        <v>221</v>
      </c>
      <c r="B7" s="168"/>
      <c r="C7" s="168"/>
      <c r="D7" s="168"/>
      <c r="E7" s="168"/>
      <c r="F7" s="169"/>
      <c r="G7" s="169"/>
      <c r="H7" s="169"/>
      <c r="I7" s="169"/>
      <c r="J7" s="169"/>
      <c r="K7" s="169"/>
      <c r="L7" s="169"/>
      <c r="M7" s="169"/>
      <c r="N7" s="169"/>
      <c r="O7" s="169"/>
      <c r="P7" s="169"/>
      <c r="Q7" s="169"/>
      <c r="R7" s="170"/>
    </row>
    <row r="8" spans="1:18" s="38" customFormat="1">
      <c r="A8" s="88" t="s">
        <v>222</v>
      </c>
      <c r="B8" s="246" t="e">
        <f ca="1">VLOOKUP(F3,INDEX!B:AF,20,0)</f>
        <v>#VALUE!</v>
      </c>
      <c r="C8" s="277"/>
      <c r="D8" s="246" t="e">
        <f ca="1">VLOOKUP(F3,INDEX!B:AF,21,0)</f>
        <v>#VALUE!</v>
      </c>
      <c r="E8" s="277"/>
      <c r="F8" s="246" t="e">
        <f ca="1">VLOOKUP(F3,INDEX!B:AF,22,0)</f>
        <v>#VALUE!</v>
      </c>
      <c r="G8" s="277"/>
      <c r="H8" s="269"/>
      <c r="I8" s="270"/>
      <c r="J8" s="270"/>
      <c r="K8" s="270"/>
      <c r="L8" s="270"/>
      <c r="M8" s="270"/>
      <c r="N8" s="270"/>
      <c r="O8" s="271"/>
      <c r="P8" s="246" t="s">
        <v>223</v>
      </c>
      <c r="Q8" s="247"/>
      <c r="R8" s="248"/>
    </row>
    <row r="9" spans="1:18" s="38" customFormat="1">
      <c r="A9" s="88" t="s">
        <v>224</v>
      </c>
      <c r="B9" s="246" t="e">
        <f ca="1">VLOOKUP(F3,INDEX!B:Z,19,0)&amp;" to 38"</f>
        <v>#VALUE!</v>
      </c>
      <c r="C9" s="277"/>
      <c r="D9" s="246">
        <v>50</v>
      </c>
      <c r="E9" s="277"/>
      <c r="F9" s="246">
        <v>100</v>
      </c>
      <c r="G9" s="277"/>
      <c r="H9" s="272"/>
      <c r="I9" s="273"/>
      <c r="J9" s="273"/>
      <c r="K9" s="273"/>
      <c r="L9" s="273"/>
      <c r="M9" s="273"/>
      <c r="N9" s="273"/>
      <c r="O9" s="274"/>
      <c r="P9" s="246" t="e">
        <f ca="1">B8*1.5</f>
        <v>#VALUE!</v>
      </c>
      <c r="Q9" s="247"/>
      <c r="R9" s="248"/>
    </row>
    <row r="10" spans="1:18" s="38" customFormat="1">
      <c r="A10" s="266" t="s">
        <v>225</v>
      </c>
      <c r="B10" s="267"/>
      <c r="C10" s="267"/>
      <c r="D10" s="267"/>
      <c r="E10" s="267"/>
      <c r="F10" s="267"/>
      <c r="G10" s="267"/>
      <c r="H10" s="267"/>
      <c r="I10" s="267"/>
      <c r="J10" s="267"/>
      <c r="K10" s="267"/>
      <c r="L10" s="267"/>
      <c r="M10" s="267"/>
      <c r="N10" s="267"/>
      <c r="O10" s="267"/>
      <c r="P10" s="267"/>
      <c r="Q10" s="267"/>
      <c r="R10" s="268"/>
    </row>
    <row r="11" spans="1:18">
      <c r="A11" s="73" t="s">
        <v>226</v>
      </c>
      <c r="B11" s="136" t="s">
        <v>429</v>
      </c>
      <c r="C11" s="136"/>
      <c r="D11" s="136"/>
      <c r="E11" s="136"/>
      <c r="F11" s="136"/>
      <c r="G11" s="136"/>
      <c r="H11" s="136"/>
      <c r="I11" s="136"/>
      <c r="J11" s="136"/>
      <c r="K11" s="136"/>
      <c r="L11" s="136"/>
      <c r="M11" s="136"/>
      <c r="N11" s="136"/>
      <c r="O11" s="136"/>
      <c r="P11" s="136"/>
      <c r="Q11" s="136"/>
      <c r="R11" s="137"/>
    </row>
    <row r="12" spans="1:18" s="38" customFormat="1">
      <c r="A12" s="90" t="s">
        <v>228</v>
      </c>
      <c r="B12" s="37">
        <v>0.5</v>
      </c>
      <c r="C12" s="37">
        <v>0.75</v>
      </c>
      <c r="D12" s="37">
        <v>1</v>
      </c>
      <c r="E12" s="37">
        <v>1.5</v>
      </c>
      <c r="F12" s="37">
        <v>2</v>
      </c>
      <c r="G12" s="37">
        <v>3</v>
      </c>
      <c r="H12" s="37">
        <v>4</v>
      </c>
      <c r="I12" s="37"/>
      <c r="J12" s="37"/>
      <c r="K12" s="37"/>
      <c r="L12" s="37"/>
      <c r="M12" s="37"/>
      <c r="N12" s="37"/>
      <c r="O12" s="37"/>
      <c r="P12" s="37"/>
      <c r="Q12" s="37"/>
      <c r="R12" s="87"/>
    </row>
    <row r="13" spans="1:18" s="38" customFormat="1">
      <c r="A13" s="90" t="s">
        <v>229</v>
      </c>
      <c r="B13" s="37">
        <v>21.3</v>
      </c>
      <c r="C13" s="37">
        <v>26.7</v>
      </c>
      <c r="D13" s="37">
        <v>33.4</v>
      </c>
      <c r="E13" s="37">
        <v>48.3</v>
      </c>
      <c r="F13" s="37">
        <v>60.3</v>
      </c>
      <c r="G13" s="37">
        <v>88.9</v>
      </c>
      <c r="H13" s="37">
        <v>114</v>
      </c>
      <c r="I13" s="37"/>
      <c r="J13" s="37"/>
      <c r="K13" s="37"/>
      <c r="L13" s="37"/>
      <c r="M13" s="37"/>
      <c r="N13" s="37"/>
      <c r="O13" s="37"/>
      <c r="P13" s="37"/>
      <c r="Q13" s="37"/>
      <c r="R13" s="87"/>
    </row>
    <row r="14" spans="1:18" s="38" customFormat="1">
      <c r="A14" s="90" t="s">
        <v>230</v>
      </c>
      <c r="B14" s="37" t="s">
        <v>174</v>
      </c>
      <c r="C14" s="37" t="s">
        <v>174</v>
      </c>
      <c r="D14" s="37" t="s">
        <v>174</v>
      </c>
      <c r="E14" s="37" t="s">
        <v>174</v>
      </c>
      <c r="F14" s="37" t="s">
        <v>174</v>
      </c>
      <c r="G14" s="37" t="s">
        <v>174</v>
      </c>
      <c r="H14" s="37" t="s">
        <v>174</v>
      </c>
      <c r="I14" s="37"/>
      <c r="J14" s="37"/>
      <c r="K14" s="37"/>
      <c r="L14" s="37"/>
      <c r="M14" s="37"/>
      <c r="N14" s="37"/>
      <c r="O14" s="37"/>
      <c r="P14" s="37"/>
      <c r="Q14" s="37"/>
      <c r="R14" s="87"/>
    </row>
    <row r="15" spans="1:18" s="38" customFormat="1">
      <c r="A15" s="90" t="s">
        <v>233</v>
      </c>
      <c r="B15" s="40">
        <v>2.72</v>
      </c>
      <c r="C15" s="40">
        <v>2.9</v>
      </c>
      <c r="D15" s="40">
        <v>3.2</v>
      </c>
      <c r="E15" s="40">
        <v>3.81</v>
      </c>
      <c r="F15" s="40">
        <v>3.96</v>
      </c>
      <c r="G15" s="40">
        <v>5.56</v>
      </c>
      <c r="H15" s="40">
        <v>6.35</v>
      </c>
      <c r="I15" s="37"/>
      <c r="J15" s="37"/>
      <c r="K15" s="37"/>
      <c r="L15" s="37"/>
      <c r="M15" s="37"/>
      <c r="N15" s="37"/>
      <c r="O15" s="37"/>
      <c r="P15" s="37"/>
      <c r="Q15" s="37"/>
      <c r="R15" s="87"/>
    </row>
    <row r="16" spans="1:18" s="38" customFormat="1">
      <c r="A16" s="90" t="s">
        <v>430</v>
      </c>
      <c r="B16" s="40">
        <v>0.15</v>
      </c>
      <c r="C16" s="40">
        <v>0.15</v>
      </c>
      <c r="D16" s="40">
        <v>0.18</v>
      </c>
      <c r="E16" s="40">
        <v>0.2</v>
      </c>
      <c r="F16" s="40">
        <v>0.23</v>
      </c>
      <c r="G16" s="40">
        <v>0.3</v>
      </c>
      <c r="H16" s="40">
        <v>0.33</v>
      </c>
      <c r="I16" s="37"/>
      <c r="J16" s="37"/>
      <c r="K16" s="37"/>
      <c r="L16" s="37"/>
      <c r="M16" s="37"/>
      <c r="N16" s="37"/>
      <c r="O16" s="37"/>
      <c r="P16" s="37"/>
      <c r="Q16" s="37"/>
      <c r="R16" s="87"/>
    </row>
    <row r="17" spans="1:18" ht="30.6" customHeight="1">
      <c r="A17" s="73" t="s">
        <v>234</v>
      </c>
      <c r="B17" s="136" t="s">
        <v>431</v>
      </c>
      <c r="C17" s="136"/>
      <c r="D17" s="136"/>
      <c r="E17" s="136"/>
      <c r="F17" s="136" t="s">
        <v>432</v>
      </c>
      <c r="G17" s="136"/>
      <c r="H17" s="136"/>
      <c r="I17" s="136"/>
      <c r="J17" s="136"/>
      <c r="K17" s="136"/>
      <c r="L17" s="136"/>
      <c r="M17" s="136"/>
      <c r="N17" s="136"/>
      <c r="O17" s="136"/>
      <c r="P17" s="136"/>
      <c r="Q17" s="136"/>
      <c r="R17" s="137"/>
    </row>
    <row r="18" spans="1:18" ht="14.45" customHeight="1">
      <c r="A18" s="73" t="s">
        <v>237</v>
      </c>
      <c r="B18" s="249" t="s">
        <v>433</v>
      </c>
      <c r="C18" s="250"/>
      <c r="D18" s="250"/>
      <c r="E18" s="250"/>
      <c r="F18" s="250"/>
      <c r="G18" s="250"/>
      <c r="H18" s="250"/>
      <c r="I18" s="256"/>
      <c r="J18" s="136"/>
      <c r="K18" s="136"/>
      <c r="L18" s="136"/>
      <c r="M18" s="136"/>
      <c r="N18" s="136"/>
      <c r="O18" s="136"/>
      <c r="P18" s="136"/>
      <c r="Q18" s="136"/>
      <c r="R18" s="137"/>
    </row>
    <row r="19" spans="1:18">
      <c r="A19" s="73" t="s">
        <v>240</v>
      </c>
      <c r="B19" s="136" t="s">
        <v>241</v>
      </c>
      <c r="C19" s="136"/>
      <c r="D19" s="136"/>
      <c r="E19" s="136"/>
      <c r="F19" s="136"/>
      <c r="G19" s="136"/>
      <c r="H19" s="136"/>
      <c r="I19" s="136"/>
      <c r="J19" s="136"/>
      <c r="K19" s="136"/>
      <c r="L19" s="136"/>
      <c r="M19" s="136"/>
      <c r="N19" s="136"/>
      <c r="O19" s="136"/>
      <c r="P19" s="136"/>
      <c r="Q19" s="136"/>
      <c r="R19" s="137"/>
    </row>
    <row r="20" spans="1:18">
      <c r="A20" s="135" t="s">
        <v>242</v>
      </c>
      <c r="B20" s="136"/>
      <c r="C20" s="136"/>
      <c r="D20" s="136"/>
      <c r="E20" s="136"/>
      <c r="F20" s="136"/>
      <c r="G20" s="136"/>
      <c r="H20" s="136"/>
      <c r="I20" s="136"/>
      <c r="J20" s="136"/>
      <c r="K20" s="136"/>
      <c r="L20" s="136"/>
      <c r="M20" s="136"/>
      <c r="N20" s="136"/>
      <c r="O20" s="136"/>
      <c r="P20" s="136"/>
      <c r="Q20" s="136"/>
      <c r="R20" s="137"/>
    </row>
    <row r="21" spans="1:18" ht="15.75" customHeight="1">
      <c r="A21" s="73" t="s">
        <v>228</v>
      </c>
      <c r="B21" s="21">
        <v>0.5</v>
      </c>
      <c r="C21" s="21">
        <v>0.75</v>
      </c>
      <c r="D21" s="21">
        <v>1</v>
      </c>
      <c r="E21" s="21">
        <v>1.5</v>
      </c>
      <c r="F21" s="21">
        <v>2</v>
      </c>
      <c r="G21" s="21">
        <v>3</v>
      </c>
      <c r="H21" s="21">
        <v>4</v>
      </c>
      <c r="I21" s="21"/>
      <c r="J21" s="21"/>
      <c r="K21" s="21"/>
      <c r="L21" s="21"/>
      <c r="M21" s="21"/>
      <c r="N21" s="21"/>
      <c r="O21" s="21"/>
      <c r="P21" s="21"/>
      <c r="Q21" s="21"/>
      <c r="R21" s="89"/>
    </row>
    <row r="22" spans="1:18" ht="30.6" customHeight="1">
      <c r="A22" s="73" t="s">
        <v>234</v>
      </c>
      <c r="B22" s="249" t="s">
        <v>434</v>
      </c>
      <c r="C22" s="250"/>
      <c r="D22" s="250"/>
      <c r="E22" s="256"/>
      <c r="F22" s="249" t="s">
        <v>243</v>
      </c>
      <c r="G22" s="250"/>
      <c r="H22" s="250"/>
      <c r="I22" s="256"/>
      <c r="J22" s="250"/>
      <c r="K22" s="250"/>
      <c r="L22" s="250"/>
      <c r="M22" s="250"/>
      <c r="N22" s="250"/>
      <c r="O22" s="250"/>
      <c r="P22" s="250"/>
      <c r="Q22" s="250"/>
      <c r="R22" s="251"/>
    </row>
    <row r="23" spans="1:18" ht="28.15" customHeight="1">
      <c r="A23" s="73" t="s">
        <v>237</v>
      </c>
      <c r="B23" s="280" t="s">
        <v>435</v>
      </c>
      <c r="C23" s="281"/>
      <c r="D23" s="281"/>
      <c r="E23" s="281"/>
      <c r="F23" s="136" t="s">
        <v>433</v>
      </c>
      <c r="G23" s="136"/>
      <c r="H23" s="136"/>
      <c r="I23" s="136"/>
      <c r="J23" s="136"/>
      <c r="K23" s="136"/>
      <c r="L23" s="136"/>
      <c r="M23" s="136"/>
      <c r="N23" s="136"/>
      <c r="O23" s="136"/>
      <c r="P23" s="136"/>
      <c r="Q23" s="136"/>
      <c r="R23" s="137"/>
    </row>
    <row r="24" spans="1:18" ht="15" customHeight="1">
      <c r="A24" s="73" t="s">
        <v>246</v>
      </c>
      <c r="B24" s="282"/>
      <c r="C24" s="283"/>
      <c r="D24" s="283"/>
      <c r="E24" s="283"/>
      <c r="F24" s="136"/>
      <c r="G24" s="136"/>
      <c r="H24" s="136"/>
      <c r="I24" s="136"/>
      <c r="J24" s="136"/>
      <c r="K24" s="136"/>
      <c r="L24" s="136"/>
      <c r="M24" s="136"/>
      <c r="N24" s="136"/>
      <c r="O24" s="136"/>
      <c r="P24" s="136"/>
      <c r="Q24" s="136"/>
      <c r="R24" s="137"/>
    </row>
    <row r="25" spans="1:18" ht="15" customHeight="1">
      <c r="A25" s="73" t="s">
        <v>248</v>
      </c>
      <c r="B25" s="282"/>
      <c r="C25" s="283"/>
      <c r="D25" s="283"/>
      <c r="E25" s="283"/>
      <c r="F25" s="136"/>
      <c r="G25" s="136"/>
      <c r="H25" s="136"/>
      <c r="I25" s="136"/>
      <c r="J25" s="136"/>
      <c r="K25" s="136"/>
      <c r="L25" s="136"/>
      <c r="M25" s="136"/>
      <c r="N25" s="136"/>
      <c r="O25" s="136"/>
      <c r="P25" s="136"/>
      <c r="Q25" s="136"/>
      <c r="R25" s="137"/>
    </row>
    <row r="26" spans="1:18" ht="15" customHeight="1">
      <c r="A26" s="73" t="s">
        <v>249</v>
      </c>
      <c r="B26" s="282"/>
      <c r="C26" s="283"/>
      <c r="D26" s="283"/>
      <c r="E26" s="283"/>
      <c r="F26" s="136"/>
      <c r="G26" s="136"/>
      <c r="H26" s="136"/>
      <c r="I26" s="136"/>
      <c r="J26" s="136"/>
      <c r="K26" s="136"/>
      <c r="L26" s="136"/>
      <c r="M26" s="136"/>
      <c r="N26" s="136"/>
      <c r="O26" s="136"/>
      <c r="P26" s="136"/>
      <c r="Q26" s="136"/>
      <c r="R26" s="137"/>
    </row>
    <row r="27" spans="1:18" ht="15" customHeight="1">
      <c r="A27" s="73" t="s">
        <v>250</v>
      </c>
      <c r="B27" s="282"/>
      <c r="C27" s="283"/>
      <c r="D27" s="283"/>
      <c r="E27" s="283"/>
      <c r="F27" s="136"/>
      <c r="G27" s="136"/>
      <c r="H27" s="136"/>
      <c r="I27" s="136"/>
      <c r="J27" s="136"/>
      <c r="K27" s="136"/>
      <c r="L27" s="136"/>
      <c r="M27" s="136"/>
      <c r="N27" s="136"/>
      <c r="O27" s="136"/>
      <c r="P27" s="136"/>
      <c r="Q27" s="136"/>
      <c r="R27" s="137"/>
    </row>
    <row r="28" spans="1:18" ht="15" customHeight="1">
      <c r="A28" s="73" t="s">
        <v>345</v>
      </c>
      <c r="B28" s="282"/>
      <c r="C28" s="283"/>
      <c r="D28" s="283"/>
      <c r="E28" s="283"/>
      <c r="F28" s="136"/>
      <c r="G28" s="136"/>
      <c r="H28" s="136"/>
      <c r="I28" s="136"/>
      <c r="J28" s="136"/>
      <c r="K28" s="136"/>
      <c r="L28" s="136"/>
      <c r="M28" s="136"/>
      <c r="N28" s="136"/>
      <c r="O28" s="136"/>
      <c r="P28" s="136"/>
      <c r="Q28" s="136"/>
      <c r="R28" s="137"/>
    </row>
    <row r="29" spans="1:18" ht="15" customHeight="1">
      <c r="A29" s="73" t="s">
        <v>251</v>
      </c>
      <c r="B29" s="282"/>
      <c r="C29" s="283"/>
      <c r="D29" s="283"/>
      <c r="E29" s="283"/>
      <c r="F29" s="136"/>
      <c r="G29" s="136"/>
      <c r="H29" s="136"/>
      <c r="I29" s="136"/>
      <c r="J29" s="136"/>
      <c r="K29" s="136"/>
      <c r="L29" s="136"/>
      <c r="M29" s="136"/>
      <c r="N29" s="136"/>
      <c r="O29" s="136"/>
      <c r="P29" s="136"/>
      <c r="Q29" s="136"/>
      <c r="R29" s="137"/>
    </row>
    <row r="30" spans="1:18" ht="15" customHeight="1">
      <c r="A30" s="73" t="s">
        <v>347</v>
      </c>
      <c r="B30" s="282"/>
      <c r="C30" s="283"/>
      <c r="D30" s="283"/>
      <c r="E30" s="283"/>
      <c r="F30" s="136"/>
      <c r="G30" s="136"/>
      <c r="H30" s="136"/>
      <c r="I30" s="136"/>
      <c r="J30" s="136"/>
      <c r="K30" s="136"/>
      <c r="L30" s="136"/>
      <c r="M30" s="136"/>
      <c r="N30" s="136"/>
      <c r="O30" s="136"/>
      <c r="P30" s="136"/>
      <c r="Q30" s="136"/>
      <c r="R30" s="137"/>
    </row>
    <row r="31" spans="1:18" ht="15" customHeight="1">
      <c r="A31" s="73" t="s">
        <v>421</v>
      </c>
      <c r="B31" s="282"/>
      <c r="C31" s="283"/>
      <c r="D31" s="283"/>
      <c r="E31" s="283"/>
      <c r="F31" s="136"/>
      <c r="G31" s="136"/>
      <c r="H31" s="136"/>
      <c r="I31" s="136"/>
      <c r="J31" s="136"/>
      <c r="K31" s="136"/>
      <c r="L31" s="136"/>
      <c r="M31" s="136"/>
      <c r="N31" s="136"/>
      <c r="O31" s="136"/>
      <c r="P31" s="136"/>
      <c r="Q31" s="136"/>
      <c r="R31" s="137"/>
    </row>
    <row r="32" spans="1:18" ht="15" customHeight="1">
      <c r="A32" s="73" t="s">
        <v>253</v>
      </c>
      <c r="B32" s="282"/>
      <c r="C32" s="283"/>
      <c r="D32" s="283"/>
      <c r="E32" s="283"/>
      <c r="F32" s="136"/>
      <c r="G32" s="136"/>
      <c r="H32" s="136"/>
      <c r="I32" s="136"/>
      <c r="J32" s="136"/>
      <c r="K32" s="136"/>
      <c r="L32" s="136"/>
      <c r="M32" s="136"/>
      <c r="N32" s="136"/>
      <c r="O32" s="136"/>
      <c r="P32" s="136"/>
      <c r="Q32" s="136"/>
      <c r="R32" s="137"/>
    </row>
    <row r="33" spans="1:18" ht="15" customHeight="1">
      <c r="A33" s="73" t="s">
        <v>422</v>
      </c>
      <c r="B33" s="282"/>
      <c r="C33" s="283"/>
      <c r="D33" s="283"/>
      <c r="E33" s="283"/>
      <c r="F33" s="136"/>
      <c r="G33" s="136"/>
      <c r="H33" s="136"/>
      <c r="I33" s="136"/>
      <c r="J33" s="136"/>
      <c r="K33" s="136"/>
      <c r="L33" s="136"/>
      <c r="M33" s="136"/>
      <c r="N33" s="136"/>
      <c r="O33" s="136"/>
      <c r="P33" s="136"/>
      <c r="Q33" s="136"/>
      <c r="R33" s="137"/>
    </row>
    <row r="34" spans="1:18" ht="15" customHeight="1">
      <c r="A34" s="73" t="s">
        <v>352</v>
      </c>
      <c r="B34" s="284"/>
      <c r="C34" s="285"/>
      <c r="D34" s="285"/>
      <c r="E34" s="285"/>
      <c r="F34" s="136"/>
      <c r="G34" s="136"/>
      <c r="H34" s="136"/>
      <c r="I34" s="136"/>
      <c r="J34" s="136"/>
      <c r="K34" s="136"/>
      <c r="L34" s="136"/>
      <c r="M34" s="136"/>
      <c r="N34" s="136"/>
      <c r="O34" s="136"/>
      <c r="P34" s="136"/>
      <c r="Q34" s="136"/>
      <c r="R34" s="137"/>
    </row>
    <row r="35" spans="1:18">
      <c r="A35" s="135" t="s">
        <v>255</v>
      </c>
      <c r="B35" s="136"/>
      <c r="C35" s="136"/>
      <c r="D35" s="136"/>
      <c r="E35" s="136"/>
      <c r="F35" s="136"/>
      <c r="G35" s="136"/>
      <c r="H35" s="136"/>
      <c r="I35" s="136"/>
      <c r="J35" s="136"/>
      <c r="K35" s="136"/>
      <c r="L35" s="136"/>
      <c r="M35" s="136"/>
      <c r="N35" s="136"/>
      <c r="O35" s="136"/>
      <c r="P35" s="136"/>
      <c r="Q35" s="136"/>
      <c r="R35" s="137"/>
    </row>
    <row r="36" spans="1:18" ht="15.75" customHeight="1">
      <c r="A36" s="73" t="s">
        <v>228</v>
      </c>
      <c r="B36" s="21">
        <v>0.5</v>
      </c>
      <c r="C36" s="21">
        <v>0.75</v>
      </c>
      <c r="D36" s="21">
        <v>1</v>
      </c>
      <c r="E36" s="21">
        <v>1.5</v>
      </c>
      <c r="F36" s="21">
        <v>2</v>
      </c>
      <c r="G36" s="21">
        <v>3</v>
      </c>
      <c r="H36" s="21">
        <v>4</v>
      </c>
      <c r="I36" s="21"/>
      <c r="J36" s="21"/>
      <c r="K36" s="21"/>
      <c r="L36" s="21"/>
      <c r="M36" s="21"/>
      <c r="N36" s="21"/>
      <c r="O36" s="21"/>
      <c r="P36" s="21"/>
      <c r="Q36" s="21"/>
      <c r="R36" s="89"/>
    </row>
    <row r="37" spans="1:18" ht="14.45" customHeight="1">
      <c r="A37" s="73" t="s">
        <v>234</v>
      </c>
      <c r="B37" s="249" t="s">
        <v>436</v>
      </c>
      <c r="C37" s="250"/>
      <c r="D37" s="250"/>
      <c r="E37" s="250"/>
      <c r="F37" s="250"/>
      <c r="G37" s="250"/>
      <c r="H37" s="250"/>
      <c r="I37" s="256"/>
      <c r="J37" s="136"/>
      <c r="K37" s="136"/>
      <c r="L37" s="136"/>
      <c r="M37" s="136"/>
      <c r="N37" s="136"/>
      <c r="O37" s="136"/>
      <c r="P37" s="136"/>
      <c r="Q37" s="136"/>
      <c r="R37" s="137"/>
    </row>
    <row r="38" spans="1:18">
      <c r="A38" s="73" t="s">
        <v>257</v>
      </c>
      <c r="B38" s="249" t="s">
        <v>437</v>
      </c>
      <c r="C38" s="250"/>
      <c r="D38" s="250"/>
      <c r="E38" s="250"/>
      <c r="F38" s="250"/>
      <c r="G38" s="250"/>
      <c r="H38" s="250"/>
      <c r="I38" s="256"/>
      <c r="J38" s="136"/>
      <c r="K38" s="136"/>
      <c r="L38" s="136"/>
      <c r="M38" s="136"/>
      <c r="N38" s="136"/>
      <c r="O38" s="136"/>
      <c r="P38" s="136"/>
      <c r="Q38" s="136"/>
      <c r="R38" s="137"/>
    </row>
    <row r="39" spans="1:18" ht="13.9" customHeight="1">
      <c r="A39" s="73" t="s">
        <v>237</v>
      </c>
      <c r="B39" s="249" t="s">
        <v>438</v>
      </c>
      <c r="C39" s="250"/>
      <c r="D39" s="250"/>
      <c r="E39" s="250"/>
      <c r="F39" s="250"/>
      <c r="G39" s="250"/>
      <c r="H39" s="250"/>
      <c r="I39" s="256"/>
      <c r="J39" s="136"/>
      <c r="K39" s="136"/>
      <c r="L39" s="136"/>
      <c r="M39" s="136"/>
      <c r="N39" s="136"/>
      <c r="O39" s="136"/>
      <c r="P39" s="136"/>
      <c r="Q39" s="136"/>
      <c r="R39" s="137"/>
    </row>
    <row r="40" spans="1:18" ht="13.9" customHeight="1">
      <c r="A40" s="73" t="s">
        <v>231</v>
      </c>
      <c r="B40" s="249" t="s">
        <v>439</v>
      </c>
      <c r="C40" s="250"/>
      <c r="D40" s="250"/>
      <c r="E40" s="250"/>
      <c r="F40" s="250"/>
      <c r="G40" s="250"/>
      <c r="H40" s="250"/>
      <c r="I40" s="256"/>
      <c r="J40" s="136"/>
      <c r="K40" s="136"/>
      <c r="L40" s="136"/>
      <c r="M40" s="136"/>
      <c r="N40" s="136"/>
      <c r="O40" s="136"/>
      <c r="P40" s="136"/>
      <c r="Q40" s="136"/>
      <c r="R40" s="137"/>
    </row>
    <row r="41" spans="1:18">
      <c r="A41" s="135" t="s">
        <v>426</v>
      </c>
      <c r="B41" s="136"/>
      <c r="C41" s="136"/>
      <c r="D41" s="136"/>
      <c r="E41" s="136"/>
      <c r="F41" s="136"/>
      <c r="G41" s="136"/>
      <c r="H41" s="136"/>
      <c r="I41" s="136"/>
      <c r="J41" s="136"/>
      <c r="K41" s="136"/>
      <c r="L41" s="136"/>
      <c r="M41" s="136"/>
      <c r="N41" s="136"/>
      <c r="O41" s="136"/>
      <c r="P41" s="136"/>
      <c r="Q41" s="136"/>
      <c r="R41" s="137"/>
    </row>
    <row r="42" spans="1:18" ht="15.75" customHeight="1">
      <c r="A42" s="73" t="s">
        <v>228</v>
      </c>
      <c r="B42" s="21">
        <v>0.5</v>
      </c>
      <c r="C42" s="21">
        <v>0.75</v>
      </c>
      <c r="D42" s="21">
        <v>1</v>
      </c>
      <c r="E42" s="21">
        <v>1.5</v>
      </c>
      <c r="F42" s="21">
        <v>2</v>
      </c>
      <c r="G42" s="21">
        <v>3</v>
      </c>
      <c r="H42" s="21">
        <v>4</v>
      </c>
      <c r="I42" s="21"/>
      <c r="J42" s="21"/>
      <c r="K42" s="21"/>
      <c r="L42" s="21"/>
      <c r="M42" s="21"/>
      <c r="N42" s="21"/>
      <c r="O42" s="21"/>
      <c r="P42" s="21"/>
      <c r="Q42" s="21"/>
      <c r="R42" s="89"/>
    </row>
    <row r="43" spans="1:18">
      <c r="A43" s="73" t="s">
        <v>237</v>
      </c>
      <c r="B43" s="136" t="s">
        <v>440</v>
      </c>
      <c r="C43" s="136"/>
      <c r="D43" s="136"/>
      <c r="E43" s="136"/>
      <c r="F43" s="136"/>
      <c r="G43" s="136"/>
      <c r="H43" s="136"/>
      <c r="I43" s="136"/>
      <c r="J43" s="136"/>
      <c r="K43" s="136"/>
      <c r="L43" s="136"/>
      <c r="M43" s="136"/>
      <c r="N43" s="136"/>
      <c r="O43" s="136"/>
      <c r="P43" s="136"/>
      <c r="Q43" s="136"/>
      <c r="R43" s="137"/>
    </row>
    <row r="44" spans="1:18">
      <c r="A44" s="135" t="s">
        <v>441</v>
      </c>
      <c r="B44" s="136"/>
      <c r="C44" s="136"/>
      <c r="D44" s="136"/>
      <c r="E44" s="136"/>
      <c r="F44" s="136"/>
      <c r="G44" s="136"/>
      <c r="H44" s="136"/>
      <c r="I44" s="136"/>
      <c r="J44" s="136"/>
      <c r="K44" s="136"/>
      <c r="L44" s="136"/>
      <c r="M44" s="136"/>
      <c r="N44" s="136"/>
      <c r="O44" s="136"/>
      <c r="P44" s="136"/>
      <c r="Q44" s="136"/>
      <c r="R44" s="137"/>
    </row>
    <row r="45" spans="1:18" ht="14.45" customHeight="1">
      <c r="A45" s="73" t="s">
        <v>358</v>
      </c>
      <c r="B45" s="249" t="s">
        <v>266</v>
      </c>
      <c r="C45" s="250"/>
      <c r="D45" s="250"/>
      <c r="E45" s="250"/>
      <c r="F45" s="250"/>
      <c r="G45" s="250"/>
      <c r="H45" s="250"/>
      <c r="I45" s="250"/>
      <c r="J45" s="250"/>
      <c r="K45" s="250"/>
      <c r="L45" s="250"/>
      <c r="M45" s="250"/>
      <c r="N45" s="250"/>
      <c r="O45" s="250"/>
      <c r="P45" s="250"/>
      <c r="Q45" s="250"/>
      <c r="R45" s="251"/>
    </row>
    <row r="46" spans="1:18" ht="14.45" customHeight="1">
      <c r="A46" s="73" t="s">
        <v>267</v>
      </c>
      <c r="B46" s="249" t="s">
        <v>268</v>
      </c>
      <c r="C46" s="250"/>
      <c r="D46" s="250"/>
      <c r="E46" s="250"/>
      <c r="F46" s="250"/>
      <c r="G46" s="250"/>
      <c r="H46" s="250"/>
      <c r="I46" s="250"/>
      <c r="J46" s="250"/>
      <c r="K46" s="250"/>
      <c r="L46" s="250"/>
      <c r="M46" s="250"/>
      <c r="N46" s="250"/>
      <c r="O46" s="250"/>
      <c r="P46" s="250"/>
      <c r="Q46" s="250"/>
      <c r="R46" s="251"/>
    </row>
    <row r="47" spans="1:18">
      <c r="A47" s="73" t="s">
        <v>269</v>
      </c>
      <c r="B47" s="136" t="s">
        <v>442</v>
      </c>
      <c r="C47" s="136"/>
      <c r="D47" s="136"/>
      <c r="E47" s="136"/>
      <c r="F47" s="136"/>
      <c r="G47" s="136"/>
      <c r="H47" s="136"/>
      <c r="I47" s="136"/>
      <c r="J47" s="136"/>
      <c r="K47" s="136"/>
      <c r="L47" s="136"/>
      <c r="M47" s="136"/>
      <c r="N47" s="136"/>
      <c r="O47" s="136"/>
      <c r="P47" s="136"/>
      <c r="Q47" s="136"/>
      <c r="R47" s="137"/>
    </row>
    <row r="48" spans="1:18" ht="13.9" customHeight="1">
      <c r="A48" s="264" t="s">
        <v>271</v>
      </c>
      <c r="B48" s="224"/>
      <c r="C48" s="224"/>
      <c r="D48" s="224"/>
      <c r="E48" s="224"/>
      <c r="F48" s="224"/>
      <c r="G48" s="224"/>
      <c r="H48" s="224"/>
      <c r="I48" s="224"/>
      <c r="J48" s="224"/>
      <c r="K48" s="224"/>
      <c r="L48" s="224"/>
      <c r="M48" s="224"/>
      <c r="N48" s="224"/>
      <c r="O48" s="224"/>
      <c r="P48" s="224"/>
      <c r="Q48" s="224"/>
      <c r="R48" s="225"/>
    </row>
    <row r="49" spans="1:18" ht="13.9" customHeight="1">
      <c r="A49" s="73" t="s">
        <v>272</v>
      </c>
      <c r="B49" s="136" t="e">
        <f ca="1">VLOOKUP(F3,INDEX!B:J,2,0)&amp;", FF"</f>
        <v>#VALUE!</v>
      </c>
      <c r="C49" s="136"/>
      <c r="D49" s="136"/>
      <c r="E49" s="136"/>
      <c r="F49" s="136"/>
      <c r="G49" s="136"/>
      <c r="H49" s="136"/>
      <c r="I49" s="136"/>
      <c r="J49" s="136"/>
      <c r="K49" s="136"/>
      <c r="L49" s="136"/>
      <c r="M49" s="136"/>
      <c r="N49" s="136"/>
      <c r="O49" s="136"/>
      <c r="P49" s="136"/>
      <c r="Q49" s="136"/>
      <c r="R49" s="137"/>
    </row>
    <row r="50" spans="1:18" ht="13.9" customHeight="1">
      <c r="A50" s="73" t="s">
        <v>273</v>
      </c>
      <c r="B50" s="136" t="e">
        <f ca="1">"BSR"&amp;VLOOKUP(F3,INDEX!B:AH,33,0)&amp;"F"&amp;", BSF"&amp;VLOOKUP(F3,INDEX!B:AH,33,0)&amp;"F"</f>
        <v>#VALUE!</v>
      </c>
      <c r="C50" s="136"/>
      <c r="D50" s="136"/>
      <c r="E50" s="136"/>
      <c r="F50" s="136"/>
      <c r="G50" s="136"/>
      <c r="H50" s="136"/>
      <c r="I50" s="136"/>
      <c r="J50" s="136"/>
      <c r="K50" s="136"/>
      <c r="L50" s="136"/>
      <c r="M50" s="136"/>
      <c r="N50" s="136"/>
      <c r="O50" s="136"/>
      <c r="P50" s="136"/>
      <c r="Q50" s="136"/>
      <c r="R50" s="137"/>
    </row>
    <row r="51" spans="1:18" ht="13.9" customHeight="1">
      <c r="A51" s="73" t="s">
        <v>274</v>
      </c>
      <c r="B51" s="136" t="e">
        <f ca="1">"GAW"&amp;VLOOKUP(F3,INDEX!B:AH,33,0)&amp;"F"</f>
        <v>#VALUE!</v>
      </c>
      <c r="C51" s="136"/>
      <c r="D51" s="136"/>
      <c r="E51" s="136"/>
      <c r="F51" s="136"/>
      <c r="G51" s="136"/>
      <c r="H51" s="136"/>
      <c r="I51" s="136"/>
      <c r="J51" s="136"/>
      <c r="K51" s="136"/>
      <c r="L51" s="136"/>
      <c r="M51" s="136"/>
      <c r="N51" s="136"/>
      <c r="O51" s="136"/>
      <c r="P51" s="136"/>
      <c r="Q51" s="136"/>
      <c r="R51" s="137"/>
    </row>
    <row r="52" spans="1:18" ht="13.9" customHeight="1">
      <c r="A52" s="73" t="s">
        <v>275</v>
      </c>
      <c r="B52" s="136" t="e">
        <f ca="1">"GLS"&amp;VLOOKUP(F3,INDEX!B:AH,33,0)&amp;"F"</f>
        <v>#VALUE!</v>
      </c>
      <c r="C52" s="136"/>
      <c r="D52" s="136"/>
      <c r="E52" s="136"/>
      <c r="F52" s="136"/>
      <c r="G52" s="136"/>
      <c r="H52" s="136"/>
      <c r="I52" s="136"/>
      <c r="J52" s="136"/>
      <c r="K52" s="136"/>
      <c r="L52" s="136"/>
      <c r="M52" s="136"/>
      <c r="N52" s="136"/>
      <c r="O52" s="136"/>
      <c r="P52" s="136"/>
      <c r="Q52" s="136"/>
      <c r="R52" s="137"/>
    </row>
    <row r="53" spans="1:18" ht="13.9" customHeight="1">
      <c r="A53" s="73" t="s">
        <v>276</v>
      </c>
      <c r="B53" s="249" t="e">
        <f ca="1">"CHP"&amp;VLOOKUP(F3,INDEX!B:AH,33,0)&amp;"F"</f>
        <v>#VALUE!</v>
      </c>
      <c r="C53" s="250"/>
      <c r="D53" s="250"/>
      <c r="E53" s="256"/>
      <c r="F53" s="249" t="e">
        <f ca="1">"CSW"&amp;VLOOKUP(F3,INDEX!B:AH,33,0)&amp;"F"&amp;", CDP"&amp;VLOOKUP(F3,INDEX!B:AH,33,0)&amp;"F"</f>
        <v>#VALUE!</v>
      </c>
      <c r="G53" s="250"/>
      <c r="H53" s="250"/>
      <c r="I53" s="250"/>
      <c r="J53" s="250"/>
      <c r="K53" s="250"/>
      <c r="L53" s="250"/>
      <c r="M53" s="250"/>
      <c r="N53" s="250"/>
      <c r="O53" s="250"/>
      <c r="P53" s="250"/>
      <c r="Q53" s="250"/>
      <c r="R53" s="251"/>
    </row>
    <row r="54" spans="1:18" ht="13.9" customHeight="1">
      <c r="A54" s="73" t="s">
        <v>277</v>
      </c>
      <c r="B54" s="249"/>
      <c r="C54" s="250"/>
      <c r="D54" s="250"/>
      <c r="E54" s="250"/>
      <c r="F54" s="256"/>
      <c r="G54" s="250" t="e">
        <f ca="1">"BFD"&amp;VLOOKUP(F3,INDEX!B:AH,33,0)&amp;"WF"</f>
        <v>#VALUE!</v>
      </c>
      <c r="H54" s="250"/>
      <c r="I54" s="250"/>
      <c r="J54" s="250"/>
      <c r="K54" s="250"/>
      <c r="L54" s="250"/>
      <c r="M54" s="250"/>
      <c r="N54" s="250"/>
      <c r="O54" s="250"/>
      <c r="P54" s="250"/>
      <c r="Q54" s="250"/>
      <c r="R54" s="251"/>
    </row>
    <row r="55" spans="1:18">
      <c r="A55" s="265" t="s">
        <v>443</v>
      </c>
      <c r="B55" s="122"/>
      <c r="C55" s="122"/>
      <c r="D55" s="122"/>
      <c r="E55" s="122"/>
      <c r="F55" s="122"/>
      <c r="G55" s="122"/>
      <c r="H55" s="122"/>
      <c r="I55" s="122"/>
      <c r="J55" s="122"/>
      <c r="K55" s="122"/>
      <c r="L55" s="122"/>
      <c r="M55" s="122"/>
      <c r="N55" s="122"/>
      <c r="O55" s="122"/>
      <c r="P55" s="122"/>
      <c r="Q55" s="122"/>
      <c r="R55" s="123"/>
    </row>
    <row r="56" spans="1:18">
      <c r="A56" s="261" t="s">
        <v>444</v>
      </c>
      <c r="B56" s="262"/>
      <c r="C56" s="262"/>
      <c r="D56" s="262"/>
      <c r="E56" s="262"/>
      <c r="F56" s="262"/>
      <c r="G56" s="262"/>
      <c r="H56" s="262"/>
      <c r="I56" s="262"/>
      <c r="J56" s="262"/>
      <c r="K56" s="262"/>
      <c r="L56" s="262"/>
      <c r="M56" s="262"/>
      <c r="N56" s="262"/>
      <c r="O56" s="262"/>
      <c r="P56" s="262"/>
      <c r="Q56" s="262"/>
      <c r="R56" s="263"/>
    </row>
    <row r="57" spans="1:18">
      <c r="A57" s="243" t="s">
        <v>445</v>
      </c>
      <c r="B57" s="244"/>
      <c r="C57" s="244"/>
      <c r="D57" s="244"/>
      <c r="E57" s="244"/>
      <c r="F57" s="244"/>
      <c r="G57" s="244"/>
      <c r="H57" s="244"/>
      <c r="I57" s="244"/>
      <c r="J57" s="244"/>
      <c r="K57" s="244"/>
      <c r="L57" s="244"/>
      <c r="M57" s="244"/>
      <c r="N57" s="244"/>
      <c r="O57" s="244"/>
      <c r="P57" s="244"/>
      <c r="Q57" s="244"/>
      <c r="R57" s="245"/>
    </row>
    <row r="58" spans="1:18">
      <c r="A58" s="243" t="s">
        <v>446</v>
      </c>
      <c r="B58" s="244"/>
      <c r="C58" s="244"/>
      <c r="D58" s="244"/>
      <c r="E58" s="244"/>
      <c r="F58" s="244"/>
      <c r="G58" s="244"/>
      <c r="H58" s="244"/>
      <c r="I58" s="244"/>
      <c r="J58" s="244"/>
      <c r="K58" s="244"/>
      <c r="L58" s="244"/>
      <c r="M58" s="244"/>
      <c r="N58" s="244"/>
      <c r="O58" s="244"/>
      <c r="P58" s="244"/>
      <c r="Q58" s="244"/>
      <c r="R58" s="245"/>
    </row>
    <row r="59" spans="1:18" ht="28.9" customHeight="1">
      <c r="A59" s="243" t="s">
        <v>447</v>
      </c>
      <c r="B59" s="244"/>
      <c r="C59" s="244"/>
      <c r="D59" s="244"/>
      <c r="E59" s="244"/>
      <c r="F59" s="244"/>
      <c r="G59" s="244"/>
      <c r="H59" s="244"/>
      <c r="I59" s="244"/>
      <c r="J59" s="244"/>
      <c r="K59" s="244"/>
      <c r="L59" s="244"/>
      <c r="M59" s="244"/>
      <c r="N59" s="244"/>
      <c r="O59" s="244"/>
      <c r="P59" s="244"/>
      <c r="Q59" s="244"/>
      <c r="R59" s="245"/>
    </row>
    <row r="60" spans="1:18">
      <c r="A60" s="243" t="s">
        <v>448</v>
      </c>
      <c r="B60" s="244"/>
      <c r="C60" s="244"/>
      <c r="D60" s="244"/>
      <c r="E60" s="244"/>
      <c r="F60" s="244"/>
      <c r="G60" s="244"/>
      <c r="H60" s="244"/>
      <c r="I60" s="244"/>
      <c r="J60" s="244"/>
      <c r="K60" s="244"/>
      <c r="L60" s="244"/>
      <c r="M60" s="244"/>
      <c r="N60" s="244"/>
      <c r="O60" s="244"/>
      <c r="P60" s="244"/>
      <c r="Q60" s="244"/>
      <c r="R60" s="245"/>
    </row>
    <row r="61" spans="1:18" ht="15.75" thickBot="1">
      <c r="A61" s="257"/>
      <c r="B61" s="258"/>
      <c r="C61" s="258"/>
      <c r="D61" s="258"/>
      <c r="E61" s="258"/>
      <c r="F61" s="258"/>
      <c r="G61" s="258"/>
      <c r="H61" s="258"/>
      <c r="I61" s="258"/>
      <c r="J61" s="258"/>
      <c r="K61" s="258"/>
      <c r="L61" s="258"/>
      <c r="M61" s="258"/>
      <c r="N61" s="258"/>
      <c r="O61" s="258"/>
      <c r="P61" s="258"/>
      <c r="Q61" s="258"/>
      <c r="R61" s="259"/>
    </row>
  </sheetData>
  <mergeCells count="90">
    <mergeCell ref="Q3:R3"/>
    <mergeCell ref="F4:H4"/>
    <mergeCell ref="I4:R4"/>
    <mergeCell ref="F3:G3"/>
    <mergeCell ref="H3:I3"/>
    <mergeCell ref="B8:C8"/>
    <mergeCell ref="D8:E8"/>
    <mergeCell ref="F8:G8"/>
    <mergeCell ref="H8:O9"/>
    <mergeCell ref="P8:R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B19:I19"/>
    <mergeCell ref="J19:R19"/>
    <mergeCell ref="B9:C9"/>
    <mergeCell ref="D9:E9"/>
    <mergeCell ref="F9:G9"/>
    <mergeCell ref="P9:R9"/>
    <mergeCell ref="A10:R10"/>
    <mergeCell ref="B11:R11"/>
    <mergeCell ref="B17:E17"/>
    <mergeCell ref="F17:I17"/>
    <mergeCell ref="J17:R17"/>
    <mergeCell ref="B18:I18"/>
    <mergeCell ref="J18:R18"/>
    <mergeCell ref="J32:R32"/>
    <mergeCell ref="A20:R20"/>
    <mergeCell ref="B22:E22"/>
    <mergeCell ref="F22:I22"/>
    <mergeCell ref="J22:R22"/>
    <mergeCell ref="B23:E34"/>
    <mergeCell ref="F23:I34"/>
    <mergeCell ref="J23:R23"/>
    <mergeCell ref="J24:R24"/>
    <mergeCell ref="J25:R25"/>
    <mergeCell ref="J26:R26"/>
    <mergeCell ref="J27:R27"/>
    <mergeCell ref="J28:R28"/>
    <mergeCell ref="J29:R29"/>
    <mergeCell ref="J30:R30"/>
    <mergeCell ref="J31:R31"/>
    <mergeCell ref="B43:I43"/>
    <mergeCell ref="J43:R43"/>
    <mergeCell ref="J33:R33"/>
    <mergeCell ref="J34:R34"/>
    <mergeCell ref="A35:R35"/>
    <mergeCell ref="B37:I37"/>
    <mergeCell ref="J37:R37"/>
    <mergeCell ref="B38:I38"/>
    <mergeCell ref="J38:R38"/>
    <mergeCell ref="B39:I39"/>
    <mergeCell ref="J39:R39"/>
    <mergeCell ref="B40:I40"/>
    <mergeCell ref="J40:R40"/>
    <mergeCell ref="A41:R41"/>
    <mergeCell ref="B53:E53"/>
    <mergeCell ref="F53:R53"/>
    <mergeCell ref="A44:R44"/>
    <mergeCell ref="B47:I47"/>
    <mergeCell ref="J47:R47"/>
    <mergeCell ref="A59:R59"/>
    <mergeCell ref="A60:R60"/>
    <mergeCell ref="A61:R61"/>
    <mergeCell ref="B46:R46"/>
    <mergeCell ref="B45:R45"/>
    <mergeCell ref="B54:F54"/>
    <mergeCell ref="G54:R54"/>
    <mergeCell ref="A55:R55"/>
    <mergeCell ref="A56:R56"/>
    <mergeCell ref="A57:R57"/>
    <mergeCell ref="A58:R58"/>
    <mergeCell ref="A48:R48"/>
    <mergeCell ref="B49:R49"/>
    <mergeCell ref="B50:R50"/>
    <mergeCell ref="B51:R51"/>
    <mergeCell ref="B52:R52"/>
  </mergeCells>
  <printOptions horizontalCentered="1"/>
  <pageMargins left="0.7" right="0.7" top="0.75" bottom="0.75" header="0.3" footer="0.3"/>
  <pageSetup paperSize="9" scale="78" firstPageNumber="18"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18">
    <tabColor rgb="FF92D050"/>
    <pageSetUpPr fitToPage="1"/>
  </sheetPr>
  <dimension ref="A1:AA58"/>
  <sheetViews>
    <sheetView workbookViewId="0">
      <selection activeCell="S2" sqref="S2:U2"/>
    </sheetView>
  </sheetViews>
  <sheetFormatPr defaultColWidth="9.140625" defaultRowHeight="15"/>
  <cols>
    <col min="1" max="1" width="10.7109375" style="5" customWidth="1"/>
    <col min="2" max="21" width="4.7109375" style="5" customWidth="1"/>
    <col min="22" max="16384" width="9.140625" style="5"/>
  </cols>
  <sheetData>
    <row r="1" spans="1:27" ht="14.45" customHeight="1">
      <c r="A1" s="132" t="e" vm="1">
        <v>#VALUE!</v>
      </c>
      <c r="B1" s="133"/>
      <c r="C1" s="133"/>
      <c r="D1" s="133"/>
      <c r="E1" s="134"/>
      <c r="F1" s="165" t="s">
        <v>213</v>
      </c>
      <c r="G1" s="166"/>
      <c r="H1" s="166"/>
      <c r="I1" s="166"/>
      <c r="J1" s="166"/>
      <c r="K1" s="166"/>
      <c r="L1" s="166"/>
      <c r="M1" s="166"/>
      <c r="N1" s="166"/>
      <c r="O1" s="166"/>
      <c r="P1" s="166"/>
      <c r="Q1" s="166"/>
      <c r="R1" s="166"/>
      <c r="S1" s="153" t="s">
        <v>214</v>
      </c>
      <c r="T1" s="153"/>
      <c r="U1" s="154"/>
    </row>
    <row r="2" spans="1:27" ht="15.75" customHeight="1">
      <c r="A2" s="135"/>
      <c r="B2" s="136"/>
      <c r="C2" s="136"/>
      <c r="D2" s="136"/>
      <c r="E2" s="137"/>
      <c r="F2" s="127" t="s">
        <v>215</v>
      </c>
      <c r="G2" s="101"/>
      <c r="H2" s="101"/>
      <c r="I2" s="101"/>
      <c r="J2" s="101" t="s">
        <v>216</v>
      </c>
      <c r="K2" s="101"/>
      <c r="L2" s="101"/>
      <c r="M2" s="101" t="s">
        <v>217</v>
      </c>
      <c r="N2" s="101"/>
      <c r="O2" s="101"/>
      <c r="P2" s="101" t="s">
        <v>13</v>
      </c>
      <c r="Q2" s="101"/>
      <c r="R2" s="101"/>
      <c r="S2" s="101" t="s">
        <v>10</v>
      </c>
      <c r="T2" s="101"/>
      <c r="U2" s="102"/>
    </row>
    <row r="3" spans="1:27">
      <c r="A3" s="135"/>
      <c r="B3" s="136"/>
      <c r="C3" s="136"/>
      <c r="D3" s="136"/>
      <c r="E3" s="137"/>
      <c r="F3" s="127" t="e">
        <f ca="1">MID(CELL("filename",A4),FIND("]",CELL("filename",A4))+1,255)</f>
        <v>#VALUE!</v>
      </c>
      <c r="G3" s="101"/>
      <c r="H3" s="101" t="e">
        <f ca="1">VLOOKUP(F3,INDEX!B:J,2,0)</f>
        <v>#VALUE!</v>
      </c>
      <c r="I3" s="101"/>
      <c r="J3" s="101" t="e">
        <f ca="1">VLOOKUP(F3,INDEX!B:J,4,0)</f>
        <v>#VALUE!</v>
      </c>
      <c r="K3" s="101"/>
      <c r="L3" s="101"/>
      <c r="M3" s="101" t="e">
        <f ca="1">VLOOKUP(F3,INDEX!B:J,5,0)</f>
        <v>#VALUE!</v>
      </c>
      <c r="N3" s="101"/>
      <c r="O3" s="101"/>
      <c r="P3" s="105" t="s">
        <v>449</v>
      </c>
      <c r="Q3" s="105"/>
      <c r="R3" s="105"/>
      <c r="S3" s="101" t="e">
        <f ca="1">VLOOKUP(F3,INDEX!B:J,9,0)</f>
        <v>#VALUE!</v>
      </c>
      <c r="T3" s="101"/>
      <c r="U3" s="102"/>
    </row>
    <row r="4" spans="1:27" ht="15" customHeight="1">
      <c r="A4" s="135"/>
      <c r="B4" s="136"/>
      <c r="C4" s="136"/>
      <c r="D4" s="136"/>
      <c r="E4" s="137"/>
      <c r="F4" s="130" t="s">
        <v>218</v>
      </c>
      <c r="G4" s="131"/>
      <c r="H4" s="131"/>
      <c r="I4" s="101" t="e">
        <f ca="1">VLOOKUP(F3,INDEX!B:AF,18,0)</f>
        <v>#VALUE!</v>
      </c>
      <c r="J4" s="101"/>
      <c r="K4" s="101"/>
      <c r="L4" s="101"/>
      <c r="M4" s="101"/>
      <c r="N4" s="101"/>
      <c r="O4" s="101"/>
      <c r="P4" s="101"/>
      <c r="Q4" s="101"/>
      <c r="R4" s="101"/>
      <c r="S4" s="101"/>
      <c r="T4" s="101"/>
      <c r="U4" s="102"/>
    </row>
    <row r="5" spans="1:27" ht="13.9" customHeight="1">
      <c r="A5" s="135"/>
      <c r="B5" s="136"/>
      <c r="C5" s="136"/>
      <c r="D5" s="136"/>
      <c r="E5" s="137"/>
      <c r="F5" s="180" t="s">
        <v>219</v>
      </c>
      <c r="G5" s="118"/>
      <c r="H5" s="118"/>
      <c r="I5" s="101" t="e">
        <f ca="1">VLOOKUP(F3,INDEX!B:J,6,0)</f>
        <v>#VALUE!</v>
      </c>
      <c r="J5" s="101"/>
      <c r="K5" s="101"/>
      <c r="L5" s="101"/>
      <c r="M5" s="101"/>
      <c r="N5" s="101"/>
      <c r="O5" s="101"/>
      <c r="P5" s="101"/>
      <c r="Q5" s="101"/>
      <c r="R5" s="101"/>
      <c r="S5" s="101"/>
      <c r="T5" s="101"/>
      <c r="U5" s="102"/>
    </row>
    <row r="6" spans="1:27" ht="14.45" customHeight="1" thickBot="1">
      <c r="A6" s="138"/>
      <c r="B6" s="139"/>
      <c r="C6" s="139"/>
      <c r="D6" s="139"/>
      <c r="E6" s="140"/>
      <c r="F6" s="130" t="s">
        <v>220</v>
      </c>
      <c r="G6" s="131"/>
      <c r="H6" s="131"/>
      <c r="I6" s="109" t="e">
        <f ca="1">VLOOKUP(F3,INDEX!B:AF,16,0)</f>
        <v>#VALUE!</v>
      </c>
      <c r="J6" s="109"/>
      <c r="K6" s="109"/>
      <c r="L6" s="109"/>
      <c r="M6" s="109"/>
      <c r="N6" s="109"/>
      <c r="O6" s="109"/>
      <c r="P6" s="109"/>
      <c r="Q6" s="109"/>
      <c r="R6" s="109"/>
      <c r="S6" s="109"/>
      <c r="T6" s="109"/>
      <c r="U6" s="110"/>
    </row>
    <row r="7" spans="1:27" ht="14.45" customHeight="1">
      <c r="A7" s="120" t="s">
        <v>221</v>
      </c>
      <c r="B7" s="121"/>
      <c r="C7" s="121"/>
      <c r="D7" s="121"/>
      <c r="E7" s="121"/>
      <c r="F7" s="122"/>
      <c r="G7" s="122"/>
      <c r="H7" s="122"/>
      <c r="I7" s="122"/>
      <c r="J7" s="122"/>
      <c r="K7" s="122"/>
      <c r="L7" s="122"/>
      <c r="M7" s="122"/>
      <c r="N7" s="122"/>
      <c r="O7" s="122"/>
      <c r="P7" s="122"/>
      <c r="Q7" s="122"/>
      <c r="R7" s="122"/>
      <c r="S7" s="122"/>
      <c r="T7" s="122"/>
      <c r="U7" s="123"/>
    </row>
    <row r="8" spans="1:27" s="3" customFormat="1">
      <c r="A8" s="67" t="s">
        <v>222</v>
      </c>
      <c r="B8" s="101" t="e">
        <f ca="1">VLOOKUP(F3,INDEX!B:AF,20,0)</f>
        <v>#VALUE!</v>
      </c>
      <c r="C8" s="101"/>
      <c r="D8" s="101" t="e">
        <f ca="1">VLOOKUP(F3,INDEX!B:AF,21,0)</f>
        <v>#VALUE!</v>
      </c>
      <c r="E8" s="101"/>
      <c r="F8" s="101" t="e">
        <f ca="1">VLOOKUP(F3,INDEX!B:AF,22,0)</f>
        <v>#VALUE!</v>
      </c>
      <c r="G8" s="101"/>
      <c r="H8" s="101"/>
      <c r="I8" s="101"/>
      <c r="J8" s="101"/>
      <c r="K8" s="101"/>
      <c r="L8" s="101"/>
      <c r="M8" s="101"/>
      <c r="N8" s="101"/>
      <c r="O8" s="101"/>
      <c r="P8" s="101" t="s">
        <v>223</v>
      </c>
      <c r="Q8" s="101"/>
      <c r="R8" s="101"/>
      <c r="S8" s="101"/>
      <c r="T8" s="101"/>
      <c r="U8" s="102"/>
    </row>
    <row r="9" spans="1:27" s="3" customFormat="1">
      <c r="A9" s="67" t="s">
        <v>224</v>
      </c>
      <c r="B9" s="101" t="e">
        <f ca="1">VLOOKUP(F3,INDEX!B:Z,19,0)&amp;" to 38"</f>
        <v>#VALUE!</v>
      </c>
      <c r="C9" s="101"/>
      <c r="D9" s="101">
        <v>50</v>
      </c>
      <c r="E9" s="101"/>
      <c r="F9" s="101">
        <v>93</v>
      </c>
      <c r="G9" s="101"/>
      <c r="H9" s="101"/>
      <c r="I9" s="101"/>
      <c r="J9" s="101"/>
      <c r="K9" s="101"/>
      <c r="L9" s="101"/>
      <c r="M9" s="101"/>
      <c r="N9" s="101"/>
      <c r="O9" s="101"/>
      <c r="P9" s="101" t="e">
        <f ca="1">B8*1.5</f>
        <v>#VALUE!</v>
      </c>
      <c r="Q9" s="101"/>
      <c r="R9" s="101"/>
      <c r="S9" s="101"/>
      <c r="T9" s="101"/>
      <c r="U9" s="102"/>
    </row>
    <row r="10" spans="1:27" s="3" customFormat="1">
      <c r="A10" s="208" t="s">
        <v>225</v>
      </c>
      <c r="B10" s="209"/>
      <c r="C10" s="209"/>
      <c r="D10" s="209"/>
      <c r="E10" s="209"/>
      <c r="F10" s="209"/>
      <c r="G10" s="209"/>
      <c r="H10" s="209"/>
      <c r="I10" s="209"/>
      <c r="J10" s="209"/>
      <c r="K10" s="209"/>
      <c r="L10" s="209"/>
      <c r="M10" s="209"/>
      <c r="N10" s="209"/>
      <c r="O10" s="209"/>
      <c r="P10" s="209"/>
      <c r="Q10" s="209"/>
      <c r="R10" s="209"/>
      <c r="S10" s="209"/>
      <c r="T10" s="209"/>
      <c r="U10" s="210"/>
    </row>
    <row r="11" spans="1:27" ht="14.45" customHeight="1">
      <c r="A11" s="69" t="s">
        <v>226</v>
      </c>
      <c r="B11" s="194" t="s">
        <v>450</v>
      </c>
      <c r="C11" s="149"/>
      <c r="D11" s="149"/>
      <c r="E11" s="149"/>
      <c r="F11" s="149"/>
      <c r="G11" s="149"/>
      <c r="H11" s="149"/>
      <c r="I11" s="149"/>
      <c r="J11" s="149"/>
      <c r="K11" s="149"/>
      <c r="L11" s="149"/>
      <c r="M11" s="149"/>
      <c r="N11" s="149"/>
      <c r="O11" s="149"/>
      <c r="P11" s="149"/>
      <c r="Q11" s="149"/>
      <c r="R11" s="149"/>
      <c r="S11" s="149"/>
      <c r="T11" s="149"/>
      <c r="U11" s="150"/>
    </row>
    <row r="12" spans="1:27" s="3" customFormat="1">
      <c r="A12" s="70" t="s">
        <v>331</v>
      </c>
      <c r="B12" s="17">
        <v>1</v>
      </c>
      <c r="C12" s="17">
        <v>1.5</v>
      </c>
      <c r="D12" s="17">
        <v>2</v>
      </c>
      <c r="E12" s="17">
        <v>3</v>
      </c>
      <c r="F12" s="17">
        <v>4</v>
      </c>
      <c r="G12" s="17">
        <v>6</v>
      </c>
      <c r="H12" s="17">
        <v>8</v>
      </c>
      <c r="I12" s="17">
        <v>10</v>
      </c>
      <c r="J12" s="17">
        <v>12</v>
      </c>
      <c r="K12" s="17">
        <v>14</v>
      </c>
      <c r="L12" s="17">
        <v>16</v>
      </c>
      <c r="M12" s="17">
        <v>18</v>
      </c>
      <c r="N12" s="17">
        <v>20</v>
      </c>
      <c r="O12" s="17">
        <v>24</v>
      </c>
      <c r="P12" s="17">
        <v>28</v>
      </c>
      <c r="Q12" s="17">
        <v>30</v>
      </c>
      <c r="R12" s="17">
        <v>32</v>
      </c>
      <c r="S12" s="17">
        <v>34</v>
      </c>
      <c r="T12" s="17">
        <v>36</v>
      </c>
      <c r="U12" s="66">
        <v>40</v>
      </c>
      <c r="W12" s="5"/>
      <c r="X12" s="5"/>
      <c r="Y12" s="5"/>
      <c r="Z12" s="5"/>
      <c r="AA12" s="5"/>
    </row>
    <row r="13" spans="1:27" s="3" customFormat="1">
      <c r="A13" s="70" t="s">
        <v>451</v>
      </c>
      <c r="B13" s="17">
        <f>B14+2*B15</f>
        <v>34.1</v>
      </c>
      <c r="C13" s="17">
        <f>C14+2*C15</f>
        <v>49.1</v>
      </c>
      <c r="D13" s="17">
        <f t="shared" ref="D13:G13" si="0">D14+2*D15</f>
        <v>57.800000000000004</v>
      </c>
      <c r="E13" s="17">
        <f t="shared" si="0"/>
        <v>86.399999999999991</v>
      </c>
      <c r="F13" s="17">
        <f t="shared" si="0"/>
        <v>110.60000000000001</v>
      </c>
      <c r="G13" s="17">
        <f t="shared" si="0"/>
        <v>166.6</v>
      </c>
      <c r="H13" s="17">
        <f>H14+2*H15</f>
        <v>218.4</v>
      </c>
      <c r="I13" s="17">
        <f t="shared" ref="I13" si="1">I14+2*I15</f>
        <v>274.5</v>
      </c>
      <c r="J13" s="17">
        <f t="shared" ref="J13" si="2">J14+2*J15</f>
        <v>327.3</v>
      </c>
      <c r="K13" s="17">
        <f t="shared" ref="K13" si="3">K14+2*K15</f>
        <v>359.2</v>
      </c>
      <c r="L13" s="17">
        <f t="shared" ref="L13" si="4">L14+2*L15</f>
        <v>410.5</v>
      </c>
      <c r="M13" s="17">
        <f t="shared" ref="M13:O13" si="5">M14+2*M15</f>
        <v>452.2</v>
      </c>
      <c r="N13" s="17">
        <f t="shared" si="5"/>
        <v>502.3</v>
      </c>
      <c r="O13" s="17">
        <f t="shared" si="5"/>
        <v>602.80000000000007</v>
      </c>
      <c r="P13" s="17">
        <f t="shared" ref="P13" si="6">P14+2*P15</f>
        <v>728.6</v>
      </c>
      <c r="Q13" s="17">
        <f t="shared" ref="Q13" si="7">Q14+2*Q15</f>
        <v>780.6</v>
      </c>
      <c r="R13" s="17">
        <f t="shared" ref="R13" si="8">R14+2*R15</f>
        <v>832.6</v>
      </c>
      <c r="S13" s="17">
        <f>S14+2*S15</f>
        <v>884.6</v>
      </c>
      <c r="T13" s="17">
        <f t="shared" ref="T13:U13" si="9">T14+2*T15</f>
        <v>936.4</v>
      </c>
      <c r="U13" s="66">
        <f t="shared" si="9"/>
        <v>1040.5999999999999</v>
      </c>
    </row>
    <row r="14" spans="1:27" s="3" customFormat="1">
      <c r="A14" s="70" t="s">
        <v>452</v>
      </c>
      <c r="B14" s="17">
        <v>27.1</v>
      </c>
      <c r="C14" s="17">
        <v>42.1</v>
      </c>
      <c r="D14" s="17">
        <v>53.2</v>
      </c>
      <c r="E14" s="17">
        <v>81.8</v>
      </c>
      <c r="F14" s="17">
        <v>105.2</v>
      </c>
      <c r="G14" s="17">
        <v>159</v>
      </c>
      <c r="H14" s="17">
        <v>208.8</v>
      </c>
      <c r="I14" s="17">
        <v>262.89999999999998</v>
      </c>
      <c r="J14" s="17">
        <v>313.7</v>
      </c>
      <c r="K14" s="17">
        <v>344.4</v>
      </c>
      <c r="L14" s="17">
        <v>393.7</v>
      </c>
      <c r="M14" s="17">
        <v>433.8</v>
      </c>
      <c r="N14" s="17">
        <v>482.1</v>
      </c>
      <c r="O14" s="17">
        <v>578.6</v>
      </c>
      <c r="P14" s="17">
        <v>700</v>
      </c>
      <c r="Q14" s="17">
        <v>750</v>
      </c>
      <c r="R14" s="17">
        <v>800</v>
      </c>
      <c r="S14" s="17">
        <v>850</v>
      </c>
      <c r="T14" s="17">
        <v>900</v>
      </c>
      <c r="U14" s="66">
        <v>1000</v>
      </c>
    </row>
    <row r="15" spans="1:27" s="3" customFormat="1">
      <c r="A15" s="70" t="s">
        <v>333</v>
      </c>
      <c r="B15" s="17">
        <v>3.5</v>
      </c>
      <c r="C15" s="17">
        <v>3.5</v>
      </c>
      <c r="D15" s="17">
        <v>2.2999999999999998</v>
      </c>
      <c r="E15" s="17">
        <v>2.2999999999999998</v>
      </c>
      <c r="F15" s="17">
        <v>2.7</v>
      </c>
      <c r="G15" s="17">
        <v>3.8</v>
      </c>
      <c r="H15" s="17">
        <v>4.8</v>
      </c>
      <c r="I15" s="17">
        <v>5.8</v>
      </c>
      <c r="J15" s="17">
        <v>6.8</v>
      </c>
      <c r="K15" s="17">
        <v>7.4</v>
      </c>
      <c r="L15" s="17">
        <v>8.4</v>
      </c>
      <c r="M15" s="17">
        <v>9.1999999999999993</v>
      </c>
      <c r="N15" s="17">
        <v>10.1</v>
      </c>
      <c r="O15" s="17">
        <v>12.1</v>
      </c>
      <c r="P15" s="17">
        <v>14.3</v>
      </c>
      <c r="Q15" s="17">
        <v>15.3</v>
      </c>
      <c r="R15" s="17">
        <v>16.3</v>
      </c>
      <c r="S15" s="17">
        <v>17.3</v>
      </c>
      <c r="T15" s="17">
        <v>18.2</v>
      </c>
      <c r="U15" s="66">
        <v>20.3</v>
      </c>
    </row>
    <row r="16" spans="1:27" s="3" customFormat="1">
      <c r="A16" s="70" t="s">
        <v>234</v>
      </c>
      <c r="B16" s="144" t="s">
        <v>453</v>
      </c>
      <c r="C16" s="145"/>
      <c r="D16" s="145"/>
      <c r="E16" s="145"/>
      <c r="F16" s="145"/>
      <c r="G16" s="145"/>
      <c r="H16" s="145"/>
      <c r="I16" s="145"/>
      <c r="J16" s="145"/>
      <c r="K16" s="145"/>
      <c r="L16" s="145"/>
      <c r="M16" s="145"/>
      <c r="N16" s="145"/>
      <c r="O16" s="145"/>
      <c r="P16" s="145"/>
      <c r="Q16" s="145"/>
      <c r="R16" s="145"/>
      <c r="S16" s="145"/>
      <c r="T16" s="145"/>
      <c r="U16" s="147"/>
    </row>
    <row r="17" spans="1:27" ht="15.6" customHeight="1">
      <c r="A17" s="69" t="s">
        <v>237</v>
      </c>
      <c r="B17" s="144" t="s">
        <v>454</v>
      </c>
      <c r="C17" s="145"/>
      <c r="D17" s="145"/>
      <c r="E17" s="145"/>
      <c r="F17" s="145"/>
      <c r="G17" s="145"/>
      <c r="H17" s="145"/>
      <c r="I17" s="145"/>
      <c r="J17" s="145"/>
      <c r="K17" s="145"/>
      <c r="L17" s="145"/>
      <c r="M17" s="145"/>
      <c r="N17" s="145"/>
      <c r="O17" s="145"/>
      <c r="P17" s="145"/>
      <c r="Q17" s="145"/>
      <c r="R17" s="145"/>
      <c r="S17" s="145"/>
      <c r="T17" s="145"/>
      <c r="U17" s="147"/>
    </row>
    <row r="18" spans="1:27" ht="15" customHeight="1">
      <c r="A18" s="69" t="s">
        <v>240</v>
      </c>
      <c r="B18" s="144" t="s">
        <v>455</v>
      </c>
      <c r="C18" s="145"/>
      <c r="D18" s="145"/>
      <c r="E18" s="145"/>
      <c r="F18" s="145"/>
      <c r="G18" s="145"/>
      <c r="H18" s="145"/>
      <c r="I18" s="145"/>
      <c r="J18" s="145"/>
      <c r="K18" s="145"/>
      <c r="L18" s="145"/>
      <c r="M18" s="145"/>
      <c r="N18" s="145"/>
      <c r="O18" s="145"/>
      <c r="P18" s="145"/>
      <c r="Q18" s="145"/>
      <c r="R18" s="145"/>
      <c r="S18" s="145"/>
      <c r="T18" s="145"/>
      <c r="U18" s="147"/>
    </row>
    <row r="19" spans="1:27" ht="14.45" customHeight="1">
      <c r="A19" s="148" t="s">
        <v>242</v>
      </c>
      <c r="B19" s="149"/>
      <c r="C19" s="149"/>
      <c r="D19" s="149"/>
      <c r="E19" s="149"/>
      <c r="F19" s="149"/>
      <c r="G19" s="149"/>
      <c r="H19" s="149"/>
      <c r="I19" s="149"/>
      <c r="J19" s="149"/>
      <c r="K19" s="149"/>
      <c r="L19" s="149"/>
      <c r="M19" s="149"/>
      <c r="N19" s="149"/>
      <c r="O19" s="149"/>
      <c r="P19" s="149"/>
      <c r="Q19" s="149"/>
      <c r="R19" s="149"/>
      <c r="S19" s="149"/>
      <c r="T19" s="149"/>
      <c r="U19" s="150"/>
    </row>
    <row r="20" spans="1:27" ht="15" customHeight="1">
      <c r="A20" s="69" t="s">
        <v>234</v>
      </c>
      <c r="B20" s="144" t="s">
        <v>455</v>
      </c>
      <c r="C20" s="145"/>
      <c r="D20" s="145"/>
      <c r="E20" s="145"/>
      <c r="F20" s="145"/>
      <c r="G20" s="145"/>
      <c r="H20" s="145"/>
      <c r="I20" s="145"/>
      <c r="J20" s="145"/>
      <c r="K20" s="145"/>
      <c r="L20" s="145"/>
      <c r="M20" s="145"/>
      <c r="N20" s="145"/>
      <c r="O20" s="145"/>
      <c r="P20" s="145"/>
      <c r="Q20" s="145"/>
      <c r="R20" s="145"/>
      <c r="S20" s="145"/>
      <c r="T20" s="145"/>
      <c r="U20" s="147"/>
    </row>
    <row r="21" spans="1:27" ht="14.45" customHeight="1">
      <c r="A21" s="69" t="s">
        <v>272</v>
      </c>
      <c r="B21" s="144" t="s">
        <v>456</v>
      </c>
      <c r="C21" s="145"/>
      <c r="D21" s="145"/>
      <c r="E21" s="145"/>
      <c r="F21" s="145"/>
      <c r="G21" s="145"/>
      <c r="H21" s="145"/>
      <c r="I21" s="145"/>
      <c r="J21" s="145"/>
      <c r="K21" s="145"/>
      <c r="L21" s="145"/>
      <c r="M21" s="145"/>
      <c r="N21" s="145"/>
      <c r="O21" s="145"/>
      <c r="P21" s="145"/>
      <c r="Q21" s="145"/>
      <c r="R21" s="145"/>
      <c r="S21" s="145"/>
      <c r="T21" s="145"/>
      <c r="U21" s="147"/>
    </row>
    <row r="22" spans="1:27" ht="28.9" customHeight="1">
      <c r="A22" s="69" t="s">
        <v>237</v>
      </c>
      <c r="B22" s="144" t="s">
        <v>457</v>
      </c>
      <c r="C22" s="145"/>
      <c r="D22" s="145"/>
      <c r="E22" s="145"/>
      <c r="F22" s="145"/>
      <c r="G22" s="145"/>
      <c r="H22" s="145"/>
      <c r="I22" s="145"/>
      <c r="J22" s="145"/>
      <c r="K22" s="145"/>
      <c r="L22" s="145"/>
      <c r="M22" s="145"/>
      <c r="N22" s="145"/>
      <c r="O22" s="145"/>
      <c r="P22" s="145"/>
      <c r="Q22" s="145"/>
      <c r="R22" s="145"/>
      <c r="S22" s="145"/>
      <c r="T22" s="145"/>
      <c r="U22" s="147"/>
    </row>
    <row r="23" spans="1:27" ht="16.899999999999999" customHeight="1">
      <c r="A23" s="69" t="s">
        <v>246</v>
      </c>
      <c r="B23" s="144" t="s">
        <v>458</v>
      </c>
      <c r="C23" s="145"/>
      <c r="D23" s="145"/>
      <c r="E23" s="145"/>
      <c r="F23" s="145"/>
      <c r="G23" s="145"/>
      <c r="H23" s="145"/>
      <c r="I23" s="145"/>
      <c r="J23" s="145"/>
      <c r="K23" s="145"/>
      <c r="L23" s="145"/>
      <c r="M23" s="145"/>
      <c r="N23" s="145"/>
      <c r="O23" s="145"/>
      <c r="P23" s="145"/>
      <c r="Q23" s="145"/>
      <c r="R23" s="145"/>
      <c r="S23" s="145"/>
      <c r="T23" s="145"/>
      <c r="U23" s="147"/>
    </row>
    <row r="24" spans="1:27" ht="16.899999999999999" customHeight="1">
      <c r="A24" s="69" t="s">
        <v>248</v>
      </c>
      <c r="B24" s="144" t="s">
        <v>459</v>
      </c>
      <c r="C24" s="145"/>
      <c r="D24" s="145"/>
      <c r="E24" s="145"/>
      <c r="F24" s="145"/>
      <c r="G24" s="145"/>
      <c r="H24" s="145"/>
      <c r="I24" s="145"/>
      <c r="J24" s="145"/>
      <c r="K24" s="145"/>
      <c r="L24" s="145"/>
      <c r="M24" s="145"/>
      <c r="N24" s="145"/>
      <c r="O24" s="145"/>
      <c r="P24" s="145"/>
      <c r="Q24" s="145"/>
      <c r="R24" s="145"/>
      <c r="S24" s="145"/>
      <c r="T24" s="145"/>
      <c r="U24" s="147"/>
    </row>
    <row r="25" spans="1:27" ht="16.899999999999999" customHeight="1">
      <c r="A25" s="69" t="s">
        <v>460</v>
      </c>
      <c r="B25" s="144" t="s">
        <v>461</v>
      </c>
      <c r="C25" s="145"/>
      <c r="D25" s="145"/>
      <c r="E25" s="145"/>
      <c r="F25" s="145"/>
      <c r="G25" s="145"/>
      <c r="H25" s="145"/>
      <c r="I25" s="145"/>
      <c r="J25" s="145"/>
      <c r="K25" s="145"/>
      <c r="L25" s="145"/>
      <c r="M25" s="145"/>
      <c r="N25" s="145"/>
      <c r="O25" s="145"/>
      <c r="P25" s="145"/>
      <c r="Q25" s="145"/>
      <c r="R25" s="145"/>
      <c r="S25" s="145"/>
      <c r="T25" s="145"/>
      <c r="U25" s="147"/>
    </row>
    <row r="26" spans="1:27" ht="16.899999999999999" customHeight="1">
      <c r="A26" s="69" t="s">
        <v>462</v>
      </c>
      <c r="B26" s="144" t="s">
        <v>463</v>
      </c>
      <c r="C26" s="145"/>
      <c r="D26" s="145"/>
      <c r="E26" s="145"/>
      <c r="F26" s="145"/>
      <c r="G26" s="145"/>
      <c r="H26" s="145"/>
      <c r="I26" s="145"/>
      <c r="J26" s="145"/>
      <c r="K26" s="145"/>
      <c r="L26" s="145"/>
      <c r="M26" s="145"/>
      <c r="N26" s="145"/>
      <c r="O26" s="145"/>
      <c r="P26" s="145"/>
      <c r="Q26" s="145"/>
      <c r="R26" s="145"/>
      <c r="S26" s="145"/>
      <c r="T26" s="145"/>
      <c r="U26" s="147"/>
    </row>
    <row r="27" spans="1:27" ht="16.899999999999999" customHeight="1">
      <c r="A27" s="69" t="s">
        <v>464</v>
      </c>
      <c r="B27" s="144" t="s">
        <v>465</v>
      </c>
      <c r="C27" s="145"/>
      <c r="D27" s="145"/>
      <c r="E27" s="145"/>
      <c r="F27" s="145"/>
      <c r="G27" s="145"/>
      <c r="H27" s="145"/>
      <c r="I27" s="145"/>
      <c r="J27" s="145"/>
      <c r="K27" s="145"/>
      <c r="L27" s="145"/>
      <c r="M27" s="145"/>
      <c r="N27" s="145"/>
      <c r="O27" s="145"/>
      <c r="P27" s="145"/>
      <c r="Q27" s="145"/>
      <c r="R27" s="145"/>
      <c r="S27" s="145"/>
      <c r="T27" s="145"/>
      <c r="U27" s="147"/>
    </row>
    <row r="28" spans="1:27" ht="16.899999999999999" customHeight="1">
      <c r="A28" s="69" t="s">
        <v>466</v>
      </c>
      <c r="B28" s="144" t="s">
        <v>466</v>
      </c>
      <c r="C28" s="145"/>
      <c r="D28" s="145"/>
      <c r="E28" s="145"/>
      <c r="F28" s="145"/>
      <c r="G28" s="145"/>
      <c r="H28" s="145"/>
      <c r="I28" s="145"/>
      <c r="J28" s="145"/>
      <c r="K28" s="145"/>
      <c r="L28" s="145"/>
      <c r="M28" s="145"/>
      <c r="N28" s="145"/>
      <c r="O28" s="145"/>
      <c r="P28" s="145"/>
      <c r="Q28" s="145"/>
      <c r="R28" s="145"/>
      <c r="S28" s="145"/>
      <c r="T28" s="145"/>
      <c r="U28" s="147"/>
    </row>
    <row r="29" spans="1:27" ht="16.899999999999999" customHeight="1">
      <c r="A29" s="69" t="s">
        <v>467</v>
      </c>
      <c r="B29" s="144" t="s">
        <v>468</v>
      </c>
      <c r="C29" s="145"/>
      <c r="D29" s="145"/>
      <c r="E29" s="145"/>
      <c r="F29" s="145"/>
      <c r="G29" s="145"/>
      <c r="H29" s="145"/>
      <c r="I29" s="145"/>
      <c r="J29" s="145"/>
      <c r="K29" s="145"/>
      <c r="L29" s="145"/>
      <c r="M29" s="145"/>
      <c r="N29" s="145"/>
      <c r="O29" s="145"/>
      <c r="P29" s="145"/>
      <c r="Q29" s="145"/>
      <c r="R29" s="145"/>
      <c r="S29" s="145"/>
      <c r="T29" s="145"/>
      <c r="U29" s="147"/>
    </row>
    <row r="30" spans="1:27">
      <c r="A30" s="148" t="s">
        <v>255</v>
      </c>
      <c r="B30" s="149"/>
      <c r="C30" s="149"/>
      <c r="D30" s="149"/>
      <c r="E30" s="149"/>
      <c r="F30" s="149"/>
      <c r="G30" s="149"/>
      <c r="H30" s="149"/>
      <c r="I30" s="149"/>
      <c r="J30" s="149"/>
      <c r="K30" s="149"/>
      <c r="L30" s="149"/>
      <c r="M30" s="149"/>
      <c r="N30" s="149"/>
      <c r="O30" s="149"/>
      <c r="P30" s="149"/>
      <c r="Q30" s="149"/>
      <c r="R30" s="149"/>
      <c r="S30" s="149"/>
      <c r="T30" s="149"/>
      <c r="U30" s="150"/>
    </row>
    <row r="31" spans="1:27" ht="15" customHeight="1">
      <c r="A31" s="69" t="s">
        <v>234</v>
      </c>
      <c r="B31" s="144" t="s">
        <v>455</v>
      </c>
      <c r="C31" s="145"/>
      <c r="D31" s="145"/>
      <c r="E31" s="145"/>
      <c r="F31" s="145"/>
      <c r="G31" s="145"/>
      <c r="H31" s="145"/>
      <c r="I31" s="145"/>
      <c r="J31" s="145"/>
      <c r="K31" s="145"/>
      <c r="L31" s="145"/>
      <c r="M31" s="145"/>
      <c r="N31" s="145"/>
      <c r="O31" s="145"/>
      <c r="P31" s="145"/>
      <c r="Q31" s="145"/>
      <c r="R31" s="145"/>
      <c r="S31" s="145"/>
      <c r="T31" s="145"/>
      <c r="U31" s="147"/>
      <c r="X31" s="3"/>
      <c r="Y31" s="3"/>
      <c r="Z31" s="3"/>
      <c r="AA31" s="3"/>
    </row>
    <row r="32" spans="1:27" ht="14.45" customHeight="1">
      <c r="A32" s="69" t="s">
        <v>237</v>
      </c>
      <c r="B32" s="144" t="s">
        <v>469</v>
      </c>
      <c r="C32" s="145"/>
      <c r="D32" s="145"/>
      <c r="E32" s="145"/>
      <c r="F32" s="145"/>
      <c r="G32" s="145"/>
      <c r="H32" s="145"/>
      <c r="I32" s="145"/>
      <c r="J32" s="145"/>
      <c r="K32" s="145"/>
      <c r="L32" s="145"/>
      <c r="M32" s="145"/>
      <c r="N32" s="145"/>
      <c r="O32" s="145"/>
      <c r="P32" s="145"/>
      <c r="Q32" s="145"/>
      <c r="R32" s="145"/>
      <c r="S32" s="145"/>
      <c r="T32" s="145"/>
      <c r="U32" s="147"/>
      <c r="X32" s="3"/>
      <c r="Y32" s="3"/>
      <c r="Z32" s="3"/>
      <c r="AA32" s="3"/>
    </row>
    <row r="33" spans="1:27" ht="15" customHeight="1">
      <c r="A33" s="69" t="s">
        <v>257</v>
      </c>
      <c r="B33" s="144" t="s">
        <v>470</v>
      </c>
      <c r="C33" s="145"/>
      <c r="D33" s="145"/>
      <c r="E33" s="145"/>
      <c r="F33" s="145"/>
      <c r="G33" s="145"/>
      <c r="H33" s="145"/>
      <c r="I33" s="145"/>
      <c r="J33" s="145"/>
      <c r="K33" s="145"/>
      <c r="L33" s="145"/>
      <c r="M33" s="145"/>
      <c r="N33" s="145"/>
      <c r="O33" s="145"/>
      <c r="P33" s="145"/>
      <c r="Q33" s="145"/>
      <c r="R33" s="145"/>
      <c r="S33" s="145"/>
      <c r="T33" s="145"/>
      <c r="U33" s="147"/>
      <c r="X33" s="3"/>
      <c r="Y33" s="3"/>
      <c r="Z33" s="3"/>
      <c r="AA33" s="3"/>
    </row>
    <row r="34" spans="1:27" ht="14.45" customHeight="1">
      <c r="A34" s="69" t="s">
        <v>231</v>
      </c>
      <c r="B34" s="144" t="s">
        <v>471</v>
      </c>
      <c r="C34" s="145"/>
      <c r="D34" s="145"/>
      <c r="E34" s="145"/>
      <c r="F34" s="145"/>
      <c r="G34" s="145"/>
      <c r="H34" s="145"/>
      <c r="I34" s="145"/>
      <c r="J34" s="145"/>
      <c r="K34" s="145"/>
      <c r="L34" s="145"/>
      <c r="M34" s="145"/>
      <c r="N34" s="145"/>
      <c r="O34" s="145"/>
      <c r="P34" s="145"/>
      <c r="Q34" s="145"/>
      <c r="R34" s="145"/>
      <c r="S34" s="145"/>
      <c r="T34" s="145"/>
      <c r="U34" s="147"/>
      <c r="X34" s="3"/>
      <c r="Y34" s="3"/>
      <c r="Z34" s="3"/>
      <c r="AA34" s="3"/>
    </row>
    <row r="35" spans="1:27" ht="14.45" customHeight="1">
      <c r="A35" s="148" t="s">
        <v>472</v>
      </c>
      <c r="B35" s="149"/>
      <c r="C35" s="149"/>
      <c r="D35" s="149"/>
      <c r="E35" s="149"/>
      <c r="F35" s="149"/>
      <c r="G35" s="149"/>
      <c r="H35" s="149"/>
      <c r="I35" s="149"/>
      <c r="J35" s="149"/>
      <c r="K35" s="149"/>
      <c r="L35" s="149"/>
      <c r="M35" s="149"/>
      <c r="N35" s="149"/>
      <c r="O35" s="149"/>
      <c r="P35" s="149"/>
      <c r="Q35" s="149"/>
      <c r="R35" s="149"/>
      <c r="S35" s="149"/>
      <c r="T35" s="149"/>
      <c r="U35" s="150"/>
      <c r="X35" s="3"/>
      <c r="Y35" s="3"/>
      <c r="Z35" s="3"/>
      <c r="AA35" s="3"/>
    </row>
    <row r="36" spans="1:27" ht="15" customHeight="1">
      <c r="A36" s="69" t="s">
        <v>234</v>
      </c>
      <c r="B36" s="144" t="s">
        <v>473</v>
      </c>
      <c r="C36" s="145"/>
      <c r="D36" s="145"/>
      <c r="E36" s="145"/>
      <c r="F36" s="145"/>
      <c r="G36" s="145"/>
      <c r="H36" s="145"/>
      <c r="I36" s="145"/>
      <c r="J36" s="145"/>
      <c r="K36" s="145"/>
      <c r="L36" s="145"/>
      <c r="M36" s="145"/>
      <c r="N36" s="145"/>
      <c r="O36" s="145"/>
      <c r="P36" s="145"/>
      <c r="Q36" s="145"/>
      <c r="R36" s="145"/>
      <c r="S36" s="145"/>
      <c r="T36" s="145"/>
      <c r="U36" s="147"/>
    </row>
    <row r="37" spans="1:27" ht="14.45" customHeight="1">
      <c r="A37" s="148" t="s">
        <v>264</v>
      </c>
      <c r="B37" s="149"/>
      <c r="C37" s="149"/>
      <c r="D37" s="149"/>
      <c r="E37" s="149"/>
      <c r="F37" s="149"/>
      <c r="G37" s="149"/>
      <c r="H37" s="149"/>
      <c r="I37" s="149"/>
      <c r="J37" s="149"/>
      <c r="K37" s="149"/>
      <c r="L37" s="149"/>
      <c r="M37" s="149"/>
      <c r="N37" s="149"/>
      <c r="O37" s="149"/>
      <c r="P37" s="149"/>
      <c r="Q37" s="149"/>
      <c r="R37" s="149"/>
      <c r="S37" s="149"/>
      <c r="T37" s="149"/>
      <c r="U37" s="150"/>
    </row>
    <row r="38" spans="1:27" ht="14.45" customHeight="1">
      <c r="A38" s="69" t="s">
        <v>265</v>
      </c>
      <c r="B38" s="144" t="s">
        <v>266</v>
      </c>
      <c r="C38" s="145"/>
      <c r="D38" s="145"/>
      <c r="E38" s="145"/>
      <c r="F38" s="145"/>
      <c r="G38" s="145"/>
      <c r="H38" s="145"/>
      <c r="I38" s="145"/>
      <c r="J38" s="145"/>
      <c r="K38" s="145"/>
      <c r="L38" s="145"/>
      <c r="M38" s="145"/>
      <c r="N38" s="145"/>
      <c r="O38" s="145"/>
      <c r="P38" s="145"/>
      <c r="Q38" s="145"/>
      <c r="R38" s="145"/>
      <c r="S38" s="145"/>
      <c r="T38" s="145"/>
      <c r="U38" s="147"/>
    </row>
    <row r="39" spans="1:27" ht="14.45" customHeight="1">
      <c r="A39" s="69" t="s">
        <v>267</v>
      </c>
      <c r="B39" s="144" t="s">
        <v>268</v>
      </c>
      <c r="C39" s="145"/>
      <c r="D39" s="145"/>
      <c r="E39" s="145"/>
      <c r="F39" s="145"/>
      <c r="G39" s="145"/>
      <c r="H39" s="145"/>
      <c r="I39" s="145"/>
      <c r="J39" s="145"/>
      <c r="K39" s="145"/>
      <c r="L39" s="145"/>
      <c r="M39" s="145"/>
      <c r="N39" s="145"/>
      <c r="O39" s="145"/>
      <c r="P39" s="145"/>
      <c r="Q39" s="145"/>
      <c r="R39" s="145"/>
      <c r="S39" s="145"/>
      <c r="T39" s="145"/>
      <c r="U39" s="147"/>
    </row>
    <row r="40" spans="1:27" ht="14.45" customHeight="1">
      <c r="A40" s="69" t="s">
        <v>474</v>
      </c>
      <c r="B40" s="144" t="s">
        <v>475</v>
      </c>
      <c r="C40" s="145"/>
      <c r="D40" s="145"/>
      <c r="E40" s="145"/>
      <c r="F40" s="145"/>
      <c r="G40" s="145"/>
      <c r="H40" s="145"/>
      <c r="I40" s="145"/>
      <c r="J40" s="145"/>
      <c r="K40" s="145"/>
      <c r="L40" s="145"/>
      <c r="M40" s="145"/>
      <c r="N40" s="145"/>
      <c r="O40" s="145"/>
      <c r="P40" s="145"/>
      <c r="Q40" s="145"/>
      <c r="R40" s="145"/>
      <c r="S40" s="145"/>
      <c r="T40" s="145"/>
      <c r="U40" s="147"/>
    </row>
    <row r="41" spans="1:27" ht="14.45" customHeight="1">
      <c r="A41" s="69" t="s">
        <v>269</v>
      </c>
      <c r="B41" s="144" t="s">
        <v>476</v>
      </c>
      <c r="C41" s="145"/>
      <c r="D41" s="145"/>
      <c r="E41" s="145"/>
      <c r="F41" s="145"/>
      <c r="G41" s="145"/>
      <c r="H41" s="145"/>
      <c r="I41" s="145"/>
      <c r="J41" s="145"/>
      <c r="K41" s="145"/>
      <c r="L41" s="145"/>
      <c r="M41" s="145"/>
      <c r="N41" s="145"/>
      <c r="O41" s="145"/>
      <c r="P41" s="145"/>
      <c r="Q41" s="145"/>
      <c r="R41" s="145"/>
      <c r="S41" s="145"/>
      <c r="T41" s="145"/>
      <c r="U41" s="147"/>
    </row>
    <row r="42" spans="1:27" ht="14.45" customHeight="1">
      <c r="A42" s="69" t="s">
        <v>269</v>
      </c>
      <c r="B42" s="144" t="s">
        <v>477</v>
      </c>
      <c r="C42" s="145"/>
      <c r="D42" s="145"/>
      <c r="E42" s="145"/>
      <c r="F42" s="145"/>
      <c r="G42" s="145"/>
      <c r="H42" s="145"/>
      <c r="I42" s="145"/>
      <c r="J42" s="145"/>
      <c r="K42" s="145"/>
      <c r="L42" s="145"/>
      <c r="M42" s="145"/>
      <c r="N42" s="145"/>
      <c r="O42" s="145"/>
      <c r="P42" s="145"/>
      <c r="Q42" s="145"/>
      <c r="R42" s="145"/>
      <c r="S42" s="145"/>
      <c r="T42" s="145"/>
      <c r="U42" s="147"/>
    </row>
    <row r="43" spans="1:27" ht="13.9" customHeight="1">
      <c r="A43" s="296" t="s">
        <v>271</v>
      </c>
      <c r="B43" s="297"/>
      <c r="C43" s="297"/>
      <c r="D43" s="297"/>
      <c r="E43" s="297"/>
      <c r="F43" s="297"/>
      <c r="G43" s="297"/>
      <c r="H43" s="297"/>
      <c r="I43" s="297"/>
      <c r="J43" s="297"/>
      <c r="K43" s="297"/>
      <c r="L43" s="297"/>
      <c r="M43" s="297"/>
      <c r="N43" s="297"/>
      <c r="O43" s="297"/>
      <c r="P43" s="297"/>
      <c r="Q43" s="297"/>
      <c r="R43" s="297"/>
      <c r="S43" s="297"/>
      <c r="T43" s="297"/>
      <c r="U43" s="298"/>
    </row>
    <row r="44" spans="1:27" ht="13.9" customHeight="1">
      <c r="A44" s="69" t="s">
        <v>272</v>
      </c>
      <c r="B44" s="144" t="e">
        <f ca="1">VLOOKUP(F3,INDEX!B:J,2,0)&amp;", FF"</f>
        <v>#VALUE!</v>
      </c>
      <c r="C44" s="145"/>
      <c r="D44" s="145"/>
      <c r="E44" s="145"/>
      <c r="F44" s="145"/>
      <c r="G44" s="145"/>
      <c r="H44" s="145"/>
      <c r="I44" s="145"/>
      <c r="J44" s="145"/>
      <c r="K44" s="145"/>
      <c r="L44" s="145"/>
      <c r="M44" s="145"/>
      <c r="N44" s="145"/>
      <c r="O44" s="145"/>
      <c r="P44" s="145"/>
      <c r="Q44" s="145"/>
      <c r="R44" s="145"/>
      <c r="S44" s="145"/>
      <c r="T44" s="145"/>
      <c r="U44" s="147"/>
    </row>
    <row r="45" spans="1:27" ht="13.9" customHeight="1">
      <c r="A45" s="69" t="s">
        <v>273</v>
      </c>
      <c r="B45" s="205" t="e">
        <f ca="1">"BSR"&amp;VLOOKUP(F3,INDEX!B:AH,33,0)&amp;"F"&amp;", BSF"&amp;VLOOKUP(F3,INDEX!B:AH,33,0)&amp;"F"</f>
        <v>#VALUE!</v>
      </c>
      <c r="C45" s="206"/>
      <c r="D45" s="206"/>
      <c r="E45" s="206"/>
      <c r="F45" s="206"/>
      <c r="G45" s="206"/>
      <c r="H45" s="206"/>
      <c r="I45" s="206"/>
      <c r="J45" s="206"/>
      <c r="K45" s="206"/>
      <c r="L45" s="206"/>
      <c r="M45" s="206"/>
      <c r="N45" s="206"/>
      <c r="O45" s="206"/>
      <c r="P45" s="206"/>
      <c r="Q45" s="206"/>
      <c r="R45" s="206"/>
      <c r="S45" s="206"/>
      <c r="T45" s="206"/>
      <c r="U45" s="207"/>
    </row>
    <row r="46" spans="1:27" ht="13.9" customHeight="1">
      <c r="A46" s="69" t="s">
        <v>274</v>
      </c>
      <c r="B46" s="205" t="e">
        <f ca="1">"GAW"&amp;VLOOKUP(F3,INDEX!B:AH,33,0)&amp;"F"</f>
        <v>#VALUE!</v>
      </c>
      <c r="C46" s="206"/>
      <c r="D46" s="206"/>
      <c r="E46" s="206"/>
      <c r="F46" s="206"/>
      <c r="G46" s="206"/>
      <c r="H46" s="206"/>
      <c r="I46" s="206"/>
      <c r="J46" s="206"/>
      <c r="K46" s="206"/>
      <c r="L46" s="206"/>
      <c r="M46" s="206"/>
      <c r="N46" s="206"/>
      <c r="O46" s="206"/>
      <c r="P46" s="206"/>
      <c r="Q46" s="206"/>
      <c r="R46" s="206"/>
      <c r="S46" s="206"/>
      <c r="T46" s="206"/>
      <c r="U46" s="207"/>
    </row>
    <row r="47" spans="1:27" ht="13.9" customHeight="1">
      <c r="A47" s="69" t="s">
        <v>275</v>
      </c>
      <c r="B47" s="109" t="e">
        <f ca="1">"GLS"&amp;VLOOKUP(F3,INDEX!B:AH,33,0)&amp;"F"</f>
        <v>#VALUE!</v>
      </c>
      <c r="C47" s="109"/>
      <c r="D47" s="109"/>
      <c r="E47" s="109"/>
      <c r="F47" s="109"/>
      <c r="G47" s="109"/>
      <c r="H47" s="109"/>
      <c r="I47" s="109"/>
      <c r="J47" s="109"/>
      <c r="K47" s="109"/>
      <c r="L47" s="109"/>
      <c r="M47" s="109"/>
      <c r="N47" s="109"/>
      <c r="O47" s="109"/>
      <c r="P47" s="109"/>
      <c r="Q47" s="109"/>
      <c r="R47" s="109"/>
      <c r="S47" s="109"/>
      <c r="T47" s="109"/>
      <c r="U47" s="110"/>
    </row>
    <row r="48" spans="1:27" ht="13.9" customHeight="1">
      <c r="A48" s="69" t="s">
        <v>276</v>
      </c>
      <c r="B48" s="109" t="e">
        <f ca="1">"CHP"&amp;VLOOKUP(F3,INDEX!B:AH,33,0)&amp;"F"</f>
        <v>#VALUE!</v>
      </c>
      <c r="C48" s="109"/>
      <c r="D48" s="109"/>
      <c r="E48" s="109"/>
      <c r="F48" s="109" t="e">
        <f ca="1">"CSW"&amp;VLOOKUP(F3,INDEX!B:AH,33,0)&amp;"F, "&amp;"CDP"&amp;VLOOKUP(F3,INDEX!B:AH,33,0)&amp;"F"</f>
        <v>#VALUE!</v>
      </c>
      <c r="G48" s="109"/>
      <c r="H48" s="109"/>
      <c r="I48" s="109"/>
      <c r="J48" s="109"/>
      <c r="K48" s="109"/>
      <c r="L48" s="109"/>
      <c r="M48" s="109"/>
      <c r="N48" s="109"/>
      <c r="O48" s="109"/>
      <c r="P48" s="109"/>
      <c r="Q48" s="109"/>
      <c r="R48" s="109"/>
      <c r="S48" s="109"/>
      <c r="T48" s="109"/>
      <c r="U48" s="110"/>
    </row>
    <row r="49" spans="1:25" ht="13.9" customHeight="1">
      <c r="A49" s="69" t="s">
        <v>277</v>
      </c>
      <c r="B49" s="144"/>
      <c r="C49" s="145"/>
      <c r="D49" s="145"/>
      <c r="E49" s="145"/>
      <c r="F49" s="145"/>
      <c r="G49" s="144" t="e">
        <f ca="1">"BFD"&amp;VLOOKUP(F3,INDEX!B:AH,33,0)&amp;"WF"</f>
        <v>#VALUE!</v>
      </c>
      <c r="H49" s="145"/>
      <c r="I49" s="145"/>
      <c r="J49" s="145"/>
      <c r="K49" s="145"/>
      <c r="L49" s="145"/>
      <c r="M49" s="145"/>
      <c r="N49" s="145"/>
      <c r="O49" s="145"/>
      <c r="P49" s="145"/>
      <c r="Q49" s="145"/>
      <c r="R49" s="145"/>
      <c r="S49" s="145"/>
      <c r="T49" s="145"/>
      <c r="U49" s="147"/>
    </row>
    <row r="50" spans="1:25" s="4" customFormat="1">
      <c r="A50" s="148" t="s">
        <v>278</v>
      </c>
      <c r="B50" s="149"/>
      <c r="C50" s="149"/>
      <c r="D50" s="149"/>
      <c r="E50" s="149"/>
      <c r="F50" s="149"/>
      <c r="G50" s="149"/>
      <c r="H50" s="149"/>
      <c r="I50" s="149"/>
      <c r="J50" s="149"/>
      <c r="K50" s="149"/>
      <c r="L50" s="149"/>
      <c r="M50" s="149"/>
      <c r="N50" s="149"/>
      <c r="O50" s="149"/>
      <c r="P50" s="149"/>
      <c r="Q50" s="149"/>
      <c r="R50" s="149"/>
      <c r="S50" s="149"/>
      <c r="T50" s="149"/>
      <c r="U50" s="150"/>
    </row>
    <row r="51" spans="1:25" ht="27" customHeight="1">
      <c r="A51" s="111" t="s">
        <v>279</v>
      </c>
      <c r="B51" s="112"/>
      <c r="C51" s="112"/>
      <c r="D51" s="112"/>
      <c r="E51" s="112"/>
      <c r="F51" s="112"/>
      <c r="G51" s="112"/>
      <c r="H51" s="112"/>
      <c r="I51" s="112"/>
      <c r="J51" s="112"/>
      <c r="K51" s="112"/>
      <c r="L51" s="112"/>
      <c r="M51" s="112"/>
      <c r="N51" s="112"/>
      <c r="O51" s="112"/>
      <c r="P51" s="112"/>
      <c r="Q51" s="112"/>
      <c r="R51" s="112"/>
      <c r="S51" s="112"/>
      <c r="T51" s="112"/>
      <c r="U51" s="113"/>
    </row>
    <row r="52" spans="1:25" ht="27.6" customHeight="1">
      <c r="A52" s="114" t="s">
        <v>478</v>
      </c>
      <c r="B52" s="115"/>
      <c r="C52" s="115"/>
      <c r="D52" s="115"/>
      <c r="E52" s="115"/>
      <c r="F52" s="115"/>
      <c r="G52" s="115"/>
      <c r="H52" s="115"/>
      <c r="I52" s="115"/>
      <c r="J52" s="115"/>
      <c r="K52" s="115"/>
      <c r="L52" s="115"/>
      <c r="M52" s="115"/>
      <c r="N52" s="115"/>
      <c r="O52" s="115"/>
      <c r="P52" s="115"/>
      <c r="Q52" s="115"/>
      <c r="R52" s="115"/>
      <c r="S52" s="115"/>
      <c r="T52" s="115"/>
      <c r="U52" s="116"/>
      <c r="Y52" s="6"/>
    </row>
    <row r="53" spans="1:25">
      <c r="A53" s="114" t="s">
        <v>479</v>
      </c>
      <c r="B53" s="115"/>
      <c r="C53" s="115"/>
      <c r="D53" s="115"/>
      <c r="E53" s="115"/>
      <c r="F53" s="115"/>
      <c r="G53" s="115"/>
      <c r="H53" s="115"/>
      <c r="I53" s="115"/>
      <c r="J53" s="115"/>
      <c r="K53" s="115"/>
      <c r="L53" s="115"/>
      <c r="M53" s="115"/>
      <c r="N53" s="115"/>
      <c r="O53" s="115"/>
      <c r="P53" s="115"/>
      <c r="Q53" s="115"/>
      <c r="R53" s="115"/>
      <c r="S53" s="115"/>
      <c r="T53" s="115"/>
      <c r="U53" s="116"/>
    </row>
    <row r="54" spans="1:25">
      <c r="A54" s="114" t="s">
        <v>480</v>
      </c>
      <c r="B54" s="115"/>
      <c r="C54" s="115"/>
      <c r="D54" s="115"/>
      <c r="E54" s="115"/>
      <c r="F54" s="115"/>
      <c r="G54" s="115"/>
      <c r="H54" s="115"/>
      <c r="I54" s="115"/>
      <c r="J54" s="115"/>
      <c r="K54" s="115"/>
      <c r="L54" s="115"/>
      <c r="M54" s="115"/>
      <c r="N54" s="115"/>
      <c r="O54" s="115"/>
      <c r="P54" s="115"/>
      <c r="Q54" s="115"/>
      <c r="R54" s="115"/>
      <c r="S54" s="115"/>
      <c r="T54" s="115"/>
      <c r="U54" s="116"/>
    </row>
    <row r="55" spans="1:25">
      <c r="A55" s="114" t="s">
        <v>481</v>
      </c>
      <c r="B55" s="115"/>
      <c r="C55" s="115"/>
      <c r="D55" s="115"/>
      <c r="E55" s="115"/>
      <c r="F55" s="115"/>
      <c r="G55" s="115"/>
      <c r="H55" s="115"/>
      <c r="I55" s="115"/>
      <c r="J55" s="115"/>
      <c r="K55" s="115"/>
      <c r="L55" s="115"/>
      <c r="M55" s="115"/>
      <c r="N55" s="115"/>
      <c r="O55" s="115"/>
      <c r="P55" s="115"/>
      <c r="Q55" s="115"/>
      <c r="R55" s="115"/>
      <c r="S55" s="115"/>
      <c r="T55" s="115"/>
      <c r="U55" s="116"/>
    </row>
    <row r="56" spans="1:25">
      <c r="A56" s="114" t="s">
        <v>482</v>
      </c>
      <c r="B56" s="115"/>
      <c r="C56" s="115"/>
      <c r="D56" s="115"/>
      <c r="E56" s="115"/>
      <c r="F56" s="115"/>
      <c r="G56" s="115"/>
      <c r="H56" s="115"/>
      <c r="I56" s="115"/>
      <c r="J56" s="115"/>
      <c r="K56" s="115"/>
      <c r="L56" s="115"/>
      <c r="M56" s="115"/>
      <c r="N56" s="115"/>
      <c r="O56" s="115"/>
      <c r="P56" s="115"/>
      <c r="Q56" s="115"/>
      <c r="R56" s="115"/>
      <c r="S56" s="115"/>
      <c r="T56" s="115"/>
      <c r="U56" s="116"/>
    </row>
    <row r="57" spans="1:25">
      <c r="A57" s="114" t="s">
        <v>483</v>
      </c>
      <c r="B57" s="115"/>
      <c r="C57" s="115"/>
      <c r="D57" s="115"/>
      <c r="E57" s="115"/>
      <c r="F57" s="115"/>
      <c r="G57" s="115"/>
      <c r="H57" s="115"/>
      <c r="I57" s="115"/>
      <c r="J57" s="115"/>
      <c r="K57" s="115"/>
      <c r="L57" s="115"/>
      <c r="M57" s="115"/>
      <c r="N57" s="115"/>
      <c r="O57" s="115"/>
      <c r="P57" s="115"/>
      <c r="Q57" s="115"/>
      <c r="R57" s="115"/>
      <c r="S57" s="115"/>
      <c r="T57" s="115"/>
      <c r="U57" s="116"/>
    </row>
    <row r="58" spans="1:25" ht="15.75" thickBot="1">
      <c r="A58" s="293"/>
      <c r="B58" s="294"/>
      <c r="C58" s="294"/>
      <c r="D58" s="294"/>
      <c r="E58" s="294"/>
      <c r="F58" s="294"/>
      <c r="G58" s="294"/>
      <c r="H58" s="294"/>
      <c r="I58" s="294"/>
      <c r="J58" s="294"/>
      <c r="K58" s="294"/>
      <c r="L58" s="294"/>
      <c r="M58" s="294"/>
      <c r="N58" s="294"/>
      <c r="O58" s="294"/>
      <c r="P58" s="294"/>
      <c r="Q58" s="294"/>
      <c r="R58" s="294"/>
      <c r="S58" s="294"/>
      <c r="T58" s="294"/>
      <c r="U58" s="295"/>
    </row>
  </sheetData>
  <mergeCells count="81">
    <mergeCell ref="S1:U1"/>
    <mergeCell ref="S2:U2"/>
    <mergeCell ref="S3:U3"/>
    <mergeCell ref="P2:R2"/>
    <mergeCell ref="P3:R3"/>
    <mergeCell ref="F1:R1"/>
    <mergeCell ref="A10:U10"/>
    <mergeCell ref="A7:U7"/>
    <mergeCell ref="I6:U6"/>
    <mergeCell ref="I5:U5"/>
    <mergeCell ref="I4:U4"/>
    <mergeCell ref="F5:H5"/>
    <mergeCell ref="H9:I9"/>
    <mergeCell ref="J9:K9"/>
    <mergeCell ref="B8:C8"/>
    <mergeCell ref="D8:E8"/>
    <mergeCell ref="F8:G8"/>
    <mergeCell ref="H8:I8"/>
    <mergeCell ref="J8:K8"/>
    <mergeCell ref="B9:C9"/>
    <mergeCell ref="P8:U8"/>
    <mergeCell ref="P9:U9"/>
    <mergeCell ref="B21:U21"/>
    <mergeCell ref="B22:U22"/>
    <mergeCell ref="B17:U17"/>
    <mergeCell ref="B16:U16"/>
    <mergeCell ref="B18:U18"/>
    <mergeCell ref="B20:U20"/>
    <mergeCell ref="B11:U11"/>
    <mergeCell ref="A52:U52"/>
    <mergeCell ref="A53:U53"/>
    <mergeCell ref="A54:U54"/>
    <mergeCell ref="A55:U55"/>
    <mergeCell ref="B49:F49"/>
    <mergeCell ref="G49:U49"/>
    <mergeCell ref="B23:U23"/>
    <mergeCell ref="B24:U24"/>
    <mergeCell ref="B25:U25"/>
    <mergeCell ref="B26:U26"/>
    <mergeCell ref="B27:U27"/>
    <mergeCell ref="F48:U48"/>
    <mergeCell ref="B41:U41"/>
    <mergeCell ref="B42:U42"/>
    <mergeCell ref="A43:U43"/>
    <mergeCell ref="A56:U56"/>
    <mergeCell ref="A57:U57"/>
    <mergeCell ref="A58:U58"/>
    <mergeCell ref="F4:H4"/>
    <mergeCell ref="F6:H6"/>
    <mergeCell ref="A1:E6"/>
    <mergeCell ref="F2:I2"/>
    <mergeCell ref="J2:L2"/>
    <mergeCell ref="F3:G3"/>
    <mergeCell ref="H3:I3"/>
    <mergeCell ref="J3:L3"/>
    <mergeCell ref="M2:O2"/>
    <mergeCell ref="M3:O3"/>
    <mergeCell ref="L8:O9"/>
    <mergeCell ref="D9:E9"/>
    <mergeCell ref="F9:G9"/>
    <mergeCell ref="B44:U44"/>
    <mergeCell ref="B45:U45"/>
    <mergeCell ref="B46:U46"/>
    <mergeCell ref="B48:E48"/>
    <mergeCell ref="B47:U47"/>
    <mergeCell ref="A51:U51"/>
    <mergeCell ref="A19:U19"/>
    <mergeCell ref="A30:U30"/>
    <mergeCell ref="A35:U35"/>
    <mergeCell ref="A37:U37"/>
    <mergeCell ref="A50:U50"/>
    <mergeCell ref="B34:U34"/>
    <mergeCell ref="B36:U36"/>
    <mergeCell ref="B38:U38"/>
    <mergeCell ref="B39:U39"/>
    <mergeCell ref="B40:U40"/>
    <mergeCell ref="B28:U28"/>
    <mergeCell ref="B29:U29"/>
    <mergeCell ref="B31:U31"/>
    <mergeCell ref="B32:U32"/>
    <mergeCell ref="B33:U33"/>
  </mergeCells>
  <printOptions horizontalCentered="1"/>
  <pageMargins left="0.7" right="0.7" top="0.75" bottom="0.75" header="0.3" footer="0.3"/>
  <pageSetup paperSize="9" scale="83" firstPageNumber="18" orientation="portrait" r:id="rId1"/>
  <legacyDrawingHF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0848-4693-4952-BEFC-F65D804B272E}">
  <sheetPr codeName="Sheet44">
    <tabColor rgb="FF92D050"/>
    <pageSetUpPr fitToPage="1"/>
  </sheetPr>
  <dimension ref="A1:AA58"/>
  <sheetViews>
    <sheetView workbookViewId="0">
      <selection activeCell="S2" sqref="S2:U2"/>
    </sheetView>
  </sheetViews>
  <sheetFormatPr defaultColWidth="9.140625" defaultRowHeight="15"/>
  <cols>
    <col min="1" max="1" width="10.7109375" style="5" customWidth="1"/>
    <col min="2" max="21" width="4.7109375" style="5" customWidth="1"/>
    <col min="22" max="16384" width="9.140625" style="5"/>
  </cols>
  <sheetData>
    <row r="1" spans="1:27" ht="14.45" customHeight="1">
      <c r="A1" s="132" t="e" vm="1">
        <v>#VALUE!</v>
      </c>
      <c r="B1" s="133"/>
      <c r="C1" s="133"/>
      <c r="D1" s="133"/>
      <c r="E1" s="134"/>
      <c r="F1" s="165" t="s">
        <v>213</v>
      </c>
      <c r="G1" s="166"/>
      <c r="H1" s="166"/>
      <c r="I1" s="166"/>
      <c r="J1" s="166"/>
      <c r="K1" s="166"/>
      <c r="L1" s="166"/>
      <c r="M1" s="166"/>
      <c r="N1" s="166"/>
      <c r="O1" s="166"/>
      <c r="P1" s="166"/>
      <c r="Q1" s="166"/>
      <c r="R1" s="166"/>
      <c r="S1" s="153" t="s">
        <v>214</v>
      </c>
      <c r="T1" s="153"/>
      <c r="U1" s="154"/>
    </row>
    <row r="2" spans="1:27" ht="15.75" customHeight="1">
      <c r="A2" s="135"/>
      <c r="B2" s="136"/>
      <c r="C2" s="136"/>
      <c r="D2" s="136"/>
      <c r="E2" s="137"/>
      <c r="F2" s="127" t="s">
        <v>215</v>
      </c>
      <c r="G2" s="101"/>
      <c r="H2" s="101"/>
      <c r="I2" s="101"/>
      <c r="J2" s="101" t="s">
        <v>216</v>
      </c>
      <c r="K2" s="101"/>
      <c r="L2" s="101"/>
      <c r="M2" s="101" t="s">
        <v>217</v>
      </c>
      <c r="N2" s="101"/>
      <c r="O2" s="101"/>
      <c r="P2" s="101" t="s">
        <v>13</v>
      </c>
      <c r="Q2" s="101"/>
      <c r="R2" s="101"/>
      <c r="S2" s="101" t="s">
        <v>10</v>
      </c>
      <c r="T2" s="101"/>
      <c r="U2" s="102"/>
    </row>
    <row r="3" spans="1:27">
      <c r="A3" s="135"/>
      <c r="B3" s="136"/>
      <c r="C3" s="136"/>
      <c r="D3" s="136"/>
      <c r="E3" s="137"/>
      <c r="F3" s="127" t="e">
        <f ca="1">MID(CELL("filename",A4),FIND("]",CELL("filename",A4))+1,255)</f>
        <v>#VALUE!</v>
      </c>
      <c r="G3" s="101"/>
      <c r="H3" s="101" t="e">
        <f ca="1">VLOOKUP(F3,INDEX!B:J,2,0)</f>
        <v>#VALUE!</v>
      </c>
      <c r="I3" s="101"/>
      <c r="J3" s="101" t="e">
        <f ca="1">VLOOKUP(F3,INDEX!B:J,4,0)</f>
        <v>#VALUE!</v>
      </c>
      <c r="K3" s="101"/>
      <c r="L3" s="101"/>
      <c r="M3" s="101" t="e">
        <f ca="1">VLOOKUP(F3,INDEX!B:J,5,0)</f>
        <v>#VALUE!</v>
      </c>
      <c r="N3" s="101"/>
      <c r="O3" s="101"/>
      <c r="P3" s="105" t="s">
        <v>449</v>
      </c>
      <c r="Q3" s="105"/>
      <c r="R3" s="105"/>
      <c r="S3" s="101" t="e">
        <f ca="1">VLOOKUP(F3,INDEX!B:J,9,0)</f>
        <v>#VALUE!</v>
      </c>
      <c r="T3" s="101"/>
      <c r="U3" s="102"/>
    </row>
    <row r="4" spans="1:27" ht="15" customHeight="1">
      <c r="A4" s="135"/>
      <c r="B4" s="136"/>
      <c r="C4" s="136"/>
      <c r="D4" s="136"/>
      <c r="E4" s="137"/>
      <c r="F4" s="130" t="s">
        <v>218</v>
      </c>
      <c r="G4" s="131"/>
      <c r="H4" s="131"/>
      <c r="I4" s="101" t="e">
        <f ca="1">VLOOKUP(F3,INDEX!B:AF,18,0)</f>
        <v>#VALUE!</v>
      </c>
      <c r="J4" s="101"/>
      <c r="K4" s="101"/>
      <c r="L4" s="101"/>
      <c r="M4" s="101"/>
      <c r="N4" s="101"/>
      <c r="O4" s="101"/>
      <c r="P4" s="101"/>
      <c r="Q4" s="101"/>
      <c r="R4" s="101"/>
      <c r="S4" s="101"/>
      <c r="T4" s="101"/>
      <c r="U4" s="102"/>
    </row>
    <row r="5" spans="1:27" ht="13.9" customHeight="1">
      <c r="A5" s="135"/>
      <c r="B5" s="136"/>
      <c r="C5" s="136"/>
      <c r="D5" s="136"/>
      <c r="E5" s="137"/>
      <c r="F5" s="180" t="s">
        <v>219</v>
      </c>
      <c r="G5" s="118"/>
      <c r="H5" s="118"/>
      <c r="I5" s="101" t="e">
        <f ca="1">VLOOKUP(F3,INDEX!B:J,6,0)</f>
        <v>#VALUE!</v>
      </c>
      <c r="J5" s="101"/>
      <c r="K5" s="101"/>
      <c r="L5" s="101"/>
      <c r="M5" s="101"/>
      <c r="N5" s="101"/>
      <c r="O5" s="101"/>
      <c r="P5" s="101"/>
      <c r="Q5" s="101"/>
      <c r="R5" s="101"/>
      <c r="S5" s="101"/>
      <c r="T5" s="101"/>
      <c r="U5" s="102"/>
    </row>
    <row r="6" spans="1:27" ht="14.45" customHeight="1" thickBot="1">
      <c r="A6" s="138"/>
      <c r="B6" s="139"/>
      <c r="C6" s="139"/>
      <c r="D6" s="139"/>
      <c r="E6" s="140"/>
      <c r="F6" s="130" t="s">
        <v>220</v>
      </c>
      <c r="G6" s="131"/>
      <c r="H6" s="131"/>
      <c r="I6" s="109" t="e">
        <f ca="1">VLOOKUP(F3,INDEX!B:AF,16,0)</f>
        <v>#VALUE!</v>
      </c>
      <c r="J6" s="109"/>
      <c r="K6" s="109"/>
      <c r="L6" s="109"/>
      <c r="M6" s="109"/>
      <c r="N6" s="109"/>
      <c r="O6" s="109"/>
      <c r="P6" s="109"/>
      <c r="Q6" s="109"/>
      <c r="R6" s="109"/>
      <c r="S6" s="109"/>
      <c r="T6" s="109"/>
      <c r="U6" s="110"/>
    </row>
    <row r="7" spans="1:27" ht="14.45" customHeight="1">
      <c r="A7" s="120" t="s">
        <v>221</v>
      </c>
      <c r="B7" s="121"/>
      <c r="C7" s="121"/>
      <c r="D7" s="121"/>
      <c r="E7" s="121"/>
      <c r="F7" s="122"/>
      <c r="G7" s="122"/>
      <c r="H7" s="122"/>
      <c r="I7" s="122"/>
      <c r="J7" s="122"/>
      <c r="K7" s="122"/>
      <c r="L7" s="122"/>
      <c r="M7" s="122"/>
      <c r="N7" s="122"/>
      <c r="O7" s="122"/>
      <c r="P7" s="122"/>
      <c r="Q7" s="122"/>
      <c r="R7" s="122"/>
      <c r="S7" s="122"/>
      <c r="T7" s="122"/>
      <c r="U7" s="123"/>
    </row>
    <row r="8" spans="1:27" s="3" customFormat="1">
      <c r="A8" s="67" t="s">
        <v>222</v>
      </c>
      <c r="B8" s="101" t="e">
        <f ca="1">VLOOKUP(F3,INDEX!B:AF,20,0)</f>
        <v>#VALUE!</v>
      </c>
      <c r="C8" s="101"/>
      <c r="D8" s="101" t="e">
        <f ca="1">VLOOKUP(F3,INDEX!B:AF,21,0)</f>
        <v>#VALUE!</v>
      </c>
      <c r="E8" s="101"/>
      <c r="F8" s="101" t="e">
        <f ca="1">VLOOKUP(F3,INDEX!B:AF,22,0)</f>
        <v>#VALUE!</v>
      </c>
      <c r="G8" s="101"/>
      <c r="H8" s="101"/>
      <c r="I8" s="101"/>
      <c r="J8" s="101"/>
      <c r="K8" s="101"/>
      <c r="L8" s="101"/>
      <c r="M8" s="101"/>
      <c r="N8" s="101"/>
      <c r="O8" s="101"/>
      <c r="P8" s="101" t="s">
        <v>223</v>
      </c>
      <c r="Q8" s="101"/>
      <c r="R8" s="101"/>
      <c r="S8" s="101"/>
      <c r="T8" s="101"/>
      <c r="U8" s="102"/>
    </row>
    <row r="9" spans="1:27" s="3" customFormat="1">
      <c r="A9" s="67" t="s">
        <v>224</v>
      </c>
      <c r="B9" s="101" t="e">
        <f ca="1">VLOOKUP(F3,INDEX!B:Z,19,0)&amp;" to 38"</f>
        <v>#VALUE!</v>
      </c>
      <c r="C9" s="101"/>
      <c r="D9" s="101">
        <v>50</v>
      </c>
      <c r="E9" s="101"/>
      <c r="F9" s="101">
        <v>82</v>
      </c>
      <c r="G9" s="101"/>
      <c r="H9" s="101"/>
      <c r="I9" s="101"/>
      <c r="J9" s="101"/>
      <c r="K9" s="101"/>
      <c r="L9" s="101"/>
      <c r="M9" s="101"/>
      <c r="N9" s="101"/>
      <c r="O9" s="101"/>
      <c r="P9" s="101" t="e">
        <f ca="1">B8*1.5</f>
        <v>#VALUE!</v>
      </c>
      <c r="Q9" s="101"/>
      <c r="R9" s="101"/>
      <c r="S9" s="101"/>
      <c r="T9" s="101"/>
      <c r="U9" s="102"/>
    </row>
    <row r="10" spans="1:27" s="3" customFormat="1">
      <c r="A10" s="208" t="s">
        <v>225</v>
      </c>
      <c r="B10" s="209"/>
      <c r="C10" s="209"/>
      <c r="D10" s="209"/>
      <c r="E10" s="209"/>
      <c r="F10" s="209"/>
      <c r="G10" s="209"/>
      <c r="H10" s="209"/>
      <c r="I10" s="209"/>
      <c r="J10" s="209"/>
      <c r="K10" s="209"/>
      <c r="L10" s="209"/>
      <c r="M10" s="209"/>
      <c r="N10" s="209"/>
      <c r="O10" s="209"/>
      <c r="P10" s="209"/>
      <c r="Q10" s="209"/>
      <c r="R10" s="209"/>
      <c r="S10" s="209"/>
      <c r="T10" s="209"/>
      <c r="U10" s="210"/>
    </row>
    <row r="11" spans="1:27" ht="14.45" customHeight="1">
      <c r="A11" s="69" t="s">
        <v>226</v>
      </c>
      <c r="B11" s="194" t="s">
        <v>484</v>
      </c>
      <c r="C11" s="149"/>
      <c r="D11" s="149"/>
      <c r="E11" s="149"/>
      <c r="F11" s="149"/>
      <c r="G11" s="149"/>
      <c r="H11" s="149"/>
      <c r="I11" s="149"/>
      <c r="J11" s="149"/>
      <c r="K11" s="149"/>
      <c r="L11" s="149"/>
      <c r="M11" s="149"/>
      <c r="N11" s="149"/>
      <c r="O11" s="149"/>
      <c r="P11" s="149"/>
      <c r="Q11" s="149"/>
      <c r="R11" s="149"/>
      <c r="S11" s="149"/>
      <c r="T11" s="149"/>
      <c r="U11" s="150"/>
    </row>
    <row r="12" spans="1:27" s="3" customFormat="1">
      <c r="A12" s="70" t="s">
        <v>331</v>
      </c>
      <c r="B12" s="17">
        <v>1</v>
      </c>
      <c r="C12" s="17">
        <v>1.5</v>
      </c>
      <c r="D12" s="17">
        <v>2</v>
      </c>
      <c r="E12" s="17">
        <v>3</v>
      </c>
      <c r="F12" s="17">
        <v>4</v>
      </c>
      <c r="G12" s="17">
        <v>6</v>
      </c>
      <c r="H12" s="17"/>
      <c r="I12" s="17"/>
      <c r="J12" s="17"/>
      <c r="K12" s="17"/>
      <c r="L12" s="17"/>
      <c r="M12" s="17"/>
      <c r="N12" s="17"/>
      <c r="O12" s="17"/>
      <c r="P12" s="17"/>
      <c r="Q12" s="17"/>
      <c r="R12" s="17"/>
      <c r="S12" s="17"/>
      <c r="T12" s="17"/>
      <c r="U12" s="66"/>
      <c r="W12" s="5"/>
      <c r="X12" s="5"/>
      <c r="Y12" s="5"/>
      <c r="Z12" s="5"/>
      <c r="AA12" s="5"/>
    </row>
    <row r="13" spans="1:27" s="3" customFormat="1">
      <c r="A13" s="70" t="s">
        <v>451</v>
      </c>
      <c r="B13" s="17">
        <f>B14+2*B15</f>
        <v>31.5</v>
      </c>
      <c r="C13" s="17">
        <f>C14+2*C15</f>
        <v>46.5</v>
      </c>
      <c r="D13" s="17">
        <f t="shared" ref="D13:G13" si="0">D14+2*D15</f>
        <v>57.400000000000006</v>
      </c>
      <c r="E13" s="17">
        <f t="shared" si="0"/>
        <v>86.2</v>
      </c>
      <c r="F13" s="17">
        <f t="shared" si="0"/>
        <v>111.60000000000001</v>
      </c>
      <c r="G13" s="17">
        <f t="shared" si="0"/>
        <v>165.4</v>
      </c>
      <c r="H13" s="17"/>
      <c r="I13" s="17"/>
      <c r="J13" s="17"/>
      <c r="K13" s="17"/>
      <c r="L13" s="17"/>
      <c r="M13" s="17"/>
      <c r="N13" s="17"/>
      <c r="O13" s="17"/>
      <c r="P13" s="17"/>
      <c r="Q13" s="17"/>
      <c r="R13" s="17"/>
      <c r="S13" s="17"/>
      <c r="T13" s="17"/>
      <c r="U13" s="66"/>
    </row>
    <row r="14" spans="1:27" s="3" customFormat="1">
      <c r="A14" s="70" t="s">
        <v>452</v>
      </c>
      <c r="B14" s="17">
        <v>27.1</v>
      </c>
      <c r="C14" s="17">
        <v>42.1</v>
      </c>
      <c r="D14" s="17">
        <v>53.2</v>
      </c>
      <c r="E14" s="17">
        <v>81.8</v>
      </c>
      <c r="F14" s="17">
        <v>105.2</v>
      </c>
      <c r="G14" s="17">
        <v>159</v>
      </c>
      <c r="H14" s="17"/>
      <c r="I14" s="17"/>
      <c r="J14" s="17"/>
      <c r="K14" s="17"/>
      <c r="L14" s="17"/>
      <c r="M14" s="17"/>
      <c r="N14" s="17"/>
      <c r="O14" s="17"/>
      <c r="P14" s="17"/>
      <c r="Q14" s="17"/>
      <c r="R14" s="17"/>
      <c r="S14" s="17"/>
      <c r="T14" s="17"/>
      <c r="U14" s="66"/>
    </row>
    <row r="15" spans="1:27" s="3" customFormat="1">
      <c r="A15" s="70" t="s">
        <v>333</v>
      </c>
      <c r="B15" s="17">
        <v>2.2000000000000002</v>
      </c>
      <c r="C15" s="17">
        <v>2.2000000000000002</v>
      </c>
      <c r="D15" s="17">
        <v>2.1</v>
      </c>
      <c r="E15" s="17">
        <v>2.2000000000000002</v>
      </c>
      <c r="F15" s="17">
        <v>3.2</v>
      </c>
      <c r="G15" s="17">
        <v>3.2</v>
      </c>
      <c r="H15" s="17"/>
      <c r="I15" s="17"/>
      <c r="J15" s="17"/>
      <c r="K15" s="17"/>
      <c r="L15" s="17"/>
      <c r="M15" s="17"/>
      <c r="N15" s="17"/>
      <c r="O15" s="17"/>
      <c r="P15" s="17"/>
      <c r="Q15" s="17"/>
      <c r="R15" s="17"/>
      <c r="S15" s="17"/>
      <c r="T15" s="17"/>
      <c r="U15" s="66"/>
    </row>
    <row r="16" spans="1:27" s="3" customFormat="1">
      <c r="A16" s="70" t="s">
        <v>234</v>
      </c>
      <c r="B16" s="144" t="s">
        <v>485</v>
      </c>
      <c r="C16" s="145"/>
      <c r="D16" s="145"/>
      <c r="E16" s="145"/>
      <c r="F16" s="145"/>
      <c r="G16" s="145"/>
      <c r="H16" s="145"/>
      <c r="I16" s="145"/>
      <c r="J16" s="145"/>
      <c r="K16" s="145"/>
      <c r="L16" s="145"/>
      <c r="M16" s="145"/>
      <c r="N16" s="145"/>
      <c r="O16" s="145"/>
      <c r="P16" s="145"/>
      <c r="Q16" s="145"/>
      <c r="R16" s="145"/>
      <c r="S16" s="145"/>
      <c r="T16" s="145"/>
      <c r="U16" s="147"/>
    </row>
    <row r="17" spans="1:27" ht="15.6" customHeight="1">
      <c r="A17" s="69" t="s">
        <v>237</v>
      </c>
      <c r="B17" s="144" t="s">
        <v>485</v>
      </c>
      <c r="C17" s="145"/>
      <c r="D17" s="145"/>
      <c r="E17" s="145"/>
      <c r="F17" s="145"/>
      <c r="G17" s="145"/>
      <c r="H17" s="145"/>
      <c r="I17" s="145"/>
      <c r="J17" s="145"/>
      <c r="K17" s="145"/>
      <c r="L17" s="145"/>
      <c r="M17" s="145"/>
      <c r="N17" s="145"/>
      <c r="O17" s="145"/>
      <c r="P17" s="145"/>
      <c r="Q17" s="145"/>
      <c r="R17" s="145"/>
      <c r="S17" s="145"/>
      <c r="T17" s="145"/>
      <c r="U17" s="147"/>
    </row>
    <row r="18" spans="1:27" ht="15" customHeight="1">
      <c r="A18" s="69" t="s">
        <v>240</v>
      </c>
      <c r="B18" s="144" t="s">
        <v>485</v>
      </c>
      <c r="C18" s="145"/>
      <c r="D18" s="145"/>
      <c r="E18" s="145"/>
      <c r="F18" s="145"/>
      <c r="G18" s="145"/>
      <c r="H18" s="145"/>
      <c r="I18" s="145"/>
      <c r="J18" s="145"/>
      <c r="K18" s="145"/>
      <c r="L18" s="145"/>
      <c r="M18" s="145"/>
      <c r="N18" s="145"/>
      <c r="O18" s="145"/>
      <c r="P18" s="145"/>
      <c r="Q18" s="145"/>
      <c r="R18" s="145"/>
      <c r="S18" s="145"/>
      <c r="T18" s="145"/>
      <c r="U18" s="147"/>
    </row>
    <row r="19" spans="1:27" ht="14.45" customHeight="1">
      <c r="A19" s="148" t="s">
        <v>242</v>
      </c>
      <c r="B19" s="149"/>
      <c r="C19" s="149"/>
      <c r="D19" s="149"/>
      <c r="E19" s="149"/>
      <c r="F19" s="149"/>
      <c r="G19" s="149"/>
      <c r="H19" s="149"/>
      <c r="I19" s="149"/>
      <c r="J19" s="149"/>
      <c r="K19" s="149"/>
      <c r="L19" s="149"/>
      <c r="M19" s="149"/>
      <c r="N19" s="149"/>
      <c r="O19" s="149"/>
      <c r="P19" s="149"/>
      <c r="Q19" s="149"/>
      <c r="R19" s="149"/>
      <c r="S19" s="149"/>
      <c r="T19" s="149"/>
      <c r="U19" s="150"/>
    </row>
    <row r="20" spans="1:27" ht="15" customHeight="1">
      <c r="A20" s="69" t="s">
        <v>234</v>
      </c>
      <c r="B20" s="144" t="s">
        <v>485</v>
      </c>
      <c r="C20" s="145"/>
      <c r="D20" s="145"/>
      <c r="E20" s="145"/>
      <c r="F20" s="145"/>
      <c r="G20" s="145"/>
      <c r="H20" s="145"/>
      <c r="I20" s="145"/>
      <c r="J20" s="145"/>
      <c r="K20" s="145"/>
      <c r="L20" s="145"/>
      <c r="M20" s="145"/>
      <c r="N20" s="145"/>
      <c r="O20" s="145"/>
      <c r="P20" s="145"/>
      <c r="Q20" s="145"/>
      <c r="R20" s="145"/>
      <c r="S20" s="145"/>
      <c r="T20" s="145"/>
      <c r="U20" s="147"/>
    </row>
    <row r="21" spans="1:27" ht="14.45" customHeight="1">
      <c r="A21" s="69" t="s">
        <v>272</v>
      </c>
      <c r="B21" s="144" t="s">
        <v>485</v>
      </c>
      <c r="C21" s="145"/>
      <c r="D21" s="145"/>
      <c r="E21" s="145"/>
      <c r="F21" s="145"/>
      <c r="G21" s="145"/>
      <c r="H21" s="145"/>
      <c r="I21" s="145"/>
      <c r="J21" s="145"/>
      <c r="K21" s="145"/>
      <c r="L21" s="145"/>
      <c r="M21" s="145"/>
      <c r="N21" s="145"/>
      <c r="O21" s="145"/>
      <c r="P21" s="145"/>
      <c r="Q21" s="145"/>
      <c r="R21" s="145"/>
      <c r="S21" s="145"/>
      <c r="T21" s="145"/>
      <c r="U21" s="147"/>
    </row>
    <row r="22" spans="1:27" ht="28.9" customHeight="1">
      <c r="A22" s="69" t="s">
        <v>237</v>
      </c>
      <c r="B22" s="144" t="s">
        <v>485</v>
      </c>
      <c r="C22" s="145"/>
      <c r="D22" s="145"/>
      <c r="E22" s="145"/>
      <c r="F22" s="145"/>
      <c r="G22" s="145"/>
      <c r="H22" s="145"/>
      <c r="I22" s="145"/>
      <c r="J22" s="145"/>
      <c r="K22" s="145"/>
      <c r="L22" s="145"/>
      <c r="M22" s="145"/>
      <c r="N22" s="145"/>
      <c r="O22" s="145"/>
      <c r="P22" s="145"/>
      <c r="Q22" s="145"/>
      <c r="R22" s="145"/>
      <c r="S22" s="145"/>
      <c r="T22" s="145"/>
      <c r="U22" s="147"/>
    </row>
    <row r="23" spans="1:27" ht="16.899999999999999" customHeight="1">
      <c r="A23" s="69" t="s">
        <v>246</v>
      </c>
      <c r="B23" s="144" t="s">
        <v>485</v>
      </c>
      <c r="C23" s="145"/>
      <c r="D23" s="145"/>
      <c r="E23" s="145"/>
      <c r="F23" s="145"/>
      <c r="G23" s="145"/>
      <c r="H23" s="145"/>
      <c r="I23" s="145"/>
      <c r="J23" s="145"/>
      <c r="K23" s="145"/>
      <c r="L23" s="145"/>
      <c r="M23" s="145"/>
      <c r="N23" s="145"/>
      <c r="O23" s="145"/>
      <c r="P23" s="145"/>
      <c r="Q23" s="145"/>
      <c r="R23" s="145"/>
      <c r="S23" s="145"/>
      <c r="T23" s="145"/>
      <c r="U23" s="147"/>
    </row>
    <row r="24" spans="1:27" ht="16.899999999999999" customHeight="1">
      <c r="A24" s="69" t="s">
        <v>248</v>
      </c>
      <c r="B24" s="144" t="s">
        <v>485</v>
      </c>
      <c r="C24" s="145"/>
      <c r="D24" s="145"/>
      <c r="E24" s="145"/>
      <c r="F24" s="145"/>
      <c r="G24" s="145"/>
      <c r="H24" s="145"/>
      <c r="I24" s="145"/>
      <c r="J24" s="145"/>
      <c r="K24" s="145"/>
      <c r="L24" s="145"/>
      <c r="M24" s="145"/>
      <c r="N24" s="145"/>
      <c r="O24" s="145"/>
      <c r="P24" s="145"/>
      <c r="Q24" s="145"/>
      <c r="R24" s="145"/>
      <c r="S24" s="145"/>
      <c r="T24" s="145"/>
      <c r="U24" s="147"/>
    </row>
    <row r="25" spans="1:27" ht="16.899999999999999" customHeight="1">
      <c r="A25" s="69" t="s">
        <v>460</v>
      </c>
      <c r="B25" s="144" t="s">
        <v>485</v>
      </c>
      <c r="C25" s="145"/>
      <c r="D25" s="145"/>
      <c r="E25" s="145"/>
      <c r="F25" s="145"/>
      <c r="G25" s="145"/>
      <c r="H25" s="145"/>
      <c r="I25" s="145"/>
      <c r="J25" s="145"/>
      <c r="K25" s="145"/>
      <c r="L25" s="145"/>
      <c r="M25" s="145"/>
      <c r="N25" s="145"/>
      <c r="O25" s="145"/>
      <c r="P25" s="145"/>
      <c r="Q25" s="145"/>
      <c r="R25" s="145"/>
      <c r="S25" s="145"/>
      <c r="T25" s="145"/>
      <c r="U25" s="147"/>
    </row>
    <row r="26" spans="1:27" ht="16.899999999999999" customHeight="1">
      <c r="A26" s="69" t="s">
        <v>462</v>
      </c>
      <c r="B26" s="144" t="s">
        <v>485</v>
      </c>
      <c r="C26" s="145"/>
      <c r="D26" s="145"/>
      <c r="E26" s="145"/>
      <c r="F26" s="145"/>
      <c r="G26" s="145"/>
      <c r="H26" s="145"/>
      <c r="I26" s="145"/>
      <c r="J26" s="145"/>
      <c r="K26" s="145"/>
      <c r="L26" s="145"/>
      <c r="M26" s="145"/>
      <c r="N26" s="145"/>
      <c r="O26" s="145"/>
      <c r="P26" s="145"/>
      <c r="Q26" s="145"/>
      <c r="R26" s="145"/>
      <c r="S26" s="145"/>
      <c r="T26" s="145"/>
      <c r="U26" s="147"/>
    </row>
    <row r="27" spans="1:27" ht="16.899999999999999" customHeight="1">
      <c r="A27" s="69" t="s">
        <v>464</v>
      </c>
      <c r="B27" s="144" t="s">
        <v>485</v>
      </c>
      <c r="C27" s="145"/>
      <c r="D27" s="145"/>
      <c r="E27" s="145"/>
      <c r="F27" s="145"/>
      <c r="G27" s="145"/>
      <c r="H27" s="145"/>
      <c r="I27" s="145"/>
      <c r="J27" s="145"/>
      <c r="K27" s="145"/>
      <c r="L27" s="145"/>
      <c r="M27" s="145"/>
      <c r="N27" s="145"/>
      <c r="O27" s="145"/>
      <c r="P27" s="145"/>
      <c r="Q27" s="145"/>
      <c r="R27" s="145"/>
      <c r="S27" s="145"/>
      <c r="T27" s="145"/>
      <c r="U27" s="147"/>
    </row>
    <row r="28" spans="1:27" ht="16.899999999999999" customHeight="1">
      <c r="A28" s="69" t="s">
        <v>466</v>
      </c>
      <c r="B28" s="144" t="s">
        <v>485</v>
      </c>
      <c r="C28" s="145"/>
      <c r="D28" s="145"/>
      <c r="E28" s="145"/>
      <c r="F28" s="145"/>
      <c r="G28" s="145"/>
      <c r="H28" s="145"/>
      <c r="I28" s="145"/>
      <c r="J28" s="145"/>
      <c r="K28" s="145"/>
      <c r="L28" s="145"/>
      <c r="M28" s="145"/>
      <c r="N28" s="145"/>
      <c r="O28" s="145"/>
      <c r="P28" s="145"/>
      <c r="Q28" s="145"/>
      <c r="R28" s="145"/>
      <c r="S28" s="145"/>
      <c r="T28" s="145"/>
      <c r="U28" s="147"/>
    </row>
    <row r="29" spans="1:27" ht="16.899999999999999" customHeight="1">
      <c r="A29" s="69" t="s">
        <v>467</v>
      </c>
      <c r="B29" s="144" t="s">
        <v>485</v>
      </c>
      <c r="C29" s="145"/>
      <c r="D29" s="145"/>
      <c r="E29" s="145"/>
      <c r="F29" s="145"/>
      <c r="G29" s="145"/>
      <c r="H29" s="145"/>
      <c r="I29" s="145"/>
      <c r="J29" s="145"/>
      <c r="K29" s="145"/>
      <c r="L29" s="145"/>
      <c r="M29" s="145"/>
      <c r="N29" s="145"/>
      <c r="O29" s="145"/>
      <c r="P29" s="145"/>
      <c r="Q29" s="145"/>
      <c r="R29" s="145"/>
      <c r="S29" s="145"/>
      <c r="T29" s="145"/>
      <c r="U29" s="147"/>
    </row>
    <row r="30" spans="1:27">
      <c r="A30" s="148" t="s">
        <v>255</v>
      </c>
      <c r="B30" s="149"/>
      <c r="C30" s="149"/>
      <c r="D30" s="149"/>
      <c r="E30" s="149"/>
      <c r="F30" s="149"/>
      <c r="G30" s="149"/>
      <c r="H30" s="149"/>
      <c r="I30" s="149"/>
      <c r="J30" s="149"/>
      <c r="K30" s="149"/>
      <c r="L30" s="149"/>
      <c r="M30" s="149"/>
      <c r="N30" s="149"/>
      <c r="O30" s="149"/>
      <c r="P30" s="149"/>
      <c r="Q30" s="149"/>
      <c r="R30" s="149"/>
      <c r="S30" s="149"/>
      <c r="T30" s="149"/>
      <c r="U30" s="150"/>
    </row>
    <row r="31" spans="1:27" ht="15" customHeight="1">
      <c r="A31" s="69" t="s">
        <v>234</v>
      </c>
      <c r="B31" s="144" t="s">
        <v>485</v>
      </c>
      <c r="C31" s="145"/>
      <c r="D31" s="145"/>
      <c r="E31" s="145"/>
      <c r="F31" s="145"/>
      <c r="G31" s="145"/>
      <c r="H31" s="145"/>
      <c r="I31" s="145"/>
      <c r="J31" s="145"/>
      <c r="K31" s="145"/>
      <c r="L31" s="145"/>
      <c r="M31" s="145"/>
      <c r="N31" s="145"/>
      <c r="O31" s="145"/>
      <c r="P31" s="145"/>
      <c r="Q31" s="145"/>
      <c r="R31" s="145"/>
      <c r="S31" s="145"/>
      <c r="T31" s="145"/>
      <c r="U31" s="147"/>
      <c r="X31" s="3"/>
      <c r="Y31" s="3"/>
      <c r="Z31" s="3"/>
      <c r="AA31" s="3"/>
    </row>
    <row r="32" spans="1:27" ht="14.45" customHeight="1">
      <c r="A32" s="69" t="s">
        <v>237</v>
      </c>
      <c r="B32" s="144" t="s">
        <v>485</v>
      </c>
      <c r="C32" s="145"/>
      <c r="D32" s="145"/>
      <c r="E32" s="145"/>
      <c r="F32" s="145"/>
      <c r="G32" s="145"/>
      <c r="H32" s="145"/>
      <c r="I32" s="145"/>
      <c r="J32" s="145"/>
      <c r="K32" s="145"/>
      <c r="L32" s="145"/>
      <c r="M32" s="145"/>
      <c r="N32" s="145"/>
      <c r="O32" s="145"/>
      <c r="P32" s="145"/>
      <c r="Q32" s="145"/>
      <c r="R32" s="145"/>
      <c r="S32" s="145"/>
      <c r="T32" s="145"/>
      <c r="U32" s="147"/>
      <c r="X32" s="3"/>
      <c r="Y32" s="3"/>
      <c r="Z32" s="3"/>
      <c r="AA32" s="3"/>
    </row>
    <row r="33" spans="1:27" ht="15" customHeight="1">
      <c r="A33" s="69" t="s">
        <v>257</v>
      </c>
      <c r="B33" s="144" t="s">
        <v>485</v>
      </c>
      <c r="C33" s="145"/>
      <c r="D33" s="145"/>
      <c r="E33" s="145"/>
      <c r="F33" s="145"/>
      <c r="G33" s="145"/>
      <c r="H33" s="145"/>
      <c r="I33" s="145"/>
      <c r="J33" s="145"/>
      <c r="K33" s="145"/>
      <c r="L33" s="145"/>
      <c r="M33" s="145"/>
      <c r="N33" s="145"/>
      <c r="O33" s="145"/>
      <c r="P33" s="145"/>
      <c r="Q33" s="145"/>
      <c r="R33" s="145"/>
      <c r="S33" s="145"/>
      <c r="T33" s="145"/>
      <c r="U33" s="147"/>
      <c r="X33" s="3"/>
      <c r="Y33" s="3"/>
      <c r="Z33" s="3"/>
      <c r="AA33" s="3"/>
    </row>
    <row r="34" spans="1:27" ht="14.45" customHeight="1">
      <c r="A34" s="69" t="s">
        <v>231</v>
      </c>
      <c r="B34" s="144" t="s">
        <v>486</v>
      </c>
      <c r="C34" s="145"/>
      <c r="D34" s="145"/>
      <c r="E34" s="145"/>
      <c r="F34" s="145"/>
      <c r="G34" s="145"/>
      <c r="H34" s="145"/>
      <c r="I34" s="145"/>
      <c r="J34" s="145"/>
      <c r="K34" s="145"/>
      <c r="L34" s="145"/>
      <c r="M34" s="145"/>
      <c r="N34" s="145"/>
      <c r="O34" s="145"/>
      <c r="P34" s="145"/>
      <c r="Q34" s="145"/>
      <c r="R34" s="145"/>
      <c r="S34" s="145"/>
      <c r="T34" s="145"/>
      <c r="U34" s="147"/>
      <c r="X34" s="3"/>
      <c r="Y34" s="3"/>
      <c r="Z34" s="3"/>
      <c r="AA34" s="3"/>
    </row>
    <row r="35" spans="1:27" ht="14.45" customHeight="1">
      <c r="A35" s="148" t="s">
        <v>472</v>
      </c>
      <c r="B35" s="149"/>
      <c r="C35" s="149"/>
      <c r="D35" s="149"/>
      <c r="E35" s="149"/>
      <c r="F35" s="149"/>
      <c r="G35" s="149"/>
      <c r="H35" s="149"/>
      <c r="I35" s="149"/>
      <c r="J35" s="149"/>
      <c r="K35" s="149"/>
      <c r="L35" s="149"/>
      <c r="M35" s="149"/>
      <c r="N35" s="149"/>
      <c r="O35" s="149"/>
      <c r="P35" s="149"/>
      <c r="Q35" s="149"/>
      <c r="R35" s="149"/>
      <c r="S35" s="149"/>
      <c r="T35" s="149"/>
      <c r="U35" s="150"/>
      <c r="X35" s="3"/>
      <c r="Y35" s="3"/>
      <c r="Z35" s="3"/>
      <c r="AA35" s="3"/>
    </row>
    <row r="36" spans="1:27" ht="15" customHeight="1">
      <c r="A36" s="69" t="s">
        <v>234</v>
      </c>
      <c r="B36" s="144" t="s">
        <v>473</v>
      </c>
      <c r="C36" s="145"/>
      <c r="D36" s="145"/>
      <c r="E36" s="145"/>
      <c r="F36" s="145"/>
      <c r="G36" s="145"/>
      <c r="H36" s="145"/>
      <c r="I36" s="145"/>
      <c r="J36" s="145"/>
      <c r="K36" s="145"/>
      <c r="L36" s="145"/>
      <c r="M36" s="145"/>
      <c r="N36" s="145"/>
      <c r="O36" s="145"/>
      <c r="P36" s="145"/>
      <c r="Q36" s="145"/>
      <c r="R36" s="145"/>
      <c r="S36" s="145"/>
      <c r="T36" s="145"/>
      <c r="U36" s="147"/>
    </row>
    <row r="37" spans="1:27" ht="14.45" customHeight="1">
      <c r="A37" s="148" t="s">
        <v>264</v>
      </c>
      <c r="B37" s="149"/>
      <c r="C37" s="149"/>
      <c r="D37" s="149"/>
      <c r="E37" s="149"/>
      <c r="F37" s="149"/>
      <c r="G37" s="149"/>
      <c r="H37" s="149"/>
      <c r="I37" s="149"/>
      <c r="J37" s="149"/>
      <c r="K37" s="149"/>
      <c r="L37" s="149"/>
      <c r="M37" s="149"/>
      <c r="N37" s="149"/>
      <c r="O37" s="149"/>
      <c r="P37" s="149"/>
      <c r="Q37" s="149"/>
      <c r="R37" s="149"/>
      <c r="S37" s="149"/>
      <c r="T37" s="149"/>
      <c r="U37" s="150"/>
    </row>
    <row r="38" spans="1:27" ht="14.45" customHeight="1">
      <c r="A38" s="69" t="s">
        <v>265</v>
      </c>
      <c r="B38" s="144" t="s">
        <v>266</v>
      </c>
      <c r="C38" s="145"/>
      <c r="D38" s="145"/>
      <c r="E38" s="145"/>
      <c r="F38" s="145"/>
      <c r="G38" s="145"/>
      <c r="H38" s="145"/>
      <c r="I38" s="145"/>
      <c r="J38" s="145"/>
      <c r="K38" s="145"/>
      <c r="L38" s="145"/>
      <c r="M38" s="145"/>
      <c r="N38" s="145"/>
      <c r="O38" s="145"/>
      <c r="P38" s="145"/>
      <c r="Q38" s="145"/>
      <c r="R38" s="145"/>
      <c r="S38" s="145"/>
      <c r="T38" s="145"/>
      <c r="U38" s="147"/>
    </row>
    <row r="39" spans="1:27" ht="14.45" customHeight="1">
      <c r="A39" s="69" t="s">
        <v>267</v>
      </c>
      <c r="B39" s="144" t="s">
        <v>268</v>
      </c>
      <c r="C39" s="145"/>
      <c r="D39" s="145"/>
      <c r="E39" s="145"/>
      <c r="F39" s="145"/>
      <c r="G39" s="145"/>
      <c r="H39" s="145"/>
      <c r="I39" s="145"/>
      <c r="J39" s="145"/>
      <c r="K39" s="145"/>
      <c r="L39" s="145"/>
      <c r="M39" s="145"/>
      <c r="N39" s="145"/>
      <c r="O39" s="145"/>
      <c r="P39" s="145"/>
      <c r="Q39" s="145"/>
      <c r="R39" s="145"/>
      <c r="S39" s="145"/>
      <c r="T39" s="145"/>
      <c r="U39" s="147"/>
    </row>
    <row r="40" spans="1:27" ht="14.45" customHeight="1">
      <c r="A40" s="69" t="s">
        <v>474</v>
      </c>
      <c r="B40" s="144" t="s">
        <v>475</v>
      </c>
      <c r="C40" s="145"/>
      <c r="D40" s="145"/>
      <c r="E40" s="145"/>
      <c r="F40" s="145"/>
      <c r="G40" s="145"/>
      <c r="H40" s="145"/>
      <c r="I40" s="145"/>
      <c r="J40" s="145"/>
      <c r="K40" s="145"/>
      <c r="L40" s="145"/>
      <c r="M40" s="145"/>
      <c r="N40" s="145"/>
      <c r="O40" s="145"/>
      <c r="P40" s="145"/>
      <c r="Q40" s="145"/>
      <c r="R40" s="145"/>
      <c r="S40" s="145"/>
      <c r="T40" s="145"/>
      <c r="U40" s="147"/>
    </row>
    <row r="41" spans="1:27" ht="14.45" customHeight="1">
      <c r="A41" s="69" t="s">
        <v>269</v>
      </c>
      <c r="B41" s="144" t="s">
        <v>487</v>
      </c>
      <c r="C41" s="145"/>
      <c r="D41" s="145"/>
      <c r="E41" s="145"/>
      <c r="F41" s="145"/>
      <c r="G41" s="145"/>
      <c r="H41" s="145"/>
      <c r="I41" s="145"/>
      <c r="J41" s="145"/>
      <c r="K41" s="145"/>
      <c r="L41" s="145"/>
      <c r="M41" s="145"/>
      <c r="N41" s="145"/>
      <c r="O41" s="145"/>
      <c r="P41" s="145"/>
      <c r="Q41" s="145"/>
      <c r="R41" s="145"/>
      <c r="S41" s="145"/>
      <c r="T41" s="145"/>
      <c r="U41" s="147"/>
    </row>
    <row r="42" spans="1:27" ht="14.45" customHeight="1">
      <c r="A42" s="69"/>
      <c r="B42" s="144"/>
      <c r="C42" s="145"/>
      <c r="D42" s="145"/>
      <c r="E42" s="145"/>
      <c r="F42" s="145"/>
      <c r="G42" s="145"/>
      <c r="H42" s="145"/>
      <c r="I42" s="145"/>
      <c r="J42" s="145"/>
      <c r="K42" s="145"/>
      <c r="L42" s="145"/>
      <c r="M42" s="145"/>
      <c r="N42" s="145"/>
      <c r="O42" s="145"/>
      <c r="P42" s="145"/>
      <c r="Q42" s="145"/>
      <c r="R42" s="145"/>
      <c r="S42" s="145"/>
      <c r="T42" s="145"/>
      <c r="U42" s="147"/>
    </row>
    <row r="43" spans="1:27" ht="13.9" customHeight="1">
      <c r="A43" s="296" t="s">
        <v>271</v>
      </c>
      <c r="B43" s="297"/>
      <c r="C43" s="297"/>
      <c r="D43" s="297"/>
      <c r="E43" s="297"/>
      <c r="F43" s="297"/>
      <c r="G43" s="297"/>
      <c r="H43" s="297"/>
      <c r="I43" s="297"/>
      <c r="J43" s="297"/>
      <c r="K43" s="297"/>
      <c r="L43" s="297"/>
      <c r="M43" s="297"/>
      <c r="N43" s="297"/>
      <c r="O43" s="297"/>
      <c r="P43" s="297"/>
      <c r="Q43" s="297"/>
      <c r="R43" s="297"/>
      <c r="S43" s="297"/>
      <c r="T43" s="297"/>
      <c r="U43" s="298"/>
    </row>
    <row r="44" spans="1:27" ht="13.9" customHeight="1">
      <c r="A44" s="69" t="s">
        <v>272</v>
      </c>
      <c r="B44" s="144" t="e">
        <f ca="1">VLOOKUP(F3,INDEX!B:J,2,0)&amp;", FF"</f>
        <v>#VALUE!</v>
      </c>
      <c r="C44" s="145"/>
      <c r="D44" s="145"/>
      <c r="E44" s="145"/>
      <c r="F44" s="145"/>
      <c r="G44" s="145"/>
      <c r="H44" s="145"/>
      <c r="I44" s="145"/>
      <c r="J44" s="145"/>
      <c r="K44" s="145"/>
      <c r="L44" s="145"/>
      <c r="M44" s="145"/>
      <c r="N44" s="145"/>
      <c r="O44" s="145"/>
      <c r="P44" s="145"/>
      <c r="Q44" s="145"/>
      <c r="R44" s="145"/>
      <c r="S44" s="145"/>
      <c r="T44" s="145"/>
      <c r="U44" s="147"/>
    </row>
    <row r="45" spans="1:27" ht="13.9" customHeight="1">
      <c r="A45" s="69" t="s">
        <v>273</v>
      </c>
      <c r="B45" s="205" t="e">
        <f ca="1">"BSR"&amp;VLOOKUP(F3,INDEX!B:AH,33,0)&amp;"F"&amp;", BSF"&amp;VLOOKUP(F3,INDEX!B:AH,33,0)&amp;"F"</f>
        <v>#VALUE!</v>
      </c>
      <c r="C45" s="206"/>
      <c r="D45" s="206"/>
      <c r="E45" s="206"/>
      <c r="F45" s="206"/>
      <c r="G45" s="206"/>
      <c r="H45" s="206"/>
      <c r="I45" s="206"/>
      <c r="J45" s="206"/>
      <c r="K45" s="206"/>
      <c r="L45" s="206"/>
      <c r="M45" s="206"/>
      <c r="N45" s="206"/>
      <c r="O45" s="206"/>
      <c r="P45" s="206"/>
      <c r="Q45" s="206"/>
      <c r="R45" s="206"/>
      <c r="S45" s="206"/>
      <c r="T45" s="206"/>
      <c r="U45" s="207"/>
    </row>
    <row r="46" spans="1:27" ht="13.9" customHeight="1">
      <c r="A46" s="69" t="s">
        <v>274</v>
      </c>
      <c r="B46" s="205" t="e">
        <f ca="1">"GAW"&amp;VLOOKUP(F3,INDEX!B:AH,33,0)&amp;"F"</f>
        <v>#VALUE!</v>
      </c>
      <c r="C46" s="206"/>
      <c r="D46" s="206"/>
      <c r="E46" s="206"/>
      <c r="F46" s="206"/>
      <c r="G46" s="206"/>
      <c r="H46" s="206"/>
      <c r="I46" s="206"/>
      <c r="J46" s="206"/>
      <c r="K46" s="206"/>
      <c r="L46" s="206"/>
      <c r="M46" s="206"/>
      <c r="N46" s="206"/>
      <c r="O46" s="206"/>
      <c r="P46" s="206"/>
      <c r="Q46" s="206"/>
      <c r="R46" s="206"/>
      <c r="S46" s="206"/>
      <c r="T46" s="206"/>
      <c r="U46" s="207"/>
    </row>
    <row r="47" spans="1:27" ht="13.9" customHeight="1">
      <c r="A47" s="69" t="s">
        <v>275</v>
      </c>
      <c r="B47" s="109" t="e">
        <f ca="1">"GLS"&amp;VLOOKUP(F3,INDEX!B:AH,33,0)&amp;"F"</f>
        <v>#VALUE!</v>
      </c>
      <c r="C47" s="109"/>
      <c r="D47" s="109"/>
      <c r="E47" s="109"/>
      <c r="F47" s="109"/>
      <c r="G47" s="109"/>
      <c r="H47" s="109"/>
      <c r="I47" s="109"/>
      <c r="J47" s="109"/>
      <c r="K47" s="109"/>
      <c r="L47" s="109"/>
      <c r="M47" s="109"/>
      <c r="N47" s="109"/>
      <c r="O47" s="109"/>
      <c r="P47" s="109"/>
      <c r="Q47" s="109"/>
      <c r="R47" s="109"/>
      <c r="S47" s="109"/>
      <c r="T47" s="109"/>
      <c r="U47" s="110"/>
    </row>
    <row r="48" spans="1:27" ht="13.9" customHeight="1">
      <c r="A48" s="69" t="s">
        <v>276</v>
      </c>
      <c r="B48" s="109" t="e">
        <f ca="1">"CHP"&amp;VLOOKUP(F3,INDEX!B:AH,33,0)&amp;"F"</f>
        <v>#VALUE!</v>
      </c>
      <c r="C48" s="109"/>
      <c r="D48" s="109"/>
      <c r="E48" s="109"/>
      <c r="F48" s="109" t="e">
        <f ca="1">"CSW"&amp;VLOOKUP(F3,INDEX!B:AH,33,0)&amp;"F, "&amp;"CDP"&amp;VLOOKUP(F3,INDEX!B:AH,33,0)&amp;"F"</f>
        <v>#VALUE!</v>
      </c>
      <c r="G48" s="109"/>
      <c r="H48" s="109"/>
      <c r="I48" s="109"/>
      <c r="J48" s="109"/>
      <c r="K48" s="109"/>
      <c r="L48" s="109"/>
      <c r="M48" s="109"/>
      <c r="N48" s="109"/>
      <c r="O48" s="109"/>
      <c r="P48" s="109"/>
      <c r="Q48" s="109"/>
      <c r="R48" s="109"/>
      <c r="S48" s="109"/>
      <c r="T48" s="109"/>
      <c r="U48" s="110"/>
    </row>
    <row r="49" spans="1:25" ht="13.9" customHeight="1">
      <c r="A49" s="69" t="s">
        <v>277</v>
      </c>
      <c r="B49" s="144"/>
      <c r="C49" s="145"/>
      <c r="D49" s="145"/>
      <c r="E49" s="145"/>
      <c r="F49" s="145"/>
      <c r="G49" s="144" t="e">
        <f ca="1">"BFD"&amp;VLOOKUP(F3,INDEX!B:AH,33,0)&amp;"WF"</f>
        <v>#VALUE!</v>
      </c>
      <c r="H49" s="145"/>
      <c r="I49" s="145"/>
      <c r="J49" s="145"/>
      <c r="K49" s="145"/>
      <c r="L49" s="145"/>
      <c r="M49" s="145"/>
      <c r="N49" s="145"/>
      <c r="O49" s="145"/>
      <c r="P49" s="145"/>
      <c r="Q49" s="145"/>
      <c r="R49" s="145"/>
      <c r="S49" s="145"/>
      <c r="T49" s="145"/>
      <c r="U49" s="147"/>
    </row>
    <row r="50" spans="1:25" s="4" customFormat="1">
      <c r="A50" s="148" t="s">
        <v>278</v>
      </c>
      <c r="B50" s="149"/>
      <c r="C50" s="149"/>
      <c r="D50" s="149"/>
      <c r="E50" s="149"/>
      <c r="F50" s="149"/>
      <c r="G50" s="149"/>
      <c r="H50" s="149"/>
      <c r="I50" s="149"/>
      <c r="J50" s="149"/>
      <c r="K50" s="149"/>
      <c r="L50" s="149"/>
      <c r="M50" s="149"/>
      <c r="N50" s="149"/>
      <c r="O50" s="149"/>
      <c r="P50" s="149"/>
      <c r="Q50" s="149"/>
      <c r="R50" s="149"/>
      <c r="S50" s="149"/>
      <c r="T50" s="149"/>
      <c r="U50" s="150"/>
    </row>
    <row r="51" spans="1:25" ht="28.15" customHeight="1">
      <c r="A51" s="111" t="s">
        <v>279</v>
      </c>
      <c r="B51" s="112"/>
      <c r="C51" s="112"/>
      <c r="D51" s="112"/>
      <c r="E51" s="112"/>
      <c r="F51" s="112"/>
      <c r="G51" s="112"/>
      <c r="H51" s="112"/>
      <c r="I51" s="112"/>
      <c r="J51" s="112"/>
      <c r="K51" s="112"/>
      <c r="L51" s="112"/>
      <c r="M51" s="112"/>
      <c r="N51" s="112"/>
      <c r="O51" s="112"/>
      <c r="P51" s="112"/>
      <c r="Q51" s="112"/>
      <c r="R51" s="112"/>
      <c r="S51" s="112"/>
      <c r="T51" s="112"/>
      <c r="U51" s="113"/>
    </row>
    <row r="52" spans="1:25" ht="27.6" customHeight="1">
      <c r="A52" s="114" t="s">
        <v>478</v>
      </c>
      <c r="B52" s="115"/>
      <c r="C52" s="115"/>
      <c r="D52" s="115"/>
      <c r="E52" s="115"/>
      <c r="F52" s="115"/>
      <c r="G52" s="115"/>
      <c r="H52" s="115"/>
      <c r="I52" s="115"/>
      <c r="J52" s="115"/>
      <c r="K52" s="115"/>
      <c r="L52" s="115"/>
      <c r="M52" s="115"/>
      <c r="N52" s="115"/>
      <c r="O52" s="115"/>
      <c r="P52" s="115"/>
      <c r="Q52" s="115"/>
      <c r="R52" s="115"/>
      <c r="S52" s="115"/>
      <c r="T52" s="115"/>
      <c r="U52" s="116"/>
      <c r="Y52" s="6"/>
    </row>
    <row r="53" spans="1:25">
      <c r="A53" s="114" t="s">
        <v>479</v>
      </c>
      <c r="B53" s="115"/>
      <c r="C53" s="115"/>
      <c r="D53" s="115"/>
      <c r="E53" s="115"/>
      <c r="F53" s="115"/>
      <c r="G53" s="115"/>
      <c r="H53" s="115"/>
      <c r="I53" s="115"/>
      <c r="J53" s="115"/>
      <c r="K53" s="115"/>
      <c r="L53" s="115"/>
      <c r="M53" s="115"/>
      <c r="N53" s="115"/>
      <c r="O53" s="115"/>
      <c r="P53" s="115"/>
      <c r="Q53" s="115"/>
      <c r="R53" s="115"/>
      <c r="S53" s="115"/>
      <c r="T53" s="115"/>
      <c r="U53" s="116"/>
    </row>
    <row r="54" spans="1:25">
      <c r="A54" s="114" t="s">
        <v>480</v>
      </c>
      <c r="B54" s="115"/>
      <c r="C54" s="115"/>
      <c r="D54" s="115"/>
      <c r="E54" s="115"/>
      <c r="F54" s="115"/>
      <c r="G54" s="115"/>
      <c r="H54" s="115"/>
      <c r="I54" s="115"/>
      <c r="J54" s="115"/>
      <c r="K54" s="115"/>
      <c r="L54" s="115"/>
      <c r="M54" s="115"/>
      <c r="N54" s="115"/>
      <c r="O54" s="115"/>
      <c r="P54" s="115"/>
      <c r="Q54" s="115"/>
      <c r="R54" s="115"/>
      <c r="S54" s="115"/>
      <c r="T54" s="115"/>
      <c r="U54" s="116"/>
    </row>
    <row r="55" spans="1:25">
      <c r="A55" s="114" t="s">
        <v>481</v>
      </c>
      <c r="B55" s="115"/>
      <c r="C55" s="115"/>
      <c r="D55" s="115"/>
      <c r="E55" s="115"/>
      <c r="F55" s="115"/>
      <c r="G55" s="115"/>
      <c r="H55" s="115"/>
      <c r="I55" s="115"/>
      <c r="J55" s="115"/>
      <c r="K55" s="115"/>
      <c r="L55" s="115"/>
      <c r="M55" s="115"/>
      <c r="N55" s="115"/>
      <c r="O55" s="115"/>
      <c r="P55" s="115"/>
      <c r="Q55" s="115"/>
      <c r="R55" s="115"/>
      <c r="S55" s="115"/>
      <c r="T55" s="115"/>
      <c r="U55" s="116"/>
    </row>
    <row r="56" spans="1:25">
      <c r="A56" s="114" t="s">
        <v>482</v>
      </c>
      <c r="B56" s="115"/>
      <c r="C56" s="115"/>
      <c r="D56" s="115"/>
      <c r="E56" s="115"/>
      <c r="F56" s="115"/>
      <c r="G56" s="115"/>
      <c r="H56" s="115"/>
      <c r="I56" s="115"/>
      <c r="J56" s="115"/>
      <c r="K56" s="115"/>
      <c r="L56" s="115"/>
      <c r="M56" s="115"/>
      <c r="N56" s="115"/>
      <c r="O56" s="115"/>
      <c r="P56" s="115"/>
      <c r="Q56" s="115"/>
      <c r="R56" s="115"/>
      <c r="S56" s="115"/>
      <c r="T56" s="115"/>
      <c r="U56" s="116"/>
    </row>
    <row r="57" spans="1:25">
      <c r="A57" s="114" t="s">
        <v>483</v>
      </c>
      <c r="B57" s="115"/>
      <c r="C57" s="115"/>
      <c r="D57" s="115"/>
      <c r="E57" s="115"/>
      <c r="F57" s="115"/>
      <c r="G57" s="115"/>
      <c r="H57" s="115"/>
      <c r="I57" s="115"/>
      <c r="J57" s="115"/>
      <c r="K57" s="115"/>
      <c r="L57" s="115"/>
      <c r="M57" s="115"/>
      <c r="N57" s="115"/>
      <c r="O57" s="115"/>
      <c r="P57" s="115"/>
      <c r="Q57" s="115"/>
      <c r="R57" s="115"/>
      <c r="S57" s="115"/>
      <c r="T57" s="115"/>
      <c r="U57" s="116"/>
    </row>
    <row r="58" spans="1:25" ht="15.75" thickBot="1">
      <c r="A58" s="293"/>
      <c r="B58" s="294"/>
      <c r="C58" s="294"/>
      <c r="D58" s="294"/>
      <c r="E58" s="294"/>
      <c r="F58" s="294"/>
      <c r="G58" s="294"/>
      <c r="H58" s="294"/>
      <c r="I58" s="294"/>
      <c r="J58" s="294"/>
      <c r="K58" s="294"/>
      <c r="L58" s="294"/>
      <c r="M58" s="294"/>
      <c r="N58" s="294"/>
      <c r="O58" s="294"/>
      <c r="P58" s="294"/>
      <c r="Q58" s="294"/>
      <c r="R58" s="294"/>
      <c r="S58" s="294"/>
      <c r="T58" s="294"/>
      <c r="U58" s="295"/>
    </row>
  </sheetData>
  <mergeCells count="81">
    <mergeCell ref="M3:O3"/>
    <mergeCell ref="P3:R3"/>
    <mergeCell ref="S3:U3"/>
    <mergeCell ref="F4:H4"/>
    <mergeCell ref="I4:U4"/>
    <mergeCell ref="F3:G3"/>
    <mergeCell ref="H3:I3"/>
    <mergeCell ref="A10:U10"/>
    <mergeCell ref="B11:U11"/>
    <mergeCell ref="F5:H5"/>
    <mergeCell ref="I5:U5"/>
    <mergeCell ref="F6:H6"/>
    <mergeCell ref="I6:U6"/>
    <mergeCell ref="A7:U7"/>
    <mergeCell ref="A1:E6"/>
    <mergeCell ref="F1:R1"/>
    <mergeCell ref="S1:U1"/>
    <mergeCell ref="F2:I2"/>
    <mergeCell ref="J2:L2"/>
    <mergeCell ref="M2:O2"/>
    <mergeCell ref="P2:R2"/>
    <mergeCell ref="S2:U2"/>
    <mergeCell ref="J3:L3"/>
    <mergeCell ref="L8:O9"/>
    <mergeCell ref="P8:U8"/>
    <mergeCell ref="B9:C9"/>
    <mergeCell ref="D9:E9"/>
    <mergeCell ref="F9:G9"/>
    <mergeCell ref="H9:I9"/>
    <mergeCell ref="J9:K9"/>
    <mergeCell ref="P9:U9"/>
    <mergeCell ref="B8:C8"/>
    <mergeCell ref="D8:E8"/>
    <mergeCell ref="F8:G8"/>
    <mergeCell ref="H8:I8"/>
    <mergeCell ref="J8:K8"/>
    <mergeCell ref="B16:U16"/>
    <mergeCell ref="B17:U17"/>
    <mergeCell ref="B18:U18"/>
    <mergeCell ref="B31:U31"/>
    <mergeCell ref="B20:U20"/>
    <mergeCell ref="B21:U21"/>
    <mergeCell ref="B22:U22"/>
    <mergeCell ref="B23:U23"/>
    <mergeCell ref="B24:U24"/>
    <mergeCell ref="B25:U25"/>
    <mergeCell ref="B26:U26"/>
    <mergeCell ref="B27:U27"/>
    <mergeCell ref="B28:U28"/>
    <mergeCell ref="B29:U29"/>
    <mergeCell ref="A30:U30"/>
    <mergeCell ref="A19:U19"/>
    <mergeCell ref="A43:U43"/>
    <mergeCell ref="B32:U32"/>
    <mergeCell ref="B33:U33"/>
    <mergeCell ref="B34:U34"/>
    <mergeCell ref="A35:U35"/>
    <mergeCell ref="B36:U36"/>
    <mergeCell ref="A37:U37"/>
    <mergeCell ref="B38:U38"/>
    <mergeCell ref="B39:U39"/>
    <mergeCell ref="B40:U40"/>
    <mergeCell ref="B41:U41"/>
    <mergeCell ref="B42:U42"/>
    <mergeCell ref="A53:U53"/>
    <mergeCell ref="B44:U44"/>
    <mergeCell ref="B45:U45"/>
    <mergeCell ref="B46:U46"/>
    <mergeCell ref="B47:U47"/>
    <mergeCell ref="B48:E48"/>
    <mergeCell ref="F48:U48"/>
    <mergeCell ref="B49:F49"/>
    <mergeCell ref="G49:U49"/>
    <mergeCell ref="A50:U50"/>
    <mergeCell ref="A51:U51"/>
    <mergeCell ref="A52:U52"/>
    <mergeCell ref="A54:U54"/>
    <mergeCell ref="A55:U55"/>
    <mergeCell ref="A56:U56"/>
    <mergeCell ref="A57:U57"/>
    <mergeCell ref="A58:U58"/>
  </mergeCells>
  <printOptions horizontalCentered="1"/>
  <pageMargins left="0.7" right="0.7" top="0.75" bottom="0.75" header="0.3" footer="0.3"/>
  <pageSetup paperSize="9" scale="83" firstPageNumber="18" orientation="portrait" r:id="rId1"/>
  <legacyDrawingHF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3636-E24D-4743-9F4B-E5F943241C90}">
  <sheetPr codeName="Sheet45">
    <tabColor rgb="FF92D050"/>
    <pageSetUpPr fitToPage="1"/>
  </sheetPr>
  <dimension ref="A1:Y56"/>
  <sheetViews>
    <sheetView zoomScaleNormal="100" zoomScaleSheetLayoutView="120" workbookViewId="0">
      <selection activeCell="S2" sqref="S2:U2"/>
    </sheetView>
  </sheetViews>
  <sheetFormatPr defaultColWidth="8.85546875" defaultRowHeight="15"/>
  <cols>
    <col min="1" max="1" width="10" style="36" customWidth="1"/>
    <col min="2" max="18" width="5.28515625" style="36" customWidth="1"/>
    <col min="19" max="16384" width="8.85546875" style="36"/>
  </cols>
  <sheetData>
    <row r="1" spans="1:25" s="4" customFormat="1" ht="14.45" customHeight="1">
      <c r="A1" s="132" t="e" vm="1">
        <v>#VALUE!</v>
      </c>
      <c r="B1" s="133"/>
      <c r="C1" s="133"/>
      <c r="D1" s="133"/>
      <c r="E1" s="134"/>
      <c r="F1" s="275" t="s">
        <v>213</v>
      </c>
      <c r="G1" s="276"/>
      <c r="H1" s="276"/>
      <c r="I1" s="276"/>
      <c r="J1" s="276"/>
      <c r="K1" s="276"/>
      <c r="L1" s="276"/>
      <c r="M1" s="276"/>
      <c r="N1" s="276"/>
      <c r="O1" s="276"/>
      <c r="P1" s="276"/>
      <c r="Q1" s="133" t="s">
        <v>214</v>
      </c>
      <c r="R1" s="134"/>
    </row>
    <row r="2" spans="1:25" s="4" customFormat="1"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25" s="4" customFormat="1">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25" s="4" customFormat="1"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25" s="4" customFormat="1"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25" s="4" customFormat="1"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25" s="4" customFormat="1" ht="14.45" customHeight="1">
      <c r="A7" s="167" t="s">
        <v>221</v>
      </c>
      <c r="B7" s="168"/>
      <c r="C7" s="168"/>
      <c r="D7" s="168"/>
      <c r="E7" s="168"/>
      <c r="F7" s="169"/>
      <c r="G7" s="169"/>
      <c r="H7" s="169"/>
      <c r="I7" s="169"/>
      <c r="J7" s="169"/>
      <c r="K7" s="169"/>
      <c r="L7" s="169"/>
      <c r="M7" s="169"/>
      <c r="N7" s="169"/>
      <c r="O7" s="169"/>
      <c r="P7" s="169"/>
      <c r="Q7" s="169"/>
      <c r="R7" s="170"/>
    </row>
    <row r="8" spans="1:25" s="38" customFormat="1">
      <c r="A8" s="88" t="s">
        <v>222</v>
      </c>
      <c r="B8" s="246">
        <v>14.46</v>
      </c>
      <c r="C8" s="277"/>
      <c r="D8" s="246">
        <v>13.36</v>
      </c>
      <c r="E8" s="277"/>
      <c r="F8" s="246">
        <v>12.1</v>
      </c>
      <c r="G8" s="277"/>
      <c r="H8" s="246">
        <v>11</v>
      </c>
      <c r="I8" s="277"/>
      <c r="J8" s="246">
        <v>9.75</v>
      </c>
      <c r="K8" s="277"/>
      <c r="L8" s="246">
        <v>8.65</v>
      </c>
      <c r="M8" s="277"/>
      <c r="N8" s="246">
        <v>7.39</v>
      </c>
      <c r="O8" s="277"/>
      <c r="P8" s="246" t="s">
        <v>223</v>
      </c>
      <c r="Q8" s="247"/>
      <c r="R8" s="248"/>
      <c r="S8" s="36"/>
    </row>
    <row r="9" spans="1:25" s="38" customFormat="1">
      <c r="A9" s="88" t="s">
        <v>224</v>
      </c>
      <c r="B9" s="246">
        <v>32.22</v>
      </c>
      <c r="C9" s="277"/>
      <c r="D9" s="246">
        <v>37.78</v>
      </c>
      <c r="E9" s="277"/>
      <c r="F9" s="246">
        <v>43.33</v>
      </c>
      <c r="G9" s="277"/>
      <c r="H9" s="246">
        <v>48.9</v>
      </c>
      <c r="I9" s="277"/>
      <c r="J9" s="246">
        <v>54.44</v>
      </c>
      <c r="K9" s="277"/>
      <c r="L9" s="246">
        <v>60</v>
      </c>
      <c r="M9" s="277"/>
      <c r="N9" s="246">
        <v>65</v>
      </c>
      <c r="O9" s="277"/>
      <c r="P9" s="246">
        <f>B8*1.5</f>
        <v>21.69</v>
      </c>
      <c r="Q9" s="247"/>
      <c r="R9" s="248"/>
    </row>
    <row r="10" spans="1:25" s="38" customFormat="1">
      <c r="A10" s="266" t="s">
        <v>225</v>
      </c>
      <c r="B10" s="267"/>
      <c r="C10" s="267"/>
      <c r="D10" s="267"/>
      <c r="E10" s="267"/>
      <c r="F10" s="267"/>
      <c r="G10" s="267"/>
      <c r="H10" s="267"/>
      <c r="I10" s="267"/>
      <c r="J10" s="267"/>
      <c r="K10" s="267"/>
      <c r="L10" s="267"/>
      <c r="M10" s="267"/>
      <c r="N10" s="267"/>
      <c r="O10" s="267"/>
      <c r="P10" s="267"/>
      <c r="Q10" s="267"/>
      <c r="R10" s="268"/>
    </row>
    <row r="11" spans="1:25" ht="13.9" customHeight="1">
      <c r="A11" s="91" t="s">
        <v>226</v>
      </c>
      <c r="B11" s="305" t="s">
        <v>488</v>
      </c>
      <c r="C11" s="306"/>
      <c r="D11" s="306"/>
      <c r="E11" s="306"/>
      <c r="F11" s="306"/>
      <c r="G11" s="306"/>
      <c r="H11" s="306"/>
      <c r="I11" s="306"/>
      <c r="J11" s="306"/>
      <c r="K11" s="306"/>
      <c r="L11" s="306"/>
      <c r="M11" s="306"/>
      <c r="N11" s="306"/>
      <c r="O11" s="306"/>
      <c r="P11" s="306"/>
      <c r="Q11" s="306"/>
      <c r="R11" s="307"/>
    </row>
    <row r="12" spans="1:25" s="39" customFormat="1">
      <c r="A12" s="92" t="s">
        <v>228</v>
      </c>
      <c r="B12" s="60">
        <v>0.5</v>
      </c>
      <c r="C12" s="60">
        <v>0.75</v>
      </c>
      <c r="D12" s="60">
        <v>1</v>
      </c>
      <c r="E12" s="60">
        <v>1.5</v>
      </c>
      <c r="F12" s="60">
        <v>2</v>
      </c>
      <c r="G12" s="60">
        <v>2.5</v>
      </c>
      <c r="H12" s="60">
        <v>3</v>
      </c>
      <c r="I12" s="60">
        <v>4</v>
      </c>
      <c r="J12" s="60">
        <v>6</v>
      </c>
      <c r="K12" s="60">
        <v>8</v>
      </c>
      <c r="L12" s="324"/>
      <c r="M12" s="325"/>
      <c r="N12" s="325"/>
      <c r="O12" s="325"/>
      <c r="P12" s="325"/>
      <c r="Q12" s="325"/>
      <c r="R12" s="326"/>
      <c r="U12" s="36"/>
      <c r="V12" s="36"/>
      <c r="W12" s="36"/>
      <c r="X12" s="36"/>
      <c r="Y12" s="36"/>
    </row>
    <row r="13" spans="1:25" s="39" customFormat="1">
      <c r="A13" s="92" t="s">
        <v>230</v>
      </c>
      <c r="B13" s="60">
        <v>80</v>
      </c>
      <c r="C13" s="60">
        <v>80</v>
      </c>
      <c r="D13" s="60">
        <v>80</v>
      </c>
      <c r="E13" s="60">
        <v>80</v>
      </c>
      <c r="F13" s="60">
        <v>80</v>
      </c>
      <c r="G13" s="60">
        <v>80</v>
      </c>
      <c r="H13" s="60">
        <v>80</v>
      </c>
      <c r="I13" s="60">
        <v>80</v>
      </c>
      <c r="J13" s="60">
        <v>80</v>
      </c>
      <c r="K13" s="60">
        <v>80</v>
      </c>
      <c r="L13" s="327"/>
      <c r="M13" s="328"/>
      <c r="N13" s="328"/>
      <c r="O13" s="328"/>
      <c r="P13" s="328"/>
      <c r="Q13" s="328"/>
      <c r="R13" s="329"/>
    </row>
    <row r="14" spans="1:25" s="39" customFormat="1" ht="15" customHeight="1">
      <c r="A14" s="92" t="s">
        <v>237</v>
      </c>
      <c r="B14" s="330" t="s">
        <v>489</v>
      </c>
      <c r="C14" s="331"/>
      <c r="D14" s="331"/>
      <c r="E14" s="331"/>
      <c r="F14" s="331"/>
      <c r="G14" s="331"/>
      <c r="H14" s="331"/>
      <c r="I14" s="331"/>
      <c r="J14" s="331"/>
      <c r="K14" s="331"/>
      <c r="L14" s="331"/>
      <c r="M14" s="331"/>
      <c r="N14" s="331"/>
      <c r="O14" s="331"/>
      <c r="P14" s="331"/>
      <c r="Q14" s="331"/>
      <c r="R14" s="332"/>
    </row>
    <row r="15" spans="1:25" s="39" customFormat="1">
      <c r="A15" s="92" t="s">
        <v>240</v>
      </c>
      <c r="B15" s="330" t="s">
        <v>490</v>
      </c>
      <c r="C15" s="331"/>
      <c r="D15" s="331"/>
      <c r="E15" s="331"/>
      <c r="F15" s="331"/>
      <c r="G15" s="331"/>
      <c r="H15" s="331"/>
      <c r="I15" s="331"/>
      <c r="J15" s="331"/>
      <c r="K15" s="331"/>
      <c r="L15" s="331"/>
      <c r="M15" s="331"/>
      <c r="N15" s="331"/>
      <c r="O15" s="331"/>
      <c r="P15" s="331"/>
      <c r="Q15" s="331"/>
      <c r="R15" s="332"/>
    </row>
    <row r="16" spans="1:25" s="39" customFormat="1" ht="15" customHeight="1">
      <c r="A16" s="92" t="s">
        <v>491</v>
      </c>
      <c r="B16" s="330" t="s">
        <v>492</v>
      </c>
      <c r="C16" s="331"/>
      <c r="D16" s="331"/>
      <c r="E16" s="331"/>
      <c r="F16" s="331"/>
      <c r="G16" s="331"/>
      <c r="H16" s="331"/>
      <c r="I16" s="331"/>
      <c r="J16" s="331"/>
      <c r="K16" s="331"/>
      <c r="L16" s="331"/>
      <c r="M16" s="331"/>
      <c r="N16" s="331"/>
      <c r="O16" s="331"/>
      <c r="P16" s="331"/>
      <c r="Q16" s="331"/>
      <c r="R16" s="332"/>
    </row>
    <row r="17" spans="1:18">
      <c r="A17" s="91" t="s">
        <v>228</v>
      </c>
      <c r="B17" s="59">
        <v>0.5</v>
      </c>
      <c r="C17" s="59">
        <v>0.75</v>
      </c>
      <c r="D17" s="59">
        <v>1</v>
      </c>
      <c r="E17" s="59">
        <v>1.5</v>
      </c>
      <c r="F17" s="59">
        <v>2</v>
      </c>
      <c r="G17" s="59">
        <v>3</v>
      </c>
      <c r="H17" s="314"/>
      <c r="I17" s="315"/>
      <c r="J17" s="315"/>
      <c r="K17" s="315"/>
      <c r="L17" s="315"/>
      <c r="M17" s="315"/>
      <c r="N17" s="315"/>
      <c r="O17" s="315"/>
      <c r="P17" s="315"/>
      <c r="Q17" s="315"/>
      <c r="R17" s="316"/>
    </row>
    <row r="18" spans="1:18" ht="13.15" customHeight="1">
      <c r="A18" s="91" t="s">
        <v>234</v>
      </c>
      <c r="B18" s="305" t="s">
        <v>493</v>
      </c>
      <c r="C18" s="306"/>
      <c r="D18" s="306"/>
      <c r="E18" s="306"/>
      <c r="F18" s="306"/>
      <c r="G18" s="306"/>
      <c r="H18" s="306"/>
      <c r="I18" s="306"/>
      <c r="J18" s="306"/>
      <c r="K18" s="306"/>
      <c r="L18" s="306"/>
      <c r="M18" s="306"/>
      <c r="N18" s="306"/>
      <c r="O18" s="306"/>
      <c r="P18" s="306"/>
      <c r="Q18" s="306"/>
      <c r="R18" s="307"/>
    </row>
    <row r="19" spans="1:18" ht="13.15" customHeight="1">
      <c r="A19" s="91" t="s">
        <v>237</v>
      </c>
      <c r="B19" s="305" t="s">
        <v>489</v>
      </c>
      <c r="C19" s="306"/>
      <c r="D19" s="306"/>
      <c r="E19" s="306"/>
      <c r="F19" s="306"/>
      <c r="G19" s="306"/>
      <c r="H19" s="306"/>
      <c r="I19" s="306"/>
      <c r="J19" s="306"/>
      <c r="K19" s="306"/>
      <c r="L19" s="306"/>
      <c r="M19" s="306"/>
      <c r="N19" s="306"/>
      <c r="O19" s="306"/>
      <c r="P19" s="306"/>
      <c r="Q19" s="306"/>
      <c r="R19" s="307"/>
    </row>
    <row r="20" spans="1:18" ht="13.15" customHeight="1">
      <c r="A20" s="91" t="s">
        <v>246</v>
      </c>
      <c r="B20" s="305" t="s">
        <v>489</v>
      </c>
      <c r="C20" s="306"/>
      <c r="D20" s="306"/>
      <c r="E20" s="306"/>
      <c r="F20" s="306"/>
      <c r="G20" s="306"/>
      <c r="H20" s="306"/>
      <c r="I20" s="306"/>
      <c r="J20" s="306"/>
      <c r="K20" s="306"/>
      <c r="L20" s="306"/>
      <c r="M20" s="306"/>
      <c r="N20" s="306"/>
      <c r="O20" s="306"/>
      <c r="P20" s="306"/>
      <c r="Q20" s="306"/>
      <c r="R20" s="307"/>
    </row>
    <row r="21" spans="1:18" ht="13.15" customHeight="1">
      <c r="A21" s="91" t="s">
        <v>248</v>
      </c>
      <c r="B21" s="305" t="s">
        <v>489</v>
      </c>
      <c r="C21" s="306"/>
      <c r="D21" s="306"/>
      <c r="E21" s="306"/>
      <c r="F21" s="306"/>
      <c r="G21" s="306"/>
      <c r="H21" s="306"/>
      <c r="I21" s="306"/>
      <c r="J21" s="306"/>
      <c r="K21" s="306"/>
      <c r="L21" s="306"/>
      <c r="M21" s="306"/>
      <c r="N21" s="306"/>
      <c r="O21" s="306"/>
      <c r="P21" s="306"/>
      <c r="Q21" s="306"/>
      <c r="R21" s="307"/>
    </row>
    <row r="22" spans="1:18" ht="13.15" customHeight="1">
      <c r="A22" s="91" t="s">
        <v>249</v>
      </c>
      <c r="B22" s="305" t="s">
        <v>489</v>
      </c>
      <c r="C22" s="306"/>
      <c r="D22" s="306"/>
      <c r="E22" s="306"/>
      <c r="F22" s="306"/>
      <c r="G22" s="306"/>
      <c r="H22" s="306"/>
      <c r="I22" s="306"/>
      <c r="J22" s="306"/>
      <c r="K22" s="306"/>
      <c r="L22" s="306"/>
      <c r="M22" s="306"/>
      <c r="N22" s="306"/>
      <c r="O22" s="306"/>
      <c r="P22" s="306"/>
      <c r="Q22" s="306"/>
      <c r="R22" s="307"/>
    </row>
    <row r="23" spans="1:18" ht="13.15" customHeight="1">
      <c r="A23" s="91" t="s">
        <v>250</v>
      </c>
      <c r="B23" s="305" t="s">
        <v>489</v>
      </c>
      <c r="C23" s="306"/>
      <c r="D23" s="306"/>
      <c r="E23" s="306"/>
      <c r="F23" s="306"/>
      <c r="G23" s="306"/>
      <c r="H23" s="306"/>
      <c r="I23" s="306"/>
      <c r="J23" s="306"/>
      <c r="K23" s="306"/>
      <c r="L23" s="306"/>
      <c r="M23" s="306"/>
      <c r="N23" s="306"/>
      <c r="O23" s="306"/>
      <c r="P23" s="306"/>
      <c r="Q23" s="306"/>
      <c r="R23" s="307"/>
    </row>
    <row r="24" spans="1:18" ht="13.15" customHeight="1">
      <c r="A24" s="91" t="s">
        <v>345</v>
      </c>
      <c r="B24" s="305" t="s">
        <v>489</v>
      </c>
      <c r="C24" s="306"/>
      <c r="D24" s="306"/>
      <c r="E24" s="306"/>
      <c r="F24" s="306"/>
      <c r="G24" s="306"/>
      <c r="H24" s="306"/>
      <c r="I24" s="306"/>
      <c r="J24" s="306"/>
      <c r="K24" s="306"/>
      <c r="L24" s="306"/>
      <c r="M24" s="306"/>
      <c r="N24" s="306"/>
      <c r="O24" s="306"/>
      <c r="P24" s="306"/>
      <c r="Q24" s="306"/>
      <c r="R24" s="307"/>
    </row>
    <row r="25" spans="1:18" ht="13.15" customHeight="1">
      <c r="A25" s="91" t="s">
        <v>347</v>
      </c>
      <c r="B25" s="321" t="s">
        <v>494</v>
      </c>
      <c r="C25" s="322"/>
      <c r="D25" s="322"/>
      <c r="E25" s="322"/>
      <c r="F25" s="322"/>
      <c r="G25" s="322"/>
      <c r="H25" s="322"/>
      <c r="I25" s="322"/>
      <c r="J25" s="322"/>
      <c r="K25" s="322"/>
      <c r="L25" s="322"/>
      <c r="M25" s="322"/>
      <c r="N25" s="322"/>
      <c r="O25" s="322"/>
      <c r="P25" s="322"/>
      <c r="Q25" s="322"/>
      <c r="R25" s="323"/>
    </row>
    <row r="26" spans="1:18" ht="13.15" customHeight="1">
      <c r="A26" s="91" t="s">
        <v>234</v>
      </c>
      <c r="B26" s="305" t="s">
        <v>495</v>
      </c>
      <c r="C26" s="306"/>
      <c r="D26" s="306"/>
      <c r="E26" s="306"/>
      <c r="F26" s="306"/>
      <c r="G26" s="306"/>
      <c r="H26" s="306"/>
      <c r="I26" s="306"/>
      <c r="J26" s="306"/>
      <c r="K26" s="306"/>
      <c r="L26" s="306"/>
      <c r="M26" s="306"/>
      <c r="N26" s="306"/>
      <c r="O26" s="306"/>
      <c r="P26" s="306"/>
      <c r="Q26" s="306"/>
      <c r="R26" s="307"/>
    </row>
    <row r="27" spans="1:18" ht="13.15" customHeight="1">
      <c r="A27" s="91" t="s">
        <v>237</v>
      </c>
      <c r="B27" s="305" t="s">
        <v>496</v>
      </c>
      <c r="C27" s="306"/>
      <c r="D27" s="306"/>
      <c r="E27" s="306"/>
      <c r="F27" s="306"/>
      <c r="G27" s="306"/>
      <c r="H27" s="306"/>
      <c r="I27" s="306"/>
      <c r="J27" s="306"/>
      <c r="K27" s="306"/>
      <c r="L27" s="306"/>
      <c r="M27" s="306"/>
      <c r="N27" s="306"/>
      <c r="O27" s="306"/>
      <c r="P27" s="306"/>
      <c r="Q27" s="306"/>
      <c r="R27" s="307"/>
    </row>
    <row r="28" spans="1:18">
      <c r="A28" s="320"/>
      <c r="B28" s="315"/>
      <c r="C28" s="315"/>
      <c r="D28" s="315"/>
      <c r="E28" s="315"/>
      <c r="F28" s="315"/>
      <c r="G28" s="315"/>
      <c r="H28" s="315"/>
      <c r="I28" s="315"/>
      <c r="J28" s="315"/>
      <c r="K28" s="315"/>
      <c r="L28" s="315"/>
      <c r="M28" s="315"/>
      <c r="N28" s="315"/>
      <c r="O28" s="315"/>
      <c r="P28" s="315"/>
      <c r="Q28" s="315"/>
      <c r="R28" s="316"/>
    </row>
    <row r="29" spans="1:18" ht="13.9" customHeight="1">
      <c r="A29" s="320" t="s">
        <v>497</v>
      </c>
      <c r="B29" s="315"/>
      <c r="C29" s="315"/>
      <c r="D29" s="315"/>
      <c r="E29" s="315"/>
      <c r="F29" s="315"/>
      <c r="G29" s="315"/>
      <c r="H29" s="315"/>
      <c r="I29" s="315"/>
      <c r="J29" s="315"/>
      <c r="K29" s="315"/>
      <c r="L29" s="315"/>
      <c r="M29" s="315"/>
      <c r="N29" s="315"/>
      <c r="O29" s="315"/>
      <c r="P29" s="315"/>
      <c r="Q29" s="315"/>
      <c r="R29" s="316"/>
    </row>
    <row r="30" spans="1:18">
      <c r="A30" s="91" t="s">
        <v>228</v>
      </c>
      <c r="B30" s="59">
        <v>0.5</v>
      </c>
      <c r="C30" s="59">
        <v>0.75</v>
      </c>
      <c r="D30" s="59">
        <v>1</v>
      </c>
      <c r="E30" s="59">
        <v>1.5</v>
      </c>
      <c r="F30" s="59">
        <v>2</v>
      </c>
      <c r="G30" s="59">
        <v>3</v>
      </c>
      <c r="H30" s="314"/>
      <c r="I30" s="315"/>
      <c r="J30" s="315"/>
      <c r="K30" s="315"/>
      <c r="L30" s="315"/>
      <c r="M30" s="315"/>
      <c r="N30" s="315"/>
      <c r="O30" s="315"/>
      <c r="P30" s="315"/>
      <c r="Q30" s="315"/>
      <c r="R30" s="316"/>
    </row>
    <row r="31" spans="1:18" ht="13.9" customHeight="1">
      <c r="A31" s="91" t="s">
        <v>234</v>
      </c>
      <c r="B31" s="305" t="s">
        <v>498</v>
      </c>
      <c r="C31" s="306"/>
      <c r="D31" s="306"/>
      <c r="E31" s="306"/>
      <c r="F31" s="306"/>
      <c r="G31" s="306"/>
      <c r="H31" s="306"/>
      <c r="I31" s="306"/>
      <c r="J31" s="306"/>
      <c r="K31" s="306"/>
      <c r="L31" s="306"/>
      <c r="M31" s="306"/>
      <c r="N31" s="306"/>
      <c r="O31" s="306"/>
      <c r="P31" s="306"/>
      <c r="Q31" s="306"/>
      <c r="R31" s="307"/>
    </row>
    <row r="32" spans="1:18" ht="13.9" customHeight="1">
      <c r="A32" s="91" t="s">
        <v>237</v>
      </c>
      <c r="B32" s="305" t="s">
        <v>489</v>
      </c>
      <c r="C32" s="306"/>
      <c r="D32" s="306"/>
      <c r="E32" s="306"/>
      <c r="F32" s="306"/>
      <c r="G32" s="306"/>
      <c r="H32" s="306"/>
      <c r="I32" s="306"/>
      <c r="J32" s="306"/>
      <c r="K32" s="306"/>
      <c r="L32" s="306"/>
      <c r="M32" s="306"/>
      <c r="N32" s="306"/>
      <c r="O32" s="306"/>
      <c r="P32" s="306"/>
      <c r="Q32" s="306"/>
      <c r="R32" s="307"/>
    </row>
    <row r="33" spans="1:18" ht="15.75" customHeight="1">
      <c r="A33" s="91" t="s">
        <v>257</v>
      </c>
      <c r="B33" s="305" t="s">
        <v>499</v>
      </c>
      <c r="C33" s="306"/>
      <c r="D33" s="306"/>
      <c r="E33" s="306"/>
      <c r="F33" s="306"/>
      <c r="G33" s="306"/>
      <c r="H33" s="306"/>
      <c r="I33" s="306"/>
      <c r="J33" s="306"/>
      <c r="K33" s="306"/>
      <c r="L33" s="306"/>
      <c r="M33" s="306"/>
      <c r="N33" s="306"/>
      <c r="O33" s="306"/>
      <c r="P33" s="306"/>
      <c r="Q33" s="306"/>
      <c r="R33" s="307"/>
    </row>
    <row r="34" spans="1:18">
      <c r="A34" s="317" t="s">
        <v>426</v>
      </c>
      <c r="B34" s="318"/>
      <c r="C34" s="318"/>
      <c r="D34" s="318"/>
      <c r="E34" s="318"/>
      <c r="F34" s="318"/>
      <c r="G34" s="318"/>
      <c r="H34" s="318"/>
      <c r="I34" s="318"/>
      <c r="J34" s="318"/>
      <c r="K34" s="318"/>
      <c r="L34" s="318"/>
      <c r="M34" s="318"/>
      <c r="N34" s="318"/>
      <c r="O34" s="318"/>
      <c r="P34" s="318"/>
      <c r="Q34" s="318"/>
      <c r="R34" s="319"/>
    </row>
    <row r="35" spans="1:18" ht="13.9" customHeight="1">
      <c r="A35" s="91" t="s">
        <v>234</v>
      </c>
      <c r="B35" s="305" t="s">
        <v>500</v>
      </c>
      <c r="C35" s="306"/>
      <c r="D35" s="306"/>
      <c r="E35" s="306"/>
      <c r="F35" s="306"/>
      <c r="G35" s="306"/>
      <c r="H35" s="306"/>
      <c r="I35" s="306"/>
      <c r="J35" s="306"/>
      <c r="K35" s="306"/>
      <c r="L35" s="306"/>
      <c r="M35" s="306"/>
      <c r="N35" s="306"/>
      <c r="O35" s="306"/>
      <c r="P35" s="306"/>
      <c r="Q35" s="306"/>
      <c r="R35" s="307"/>
    </row>
    <row r="36" spans="1:18" ht="15" customHeight="1">
      <c r="A36" s="91" t="s">
        <v>237</v>
      </c>
      <c r="B36" s="305" t="s">
        <v>489</v>
      </c>
      <c r="C36" s="306"/>
      <c r="D36" s="306"/>
      <c r="E36" s="306"/>
      <c r="F36" s="306"/>
      <c r="G36" s="306"/>
      <c r="H36" s="306"/>
      <c r="I36" s="306"/>
      <c r="J36" s="306"/>
      <c r="K36" s="306"/>
      <c r="L36" s="306"/>
      <c r="M36" s="306"/>
      <c r="N36" s="306"/>
      <c r="O36" s="306"/>
      <c r="P36" s="306"/>
      <c r="Q36" s="306"/>
      <c r="R36" s="307"/>
    </row>
    <row r="37" spans="1:18" ht="15" customHeight="1">
      <c r="A37" s="91" t="s">
        <v>257</v>
      </c>
      <c r="B37" s="305" t="s">
        <v>499</v>
      </c>
      <c r="C37" s="306"/>
      <c r="D37" s="306"/>
      <c r="E37" s="306"/>
      <c r="F37" s="306"/>
      <c r="G37" s="306"/>
      <c r="H37" s="306"/>
      <c r="I37" s="306"/>
      <c r="J37" s="306"/>
      <c r="K37" s="306"/>
      <c r="L37" s="306"/>
      <c r="M37" s="306"/>
      <c r="N37" s="306"/>
      <c r="O37" s="306"/>
      <c r="P37" s="306"/>
      <c r="Q37" s="306"/>
      <c r="R37" s="307"/>
    </row>
    <row r="38" spans="1:18">
      <c r="A38" s="317" t="s">
        <v>441</v>
      </c>
      <c r="B38" s="318"/>
      <c r="C38" s="318"/>
      <c r="D38" s="318"/>
      <c r="E38" s="318"/>
      <c r="F38" s="318"/>
      <c r="G38" s="318"/>
      <c r="H38" s="318"/>
      <c r="I38" s="318"/>
      <c r="J38" s="318"/>
      <c r="K38" s="318"/>
      <c r="L38" s="318"/>
      <c r="M38" s="318"/>
      <c r="N38" s="318"/>
      <c r="O38" s="318"/>
      <c r="P38" s="318"/>
      <c r="Q38" s="318"/>
      <c r="R38" s="319"/>
    </row>
    <row r="39" spans="1:18" ht="15" customHeight="1">
      <c r="A39" s="91" t="s">
        <v>358</v>
      </c>
      <c r="B39" s="305" t="s">
        <v>501</v>
      </c>
      <c r="C39" s="306"/>
      <c r="D39" s="306"/>
      <c r="E39" s="306"/>
      <c r="F39" s="306"/>
      <c r="G39" s="306"/>
      <c r="H39" s="306"/>
      <c r="I39" s="306"/>
      <c r="J39" s="306"/>
      <c r="K39" s="306"/>
      <c r="L39" s="306"/>
      <c r="M39" s="306"/>
      <c r="N39" s="306"/>
      <c r="O39" s="306"/>
      <c r="P39" s="306"/>
      <c r="Q39" s="306"/>
      <c r="R39" s="307"/>
    </row>
    <row r="40" spans="1:18" ht="28.15" customHeight="1">
      <c r="A40" s="91" t="s">
        <v>267</v>
      </c>
      <c r="B40" s="305" t="s">
        <v>502</v>
      </c>
      <c r="C40" s="306"/>
      <c r="D40" s="306"/>
      <c r="E40" s="306"/>
      <c r="F40" s="306"/>
      <c r="G40" s="306"/>
      <c r="H40" s="306"/>
      <c r="I40" s="306"/>
      <c r="J40" s="306"/>
      <c r="K40" s="306"/>
      <c r="L40" s="306"/>
      <c r="M40" s="306"/>
      <c r="N40" s="306"/>
      <c r="O40" s="306"/>
      <c r="P40" s="306"/>
      <c r="Q40" s="306"/>
      <c r="R40" s="307"/>
    </row>
    <row r="41" spans="1:18" ht="13.9" customHeight="1">
      <c r="A41" s="91" t="s">
        <v>269</v>
      </c>
      <c r="B41" s="305" t="s">
        <v>503</v>
      </c>
      <c r="C41" s="306"/>
      <c r="D41" s="306"/>
      <c r="E41" s="306"/>
      <c r="F41" s="306"/>
      <c r="G41" s="306"/>
      <c r="H41" s="306"/>
      <c r="I41" s="306"/>
      <c r="J41" s="306"/>
      <c r="K41" s="306"/>
      <c r="L41" s="306"/>
      <c r="M41" s="306"/>
      <c r="N41" s="306"/>
      <c r="O41" s="306"/>
      <c r="P41" s="306"/>
      <c r="Q41" s="306"/>
      <c r="R41" s="307"/>
    </row>
    <row r="42" spans="1:18" s="5" customFormat="1" ht="13.9" customHeight="1">
      <c r="A42" s="296" t="s">
        <v>271</v>
      </c>
      <c r="B42" s="297"/>
      <c r="C42" s="297"/>
      <c r="D42" s="297"/>
      <c r="E42" s="297"/>
      <c r="F42" s="297"/>
      <c r="G42" s="297"/>
      <c r="H42" s="297"/>
      <c r="I42" s="297"/>
      <c r="J42" s="297"/>
      <c r="K42" s="297"/>
      <c r="L42" s="297"/>
      <c r="M42" s="297"/>
      <c r="N42" s="297"/>
      <c r="O42" s="297"/>
      <c r="P42" s="297"/>
      <c r="Q42" s="297"/>
      <c r="R42" s="298"/>
    </row>
    <row r="43" spans="1:18" s="5" customFormat="1" ht="13.9" customHeight="1">
      <c r="A43" s="69" t="s">
        <v>272</v>
      </c>
      <c r="B43" s="144" t="e">
        <f ca="1">VLOOKUP(F3,INDEX!B:J,2,0)&amp;", FF"</f>
        <v>#VALUE!</v>
      </c>
      <c r="C43" s="145"/>
      <c r="D43" s="145"/>
      <c r="E43" s="145"/>
      <c r="F43" s="145"/>
      <c r="G43" s="145"/>
      <c r="H43" s="145"/>
      <c r="I43" s="145"/>
      <c r="J43" s="145"/>
      <c r="K43" s="145"/>
      <c r="L43" s="145"/>
      <c r="M43" s="145"/>
      <c r="N43" s="145"/>
      <c r="O43" s="145"/>
      <c r="P43" s="145"/>
      <c r="Q43" s="145"/>
      <c r="R43" s="147"/>
    </row>
    <row r="44" spans="1:18" s="5" customFormat="1" ht="13.9" customHeight="1">
      <c r="A44" s="69" t="s">
        <v>273</v>
      </c>
      <c r="B44" s="205" t="e">
        <f ca="1">"BSR"&amp;VLOOKUP(F3,INDEX!B:AH,33,0)&amp;"F"&amp;", BSF"&amp;VLOOKUP(F3,INDEX!B:AH,33,0)&amp;"F"</f>
        <v>#VALUE!</v>
      </c>
      <c r="C44" s="206"/>
      <c r="D44" s="206"/>
      <c r="E44" s="206"/>
      <c r="F44" s="206"/>
      <c r="G44" s="206"/>
      <c r="H44" s="206"/>
      <c r="I44" s="206"/>
      <c r="J44" s="206"/>
      <c r="K44" s="206"/>
      <c r="L44" s="206"/>
      <c r="M44" s="206"/>
      <c r="N44" s="206"/>
      <c r="O44" s="206"/>
      <c r="P44" s="206"/>
      <c r="Q44" s="206"/>
      <c r="R44" s="207"/>
    </row>
    <row r="45" spans="1:18" s="5" customFormat="1" ht="13.9" customHeight="1">
      <c r="A45" s="69" t="s">
        <v>274</v>
      </c>
      <c r="B45" s="205" t="e">
        <f ca="1">"GAW"&amp;VLOOKUP(F3,INDEX!B:AH,33,0)&amp;"F"</f>
        <v>#VALUE!</v>
      </c>
      <c r="C45" s="206"/>
      <c r="D45" s="206"/>
      <c r="E45" s="206"/>
      <c r="F45" s="206"/>
      <c r="G45" s="206"/>
      <c r="H45" s="206"/>
      <c r="I45" s="206"/>
      <c r="J45" s="206"/>
      <c r="K45" s="206"/>
      <c r="L45" s="206"/>
      <c r="M45" s="206"/>
      <c r="N45" s="206"/>
      <c r="O45" s="206"/>
      <c r="P45" s="206"/>
      <c r="Q45" s="206"/>
      <c r="R45" s="207"/>
    </row>
    <row r="46" spans="1:18" s="5" customFormat="1" ht="13.9" customHeight="1">
      <c r="A46" s="69" t="s">
        <v>275</v>
      </c>
      <c r="B46" s="109" t="e">
        <f ca="1">"GLS"&amp;VLOOKUP(F3,INDEX!B:AH,33,0)&amp;"F"</f>
        <v>#VALUE!</v>
      </c>
      <c r="C46" s="109"/>
      <c r="D46" s="109"/>
      <c r="E46" s="109"/>
      <c r="F46" s="109"/>
      <c r="G46" s="109"/>
      <c r="H46" s="109"/>
      <c r="I46" s="109"/>
      <c r="J46" s="109"/>
      <c r="K46" s="109"/>
      <c r="L46" s="109"/>
      <c r="M46" s="109"/>
      <c r="N46" s="109"/>
      <c r="O46" s="109"/>
      <c r="P46" s="109"/>
      <c r="Q46" s="109"/>
      <c r="R46" s="110"/>
    </row>
    <row r="47" spans="1:18" s="5" customFormat="1" ht="13.9" customHeight="1">
      <c r="A47" s="69" t="s">
        <v>276</v>
      </c>
      <c r="B47" s="109" t="e">
        <f ca="1">"CHP"&amp;VLOOKUP(F3,INDEX!B:AH,33,0)&amp;"F"</f>
        <v>#VALUE!</v>
      </c>
      <c r="C47" s="109"/>
      <c r="D47" s="109"/>
      <c r="E47" s="109"/>
      <c r="F47" s="109" t="e">
        <f ca="1">"CSW"&amp;VLOOKUP(F3,INDEX!B:AH,33,0)&amp;"F, "&amp;"CDP"&amp;VLOOKUP(F3,INDEX!B:AH,33,0)&amp;"F"</f>
        <v>#VALUE!</v>
      </c>
      <c r="G47" s="109"/>
      <c r="H47" s="109"/>
      <c r="I47" s="109"/>
      <c r="J47" s="109"/>
      <c r="K47" s="109"/>
      <c r="L47" s="109"/>
      <c r="M47" s="109"/>
      <c r="N47" s="109"/>
      <c r="O47" s="109"/>
      <c r="P47" s="109"/>
      <c r="Q47" s="109"/>
      <c r="R47" s="110"/>
    </row>
    <row r="48" spans="1:18" s="5" customFormat="1" ht="13.9" customHeight="1">
      <c r="A48" s="69" t="s">
        <v>277</v>
      </c>
      <c r="B48" s="144"/>
      <c r="C48" s="145"/>
      <c r="D48" s="145"/>
      <c r="E48" s="145"/>
      <c r="F48" s="145"/>
      <c r="G48" s="144" t="e">
        <f ca="1">"BFD"&amp;VLOOKUP(F3,INDEX!B:AH,33,0)&amp;"WF"</f>
        <v>#VALUE!</v>
      </c>
      <c r="H48" s="145"/>
      <c r="I48" s="145"/>
      <c r="J48" s="145"/>
      <c r="K48" s="145"/>
      <c r="L48" s="145"/>
      <c r="M48" s="145"/>
      <c r="N48" s="145"/>
      <c r="O48" s="145"/>
      <c r="P48" s="145"/>
      <c r="Q48" s="145"/>
      <c r="R48" s="147"/>
    </row>
    <row r="49" spans="1:18">
      <c r="A49" s="299" t="s">
        <v>443</v>
      </c>
      <c r="B49" s="300"/>
      <c r="C49" s="300"/>
      <c r="D49" s="300"/>
      <c r="E49" s="300"/>
      <c r="F49" s="300"/>
      <c r="G49" s="300"/>
      <c r="H49" s="300"/>
      <c r="I49" s="300"/>
      <c r="J49" s="300"/>
      <c r="K49" s="300"/>
      <c r="L49" s="300"/>
      <c r="M49" s="300"/>
      <c r="N49" s="300"/>
      <c r="O49" s="300"/>
      <c r="P49" s="300"/>
      <c r="Q49" s="300"/>
      <c r="R49" s="301"/>
    </row>
    <row r="50" spans="1:18" ht="13.9" customHeight="1">
      <c r="A50" s="302" t="s">
        <v>504</v>
      </c>
      <c r="B50" s="303"/>
      <c r="C50" s="303"/>
      <c r="D50" s="303"/>
      <c r="E50" s="303"/>
      <c r="F50" s="303"/>
      <c r="G50" s="303"/>
      <c r="H50" s="303"/>
      <c r="I50" s="303"/>
      <c r="J50" s="303"/>
      <c r="K50" s="303"/>
      <c r="L50" s="303"/>
      <c r="M50" s="303"/>
      <c r="N50" s="303"/>
      <c r="O50" s="303"/>
      <c r="P50" s="303"/>
      <c r="Q50" s="303"/>
      <c r="R50" s="304"/>
    </row>
    <row r="51" spans="1:18">
      <c r="A51" s="308" t="s">
        <v>505</v>
      </c>
      <c r="B51" s="309"/>
      <c r="C51" s="309"/>
      <c r="D51" s="309"/>
      <c r="E51" s="309"/>
      <c r="F51" s="309"/>
      <c r="G51" s="309"/>
      <c r="H51" s="309"/>
      <c r="I51" s="309"/>
      <c r="J51" s="309"/>
      <c r="K51" s="309"/>
      <c r="L51" s="309"/>
      <c r="M51" s="309"/>
      <c r="N51" s="309"/>
      <c r="O51" s="309"/>
      <c r="P51" s="309"/>
      <c r="Q51" s="309"/>
      <c r="R51" s="310"/>
    </row>
    <row r="52" spans="1:18" ht="13.9" customHeight="1">
      <c r="A52" s="308" t="s">
        <v>506</v>
      </c>
      <c r="B52" s="309"/>
      <c r="C52" s="309"/>
      <c r="D52" s="309"/>
      <c r="E52" s="309"/>
      <c r="F52" s="309"/>
      <c r="G52" s="309"/>
      <c r="H52" s="309"/>
      <c r="I52" s="309"/>
      <c r="J52" s="309"/>
      <c r="K52" s="309"/>
      <c r="L52" s="309"/>
      <c r="M52" s="309"/>
      <c r="N52" s="309"/>
      <c r="O52" s="309"/>
      <c r="P52" s="309"/>
      <c r="Q52" s="309"/>
      <c r="R52" s="310"/>
    </row>
    <row r="53" spans="1:18" ht="32.25" customHeight="1">
      <c r="A53" s="308" t="s">
        <v>447</v>
      </c>
      <c r="B53" s="309"/>
      <c r="C53" s="309"/>
      <c r="D53" s="309"/>
      <c r="E53" s="309"/>
      <c r="F53" s="309"/>
      <c r="G53" s="309"/>
      <c r="H53" s="309"/>
      <c r="I53" s="309"/>
      <c r="J53" s="309"/>
      <c r="K53" s="309"/>
      <c r="L53" s="309"/>
      <c r="M53" s="309"/>
      <c r="N53" s="309"/>
      <c r="O53" s="309"/>
      <c r="P53" s="309"/>
      <c r="Q53" s="309"/>
      <c r="R53" s="310"/>
    </row>
    <row r="54" spans="1:18">
      <c r="A54" s="308" t="s">
        <v>507</v>
      </c>
      <c r="B54" s="309"/>
      <c r="C54" s="309"/>
      <c r="D54" s="309"/>
      <c r="E54" s="309"/>
      <c r="F54" s="309"/>
      <c r="G54" s="309"/>
      <c r="H54" s="309"/>
      <c r="I54" s="309"/>
      <c r="J54" s="309"/>
      <c r="K54" s="309"/>
      <c r="L54" s="309"/>
      <c r="M54" s="309"/>
      <c r="N54" s="309"/>
      <c r="O54" s="309"/>
      <c r="P54" s="309"/>
      <c r="Q54" s="309"/>
      <c r="R54" s="310"/>
    </row>
    <row r="55" spans="1:18" ht="15.75" thickBot="1">
      <c r="A55" s="311"/>
      <c r="B55" s="312"/>
      <c r="C55" s="312"/>
      <c r="D55" s="312"/>
      <c r="E55" s="312"/>
      <c r="F55" s="312"/>
      <c r="G55" s="312"/>
      <c r="H55" s="312"/>
      <c r="I55" s="312"/>
      <c r="J55" s="312"/>
      <c r="K55" s="312"/>
      <c r="L55" s="312"/>
      <c r="M55" s="312"/>
      <c r="N55" s="312"/>
      <c r="O55" s="312"/>
      <c r="P55" s="312"/>
      <c r="Q55" s="312"/>
      <c r="R55" s="313"/>
    </row>
    <row r="56" spans="1:18">
      <c r="A56" s="61"/>
      <c r="B56" s="61"/>
      <c r="C56" s="61"/>
      <c r="D56" s="61"/>
      <c r="E56" s="61"/>
      <c r="F56" s="61"/>
      <c r="G56" s="61"/>
      <c r="H56" s="61"/>
      <c r="I56" s="61"/>
      <c r="J56" s="61"/>
      <c r="K56" s="61"/>
      <c r="L56" s="61"/>
      <c r="M56" s="61"/>
      <c r="N56" s="61"/>
      <c r="O56" s="61"/>
      <c r="P56" s="61"/>
      <c r="Q56" s="61"/>
      <c r="R56" s="61"/>
    </row>
  </sheetData>
  <mergeCells count="84">
    <mergeCell ref="A53:R53"/>
    <mergeCell ref="F3:G3"/>
    <mergeCell ref="H3:I3"/>
    <mergeCell ref="B14:R14"/>
    <mergeCell ref="B15:R15"/>
    <mergeCell ref="B16:R16"/>
    <mergeCell ref="A1:E6"/>
    <mergeCell ref="Q1:R1"/>
    <mergeCell ref="F2:I2"/>
    <mergeCell ref="J2:L2"/>
    <mergeCell ref="Q2:R2"/>
    <mergeCell ref="L8:M8"/>
    <mergeCell ref="N8:O8"/>
    <mergeCell ref="H9:I9"/>
    <mergeCell ref="J9:K9"/>
    <mergeCell ref="L9:M9"/>
    <mergeCell ref="H17:R17"/>
    <mergeCell ref="J3:L3"/>
    <mergeCell ref="F5:G5"/>
    <mergeCell ref="H5:R5"/>
    <mergeCell ref="F4:H4"/>
    <mergeCell ref="I4:R4"/>
    <mergeCell ref="F6:H6"/>
    <mergeCell ref="I6:R6"/>
    <mergeCell ref="A7:R7"/>
    <mergeCell ref="B8:C8"/>
    <mergeCell ref="D8:E8"/>
    <mergeCell ref="F8:G8"/>
    <mergeCell ref="P8:R8"/>
    <mergeCell ref="L12:R13"/>
    <mergeCell ref="H8:I8"/>
    <mergeCell ref="J8:K8"/>
    <mergeCell ref="B39:R39"/>
    <mergeCell ref="B40:R40"/>
    <mergeCell ref="A29:R29"/>
    <mergeCell ref="B18:R18"/>
    <mergeCell ref="B19:R19"/>
    <mergeCell ref="B20:R20"/>
    <mergeCell ref="B21:R21"/>
    <mergeCell ref="B22:R22"/>
    <mergeCell ref="B23:R23"/>
    <mergeCell ref="B24:R24"/>
    <mergeCell ref="B25:R25"/>
    <mergeCell ref="B26:R26"/>
    <mergeCell ref="B27:R27"/>
    <mergeCell ref="A28:R28"/>
    <mergeCell ref="A38:R38"/>
    <mergeCell ref="A10:R10"/>
    <mergeCell ref="A51:R51"/>
    <mergeCell ref="A52:R52"/>
    <mergeCell ref="A54:R54"/>
    <mergeCell ref="A55:R55"/>
    <mergeCell ref="B48:F48"/>
    <mergeCell ref="G48:R48"/>
    <mergeCell ref="B41:R41"/>
    <mergeCell ref="H30:R30"/>
    <mergeCell ref="B31:R31"/>
    <mergeCell ref="B32:R32"/>
    <mergeCell ref="B33:R33"/>
    <mergeCell ref="A34:R34"/>
    <mergeCell ref="B35:R35"/>
    <mergeCell ref="B36:R36"/>
    <mergeCell ref="B37:R37"/>
    <mergeCell ref="F1:P1"/>
    <mergeCell ref="M2:N2"/>
    <mergeCell ref="O2:P2"/>
    <mergeCell ref="M3:N3"/>
    <mergeCell ref="O3:P3"/>
    <mergeCell ref="Q3:R3"/>
    <mergeCell ref="A49:R49"/>
    <mergeCell ref="A50:R50"/>
    <mergeCell ref="A42:R42"/>
    <mergeCell ref="B43:R43"/>
    <mergeCell ref="B44:R44"/>
    <mergeCell ref="B45:R45"/>
    <mergeCell ref="B9:C9"/>
    <mergeCell ref="D9:E9"/>
    <mergeCell ref="F9:G9"/>
    <mergeCell ref="P9:R9"/>
    <mergeCell ref="B11:R11"/>
    <mergeCell ref="N9:O9"/>
    <mergeCell ref="B46:R46"/>
    <mergeCell ref="B47:E47"/>
    <mergeCell ref="F47:R47"/>
  </mergeCells>
  <printOptions horizontalCentered="1"/>
  <pageMargins left="0.7" right="0.7" top="0.75" bottom="0.75" header="0.3" footer="0.3"/>
  <pageSetup paperSize="9" scale="88" firstPageNumber="18"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82178-3D36-4A14-B454-6695C6723A3D}">
  <sheetPr>
    <tabColor theme="5" tint="-0.249977111117893"/>
    <pageSetUpPr fitToPage="1"/>
  </sheetPr>
  <dimension ref="A1:Z55"/>
  <sheetViews>
    <sheetView view="pageBreakPreview" zoomScale="120" zoomScaleNormal="85" zoomScaleSheetLayoutView="120" workbookViewId="0">
      <selection activeCell="U27" sqref="U27"/>
    </sheetView>
  </sheetViews>
  <sheetFormatPr defaultColWidth="8.85546875" defaultRowHeight="15"/>
  <cols>
    <col min="1" max="1" width="11.7109375" style="36" bestFit="1" customWidth="1"/>
    <col min="2" max="18" width="5.28515625" style="36" customWidth="1"/>
    <col min="19" max="16384" width="8.85546875" style="36"/>
  </cols>
  <sheetData>
    <row r="1" spans="1:26" s="4" customFormat="1" ht="14.45" customHeight="1">
      <c r="A1" s="132" t="e" vm="1">
        <v>#VALUE!</v>
      </c>
      <c r="B1" s="133"/>
      <c r="C1" s="133"/>
      <c r="D1" s="133"/>
      <c r="E1" s="134"/>
      <c r="F1" s="275" t="s">
        <v>213</v>
      </c>
      <c r="G1" s="276"/>
      <c r="H1" s="276"/>
      <c r="I1" s="276"/>
      <c r="J1" s="276"/>
      <c r="K1" s="276"/>
      <c r="L1" s="276"/>
      <c r="M1" s="276"/>
      <c r="N1" s="276"/>
      <c r="O1" s="276"/>
      <c r="P1" s="276"/>
      <c r="Q1" s="133" t="s">
        <v>214</v>
      </c>
      <c r="R1" s="134"/>
    </row>
    <row r="2" spans="1:26" s="4" customFormat="1"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26" s="4" customFormat="1">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26" s="4" customFormat="1"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26" s="4" customFormat="1"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26" s="4" customFormat="1"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26" s="4" customFormat="1" ht="14.45" customHeight="1">
      <c r="A7" s="167" t="s">
        <v>221</v>
      </c>
      <c r="B7" s="168"/>
      <c r="C7" s="168"/>
      <c r="D7" s="168"/>
      <c r="E7" s="168"/>
      <c r="F7" s="169"/>
      <c r="G7" s="169"/>
      <c r="H7" s="169"/>
      <c r="I7" s="169"/>
      <c r="J7" s="169"/>
      <c r="K7" s="169"/>
      <c r="L7" s="169"/>
      <c r="M7" s="169"/>
      <c r="N7" s="169"/>
      <c r="O7" s="169"/>
      <c r="P7" s="169"/>
      <c r="Q7" s="169"/>
      <c r="R7" s="170"/>
    </row>
    <row r="8" spans="1:26" s="38" customFormat="1">
      <c r="A8" s="88" t="s">
        <v>222</v>
      </c>
      <c r="B8" s="246">
        <v>125</v>
      </c>
      <c r="C8" s="277"/>
      <c r="D8" s="246">
        <v>116</v>
      </c>
      <c r="E8" s="277"/>
      <c r="F8" s="246"/>
      <c r="G8" s="277"/>
      <c r="H8" s="246"/>
      <c r="I8" s="277"/>
      <c r="J8" s="246"/>
      <c r="K8" s="277"/>
      <c r="L8" s="246"/>
      <c r="M8" s="277"/>
      <c r="N8" s="246"/>
      <c r="O8" s="277"/>
      <c r="P8" s="246" t="s">
        <v>223</v>
      </c>
      <c r="Q8" s="247"/>
      <c r="R8" s="248"/>
      <c r="S8" s="36"/>
      <c r="X8" s="38">
        <v>4.9000000000000002E-2</v>
      </c>
      <c r="Z8" s="38">
        <f t="shared" ref="Z8:Z9" si="0">CONVERT(X8,"in","mm")</f>
        <v>1.2445999999999999</v>
      </c>
    </row>
    <row r="9" spans="1:26" s="38" customFormat="1">
      <c r="A9" s="88" t="s">
        <v>224</v>
      </c>
      <c r="B9" s="246">
        <v>0</v>
      </c>
      <c r="C9" s="277"/>
      <c r="D9" s="246">
        <v>60</v>
      </c>
      <c r="E9" s="277"/>
      <c r="F9" s="246"/>
      <c r="G9" s="277"/>
      <c r="H9" s="246"/>
      <c r="I9" s="277"/>
      <c r="J9" s="246"/>
      <c r="K9" s="277"/>
      <c r="L9" s="246"/>
      <c r="M9" s="277"/>
      <c r="N9" s="246"/>
      <c r="O9" s="277"/>
      <c r="P9" s="246">
        <f>D8*1.5</f>
        <v>174</v>
      </c>
      <c r="Q9" s="247"/>
      <c r="R9" s="248"/>
      <c r="X9" s="38">
        <v>6.5000000000000002E-2</v>
      </c>
      <c r="Z9" s="38">
        <f t="shared" si="0"/>
        <v>1.6509999999999998</v>
      </c>
    </row>
    <row r="10" spans="1:26" s="38" customFormat="1">
      <c r="A10" s="266" t="s">
        <v>225</v>
      </c>
      <c r="B10" s="267"/>
      <c r="C10" s="267"/>
      <c r="D10" s="267"/>
      <c r="E10" s="267"/>
      <c r="F10" s="267"/>
      <c r="G10" s="267"/>
      <c r="H10" s="267"/>
      <c r="I10" s="267"/>
      <c r="J10" s="267"/>
      <c r="K10" s="267"/>
      <c r="L10" s="267"/>
      <c r="M10" s="267"/>
      <c r="N10" s="267"/>
      <c r="O10" s="267"/>
      <c r="P10" s="267"/>
      <c r="Q10" s="267"/>
      <c r="R10" s="268"/>
      <c r="X10" s="38">
        <v>9.5000000000000001E-2</v>
      </c>
      <c r="Z10" s="38">
        <f>CONVERT(X10,"in","mm")</f>
        <v>2.4130000000000003</v>
      </c>
    </row>
    <row r="11" spans="1:26" ht="13.9" customHeight="1">
      <c r="A11" s="91" t="s">
        <v>226</v>
      </c>
      <c r="B11" s="305" t="s">
        <v>508</v>
      </c>
      <c r="C11" s="306"/>
      <c r="D11" s="306"/>
      <c r="E11" s="306"/>
      <c r="F11" s="306"/>
      <c r="G11" s="306"/>
      <c r="H11" s="306"/>
      <c r="I11" s="306"/>
      <c r="J11" s="306"/>
      <c r="K11" s="306"/>
      <c r="L11" s="306"/>
      <c r="M11" s="306"/>
      <c r="N11" s="306"/>
      <c r="O11" s="306"/>
      <c r="P11" s="306"/>
      <c r="Q11" s="306"/>
      <c r="R11" s="307"/>
      <c r="X11" s="36">
        <v>0.109</v>
      </c>
      <c r="Z11" s="38">
        <f t="shared" ref="Z11:Z12" si="1">CONVERT(X11,"in","mm")</f>
        <v>2.7686000000000002</v>
      </c>
    </row>
    <row r="12" spans="1:26" s="39" customFormat="1">
      <c r="A12" s="92" t="s">
        <v>228</v>
      </c>
      <c r="B12" s="60">
        <v>0.5</v>
      </c>
      <c r="C12" s="60">
        <v>0.75</v>
      </c>
      <c r="D12" s="60">
        <v>1</v>
      </c>
      <c r="E12" s="60">
        <v>1.5</v>
      </c>
      <c r="F12" s="60"/>
      <c r="G12" s="60"/>
      <c r="H12" s="60"/>
      <c r="I12" s="60"/>
      <c r="J12" s="60"/>
      <c r="K12" s="60"/>
      <c r="L12" s="324"/>
      <c r="M12" s="325"/>
      <c r="N12" s="325"/>
      <c r="O12" s="325"/>
      <c r="P12" s="325"/>
      <c r="Q12" s="325"/>
      <c r="R12" s="326"/>
      <c r="U12" s="36"/>
      <c r="V12" s="36"/>
      <c r="W12" s="36"/>
      <c r="X12" s="36">
        <v>0.13400000000000001</v>
      </c>
      <c r="Y12" s="36"/>
      <c r="Z12" s="38">
        <f t="shared" si="1"/>
        <v>3.4036</v>
      </c>
    </row>
    <row r="13" spans="1:26" s="39" customFormat="1">
      <c r="A13" s="92" t="s">
        <v>509</v>
      </c>
      <c r="B13" s="60">
        <v>1.2450000000000001</v>
      </c>
      <c r="C13" s="60">
        <v>1.651</v>
      </c>
      <c r="D13" s="60">
        <v>2.4129999999999998</v>
      </c>
      <c r="E13" s="60">
        <v>3.4039999999999999</v>
      </c>
      <c r="F13" s="60"/>
      <c r="G13" s="60"/>
      <c r="H13" s="60"/>
      <c r="I13" s="60"/>
      <c r="J13" s="60"/>
      <c r="K13" s="60"/>
      <c r="L13" s="327"/>
      <c r="M13" s="328"/>
      <c r="N13" s="328"/>
      <c r="O13" s="328"/>
      <c r="P13" s="328"/>
      <c r="Q13" s="328"/>
      <c r="R13" s="329"/>
    </row>
    <row r="14" spans="1:26" s="39" customFormat="1" ht="15" customHeight="1">
      <c r="A14" s="92" t="s">
        <v>237</v>
      </c>
      <c r="B14" s="330" t="s">
        <v>510</v>
      </c>
      <c r="C14" s="331"/>
      <c r="D14" s="331"/>
      <c r="E14" s="331"/>
      <c r="F14" s="331"/>
      <c r="G14" s="331"/>
      <c r="H14" s="331"/>
      <c r="I14" s="331"/>
      <c r="J14" s="331"/>
      <c r="K14" s="331"/>
      <c r="L14" s="331"/>
      <c r="M14" s="331"/>
      <c r="N14" s="331"/>
      <c r="O14" s="331"/>
      <c r="P14" s="331"/>
      <c r="Q14" s="331"/>
      <c r="R14" s="332"/>
    </row>
    <row r="15" spans="1:26" s="39" customFormat="1">
      <c r="A15" s="92" t="s">
        <v>240</v>
      </c>
      <c r="B15" s="330" t="s">
        <v>415</v>
      </c>
      <c r="C15" s="331"/>
      <c r="D15" s="331"/>
      <c r="E15" s="331"/>
      <c r="F15" s="331"/>
      <c r="G15" s="331"/>
      <c r="H15" s="331"/>
      <c r="I15" s="331"/>
      <c r="J15" s="331"/>
      <c r="K15" s="331"/>
      <c r="L15" s="331"/>
      <c r="M15" s="331"/>
      <c r="N15" s="331"/>
      <c r="O15" s="331"/>
      <c r="P15" s="331"/>
      <c r="Q15" s="331"/>
      <c r="R15" s="332"/>
    </row>
    <row r="16" spans="1:26" s="39" customFormat="1" ht="15" customHeight="1">
      <c r="A16" s="92" t="s">
        <v>491</v>
      </c>
      <c r="B16" s="330" t="s">
        <v>511</v>
      </c>
      <c r="C16" s="331"/>
      <c r="D16" s="331"/>
      <c r="E16" s="331"/>
      <c r="F16" s="331"/>
      <c r="G16" s="331"/>
      <c r="H16" s="331"/>
      <c r="I16" s="331"/>
      <c r="J16" s="331"/>
      <c r="K16" s="331"/>
      <c r="L16" s="331"/>
      <c r="M16" s="331"/>
      <c r="N16" s="331"/>
      <c r="O16" s="331"/>
      <c r="P16" s="331"/>
      <c r="Q16" s="331"/>
      <c r="R16" s="332"/>
    </row>
    <row r="17" spans="1:18">
      <c r="A17" s="91" t="s">
        <v>228</v>
      </c>
      <c r="B17" s="59">
        <v>0.5</v>
      </c>
      <c r="C17" s="59">
        <v>0.75</v>
      </c>
      <c r="D17" s="59">
        <v>1</v>
      </c>
      <c r="E17" s="59">
        <v>1.5</v>
      </c>
      <c r="F17" s="59"/>
      <c r="G17" s="59"/>
      <c r="H17" s="314"/>
      <c r="I17" s="315"/>
      <c r="J17" s="315"/>
      <c r="K17" s="315"/>
      <c r="L17" s="315"/>
      <c r="M17" s="315"/>
      <c r="N17" s="315"/>
      <c r="O17" s="315"/>
      <c r="P17" s="315"/>
      <c r="Q17" s="315"/>
      <c r="R17" s="316"/>
    </row>
    <row r="18" spans="1:18" ht="13.15" customHeight="1">
      <c r="A18" s="91" t="s">
        <v>234</v>
      </c>
      <c r="B18" s="305" t="s">
        <v>512</v>
      </c>
      <c r="C18" s="306"/>
      <c r="D18" s="306"/>
      <c r="E18" s="306"/>
      <c r="F18" s="306"/>
      <c r="G18" s="306"/>
      <c r="H18" s="306"/>
      <c r="I18" s="306"/>
      <c r="J18" s="306"/>
      <c r="K18" s="306"/>
      <c r="L18" s="306"/>
      <c r="M18" s="306"/>
      <c r="N18" s="306"/>
      <c r="O18" s="306"/>
      <c r="P18" s="306"/>
      <c r="Q18" s="306"/>
      <c r="R18" s="307"/>
    </row>
    <row r="19" spans="1:18" ht="13.15" customHeight="1">
      <c r="A19" s="91" t="s">
        <v>237</v>
      </c>
      <c r="B19" s="305" t="s">
        <v>513</v>
      </c>
      <c r="C19" s="306"/>
      <c r="D19" s="306"/>
      <c r="E19" s="306"/>
      <c r="F19" s="306"/>
      <c r="G19" s="306"/>
      <c r="H19" s="306"/>
      <c r="I19" s="306"/>
      <c r="J19" s="306"/>
      <c r="K19" s="306"/>
      <c r="L19" s="306"/>
      <c r="M19" s="306"/>
      <c r="N19" s="306"/>
      <c r="O19" s="306"/>
      <c r="P19" s="306"/>
      <c r="Q19" s="306"/>
      <c r="R19" s="307"/>
    </row>
    <row r="20" spans="1:18" ht="13.15" customHeight="1">
      <c r="A20" s="91" t="s">
        <v>240</v>
      </c>
      <c r="B20" s="305" t="s">
        <v>514</v>
      </c>
      <c r="C20" s="306"/>
      <c r="D20" s="306"/>
      <c r="E20" s="306"/>
      <c r="F20" s="306"/>
      <c r="G20" s="306"/>
      <c r="H20" s="306"/>
      <c r="I20" s="306"/>
      <c r="J20" s="306"/>
      <c r="K20" s="306"/>
      <c r="L20" s="306"/>
      <c r="M20" s="306"/>
      <c r="N20" s="306"/>
      <c r="O20" s="306"/>
      <c r="P20" s="306"/>
      <c r="Q20" s="306"/>
      <c r="R20" s="307"/>
    </row>
    <row r="21" spans="1:18" ht="13.15" customHeight="1">
      <c r="A21" s="91"/>
      <c r="B21" s="305"/>
      <c r="C21" s="306"/>
      <c r="D21" s="306"/>
      <c r="E21" s="306"/>
      <c r="F21" s="306"/>
      <c r="G21" s="306"/>
      <c r="H21" s="306"/>
      <c r="I21" s="306"/>
      <c r="J21" s="306"/>
      <c r="K21" s="306"/>
      <c r="L21" s="306"/>
      <c r="M21" s="306"/>
      <c r="N21" s="306"/>
      <c r="O21" s="306"/>
      <c r="P21" s="306"/>
      <c r="Q21" s="306"/>
      <c r="R21" s="307"/>
    </row>
    <row r="22" spans="1:18" ht="13.15" customHeight="1">
      <c r="A22" s="91"/>
      <c r="B22" s="305"/>
      <c r="C22" s="306"/>
      <c r="D22" s="306"/>
      <c r="E22" s="306"/>
      <c r="F22" s="306"/>
      <c r="G22" s="306"/>
      <c r="H22" s="306"/>
      <c r="I22" s="306"/>
      <c r="J22" s="306"/>
      <c r="K22" s="306"/>
      <c r="L22" s="306"/>
      <c r="M22" s="306"/>
      <c r="N22" s="306"/>
      <c r="O22" s="306"/>
      <c r="P22" s="306"/>
      <c r="Q22" s="306"/>
      <c r="R22" s="307"/>
    </row>
    <row r="23" spans="1:18" ht="13.15" customHeight="1">
      <c r="A23" s="91"/>
      <c r="B23" s="305"/>
      <c r="C23" s="306"/>
      <c r="D23" s="306"/>
      <c r="E23" s="306"/>
      <c r="F23" s="306"/>
      <c r="G23" s="306"/>
      <c r="H23" s="306"/>
      <c r="I23" s="306"/>
      <c r="J23" s="306"/>
      <c r="K23" s="306"/>
      <c r="L23" s="306"/>
      <c r="M23" s="306"/>
      <c r="N23" s="306"/>
      <c r="O23" s="306"/>
      <c r="P23" s="306"/>
      <c r="Q23" s="306"/>
      <c r="R23" s="307"/>
    </row>
    <row r="24" spans="1:18" ht="13.15" customHeight="1">
      <c r="A24" s="91"/>
      <c r="B24" s="321"/>
      <c r="C24" s="322"/>
      <c r="D24" s="322"/>
      <c r="E24" s="322"/>
      <c r="F24" s="322"/>
      <c r="G24" s="322"/>
      <c r="H24" s="322"/>
      <c r="I24" s="322"/>
      <c r="J24" s="322"/>
      <c r="K24" s="322"/>
      <c r="L24" s="322"/>
      <c r="M24" s="322"/>
      <c r="N24" s="322"/>
      <c r="O24" s="322"/>
      <c r="P24" s="322"/>
      <c r="Q24" s="322"/>
      <c r="R24" s="323"/>
    </row>
    <row r="25" spans="1:18" ht="13.15" customHeight="1">
      <c r="A25" s="91"/>
      <c r="B25" s="305"/>
      <c r="C25" s="306"/>
      <c r="D25" s="306"/>
      <c r="E25" s="306"/>
      <c r="F25" s="306"/>
      <c r="G25" s="306"/>
      <c r="H25" s="306"/>
      <c r="I25" s="306"/>
      <c r="J25" s="306"/>
      <c r="K25" s="306"/>
      <c r="L25" s="306"/>
      <c r="M25" s="306"/>
      <c r="N25" s="306"/>
      <c r="O25" s="306"/>
      <c r="P25" s="306"/>
      <c r="Q25" s="306"/>
      <c r="R25" s="307"/>
    </row>
    <row r="26" spans="1:18" ht="13.15" customHeight="1">
      <c r="A26" s="91"/>
      <c r="B26" s="305"/>
      <c r="C26" s="306"/>
      <c r="D26" s="306"/>
      <c r="E26" s="306"/>
      <c r="F26" s="306"/>
      <c r="G26" s="306"/>
      <c r="H26" s="306"/>
      <c r="I26" s="306"/>
      <c r="J26" s="306"/>
      <c r="K26" s="306"/>
      <c r="L26" s="306"/>
      <c r="M26" s="306"/>
      <c r="N26" s="306"/>
      <c r="O26" s="306"/>
      <c r="P26" s="306"/>
      <c r="Q26" s="306"/>
      <c r="R26" s="307"/>
    </row>
    <row r="27" spans="1:18">
      <c r="A27" s="320"/>
      <c r="B27" s="315"/>
      <c r="C27" s="315"/>
      <c r="D27" s="315"/>
      <c r="E27" s="315"/>
      <c r="F27" s="315"/>
      <c r="G27" s="315"/>
      <c r="H27" s="315"/>
      <c r="I27" s="315"/>
      <c r="J27" s="315"/>
      <c r="K27" s="315"/>
      <c r="L27" s="315"/>
      <c r="M27" s="315"/>
      <c r="N27" s="315"/>
      <c r="O27" s="315"/>
      <c r="P27" s="315"/>
      <c r="Q27" s="315"/>
      <c r="R27" s="316"/>
    </row>
    <row r="28" spans="1:18" ht="13.9" customHeight="1">
      <c r="A28" s="320"/>
      <c r="B28" s="315"/>
      <c r="C28" s="315"/>
      <c r="D28" s="315"/>
      <c r="E28" s="315"/>
      <c r="F28" s="315"/>
      <c r="G28" s="315"/>
      <c r="H28" s="315"/>
      <c r="I28" s="315"/>
      <c r="J28" s="315"/>
      <c r="K28" s="315"/>
      <c r="L28" s="315"/>
      <c r="M28" s="315"/>
      <c r="N28" s="315"/>
      <c r="O28" s="315"/>
      <c r="P28" s="315"/>
      <c r="Q28" s="315"/>
      <c r="R28" s="316"/>
    </row>
    <row r="29" spans="1:18">
      <c r="A29" s="91"/>
      <c r="B29" s="314"/>
      <c r="C29" s="315"/>
      <c r="D29" s="315"/>
      <c r="E29" s="315"/>
      <c r="F29" s="315"/>
      <c r="G29" s="315"/>
      <c r="H29" s="315"/>
      <c r="I29" s="315"/>
      <c r="J29" s="315"/>
      <c r="K29" s="315"/>
      <c r="L29" s="315"/>
      <c r="M29" s="315"/>
      <c r="N29" s="315"/>
      <c r="O29" s="315"/>
      <c r="P29" s="315"/>
      <c r="Q29" s="315"/>
      <c r="R29" s="316"/>
    </row>
    <row r="30" spans="1:18" ht="13.9" customHeight="1">
      <c r="A30" s="91"/>
      <c r="B30" s="305"/>
      <c r="C30" s="306"/>
      <c r="D30" s="306"/>
      <c r="E30" s="306"/>
      <c r="F30" s="306"/>
      <c r="G30" s="306"/>
      <c r="H30" s="306"/>
      <c r="I30" s="306"/>
      <c r="J30" s="306"/>
      <c r="K30" s="306"/>
      <c r="L30" s="306"/>
      <c r="M30" s="306"/>
      <c r="N30" s="306"/>
      <c r="O30" s="306"/>
      <c r="P30" s="306"/>
      <c r="Q30" s="306"/>
      <c r="R30" s="307"/>
    </row>
    <row r="31" spans="1:18" ht="13.9" customHeight="1">
      <c r="A31" s="91"/>
      <c r="B31" s="305"/>
      <c r="C31" s="306"/>
      <c r="D31" s="306"/>
      <c r="E31" s="306"/>
      <c r="F31" s="306"/>
      <c r="G31" s="306"/>
      <c r="H31" s="306"/>
      <c r="I31" s="306"/>
      <c r="J31" s="306"/>
      <c r="K31" s="306"/>
      <c r="L31" s="306"/>
      <c r="M31" s="306"/>
      <c r="N31" s="306"/>
      <c r="O31" s="306"/>
      <c r="P31" s="306"/>
      <c r="Q31" s="306"/>
      <c r="R31" s="307"/>
    </row>
    <row r="32" spans="1:18" ht="15.75" customHeight="1">
      <c r="A32" s="91"/>
      <c r="B32" s="305"/>
      <c r="C32" s="306"/>
      <c r="D32" s="306"/>
      <c r="E32" s="306"/>
      <c r="F32" s="306"/>
      <c r="G32" s="306"/>
      <c r="H32" s="306"/>
      <c r="I32" s="306"/>
      <c r="J32" s="306"/>
      <c r="K32" s="306"/>
      <c r="L32" s="306"/>
      <c r="M32" s="306"/>
      <c r="N32" s="306"/>
      <c r="O32" s="306"/>
      <c r="P32" s="306"/>
      <c r="Q32" s="306"/>
      <c r="R32" s="307"/>
    </row>
    <row r="33" spans="1:18">
      <c r="A33" s="317"/>
      <c r="B33" s="318"/>
      <c r="C33" s="318"/>
      <c r="D33" s="318"/>
      <c r="E33" s="318"/>
      <c r="F33" s="318"/>
      <c r="G33" s="318"/>
      <c r="H33" s="318"/>
      <c r="I33" s="318"/>
      <c r="J33" s="318"/>
      <c r="K33" s="318"/>
      <c r="L33" s="318"/>
      <c r="M33" s="318"/>
      <c r="N33" s="318"/>
      <c r="O33" s="318"/>
      <c r="P33" s="318"/>
      <c r="Q33" s="318"/>
      <c r="R33" s="319"/>
    </row>
    <row r="34" spans="1:18" ht="13.9" customHeight="1">
      <c r="A34" s="91"/>
      <c r="B34" s="305"/>
      <c r="C34" s="306"/>
      <c r="D34" s="306"/>
      <c r="E34" s="306"/>
      <c r="F34" s="306"/>
      <c r="G34" s="306"/>
      <c r="H34" s="306"/>
      <c r="I34" s="306"/>
      <c r="J34" s="306"/>
      <c r="K34" s="306"/>
      <c r="L34" s="306"/>
      <c r="M34" s="306"/>
      <c r="N34" s="306"/>
      <c r="O34" s="306"/>
      <c r="P34" s="306"/>
      <c r="Q34" s="306"/>
      <c r="R34" s="307"/>
    </row>
    <row r="35" spans="1:18" ht="15" customHeight="1">
      <c r="A35" s="91"/>
      <c r="B35" s="305"/>
      <c r="C35" s="306"/>
      <c r="D35" s="306"/>
      <c r="E35" s="306"/>
      <c r="F35" s="306"/>
      <c r="G35" s="306"/>
      <c r="H35" s="306"/>
      <c r="I35" s="306"/>
      <c r="J35" s="306"/>
      <c r="K35" s="306"/>
      <c r="L35" s="306"/>
      <c r="M35" s="306"/>
      <c r="N35" s="306"/>
      <c r="O35" s="306"/>
      <c r="P35" s="306"/>
      <c r="Q35" s="306"/>
      <c r="R35" s="307"/>
    </row>
    <row r="36" spans="1:18" ht="15" customHeight="1">
      <c r="A36" s="91"/>
      <c r="B36" s="305"/>
      <c r="C36" s="306"/>
      <c r="D36" s="306"/>
      <c r="E36" s="306"/>
      <c r="F36" s="306"/>
      <c r="G36" s="306"/>
      <c r="H36" s="306"/>
      <c r="I36" s="306"/>
      <c r="J36" s="306"/>
      <c r="K36" s="306"/>
      <c r="L36" s="306"/>
      <c r="M36" s="306"/>
      <c r="N36" s="306"/>
      <c r="O36" s="306"/>
      <c r="P36" s="306"/>
      <c r="Q36" s="306"/>
      <c r="R36" s="307"/>
    </row>
    <row r="37" spans="1:18">
      <c r="A37" s="317"/>
      <c r="B37" s="318"/>
      <c r="C37" s="318"/>
      <c r="D37" s="318"/>
      <c r="E37" s="318"/>
      <c r="F37" s="318"/>
      <c r="G37" s="318"/>
      <c r="H37" s="318"/>
      <c r="I37" s="318"/>
      <c r="J37" s="318"/>
      <c r="K37" s="318"/>
      <c r="L37" s="318"/>
      <c r="M37" s="318"/>
      <c r="N37" s="318"/>
      <c r="O37" s="318"/>
      <c r="P37" s="318"/>
      <c r="Q37" s="318"/>
      <c r="R37" s="319"/>
    </row>
    <row r="38" spans="1:18" ht="13.9" customHeight="1">
      <c r="A38" s="91"/>
      <c r="B38" s="305"/>
      <c r="C38" s="306"/>
      <c r="D38" s="306"/>
      <c r="E38" s="306"/>
      <c r="F38" s="306"/>
      <c r="G38" s="306"/>
      <c r="H38" s="306"/>
      <c r="I38" s="306"/>
      <c r="J38" s="306"/>
      <c r="K38" s="306"/>
      <c r="L38" s="306"/>
      <c r="M38" s="306"/>
      <c r="N38" s="306"/>
      <c r="O38" s="306"/>
      <c r="P38" s="306"/>
      <c r="Q38" s="306"/>
      <c r="R38" s="307"/>
    </row>
    <row r="39" spans="1:18" s="5" customFormat="1" ht="13.9" customHeight="1">
      <c r="A39" s="296" t="s">
        <v>271</v>
      </c>
      <c r="B39" s="297"/>
      <c r="C39" s="297"/>
      <c r="D39" s="297"/>
      <c r="E39" s="297"/>
      <c r="F39" s="297"/>
      <c r="G39" s="297"/>
      <c r="H39" s="297"/>
      <c r="I39" s="297"/>
      <c r="J39" s="297"/>
      <c r="K39" s="297"/>
      <c r="L39" s="297"/>
      <c r="M39" s="297"/>
      <c r="N39" s="297"/>
      <c r="O39" s="297"/>
      <c r="P39" s="297"/>
      <c r="Q39" s="297"/>
      <c r="R39" s="298"/>
    </row>
    <row r="40" spans="1:18" s="5" customFormat="1" ht="13.9" customHeight="1">
      <c r="A40" s="69" t="s">
        <v>272</v>
      </c>
      <c r="B40" s="144" t="e">
        <f ca="1">VLOOKUP(F3,INDEX!B:J,2,0)</f>
        <v>#VALUE!</v>
      </c>
      <c r="C40" s="145"/>
      <c r="D40" s="145"/>
      <c r="E40" s="145"/>
      <c r="F40" s="145"/>
      <c r="G40" s="145"/>
      <c r="H40" s="145"/>
      <c r="I40" s="145"/>
      <c r="J40" s="145"/>
      <c r="K40" s="145"/>
      <c r="L40" s="145"/>
      <c r="M40" s="145"/>
      <c r="N40" s="145"/>
      <c r="O40" s="145"/>
      <c r="P40" s="145"/>
      <c r="Q40" s="145"/>
      <c r="R40" s="147"/>
    </row>
    <row r="41" spans="1:18" s="5" customFormat="1" ht="13.9" customHeight="1">
      <c r="A41" s="69" t="s">
        <v>304</v>
      </c>
      <c r="B41" s="205" t="e">
        <f ca="1">"DSR"&amp;VLOOKUP(F3,INDEX!B:AH,33,0)&amp;"JT"</f>
        <v>#VALUE!</v>
      </c>
      <c r="C41" s="206"/>
      <c r="D41" s="206"/>
      <c r="E41" s="206"/>
      <c r="F41" s="206"/>
      <c r="G41" s="206"/>
      <c r="H41" s="206"/>
      <c r="I41" s="206"/>
      <c r="J41" s="206"/>
      <c r="K41" s="206"/>
      <c r="L41" s="206"/>
      <c r="M41" s="206"/>
      <c r="N41" s="206"/>
      <c r="O41" s="206"/>
      <c r="P41" s="206"/>
      <c r="Q41" s="206"/>
      <c r="R41" s="207"/>
    </row>
    <row r="42" spans="1:18" s="5" customFormat="1" ht="13.9" customHeight="1">
      <c r="A42" s="69" t="s">
        <v>515</v>
      </c>
      <c r="B42" s="205" t="e">
        <f ca="1">"NEE"&amp;VLOOKUP(F3,INDEX!B:AH,33,0)&amp;"F"</f>
        <v>#VALUE!</v>
      </c>
      <c r="C42" s="206"/>
      <c r="D42" s="206"/>
      <c r="E42" s="206"/>
      <c r="F42" s="206"/>
      <c r="G42" s="206"/>
      <c r="H42" s="206"/>
      <c r="I42" s="206"/>
      <c r="J42" s="206"/>
      <c r="K42" s="206"/>
      <c r="L42" s="206"/>
      <c r="M42" s="206"/>
      <c r="N42" s="206"/>
      <c r="O42" s="206"/>
      <c r="P42" s="206"/>
      <c r="Q42" s="206"/>
      <c r="R42" s="207"/>
    </row>
    <row r="43" spans="1:18" s="5" customFormat="1" ht="13.9" customHeight="1">
      <c r="A43" s="69" t="s">
        <v>516</v>
      </c>
      <c r="B43" s="109" t="e">
        <f ca="1">"BSF"&amp;VLOOKUP(F3,INDEX!B:AH,33,0)&amp;"J"</f>
        <v>#VALUE!</v>
      </c>
      <c r="C43" s="109"/>
      <c r="D43" s="109"/>
      <c r="E43" s="109"/>
      <c r="F43" s="109"/>
      <c r="G43" s="109"/>
      <c r="H43" s="109"/>
      <c r="I43" s="109"/>
      <c r="J43" s="109"/>
      <c r="K43" s="109"/>
      <c r="L43" s="109"/>
      <c r="M43" s="109"/>
      <c r="N43" s="109"/>
      <c r="O43" s="109"/>
      <c r="P43" s="109"/>
      <c r="Q43" s="109"/>
      <c r="R43" s="110"/>
    </row>
    <row r="44" spans="1:18" s="5" customFormat="1" ht="13.9" customHeight="1">
      <c r="A44" s="69" t="s">
        <v>517</v>
      </c>
      <c r="B44" s="109" t="e">
        <f ca="1">"CHP"&amp;VLOOKUP(F3,INDEX!B:AH,33,0)&amp;"F"</f>
        <v>#VALUE!</v>
      </c>
      <c r="C44" s="109"/>
      <c r="D44" s="109"/>
      <c r="E44" s="109"/>
      <c r="F44" s="109"/>
      <c r="G44" s="109"/>
      <c r="H44" s="109"/>
      <c r="I44" s="109"/>
      <c r="J44" s="109"/>
      <c r="K44" s="109"/>
      <c r="L44" s="109"/>
      <c r="M44" s="109"/>
      <c r="N44" s="109"/>
      <c r="O44" s="109"/>
      <c r="P44" s="109"/>
      <c r="Q44" s="109"/>
      <c r="R44" s="110"/>
    </row>
    <row r="45" spans="1:18" s="5" customFormat="1" ht="13.9" customHeight="1">
      <c r="A45" s="69"/>
      <c r="B45" s="144"/>
      <c r="C45" s="145"/>
      <c r="D45" s="145"/>
      <c r="E45" s="145"/>
      <c r="F45" s="145"/>
      <c r="G45" s="144"/>
      <c r="H45" s="145"/>
      <c r="I45" s="145"/>
      <c r="J45" s="145"/>
      <c r="K45" s="145"/>
      <c r="L45" s="145"/>
      <c r="M45" s="145"/>
      <c r="N45" s="145"/>
      <c r="O45" s="145"/>
      <c r="P45" s="145"/>
      <c r="Q45" s="145"/>
      <c r="R45" s="147"/>
    </row>
    <row r="46" spans="1:18">
      <c r="A46" s="299" t="s">
        <v>443</v>
      </c>
      <c r="B46" s="300"/>
      <c r="C46" s="300"/>
      <c r="D46" s="300"/>
      <c r="E46" s="300"/>
      <c r="F46" s="300"/>
      <c r="G46" s="300"/>
      <c r="H46" s="300"/>
      <c r="I46" s="300"/>
      <c r="J46" s="300"/>
      <c r="K46" s="300"/>
      <c r="L46" s="300"/>
      <c r="M46" s="300"/>
      <c r="N46" s="300"/>
      <c r="O46" s="300"/>
      <c r="P46" s="300"/>
      <c r="Q46" s="300"/>
      <c r="R46" s="301"/>
    </row>
    <row r="47" spans="1:18" ht="27" customHeight="1">
      <c r="A47" s="302" t="s">
        <v>518</v>
      </c>
      <c r="B47" s="303"/>
      <c r="C47" s="303"/>
      <c r="D47" s="303"/>
      <c r="E47" s="303"/>
      <c r="F47" s="303"/>
      <c r="G47" s="303"/>
      <c r="H47" s="303"/>
      <c r="I47" s="303"/>
      <c r="J47" s="303"/>
      <c r="K47" s="303"/>
      <c r="L47" s="303"/>
      <c r="M47" s="303"/>
      <c r="N47" s="303"/>
      <c r="O47" s="303"/>
      <c r="P47" s="303"/>
      <c r="Q47" s="303"/>
      <c r="R47" s="304"/>
    </row>
    <row r="48" spans="1:18">
      <c r="A48" s="308" t="s">
        <v>519</v>
      </c>
      <c r="B48" s="309"/>
      <c r="C48" s="309"/>
      <c r="D48" s="309"/>
      <c r="E48" s="309"/>
      <c r="F48" s="309"/>
      <c r="G48" s="309"/>
      <c r="H48" s="309"/>
      <c r="I48" s="309"/>
      <c r="J48" s="309"/>
      <c r="K48" s="309"/>
      <c r="L48" s="309"/>
      <c r="M48" s="309"/>
      <c r="N48" s="309"/>
      <c r="O48" s="309"/>
      <c r="P48" s="309"/>
      <c r="Q48" s="309"/>
      <c r="R48" s="310"/>
    </row>
    <row r="49" spans="1:18" ht="30.6" customHeight="1">
      <c r="A49" s="308" t="s">
        <v>520</v>
      </c>
      <c r="B49" s="309"/>
      <c r="C49" s="309"/>
      <c r="D49" s="309"/>
      <c r="E49" s="309"/>
      <c r="F49" s="309"/>
      <c r="G49" s="309"/>
      <c r="H49" s="309"/>
      <c r="I49" s="309"/>
      <c r="J49" s="309"/>
      <c r="K49" s="309"/>
      <c r="L49" s="309"/>
      <c r="M49" s="309"/>
      <c r="N49" s="309"/>
      <c r="O49" s="309"/>
      <c r="P49" s="309"/>
      <c r="Q49" s="309"/>
      <c r="R49" s="310"/>
    </row>
    <row r="50" spans="1:18">
      <c r="A50" s="308" t="s">
        <v>521</v>
      </c>
      <c r="B50" s="309"/>
      <c r="C50" s="309"/>
      <c r="D50" s="309"/>
      <c r="E50" s="309"/>
      <c r="F50" s="309"/>
      <c r="G50" s="309"/>
      <c r="H50" s="309"/>
      <c r="I50" s="309"/>
      <c r="J50" s="309"/>
      <c r="K50" s="309"/>
      <c r="L50" s="309"/>
      <c r="M50" s="309"/>
      <c r="N50" s="309"/>
      <c r="O50" s="309"/>
      <c r="P50" s="309"/>
      <c r="Q50" s="309"/>
      <c r="R50" s="310"/>
    </row>
    <row r="51" spans="1:18" ht="46.15" customHeight="1">
      <c r="A51" s="308" t="s">
        <v>522</v>
      </c>
      <c r="B51" s="309"/>
      <c r="C51" s="309"/>
      <c r="D51" s="309"/>
      <c r="E51" s="309"/>
      <c r="F51" s="309"/>
      <c r="G51" s="309"/>
      <c r="H51" s="309"/>
      <c r="I51" s="309"/>
      <c r="J51" s="309"/>
      <c r="K51" s="309"/>
      <c r="L51" s="309"/>
      <c r="M51" s="309"/>
      <c r="N51" s="309"/>
      <c r="O51" s="309"/>
      <c r="P51" s="309"/>
      <c r="Q51" s="309"/>
      <c r="R51" s="310"/>
    </row>
    <row r="52" spans="1:18" ht="32.25" customHeight="1">
      <c r="A52" s="308" t="s">
        <v>523</v>
      </c>
      <c r="B52" s="309"/>
      <c r="C52" s="309"/>
      <c r="D52" s="309"/>
      <c r="E52" s="309"/>
      <c r="F52" s="309"/>
      <c r="G52" s="309"/>
      <c r="H52" s="309"/>
      <c r="I52" s="309"/>
      <c r="J52" s="309"/>
      <c r="K52" s="309"/>
      <c r="L52" s="309"/>
      <c r="M52" s="309"/>
      <c r="N52" s="309"/>
      <c r="O52" s="309"/>
      <c r="P52" s="309"/>
      <c r="Q52" s="309"/>
      <c r="R52" s="310"/>
    </row>
    <row r="53" spans="1:18">
      <c r="A53" s="308" t="s">
        <v>524</v>
      </c>
      <c r="B53" s="309"/>
      <c r="C53" s="309"/>
      <c r="D53" s="309"/>
      <c r="E53" s="309"/>
      <c r="F53" s="309"/>
      <c r="G53" s="309"/>
      <c r="H53" s="309"/>
      <c r="I53" s="309"/>
      <c r="J53" s="309"/>
      <c r="K53" s="309"/>
      <c r="L53" s="309"/>
      <c r="M53" s="309"/>
      <c r="N53" s="309"/>
      <c r="O53" s="309"/>
      <c r="P53" s="309"/>
      <c r="Q53" s="309"/>
      <c r="R53" s="310"/>
    </row>
    <row r="54" spans="1:18" ht="29.45" customHeight="1" thickBot="1">
      <c r="A54" s="311" t="s">
        <v>525</v>
      </c>
      <c r="B54" s="312"/>
      <c r="C54" s="312"/>
      <c r="D54" s="312"/>
      <c r="E54" s="312"/>
      <c r="F54" s="312"/>
      <c r="G54" s="312"/>
      <c r="H54" s="312"/>
      <c r="I54" s="312"/>
      <c r="J54" s="312"/>
      <c r="K54" s="312"/>
      <c r="L54" s="312"/>
      <c r="M54" s="312"/>
      <c r="N54" s="312"/>
      <c r="O54" s="312"/>
      <c r="P54" s="312"/>
      <c r="Q54" s="312"/>
      <c r="R54" s="313"/>
    </row>
    <row r="55" spans="1:18">
      <c r="A55" s="61"/>
      <c r="B55" s="61"/>
      <c r="C55" s="61"/>
      <c r="D55" s="61"/>
      <c r="E55" s="61"/>
      <c r="F55" s="61"/>
      <c r="G55" s="61"/>
      <c r="H55" s="61"/>
      <c r="I55" s="61"/>
      <c r="J55" s="61"/>
      <c r="K55" s="61"/>
      <c r="L55" s="61"/>
      <c r="M55" s="61"/>
      <c r="N55" s="61"/>
      <c r="O55" s="61"/>
      <c r="P55" s="61"/>
      <c r="Q55" s="61"/>
      <c r="R55" s="61"/>
    </row>
  </sheetData>
  <mergeCells count="83">
    <mergeCell ref="Q3:R3"/>
    <mergeCell ref="F4:H4"/>
    <mergeCell ref="I4:R4"/>
    <mergeCell ref="F3:G3"/>
    <mergeCell ref="H3:I3"/>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L8:M8"/>
    <mergeCell ref="N8:O8"/>
    <mergeCell ref="P8:R8"/>
    <mergeCell ref="B9:C9"/>
    <mergeCell ref="D9:E9"/>
    <mergeCell ref="F9:G9"/>
    <mergeCell ref="H9:I9"/>
    <mergeCell ref="J9:K9"/>
    <mergeCell ref="L9:M9"/>
    <mergeCell ref="N9:O9"/>
    <mergeCell ref="B8:C8"/>
    <mergeCell ref="D8:E8"/>
    <mergeCell ref="F8:G8"/>
    <mergeCell ref="H8:I8"/>
    <mergeCell ref="J8:K8"/>
    <mergeCell ref="B21:R21"/>
    <mergeCell ref="P9:R9"/>
    <mergeCell ref="A10:R10"/>
    <mergeCell ref="B11:R11"/>
    <mergeCell ref="L12:R13"/>
    <mergeCell ref="B14:R14"/>
    <mergeCell ref="B15:R15"/>
    <mergeCell ref="B16:R16"/>
    <mergeCell ref="H17:R17"/>
    <mergeCell ref="B18:R18"/>
    <mergeCell ref="B19:R19"/>
    <mergeCell ref="B20:R20"/>
    <mergeCell ref="B32:R32"/>
    <mergeCell ref="B22:R22"/>
    <mergeCell ref="B23:R23"/>
    <mergeCell ref="B24:R24"/>
    <mergeCell ref="B25:R25"/>
    <mergeCell ref="B26:R26"/>
    <mergeCell ref="B29:R29"/>
    <mergeCell ref="A27:R27"/>
    <mergeCell ref="A28:R28"/>
    <mergeCell ref="B30:R30"/>
    <mergeCell ref="B31:R31"/>
    <mergeCell ref="B42:R42"/>
    <mergeCell ref="A33:R33"/>
    <mergeCell ref="B34:R34"/>
    <mergeCell ref="B35:R35"/>
    <mergeCell ref="B36:R36"/>
    <mergeCell ref="A37:R37"/>
    <mergeCell ref="B38:R38"/>
    <mergeCell ref="A39:R39"/>
    <mergeCell ref="B40:R40"/>
    <mergeCell ref="B41:R41"/>
    <mergeCell ref="A54:R54"/>
    <mergeCell ref="B43:R43"/>
    <mergeCell ref="B44:E44"/>
    <mergeCell ref="F44:R44"/>
    <mergeCell ref="B45:F45"/>
    <mergeCell ref="G45:R45"/>
    <mergeCell ref="A46:R46"/>
    <mergeCell ref="A49:R49"/>
    <mergeCell ref="A51:R51"/>
    <mergeCell ref="A47:R47"/>
    <mergeCell ref="A48:R48"/>
    <mergeCell ref="A50:R50"/>
    <mergeCell ref="A52:R52"/>
    <mergeCell ref="A53:R53"/>
  </mergeCells>
  <printOptions horizontalCentered="1"/>
  <pageMargins left="0.7" right="0.7" top="0.75" bottom="0.75" header="0.3" footer="0.3"/>
  <pageSetup paperSize="9" scale="87" firstPageNumber="18"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7F4DC-7FD2-4C09-9C63-D4BCE45E441E}">
  <sheetPr>
    <tabColor theme="5" tint="-0.249977111117893"/>
    <pageSetUpPr fitToPage="1"/>
  </sheetPr>
  <dimension ref="A1:Z55"/>
  <sheetViews>
    <sheetView view="pageBreakPreview" zoomScale="85" zoomScaleNormal="85" zoomScaleSheetLayoutView="85" workbookViewId="0">
      <selection activeCell="S2" sqref="S2:U2"/>
    </sheetView>
  </sheetViews>
  <sheetFormatPr defaultColWidth="8.85546875" defaultRowHeight="15"/>
  <cols>
    <col min="1" max="1" width="11.7109375" style="36" customWidth="1"/>
    <col min="2" max="18" width="5.28515625" style="36" customWidth="1"/>
    <col min="19" max="16384" width="8.85546875" style="36"/>
  </cols>
  <sheetData>
    <row r="1" spans="1:26" s="4" customFormat="1" ht="14.45" customHeight="1">
      <c r="A1" s="132" t="e" vm="1">
        <v>#VALUE!</v>
      </c>
      <c r="B1" s="133"/>
      <c r="C1" s="133"/>
      <c r="D1" s="133"/>
      <c r="E1" s="134"/>
      <c r="F1" s="275" t="s">
        <v>213</v>
      </c>
      <c r="G1" s="276"/>
      <c r="H1" s="276"/>
      <c r="I1" s="276"/>
      <c r="J1" s="276"/>
      <c r="K1" s="276"/>
      <c r="L1" s="276"/>
      <c r="M1" s="276"/>
      <c r="N1" s="276"/>
      <c r="O1" s="276"/>
      <c r="P1" s="276"/>
      <c r="Q1" s="133" t="s">
        <v>214</v>
      </c>
      <c r="R1" s="134"/>
    </row>
    <row r="2" spans="1:26" s="4" customFormat="1"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26" s="4" customFormat="1">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26" s="4" customFormat="1"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26" s="4" customFormat="1"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26" s="4" customFormat="1"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26" s="4" customFormat="1" ht="14.45" customHeight="1">
      <c r="A7" s="167" t="s">
        <v>221</v>
      </c>
      <c r="B7" s="168"/>
      <c r="C7" s="168"/>
      <c r="D7" s="168"/>
      <c r="E7" s="168"/>
      <c r="F7" s="169"/>
      <c r="G7" s="169"/>
      <c r="H7" s="169"/>
      <c r="I7" s="169"/>
      <c r="J7" s="169"/>
      <c r="K7" s="169"/>
      <c r="L7" s="169"/>
      <c r="M7" s="169"/>
      <c r="N7" s="169"/>
      <c r="O7" s="169"/>
      <c r="P7" s="169"/>
      <c r="Q7" s="169"/>
      <c r="R7" s="170"/>
    </row>
    <row r="8" spans="1:26" s="38" customFormat="1">
      <c r="A8" s="88" t="s">
        <v>222</v>
      </c>
      <c r="B8" s="246">
        <v>206</v>
      </c>
      <c r="C8" s="277"/>
      <c r="D8" s="246">
        <v>200</v>
      </c>
      <c r="E8" s="277"/>
      <c r="F8" s="246"/>
      <c r="G8" s="277"/>
      <c r="H8" s="246"/>
      <c r="I8" s="277"/>
      <c r="J8" s="246"/>
      <c r="K8" s="277"/>
      <c r="L8" s="246"/>
      <c r="M8" s="277"/>
      <c r="N8" s="246"/>
      <c r="O8" s="277"/>
      <c r="P8" s="246" t="s">
        <v>223</v>
      </c>
      <c r="Q8" s="247"/>
      <c r="R8" s="248"/>
      <c r="S8" s="36"/>
      <c r="X8" s="38">
        <v>4.9000000000000002E-2</v>
      </c>
      <c r="Z8" s="38">
        <f t="shared" ref="Z8:Z9" si="0">CONVERT(X8,"in","mm")</f>
        <v>1.2445999999999999</v>
      </c>
    </row>
    <row r="9" spans="1:26" s="38" customFormat="1">
      <c r="A9" s="88" t="s">
        <v>224</v>
      </c>
      <c r="B9" s="246">
        <v>0</v>
      </c>
      <c r="C9" s="277"/>
      <c r="D9" s="246">
        <v>60</v>
      </c>
      <c r="E9" s="277"/>
      <c r="F9" s="246"/>
      <c r="G9" s="277"/>
      <c r="H9" s="246"/>
      <c r="I9" s="277"/>
      <c r="J9" s="246"/>
      <c r="K9" s="277"/>
      <c r="L9" s="246"/>
      <c r="M9" s="277"/>
      <c r="N9" s="246"/>
      <c r="O9" s="277"/>
      <c r="P9" s="246">
        <f>D8*1.5</f>
        <v>300</v>
      </c>
      <c r="Q9" s="247"/>
      <c r="R9" s="248"/>
      <c r="X9" s="38">
        <v>6.5000000000000002E-2</v>
      </c>
      <c r="Z9" s="38">
        <f t="shared" si="0"/>
        <v>1.6509999999999998</v>
      </c>
    </row>
    <row r="10" spans="1:26" s="38" customFormat="1">
      <c r="A10" s="266" t="s">
        <v>225</v>
      </c>
      <c r="B10" s="267"/>
      <c r="C10" s="267"/>
      <c r="D10" s="267"/>
      <c r="E10" s="267"/>
      <c r="F10" s="267"/>
      <c r="G10" s="267"/>
      <c r="H10" s="267"/>
      <c r="I10" s="267"/>
      <c r="J10" s="267"/>
      <c r="K10" s="267"/>
      <c r="L10" s="267"/>
      <c r="M10" s="267"/>
      <c r="N10" s="267"/>
      <c r="O10" s="267"/>
      <c r="P10" s="267"/>
      <c r="Q10" s="267"/>
      <c r="R10" s="268"/>
      <c r="X10" s="38">
        <v>9.5000000000000001E-2</v>
      </c>
      <c r="Z10" s="38">
        <f>CONVERT(X10,"in","mm")</f>
        <v>2.4130000000000003</v>
      </c>
    </row>
    <row r="11" spans="1:26" ht="13.9" customHeight="1">
      <c r="A11" s="91" t="s">
        <v>226</v>
      </c>
      <c r="B11" s="305" t="s">
        <v>508</v>
      </c>
      <c r="C11" s="306"/>
      <c r="D11" s="306"/>
      <c r="E11" s="306"/>
      <c r="F11" s="306"/>
      <c r="G11" s="306"/>
      <c r="H11" s="306"/>
      <c r="I11" s="306"/>
      <c r="J11" s="306"/>
      <c r="K11" s="306"/>
      <c r="L11" s="306"/>
      <c r="M11" s="306"/>
      <c r="N11" s="306"/>
      <c r="O11" s="306"/>
      <c r="P11" s="306"/>
      <c r="Q11" s="306"/>
      <c r="R11" s="307"/>
      <c r="X11" s="36">
        <v>0.109</v>
      </c>
      <c r="Z11" s="38">
        <f t="shared" ref="Z11:Z12" si="1">CONVERT(X11,"in","mm")</f>
        <v>2.7686000000000002</v>
      </c>
    </row>
    <row r="12" spans="1:26" s="39" customFormat="1">
      <c r="A12" s="92" t="s">
        <v>228</v>
      </c>
      <c r="B12" s="60">
        <v>0.5</v>
      </c>
      <c r="C12" s="60">
        <v>0.75</v>
      </c>
      <c r="D12" s="60">
        <v>1</v>
      </c>
      <c r="E12" s="60">
        <v>1.5</v>
      </c>
      <c r="F12" s="60"/>
      <c r="G12" s="60"/>
      <c r="H12" s="60"/>
      <c r="I12" s="60"/>
      <c r="J12" s="60"/>
      <c r="K12" s="60"/>
      <c r="L12" s="324"/>
      <c r="M12" s="325"/>
      <c r="N12" s="325"/>
      <c r="O12" s="325"/>
      <c r="P12" s="325"/>
      <c r="Q12" s="325"/>
      <c r="R12" s="326"/>
      <c r="U12" s="36"/>
      <c r="V12" s="36"/>
      <c r="W12" s="36"/>
      <c r="X12" s="36">
        <v>0.13400000000000001</v>
      </c>
      <c r="Y12" s="36"/>
      <c r="Z12" s="38">
        <f t="shared" si="1"/>
        <v>3.4036</v>
      </c>
    </row>
    <row r="13" spans="1:26" s="39" customFormat="1">
      <c r="A13" s="92" t="s">
        <v>509</v>
      </c>
      <c r="B13" s="60">
        <v>1.2450000000000001</v>
      </c>
      <c r="C13" s="60">
        <v>1.651</v>
      </c>
      <c r="D13" s="60">
        <v>2.4129999999999998</v>
      </c>
      <c r="E13" s="60">
        <v>3.4039999999999999</v>
      </c>
      <c r="F13" s="60"/>
      <c r="G13" s="60"/>
      <c r="H13" s="60"/>
      <c r="I13" s="60"/>
      <c r="J13" s="60"/>
      <c r="K13" s="60"/>
      <c r="L13" s="327"/>
      <c r="M13" s="328"/>
      <c r="N13" s="328"/>
      <c r="O13" s="328"/>
      <c r="P13" s="328"/>
      <c r="Q13" s="328"/>
      <c r="R13" s="329"/>
    </row>
    <row r="14" spans="1:26" s="39" customFormat="1" ht="15" customHeight="1">
      <c r="A14" s="92" t="s">
        <v>237</v>
      </c>
      <c r="B14" s="330" t="s">
        <v>510</v>
      </c>
      <c r="C14" s="331"/>
      <c r="D14" s="331"/>
      <c r="E14" s="331"/>
      <c r="F14" s="331"/>
      <c r="G14" s="331"/>
      <c r="H14" s="331"/>
      <c r="I14" s="331"/>
      <c r="J14" s="331"/>
      <c r="K14" s="331"/>
      <c r="L14" s="331"/>
      <c r="M14" s="331"/>
      <c r="N14" s="331"/>
      <c r="O14" s="331"/>
      <c r="P14" s="331"/>
      <c r="Q14" s="331"/>
      <c r="R14" s="332"/>
    </row>
    <row r="15" spans="1:26" s="39" customFormat="1">
      <c r="A15" s="92" t="s">
        <v>240</v>
      </c>
      <c r="B15" s="330" t="s">
        <v>415</v>
      </c>
      <c r="C15" s="331"/>
      <c r="D15" s="331"/>
      <c r="E15" s="331"/>
      <c r="F15" s="331"/>
      <c r="G15" s="331"/>
      <c r="H15" s="331"/>
      <c r="I15" s="331"/>
      <c r="J15" s="331"/>
      <c r="K15" s="331"/>
      <c r="L15" s="331"/>
      <c r="M15" s="331"/>
      <c r="N15" s="331"/>
      <c r="O15" s="331"/>
      <c r="P15" s="331"/>
      <c r="Q15" s="331"/>
      <c r="R15" s="332"/>
    </row>
    <row r="16" spans="1:26" s="39" customFormat="1" ht="15" customHeight="1">
      <c r="A16" s="92" t="s">
        <v>491</v>
      </c>
      <c r="B16" s="330" t="s">
        <v>511</v>
      </c>
      <c r="C16" s="331"/>
      <c r="D16" s="331"/>
      <c r="E16" s="331"/>
      <c r="F16" s="331"/>
      <c r="G16" s="331"/>
      <c r="H16" s="331"/>
      <c r="I16" s="331"/>
      <c r="J16" s="331"/>
      <c r="K16" s="331"/>
      <c r="L16" s="331"/>
      <c r="M16" s="331"/>
      <c r="N16" s="331"/>
      <c r="O16" s="331"/>
      <c r="P16" s="331"/>
      <c r="Q16" s="331"/>
      <c r="R16" s="332"/>
    </row>
    <row r="17" spans="1:18">
      <c r="A17" s="91" t="s">
        <v>228</v>
      </c>
      <c r="B17" s="59">
        <v>0.5</v>
      </c>
      <c r="C17" s="59">
        <v>0.75</v>
      </c>
      <c r="D17" s="59">
        <v>1</v>
      </c>
      <c r="E17" s="59">
        <v>1.5</v>
      </c>
      <c r="F17" s="59"/>
      <c r="G17" s="59"/>
      <c r="H17" s="314"/>
      <c r="I17" s="315"/>
      <c r="J17" s="315"/>
      <c r="K17" s="315"/>
      <c r="L17" s="315"/>
      <c r="M17" s="315"/>
      <c r="N17" s="315"/>
      <c r="O17" s="315"/>
      <c r="P17" s="315"/>
      <c r="Q17" s="315"/>
      <c r="R17" s="316"/>
    </row>
    <row r="18" spans="1:18" ht="13.15" customHeight="1">
      <c r="A18" s="91" t="s">
        <v>234</v>
      </c>
      <c r="B18" s="305" t="s">
        <v>512</v>
      </c>
      <c r="C18" s="306"/>
      <c r="D18" s="306"/>
      <c r="E18" s="306"/>
      <c r="F18" s="306"/>
      <c r="G18" s="306"/>
      <c r="H18" s="306"/>
      <c r="I18" s="306"/>
      <c r="J18" s="306"/>
      <c r="K18" s="306"/>
      <c r="L18" s="306"/>
      <c r="M18" s="306"/>
      <c r="N18" s="306"/>
      <c r="O18" s="306"/>
      <c r="P18" s="306"/>
      <c r="Q18" s="306"/>
      <c r="R18" s="307"/>
    </row>
    <row r="19" spans="1:18" ht="13.15" customHeight="1">
      <c r="A19" s="91" t="s">
        <v>237</v>
      </c>
      <c r="B19" s="305" t="s">
        <v>513</v>
      </c>
      <c r="C19" s="306"/>
      <c r="D19" s="306"/>
      <c r="E19" s="306"/>
      <c r="F19" s="306"/>
      <c r="G19" s="306"/>
      <c r="H19" s="306"/>
      <c r="I19" s="306"/>
      <c r="J19" s="306"/>
      <c r="K19" s="306"/>
      <c r="L19" s="306"/>
      <c r="M19" s="306"/>
      <c r="N19" s="306"/>
      <c r="O19" s="306"/>
      <c r="P19" s="306"/>
      <c r="Q19" s="306"/>
      <c r="R19" s="307"/>
    </row>
    <row r="20" spans="1:18" ht="13.15" customHeight="1">
      <c r="A20" s="91" t="s">
        <v>240</v>
      </c>
      <c r="B20" s="305" t="s">
        <v>514</v>
      </c>
      <c r="C20" s="306"/>
      <c r="D20" s="306"/>
      <c r="E20" s="306"/>
      <c r="F20" s="306"/>
      <c r="G20" s="306"/>
      <c r="H20" s="306"/>
      <c r="I20" s="306"/>
      <c r="J20" s="306"/>
      <c r="K20" s="306"/>
      <c r="L20" s="306"/>
      <c r="M20" s="306"/>
      <c r="N20" s="306"/>
      <c r="O20" s="306"/>
      <c r="P20" s="306"/>
      <c r="Q20" s="306"/>
      <c r="R20" s="307"/>
    </row>
    <row r="21" spans="1:18" ht="13.15" customHeight="1">
      <c r="A21" s="91"/>
      <c r="B21" s="305"/>
      <c r="C21" s="306"/>
      <c r="D21" s="306"/>
      <c r="E21" s="306"/>
      <c r="F21" s="306"/>
      <c r="G21" s="306"/>
      <c r="H21" s="306"/>
      <c r="I21" s="306"/>
      <c r="J21" s="306"/>
      <c r="K21" s="306"/>
      <c r="L21" s="306"/>
      <c r="M21" s="306"/>
      <c r="N21" s="306"/>
      <c r="O21" s="306"/>
      <c r="P21" s="306"/>
      <c r="Q21" s="306"/>
      <c r="R21" s="307"/>
    </row>
    <row r="22" spans="1:18" ht="13.15" customHeight="1">
      <c r="A22" s="91"/>
      <c r="B22" s="305"/>
      <c r="C22" s="306"/>
      <c r="D22" s="306"/>
      <c r="E22" s="306"/>
      <c r="F22" s="306"/>
      <c r="G22" s="306"/>
      <c r="H22" s="306"/>
      <c r="I22" s="306"/>
      <c r="J22" s="306"/>
      <c r="K22" s="306"/>
      <c r="L22" s="306"/>
      <c r="M22" s="306"/>
      <c r="N22" s="306"/>
      <c r="O22" s="306"/>
      <c r="P22" s="306"/>
      <c r="Q22" s="306"/>
      <c r="R22" s="307"/>
    </row>
    <row r="23" spans="1:18" ht="13.15" customHeight="1">
      <c r="A23" s="91"/>
      <c r="B23" s="305"/>
      <c r="C23" s="306"/>
      <c r="D23" s="306"/>
      <c r="E23" s="306"/>
      <c r="F23" s="306"/>
      <c r="G23" s="306"/>
      <c r="H23" s="306"/>
      <c r="I23" s="306"/>
      <c r="J23" s="306"/>
      <c r="K23" s="306"/>
      <c r="L23" s="306"/>
      <c r="M23" s="306"/>
      <c r="N23" s="306"/>
      <c r="O23" s="306"/>
      <c r="P23" s="306"/>
      <c r="Q23" s="306"/>
      <c r="R23" s="307"/>
    </row>
    <row r="24" spans="1:18" ht="13.15" customHeight="1">
      <c r="A24" s="91"/>
      <c r="B24" s="321"/>
      <c r="C24" s="322"/>
      <c r="D24" s="322"/>
      <c r="E24" s="322"/>
      <c r="F24" s="322"/>
      <c r="G24" s="322"/>
      <c r="H24" s="322"/>
      <c r="I24" s="322"/>
      <c r="J24" s="322"/>
      <c r="K24" s="322"/>
      <c r="L24" s="322"/>
      <c r="M24" s="322"/>
      <c r="N24" s="322"/>
      <c r="O24" s="322"/>
      <c r="P24" s="322"/>
      <c r="Q24" s="322"/>
      <c r="R24" s="323"/>
    </row>
    <row r="25" spans="1:18" ht="13.15" customHeight="1">
      <c r="A25" s="91"/>
      <c r="B25" s="305"/>
      <c r="C25" s="306"/>
      <c r="D25" s="306"/>
      <c r="E25" s="306"/>
      <c r="F25" s="306"/>
      <c r="G25" s="306"/>
      <c r="H25" s="306"/>
      <c r="I25" s="306"/>
      <c r="J25" s="306"/>
      <c r="K25" s="306"/>
      <c r="L25" s="306"/>
      <c r="M25" s="306"/>
      <c r="N25" s="306"/>
      <c r="O25" s="306"/>
      <c r="P25" s="306"/>
      <c r="Q25" s="306"/>
      <c r="R25" s="307"/>
    </row>
    <row r="26" spans="1:18" ht="13.15" customHeight="1">
      <c r="A26" s="91"/>
      <c r="B26" s="305"/>
      <c r="C26" s="306"/>
      <c r="D26" s="306"/>
      <c r="E26" s="306"/>
      <c r="F26" s="306"/>
      <c r="G26" s="306"/>
      <c r="H26" s="306"/>
      <c r="I26" s="306"/>
      <c r="J26" s="306"/>
      <c r="K26" s="306"/>
      <c r="L26" s="306"/>
      <c r="M26" s="306"/>
      <c r="N26" s="306"/>
      <c r="O26" s="306"/>
      <c r="P26" s="306"/>
      <c r="Q26" s="306"/>
      <c r="R26" s="307"/>
    </row>
    <row r="27" spans="1:18">
      <c r="A27" s="320"/>
      <c r="B27" s="315"/>
      <c r="C27" s="315"/>
      <c r="D27" s="315"/>
      <c r="E27" s="315"/>
      <c r="F27" s="315"/>
      <c r="G27" s="315"/>
      <c r="H27" s="315"/>
      <c r="I27" s="315"/>
      <c r="J27" s="315"/>
      <c r="K27" s="315"/>
      <c r="L27" s="315"/>
      <c r="M27" s="315"/>
      <c r="N27" s="315"/>
      <c r="O27" s="315"/>
      <c r="P27" s="315"/>
      <c r="Q27" s="315"/>
      <c r="R27" s="316"/>
    </row>
    <row r="28" spans="1:18" ht="13.9" customHeight="1">
      <c r="A28" s="320"/>
      <c r="B28" s="315"/>
      <c r="C28" s="315"/>
      <c r="D28" s="315"/>
      <c r="E28" s="315"/>
      <c r="F28" s="315"/>
      <c r="G28" s="315"/>
      <c r="H28" s="315"/>
      <c r="I28" s="315"/>
      <c r="J28" s="315"/>
      <c r="K28" s="315"/>
      <c r="L28" s="315"/>
      <c r="M28" s="315"/>
      <c r="N28" s="315"/>
      <c r="O28" s="315"/>
      <c r="P28" s="315"/>
      <c r="Q28" s="315"/>
      <c r="R28" s="316"/>
    </row>
    <row r="29" spans="1:18">
      <c r="A29" s="91"/>
      <c r="B29" s="314"/>
      <c r="C29" s="315"/>
      <c r="D29" s="315"/>
      <c r="E29" s="315"/>
      <c r="F29" s="315"/>
      <c r="G29" s="315"/>
      <c r="H29" s="315"/>
      <c r="I29" s="315"/>
      <c r="J29" s="315"/>
      <c r="K29" s="315"/>
      <c r="L29" s="315"/>
      <c r="M29" s="315"/>
      <c r="N29" s="315"/>
      <c r="O29" s="315"/>
      <c r="P29" s="315"/>
      <c r="Q29" s="315"/>
      <c r="R29" s="316"/>
    </row>
    <row r="30" spans="1:18" ht="13.9" customHeight="1">
      <c r="A30" s="91"/>
      <c r="B30" s="305"/>
      <c r="C30" s="306"/>
      <c r="D30" s="306"/>
      <c r="E30" s="306"/>
      <c r="F30" s="306"/>
      <c r="G30" s="306"/>
      <c r="H30" s="306"/>
      <c r="I30" s="306"/>
      <c r="J30" s="306"/>
      <c r="K30" s="306"/>
      <c r="L30" s="306"/>
      <c r="M30" s="306"/>
      <c r="N30" s="306"/>
      <c r="O30" s="306"/>
      <c r="P30" s="306"/>
      <c r="Q30" s="306"/>
      <c r="R30" s="307"/>
    </row>
    <row r="31" spans="1:18" ht="13.9" customHeight="1">
      <c r="A31" s="91"/>
      <c r="B31" s="305"/>
      <c r="C31" s="306"/>
      <c r="D31" s="306"/>
      <c r="E31" s="306"/>
      <c r="F31" s="306"/>
      <c r="G31" s="306"/>
      <c r="H31" s="306"/>
      <c r="I31" s="306"/>
      <c r="J31" s="306"/>
      <c r="K31" s="306"/>
      <c r="L31" s="306"/>
      <c r="M31" s="306"/>
      <c r="N31" s="306"/>
      <c r="O31" s="306"/>
      <c r="P31" s="306"/>
      <c r="Q31" s="306"/>
      <c r="R31" s="307"/>
    </row>
    <row r="32" spans="1:18" ht="15.75" customHeight="1">
      <c r="A32" s="91"/>
      <c r="B32" s="305"/>
      <c r="C32" s="306"/>
      <c r="D32" s="306"/>
      <c r="E32" s="306"/>
      <c r="F32" s="306"/>
      <c r="G32" s="306"/>
      <c r="H32" s="306"/>
      <c r="I32" s="306"/>
      <c r="J32" s="306"/>
      <c r="K32" s="306"/>
      <c r="L32" s="306"/>
      <c r="M32" s="306"/>
      <c r="N32" s="306"/>
      <c r="O32" s="306"/>
      <c r="P32" s="306"/>
      <c r="Q32" s="306"/>
      <c r="R32" s="307"/>
    </row>
    <row r="33" spans="1:18">
      <c r="A33" s="317"/>
      <c r="B33" s="318"/>
      <c r="C33" s="318"/>
      <c r="D33" s="318"/>
      <c r="E33" s="318"/>
      <c r="F33" s="318"/>
      <c r="G33" s="318"/>
      <c r="H33" s="318"/>
      <c r="I33" s="318"/>
      <c r="J33" s="318"/>
      <c r="K33" s="318"/>
      <c r="L33" s="318"/>
      <c r="M33" s="318"/>
      <c r="N33" s="318"/>
      <c r="O33" s="318"/>
      <c r="P33" s="318"/>
      <c r="Q33" s="318"/>
      <c r="R33" s="319"/>
    </row>
    <row r="34" spans="1:18" ht="13.9" customHeight="1">
      <c r="A34" s="91"/>
      <c r="B34" s="305"/>
      <c r="C34" s="306"/>
      <c r="D34" s="306"/>
      <c r="E34" s="306"/>
      <c r="F34" s="306"/>
      <c r="G34" s="306"/>
      <c r="H34" s="306"/>
      <c r="I34" s="306"/>
      <c r="J34" s="306"/>
      <c r="K34" s="306"/>
      <c r="L34" s="306"/>
      <c r="M34" s="306"/>
      <c r="N34" s="306"/>
      <c r="O34" s="306"/>
      <c r="P34" s="306"/>
      <c r="Q34" s="306"/>
      <c r="R34" s="307"/>
    </row>
    <row r="35" spans="1:18" ht="15" customHeight="1">
      <c r="A35" s="91"/>
      <c r="B35" s="305"/>
      <c r="C35" s="306"/>
      <c r="D35" s="306"/>
      <c r="E35" s="306"/>
      <c r="F35" s="306"/>
      <c r="G35" s="306"/>
      <c r="H35" s="306"/>
      <c r="I35" s="306"/>
      <c r="J35" s="306"/>
      <c r="K35" s="306"/>
      <c r="L35" s="306"/>
      <c r="M35" s="306"/>
      <c r="N35" s="306"/>
      <c r="O35" s="306"/>
      <c r="P35" s="306"/>
      <c r="Q35" s="306"/>
      <c r="R35" s="307"/>
    </row>
    <row r="36" spans="1:18" ht="15" customHeight="1">
      <c r="A36" s="91"/>
      <c r="B36" s="305"/>
      <c r="C36" s="306"/>
      <c r="D36" s="306"/>
      <c r="E36" s="306"/>
      <c r="F36" s="306"/>
      <c r="G36" s="306"/>
      <c r="H36" s="306"/>
      <c r="I36" s="306"/>
      <c r="J36" s="306"/>
      <c r="K36" s="306"/>
      <c r="L36" s="306"/>
      <c r="M36" s="306"/>
      <c r="N36" s="306"/>
      <c r="O36" s="306"/>
      <c r="P36" s="306"/>
      <c r="Q36" s="306"/>
      <c r="R36" s="307"/>
    </row>
    <row r="37" spans="1:18">
      <c r="A37" s="317"/>
      <c r="B37" s="318"/>
      <c r="C37" s="318"/>
      <c r="D37" s="318"/>
      <c r="E37" s="318"/>
      <c r="F37" s="318"/>
      <c r="G37" s="318"/>
      <c r="H37" s="318"/>
      <c r="I37" s="318"/>
      <c r="J37" s="318"/>
      <c r="K37" s="318"/>
      <c r="L37" s="318"/>
      <c r="M37" s="318"/>
      <c r="N37" s="318"/>
      <c r="O37" s="318"/>
      <c r="P37" s="318"/>
      <c r="Q37" s="318"/>
      <c r="R37" s="319"/>
    </row>
    <row r="38" spans="1:18" ht="13.9" customHeight="1">
      <c r="A38" s="91"/>
      <c r="B38" s="305"/>
      <c r="C38" s="306"/>
      <c r="D38" s="306"/>
      <c r="E38" s="306"/>
      <c r="F38" s="306"/>
      <c r="G38" s="306"/>
      <c r="H38" s="306"/>
      <c r="I38" s="306"/>
      <c r="J38" s="306"/>
      <c r="K38" s="306"/>
      <c r="L38" s="306"/>
      <c r="M38" s="306"/>
      <c r="N38" s="306"/>
      <c r="O38" s="306"/>
      <c r="P38" s="306"/>
      <c r="Q38" s="306"/>
      <c r="R38" s="307"/>
    </row>
    <row r="39" spans="1:18" s="5" customFormat="1" ht="13.9" customHeight="1">
      <c r="A39" s="296" t="s">
        <v>271</v>
      </c>
      <c r="B39" s="297"/>
      <c r="C39" s="297"/>
      <c r="D39" s="297"/>
      <c r="E39" s="297"/>
      <c r="F39" s="297"/>
      <c r="G39" s="297"/>
      <c r="H39" s="297"/>
      <c r="I39" s="297"/>
      <c r="J39" s="297"/>
      <c r="K39" s="297"/>
      <c r="L39" s="297"/>
      <c r="M39" s="297"/>
      <c r="N39" s="297"/>
      <c r="O39" s="297"/>
      <c r="P39" s="297"/>
      <c r="Q39" s="297"/>
      <c r="R39" s="298"/>
    </row>
    <row r="40" spans="1:18" s="5" customFormat="1" ht="13.9" customHeight="1">
      <c r="A40" s="69" t="s">
        <v>272</v>
      </c>
      <c r="B40" s="144" t="e">
        <f ca="1">VLOOKUP(F3,INDEX!B:J,2,0)</f>
        <v>#VALUE!</v>
      </c>
      <c r="C40" s="145"/>
      <c r="D40" s="145"/>
      <c r="E40" s="145"/>
      <c r="F40" s="145"/>
      <c r="G40" s="145"/>
      <c r="H40" s="145"/>
      <c r="I40" s="145"/>
      <c r="J40" s="145"/>
      <c r="K40" s="145"/>
      <c r="L40" s="145"/>
      <c r="M40" s="145"/>
      <c r="N40" s="145"/>
      <c r="O40" s="145"/>
      <c r="P40" s="145"/>
      <c r="Q40" s="145"/>
      <c r="R40" s="147"/>
    </row>
    <row r="41" spans="1:18" s="5" customFormat="1" ht="13.9" customHeight="1">
      <c r="A41" s="69" t="s">
        <v>304</v>
      </c>
      <c r="B41" s="205" t="e">
        <f ca="1">"DSR"&amp;VLOOKUP(F3,INDEX!B:AH,33,0)&amp;"JT"</f>
        <v>#VALUE!</v>
      </c>
      <c r="C41" s="206"/>
      <c r="D41" s="206"/>
      <c r="E41" s="206"/>
      <c r="F41" s="206"/>
      <c r="G41" s="206"/>
      <c r="H41" s="206"/>
      <c r="I41" s="206"/>
      <c r="J41" s="206"/>
      <c r="K41" s="206"/>
      <c r="L41" s="206"/>
      <c r="M41" s="206"/>
      <c r="N41" s="206"/>
      <c r="O41" s="206"/>
      <c r="P41" s="206"/>
      <c r="Q41" s="206"/>
      <c r="R41" s="207"/>
    </row>
    <row r="42" spans="1:18" s="5" customFormat="1" ht="13.9" customHeight="1">
      <c r="A42" s="69" t="s">
        <v>515</v>
      </c>
      <c r="B42" s="205" t="e">
        <f ca="1">"NEE"&amp;VLOOKUP(F3,INDEX!B:AH,33,0)&amp;"F"</f>
        <v>#VALUE!</v>
      </c>
      <c r="C42" s="206"/>
      <c r="D42" s="206"/>
      <c r="E42" s="206"/>
      <c r="F42" s="206"/>
      <c r="G42" s="206"/>
      <c r="H42" s="206"/>
      <c r="I42" s="206"/>
      <c r="J42" s="206"/>
      <c r="K42" s="206"/>
      <c r="L42" s="206"/>
      <c r="M42" s="206"/>
      <c r="N42" s="206"/>
      <c r="O42" s="206"/>
      <c r="P42" s="206"/>
      <c r="Q42" s="206"/>
      <c r="R42" s="207"/>
    </row>
    <row r="43" spans="1:18" s="5" customFormat="1" ht="13.9" customHeight="1">
      <c r="A43" s="69" t="s">
        <v>516</v>
      </c>
      <c r="B43" s="109" t="e">
        <f ca="1">"BSF"&amp;VLOOKUP(F3,INDEX!B:AH,33,0)&amp;"J"</f>
        <v>#VALUE!</v>
      </c>
      <c r="C43" s="109"/>
      <c r="D43" s="109"/>
      <c r="E43" s="109"/>
      <c r="F43" s="109"/>
      <c r="G43" s="109"/>
      <c r="H43" s="109"/>
      <c r="I43" s="109"/>
      <c r="J43" s="109"/>
      <c r="K43" s="109"/>
      <c r="L43" s="109"/>
      <c r="M43" s="109"/>
      <c r="N43" s="109"/>
      <c r="O43" s="109"/>
      <c r="P43" s="109"/>
      <c r="Q43" s="109"/>
      <c r="R43" s="110"/>
    </row>
    <row r="44" spans="1:18" s="5" customFormat="1" ht="13.9" customHeight="1">
      <c r="A44" s="69" t="s">
        <v>517</v>
      </c>
      <c r="B44" s="109" t="e">
        <f ca="1">"CHP"&amp;VLOOKUP(F3,INDEX!B:AH,33,0)&amp;"F"</f>
        <v>#VALUE!</v>
      </c>
      <c r="C44" s="109"/>
      <c r="D44" s="109"/>
      <c r="E44" s="109"/>
      <c r="F44" s="109"/>
      <c r="G44" s="109"/>
      <c r="H44" s="109"/>
      <c r="I44" s="109"/>
      <c r="J44" s="109"/>
      <c r="K44" s="109"/>
      <c r="L44" s="109"/>
      <c r="M44" s="109"/>
      <c r="N44" s="109"/>
      <c r="O44" s="109"/>
      <c r="P44" s="109"/>
      <c r="Q44" s="109"/>
      <c r="R44" s="110"/>
    </row>
    <row r="45" spans="1:18" s="5" customFormat="1" ht="13.9" customHeight="1">
      <c r="A45" s="69"/>
      <c r="B45" s="144"/>
      <c r="C45" s="145"/>
      <c r="D45" s="145"/>
      <c r="E45" s="145"/>
      <c r="F45" s="145"/>
      <c r="G45" s="144"/>
      <c r="H45" s="145"/>
      <c r="I45" s="145"/>
      <c r="J45" s="145"/>
      <c r="K45" s="145"/>
      <c r="L45" s="145"/>
      <c r="M45" s="145"/>
      <c r="N45" s="145"/>
      <c r="O45" s="145"/>
      <c r="P45" s="145"/>
      <c r="Q45" s="145"/>
      <c r="R45" s="147"/>
    </row>
    <row r="46" spans="1:18">
      <c r="A46" s="299" t="s">
        <v>443</v>
      </c>
      <c r="B46" s="300"/>
      <c r="C46" s="300"/>
      <c r="D46" s="300"/>
      <c r="E46" s="300"/>
      <c r="F46" s="300"/>
      <c r="G46" s="300"/>
      <c r="H46" s="300"/>
      <c r="I46" s="300"/>
      <c r="J46" s="300"/>
      <c r="K46" s="300"/>
      <c r="L46" s="300"/>
      <c r="M46" s="300"/>
      <c r="N46" s="300"/>
      <c r="O46" s="300"/>
      <c r="P46" s="300"/>
      <c r="Q46" s="300"/>
      <c r="R46" s="301"/>
    </row>
    <row r="47" spans="1:18" ht="27" customHeight="1">
      <c r="A47" s="302" t="s">
        <v>518</v>
      </c>
      <c r="B47" s="303"/>
      <c r="C47" s="303"/>
      <c r="D47" s="303"/>
      <c r="E47" s="303"/>
      <c r="F47" s="303"/>
      <c r="G47" s="303"/>
      <c r="H47" s="303"/>
      <c r="I47" s="303"/>
      <c r="J47" s="303"/>
      <c r="K47" s="303"/>
      <c r="L47" s="303"/>
      <c r="M47" s="303"/>
      <c r="N47" s="303"/>
      <c r="O47" s="303"/>
      <c r="P47" s="303"/>
      <c r="Q47" s="303"/>
      <c r="R47" s="304"/>
    </row>
    <row r="48" spans="1:18">
      <c r="A48" s="308" t="s">
        <v>519</v>
      </c>
      <c r="B48" s="309"/>
      <c r="C48" s="309"/>
      <c r="D48" s="309"/>
      <c r="E48" s="309"/>
      <c r="F48" s="309"/>
      <c r="G48" s="309"/>
      <c r="H48" s="309"/>
      <c r="I48" s="309"/>
      <c r="J48" s="309"/>
      <c r="K48" s="309"/>
      <c r="L48" s="309"/>
      <c r="M48" s="309"/>
      <c r="N48" s="309"/>
      <c r="O48" s="309"/>
      <c r="P48" s="309"/>
      <c r="Q48" s="309"/>
      <c r="R48" s="310"/>
    </row>
    <row r="49" spans="1:18" ht="30.6" customHeight="1">
      <c r="A49" s="308" t="s">
        <v>520</v>
      </c>
      <c r="B49" s="309"/>
      <c r="C49" s="309"/>
      <c r="D49" s="309"/>
      <c r="E49" s="309"/>
      <c r="F49" s="309"/>
      <c r="G49" s="309"/>
      <c r="H49" s="309"/>
      <c r="I49" s="309"/>
      <c r="J49" s="309"/>
      <c r="K49" s="309"/>
      <c r="L49" s="309"/>
      <c r="M49" s="309"/>
      <c r="N49" s="309"/>
      <c r="O49" s="309"/>
      <c r="P49" s="309"/>
      <c r="Q49" s="309"/>
      <c r="R49" s="310"/>
    </row>
    <row r="50" spans="1:18">
      <c r="A50" s="308" t="s">
        <v>521</v>
      </c>
      <c r="B50" s="309"/>
      <c r="C50" s="309"/>
      <c r="D50" s="309"/>
      <c r="E50" s="309"/>
      <c r="F50" s="309"/>
      <c r="G50" s="309"/>
      <c r="H50" s="309"/>
      <c r="I50" s="309"/>
      <c r="J50" s="309"/>
      <c r="K50" s="309"/>
      <c r="L50" s="309"/>
      <c r="M50" s="309"/>
      <c r="N50" s="309"/>
      <c r="O50" s="309"/>
      <c r="P50" s="309"/>
      <c r="Q50" s="309"/>
      <c r="R50" s="310"/>
    </row>
    <row r="51" spans="1:18" ht="46.15" customHeight="1">
      <c r="A51" s="308" t="s">
        <v>522</v>
      </c>
      <c r="B51" s="309"/>
      <c r="C51" s="309"/>
      <c r="D51" s="309"/>
      <c r="E51" s="309"/>
      <c r="F51" s="309"/>
      <c r="G51" s="309"/>
      <c r="H51" s="309"/>
      <c r="I51" s="309"/>
      <c r="J51" s="309"/>
      <c r="K51" s="309"/>
      <c r="L51" s="309"/>
      <c r="M51" s="309"/>
      <c r="N51" s="309"/>
      <c r="O51" s="309"/>
      <c r="P51" s="309"/>
      <c r="Q51" s="309"/>
      <c r="R51" s="310"/>
    </row>
    <row r="52" spans="1:18" ht="32.25" customHeight="1">
      <c r="A52" s="308" t="s">
        <v>523</v>
      </c>
      <c r="B52" s="309"/>
      <c r="C52" s="309"/>
      <c r="D52" s="309"/>
      <c r="E52" s="309"/>
      <c r="F52" s="309"/>
      <c r="G52" s="309"/>
      <c r="H52" s="309"/>
      <c r="I52" s="309"/>
      <c r="J52" s="309"/>
      <c r="K52" s="309"/>
      <c r="L52" s="309"/>
      <c r="M52" s="309"/>
      <c r="N52" s="309"/>
      <c r="O52" s="309"/>
      <c r="P52" s="309"/>
      <c r="Q52" s="309"/>
      <c r="R52" s="310"/>
    </row>
    <row r="53" spans="1:18">
      <c r="A53" s="308" t="s">
        <v>524</v>
      </c>
      <c r="B53" s="309"/>
      <c r="C53" s="309"/>
      <c r="D53" s="309"/>
      <c r="E53" s="309"/>
      <c r="F53" s="309"/>
      <c r="G53" s="309"/>
      <c r="H53" s="309"/>
      <c r="I53" s="309"/>
      <c r="J53" s="309"/>
      <c r="K53" s="309"/>
      <c r="L53" s="309"/>
      <c r="M53" s="309"/>
      <c r="N53" s="309"/>
      <c r="O53" s="309"/>
      <c r="P53" s="309"/>
      <c r="Q53" s="309"/>
      <c r="R53" s="310"/>
    </row>
    <row r="54" spans="1:18" ht="29.45" customHeight="1" thickBot="1">
      <c r="A54" s="311" t="s">
        <v>525</v>
      </c>
      <c r="B54" s="312"/>
      <c r="C54" s="312"/>
      <c r="D54" s="312"/>
      <c r="E54" s="312"/>
      <c r="F54" s="312"/>
      <c r="G54" s="312"/>
      <c r="H54" s="312"/>
      <c r="I54" s="312"/>
      <c r="J54" s="312"/>
      <c r="K54" s="312"/>
      <c r="L54" s="312"/>
      <c r="M54" s="312"/>
      <c r="N54" s="312"/>
      <c r="O54" s="312"/>
      <c r="P54" s="312"/>
      <c r="Q54" s="312"/>
      <c r="R54" s="313"/>
    </row>
    <row r="55" spans="1:18">
      <c r="A55" s="61"/>
      <c r="B55" s="61"/>
      <c r="C55" s="61"/>
      <c r="D55" s="61"/>
      <c r="E55" s="61"/>
      <c r="F55" s="61"/>
      <c r="G55" s="61"/>
      <c r="H55" s="61"/>
      <c r="I55" s="61"/>
      <c r="J55" s="61"/>
      <c r="K55" s="61"/>
      <c r="L55" s="61"/>
      <c r="M55" s="61"/>
      <c r="N55" s="61"/>
      <c r="O55" s="61"/>
      <c r="P55" s="61"/>
      <c r="Q55" s="61"/>
      <c r="R55" s="61"/>
    </row>
  </sheetData>
  <mergeCells count="83">
    <mergeCell ref="A50:R50"/>
    <mergeCell ref="A51:R51"/>
    <mergeCell ref="A52:R52"/>
    <mergeCell ref="A53:R53"/>
    <mergeCell ref="A54:R54"/>
    <mergeCell ref="A49:R49"/>
    <mergeCell ref="A39:R39"/>
    <mergeCell ref="B40:R40"/>
    <mergeCell ref="B41:R41"/>
    <mergeCell ref="B42:R42"/>
    <mergeCell ref="B43:R43"/>
    <mergeCell ref="B44:E44"/>
    <mergeCell ref="F44:R44"/>
    <mergeCell ref="B45:F45"/>
    <mergeCell ref="G45:R45"/>
    <mergeCell ref="A46:R46"/>
    <mergeCell ref="A47:R47"/>
    <mergeCell ref="A48:R48"/>
    <mergeCell ref="B38:R38"/>
    <mergeCell ref="A27:R27"/>
    <mergeCell ref="A28:R28"/>
    <mergeCell ref="B29:R29"/>
    <mergeCell ref="B30:R30"/>
    <mergeCell ref="B31:R31"/>
    <mergeCell ref="B32:R32"/>
    <mergeCell ref="A33:R33"/>
    <mergeCell ref="B34:R34"/>
    <mergeCell ref="B35:R35"/>
    <mergeCell ref="B36:R36"/>
    <mergeCell ref="A37:R37"/>
    <mergeCell ref="B22:R22"/>
    <mergeCell ref="B23:R23"/>
    <mergeCell ref="B24:R24"/>
    <mergeCell ref="B25:R25"/>
    <mergeCell ref="B26:R26"/>
    <mergeCell ref="B21:R21"/>
    <mergeCell ref="P9:R9"/>
    <mergeCell ref="A10:R10"/>
    <mergeCell ref="B11:R11"/>
    <mergeCell ref="L12:R13"/>
    <mergeCell ref="B14:R14"/>
    <mergeCell ref="B15:R15"/>
    <mergeCell ref="B16:R16"/>
    <mergeCell ref="H17:R17"/>
    <mergeCell ref="B18:R18"/>
    <mergeCell ref="B19:R19"/>
    <mergeCell ref="B20:R20"/>
    <mergeCell ref="L8:M8"/>
    <mergeCell ref="N8:O8"/>
    <mergeCell ref="P8:R8"/>
    <mergeCell ref="B9:C9"/>
    <mergeCell ref="D9:E9"/>
    <mergeCell ref="F9:G9"/>
    <mergeCell ref="H9:I9"/>
    <mergeCell ref="J9:K9"/>
    <mergeCell ref="L9:M9"/>
    <mergeCell ref="N9:O9"/>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7" firstPageNumber="18"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BB31C-911A-4FCF-A6CC-B9CE289E5411}">
  <sheetPr>
    <tabColor theme="5" tint="-0.249977111117893"/>
    <pageSetUpPr fitToPage="1"/>
  </sheetPr>
  <dimension ref="A1:Z55"/>
  <sheetViews>
    <sheetView view="pageBreakPreview" zoomScale="120" zoomScaleNormal="85" zoomScaleSheetLayoutView="120" workbookViewId="0">
      <selection activeCell="S2" sqref="S2:U2"/>
    </sheetView>
  </sheetViews>
  <sheetFormatPr defaultColWidth="8.85546875" defaultRowHeight="15"/>
  <cols>
    <col min="1" max="1" width="11.7109375" style="36" customWidth="1"/>
    <col min="2" max="18" width="5.28515625" style="36" customWidth="1"/>
    <col min="19" max="16384" width="8.85546875" style="36"/>
  </cols>
  <sheetData>
    <row r="1" spans="1:26" s="4" customFormat="1" ht="14.45" customHeight="1">
      <c r="A1" s="132" t="e" vm="1">
        <v>#VALUE!</v>
      </c>
      <c r="B1" s="133"/>
      <c r="C1" s="133"/>
      <c r="D1" s="133"/>
      <c r="E1" s="134"/>
      <c r="F1" s="275" t="s">
        <v>213</v>
      </c>
      <c r="G1" s="276"/>
      <c r="H1" s="276"/>
      <c r="I1" s="276"/>
      <c r="J1" s="276"/>
      <c r="K1" s="276"/>
      <c r="L1" s="276"/>
      <c r="M1" s="276"/>
      <c r="N1" s="276"/>
      <c r="O1" s="276"/>
      <c r="P1" s="276"/>
      <c r="Q1" s="133" t="s">
        <v>214</v>
      </c>
      <c r="R1" s="134"/>
    </row>
    <row r="2" spans="1:26" s="4" customFormat="1"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26" s="4" customFormat="1">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26" s="4" customFormat="1"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26" s="4" customFormat="1"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26" s="4" customFormat="1"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26" s="4" customFormat="1" ht="14.45" customHeight="1">
      <c r="A7" s="167" t="s">
        <v>221</v>
      </c>
      <c r="B7" s="168"/>
      <c r="C7" s="168"/>
      <c r="D7" s="168"/>
      <c r="E7" s="168"/>
      <c r="F7" s="169"/>
      <c r="G7" s="169"/>
      <c r="H7" s="169"/>
      <c r="I7" s="169"/>
      <c r="J7" s="169"/>
      <c r="K7" s="169"/>
      <c r="L7" s="169"/>
      <c r="M7" s="169"/>
      <c r="N7" s="169"/>
      <c r="O7" s="169"/>
      <c r="P7" s="169"/>
      <c r="Q7" s="169"/>
      <c r="R7" s="170"/>
    </row>
    <row r="8" spans="1:26" s="38" customFormat="1">
      <c r="A8" s="88" t="s">
        <v>222</v>
      </c>
      <c r="B8" s="246">
        <v>330</v>
      </c>
      <c r="C8" s="277"/>
      <c r="D8" s="246">
        <v>325</v>
      </c>
      <c r="E8" s="277"/>
      <c r="F8" s="246"/>
      <c r="G8" s="277"/>
      <c r="H8" s="246"/>
      <c r="I8" s="277"/>
      <c r="J8" s="246"/>
      <c r="K8" s="277"/>
      <c r="L8" s="246"/>
      <c r="M8" s="277"/>
      <c r="N8" s="246"/>
      <c r="O8" s="277"/>
      <c r="P8" s="246" t="s">
        <v>223</v>
      </c>
      <c r="Q8" s="247"/>
      <c r="R8" s="248"/>
      <c r="S8" s="36"/>
      <c r="X8" s="38">
        <v>4.9000000000000002E-2</v>
      </c>
      <c r="Z8" s="38">
        <f t="shared" ref="Z8:Z9" si="0">CONVERT(X8,"in","mm")</f>
        <v>1.2445999999999999</v>
      </c>
    </row>
    <row r="9" spans="1:26" s="38" customFormat="1">
      <c r="A9" s="88" t="s">
        <v>224</v>
      </c>
      <c r="B9" s="246">
        <v>0</v>
      </c>
      <c r="C9" s="277"/>
      <c r="D9" s="246">
        <v>60</v>
      </c>
      <c r="E9" s="277"/>
      <c r="F9" s="246"/>
      <c r="G9" s="277"/>
      <c r="H9" s="246"/>
      <c r="I9" s="277"/>
      <c r="J9" s="246"/>
      <c r="K9" s="277"/>
      <c r="L9" s="246"/>
      <c r="M9" s="277"/>
      <c r="N9" s="246"/>
      <c r="O9" s="277"/>
      <c r="P9" s="246">
        <f>D8*1.5</f>
        <v>487.5</v>
      </c>
      <c r="Q9" s="247"/>
      <c r="R9" s="248"/>
      <c r="X9" s="38">
        <v>6.5000000000000002E-2</v>
      </c>
      <c r="Z9" s="38">
        <f t="shared" si="0"/>
        <v>1.6509999999999998</v>
      </c>
    </row>
    <row r="10" spans="1:26" s="38" customFormat="1">
      <c r="A10" s="266" t="s">
        <v>225</v>
      </c>
      <c r="B10" s="267"/>
      <c r="C10" s="267"/>
      <c r="D10" s="267"/>
      <c r="E10" s="267"/>
      <c r="F10" s="267"/>
      <c r="G10" s="267"/>
      <c r="H10" s="267"/>
      <c r="I10" s="267"/>
      <c r="J10" s="267"/>
      <c r="K10" s="267"/>
      <c r="L10" s="267"/>
      <c r="M10" s="267"/>
      <c r="N10" s="267"/>
      <c r="O10" s="267"/>
      <c r="P10" s="267"/>
      <c r="Q10" s="267"/>
      <c r="R10" s="268"/>
      <c r="X10" s="38">
        <v>9.5000000000000001E-2</v>
      </c>
      <c r="Z10" s="38">
        <f>CONVERT(X10,"in","mm")</f>
        <v>2.4130000000000003</v>
      </c>
    </row>
    <row r="11" spans="1:26" ht="13.9" customHeight="1">
      <c r="A11" s="91" t="s">
        <v>226</v>
      </c>
      <c r="B11" s="305" t="s">
        <v>508</v>
      </c>
      <c r="C11" s="306"/>
      <c r="D11" s="306"/>
      <c r="E11" s="306"/>
      <c r="F11" s="306"/>
      <c r="G11" s="306"/>
      <c r="H11" s="306"/>
      <c r="I11" s="306"/>
      <c r="J11" s="306"/>
      <c r="K11" s="306"/>
      <c r="L11" s="306"/>
      <c r="M11" s="306"/>
      <c r="N11" s="306"/>
      <c r="O11" s="306"/>
      <c r="P11" s="306"/>
      <c r="Q11" s="306"/>
      <c r="R11" s="307"/>
      <c r="X11" s="36">
        <v>0.109</v>
      </c>
      <c r="Z11" s="38">
        <f t="shared" ref="Z11:Z12" si="1">CONVERT(X11,"in","mm")</f>
        <v>2.7686000000000002</v>
      </c>
    </row>
    <row r="12" spans="1:26" s="39" customFormat="1">
      <c r="A12" s="92" t="s">
        <v>228</v>
      </c>
      <c r="B12" s="60">
        <v>0.5</v>
      </c>
      <c r="C12" s="60">
        <v>0.75</v>
      </c>
      <c r="D12" s="60">
        <v>1</v>
      </c>
      <c r="E12" s="60">
        <v>1.5</v>
      </c>
      <c r="F12" s="60"/>
      <c r="G12" s="60"/>
      <c r="H12" s="60"/>
      <c r="I12" s="60"/>
      <c r="J12" s="60"/>
      <c r="K12" s="60"/>
      <c r="L12" s="324"/>
      <c r="M12" s="325"/>
      <c r="N12" s="325"/>
      <c r="O12" s="325"/>
      <c r="P12" s="325"/>
      <c r="Q12" s="325"/>
      <c r="R12" s="326"/>
      <c r="U12" s="36"/>
      <c r="V12" s="36"/>
      <c r="W12" s="36"/>
      <c r="X12" s="36">
        <v>0.13400000000000001</v>
      </c>
      <c r="Y12" s="36"/>
      <c r="Z12" s="38">
        <f t="shared" si="1"/>
        <v>3.4036</v>
      </c>
    </row>
    <row r="13" spans="1:26" s="39" customFormat="1">
      <c r="A13" s="92" t="s">
        <v>509</v>
      </c>
      <c r="B13" s="60">
        <v>1.2450000000000001</v>
      </c>
      <c r="C13" s="60">
        <v>1.651</v>
      </c>
      <c r="D13" s="60">
        <v>2.4129999999999998</v>
      </c>
      <c r="E13" s="60">
        <v>3.4039999999999999</v>
      </c>
      <c r="F13" s="60"/>
      <c r="G13" s="60"/>
      <c r="H13" s="60"/>
      <c r="I13" s="60"/>
      <c r="J13" s="60"/>
      <c r="K13" s="60"/>
      <c r="L13" s="327"/>
      <c r="M13" s="328"/>
      <c r="N13" s="328"/>
      <c r="O13" s="328"/>
      <c r="P13" s="328"/>
      <c r="Q13" s="328"/>
      <c r="R13" s="329"/>
    </row>
    <row r="14" spans="1:26" s="39" customFormat="1" ht="15" customHeight="1">
      <c r="A14" s="92" t="s">
        <v>237</v>
      </c>
      <c r="B14" s="330" t="s">
        <v>510</v>
      </c>
      <c r="C14" s="331"/>
      <c r="D14" s="331"/>
      <c r="E14" s="331"/>
      <c r="F14" s="331"/>
      <c r="G14" s="331"/>
      <c r="H14" s="331"/>
      <c r="I14" s="331"/>
      <c r="J14" s="331"/>
      <c r="K14" s="331"/>
      <c r="L14" s="331"/>
      <c r="M14" s="331"/>
      <c r="N14" s="331"/>
      <c r="O14" s="331"/>
      <c r="P14" s="331"/>
      <c r="Q14" s="331"/>
      <c r="R14" s="332"/>
    </row>
    <row r="15" spans="1:26" s="39" customFormat="1">
      <c r="A15" s="92" t="s">
        <v>240</v>
      </c>
      <c r="B15" s="330" t="s">
        <v>415</v>
      </c>
      <c r="C15" s="331"/>
      <c r="D15" s="331"/>
      <c r="E15" s="331"/>
      <c r="F15" s="331"/>
      <c r="G15" s="331"/>
      <c r="H15" s="331"/>
      <c r="I15" s="331"/>
      <c r="J15" s="331"/>
      <c r="K15" s="331"/>
      <c r="L15" s="331"/>
      <c r="M15" s="331"/>
      <c r="N15" s="331"/>
      <c r="O15" s="331"/>
      <c r="P15" s="331"/>
      <c r="Q15" s="331"/>
      <c r="R15" s="332"/>
    </row>
    <row r="16" spans="1:26" s="39" customFormat="1" ht="15" customHeight="1">
      <c r="A16" s="92" t="s">
        <v>491</v>
      </c>
      <c r="B16" s="330" t="s">
        <v>511</v>
      </c>
      <c r="C16" s="331"/>
      <c r="D16" s="331"/>
      <c r="E16" s="331"/>
      <c r="F16" s="331"/>
      <c r="G16" s="331"/>
      <c r="H16" s="331"/>
      <c r="I16" s="331"/>
      <c r="J16" s="331"/>
      <c r="K16" s="331"/>
      <c r="L16" s="331"/>
      <c r="M16" s="331"/>
      <c r="N16" s="331"/>
      <c r="O16" s="331"/>
      <c r="P16" s="331"/>
      <c r="Q16" s="331"/>
      <c r="R16" s="332"/>
    </row>
    <row r="17" spans="1:18">
      <c r="A17" s="91" t="s">
        <v>228</v>
      </c>
      <c r="B17" s="59">
        <v>0.5</v>
      </c>
      <c r="C17" s="59">
        <v>0.75</v>
      </c>
      <c r="D17" s="59">
        <v>1</v>
      </c>
      <c r="E17" s="59">
        <v>1.5</v>
      </c>
      <c r="F17" s="59"/>
      <c r="G17" s="59"/>
      <c r="H17" s="314"/>
      <c r="I17" s="315"/>
      <c r="J17" s="315"/>
      <c r="K17" s="315"/>
      <c r="L17" s="315"/>
      <c r="M17" s="315"/>
      <c r="N17" s="315"/>
      <c r="O17" s="315"/>
      <c r="P17" s="315"/>
      <c r="Q17" s="315"/>
      <c r="R17" s="316"/>
    </row>
    <row r="18" spans="1:18" ht="13.15" customHeight="1">
      <c r="A18" s="91" t="s">
        <v>234</v>
      </c>
      <c r="B18" s="305" t="s">
        <v>512</v>
      </c>
      <c r="C18" s="306"/>
      <c r="D18" s="306"/>
      <c r="E18" s="306"/>
      <c r="F18" s="306"/>
      <c r="G18" s="306"/>
      <c r="H18" s="306"/>
      <c r="I18" s="306"/>
      <c r="J18" s="306"/>
      <c r="K18" s="306"/>
      <c r="L18" s="306"/>
      <c r="M18" s="306"/>
      <c r="N18" s="306"/>
      <c r="O18" s="306"/>
      <c r="P18" s="306"/>
      <c r="Q18" s="306"/>
      <c r="R18" s="307"/>
    </row>
    <row r="19" spans="1:18" ht="13.15" customHeight="1">
      <c r="A19" s="91" t="s">
        <v>237</v>
      </c>
      <c r="B19" s="305" t="s">
        <v>513</v>
      </c>
      <c r="C19" s="306"/>
      <c r="D19" s="306"/>
      <c r="E19" s="306"/>
      <c r="F19" s="306"/>
      <c r="G19" s="306"/>
      <c r="H19" s="306"/>
      <c r="I19" s="306"/>
      <c r="J19" s="306"/>
      <c r="K19" s="306"/>
      <c r="L19" s="306"/>
      <c r="M19" s="306"/>
      <c r="N19" s="306"/>
      <c r="O19" s="306"/>
      <c r="P19" s="306"/>
      <c r="Q19" s="306"/>
      <c r="R19" s="307"/>
    </row>
    <row r="20" spans="1:18" ht="13.15" customHeight="1">
      <c r="A20" s="91" t="s">
        <v>240</v>
      </c>
      <c r="B20" s="305" t="s">
        <v>514</v>
      </c>
      <c r="C20" s="306"/>
      <c r="D20" s="306"/>
      <c r="E20" s="306"/>
      <c r="F20" s="306"/>
      <c r="G20" s="306"/>
      <c r="H20" s="306"/>
      <c r="I20" s="306"/>
      <c r="J20" s="306"/>
      <c r="K20" s="306"/>
      <c r="L20" s="306"/>
      <c r="M20" s="306"/>
      <c r="N20" s="306"/>
      <c r="O20" s="306"/>
      <c r="P20" s="306"/>
      <c r="Q20" s="306"/>
      <c r="R20" s="307"/>
    </row>
    <row r="21" spans="1:18" ht="13.15" customHeight="1">
      <c r="A21" s="91"/>
      <c r="B21" s="305"/>
      <c r="C21" s="306"/>
      <c r="D21" s="306"/>
      <c r="E21" s="306"/>
      <c r="F21" s="306"/>
      <c r="G21" s="306"/>
      <c r="H21" s="306"/>
      <c r="I21" s="306"/>
      <c r="J21" s="306"/>
      <c r="K21" s="306"/>
      <c r="L21" s="306"/>
      <c r="M21" s="306"/>
      <c r="N21" s="306"/>
      <c r="O21" s="306"/>
      <c r="P21" s="306"/>
      <c r="Q21" s="306"/>
      <c r="R21" s="307"/>
    </row>
    <row r="22" spans="1:18" ht="13.15" customHeight="1">
      <c r="A22" s="91"/>
      <c r="B22" s="305"/>
      <c r="C22" s="306"/>
      <c r="D22" s="306"/>
      <c r="E22" s="306"/>
      <c r="F22" s="306"/>
      <c r="G22" s="306"/>
      <c r="H22" s="306"/>
      <c r="I22" s="306"/>
      <c r="J22" s="306"/>
      <c r="K22" s="306"/>
      <c r="L22" s="306"/>
      <c r="M22" s="306"/>
      <c r="N22" s="306"/>
      <c r="O22" s="306"/>
      <c r="P22" s="306"/>
      <c r="Q22" s="306"/>
      <c r="R22" s="307"/>
    </row>
    <row r="23" spans="1:18" ht="13.15" customHeight="1">
      <c r="A23" s="91"/>
      <c r="B23" s="305"/>
      <c r="C23" s="306"/>
      <c r="D23" s="306"/>
      <c r="E23" s="306"/>
      <c r="F23" s="306"/>
      <c r="G23" s="306"/>
      <c r="H23" s="306"/>
      <c r="I23" s="306"/>
      <c r="J23" s="306"/>
      <c r="K23" s="306"/>
      <c r="L23" s="306"/>
      <c r="M23" s="306"/>
      <c r="N23" s="306"/>
      <c r="O23" s="306"/>
      <c r="P23" s="306"/>
      <c r="Q23" s="306"/>
      <c r="R23" s="307"/>
    </row>
    <row r="24" spans="1:18" ht="13.15" customHeight="1">
      <c r="A24" s="91"/>
      <c r="B24" s="321"/>
      <c r="C24" s="322"/>
      <c r="D24" s="322"/>
      <c r="E24" s="322"/>
      <c r="F24" s="322"/>
      <c r="G24" s="322"/>
      <c r="H24" s="322"/>
      <c r="I24" s="322"/>
      <c r="J24" s="322"/>
      <c r="K24" s="322"/>
      <c r="L24" s="322"/>
      <c r="M24" s="322"/>
      <c r="N24" s="322"/>
      <c r="O24" s="322"/>
      <c r="P24" s="322"/>
      <c r="Q24" s="322"/>
      <c r="R24" s="323"/>
    </row>
    <row r="25" spans="1:18" ht="13.15" customHeight="1">
      <c r="A25" s="91"/>
      <c r="B25" s="305"/>
      <c r="C25" s="306"/>
      <c r="D25" s="306"/>
      <c r="E25" s="306"/>
      <c r="F25" s="306"/>
      <c r="G25" s="306"/>
      <c r="H25" s="306"/>
      <c r="I25" s="306"/>
      <c r="J25" s="306"/>
      <c r="K25" s="306"/>
      <c r="L25" s="306"/>
      <c r="M25" s="306"/>
      <c r="N25" s="306"/>
      <c r="O25" s="306"/>
      <c r="P25" s="306"/>
      <c r="Q25" s="306"/>
      <c r="R25" s="307"/>
    </row>
    <row r="26" spans="1:18" ht="13.15" customHeight="1">
      <c r="A26" s="91"/>
      <c r="B26" s="305"/>
      <c r="C26" s="306"/>
      <c r="D26" s="306"/>
      <c r="E26" s="306"/>
      <c r="F26" s="306"/>
      <c r="G26" s="306"/>
      <c r="H26" s="306"/>
      <c r="I26" s="306"/>
      <c r="J26" s="306"/>
      <c r="K26" s="306"/>
      <c r="L26" s="306"/>
      <c r="M26" s="306"/>
      <c r="N26" s="306"/>
      <c r="O26" s="306"/>
      <c r="P26" s="306"/>
      <c r="Q26" s="306"/>
      <c r="R26" s="307"/>
    </row>
    <row r="27" spans="1:18">
      <c r="A27" s="320"/>
      <c r="B27" s="315"/>
      <c r="C27" s="315"/>
      <c r="D27" s="315"/>
      <c r="E27" s="315"/>
      <c r="F27" s="315"/>
      <c r="G27" s="315"/>
      <c r="H27" s="315"/>
      <c r="I27" s="315"/>
      <c r="J27" s="315"/>
      <c r="K27" s="315"/>
      <c r="L27" s="315"/>
      <c r="M27" s="315"/>
      <c r="N27" s="315"/>
      <c r="O27" s="315"/>
      <c r="P27" s="315"/>
      <c r="Q27" s="315"/>
      <c r="R27" s="316"/>
    </row>
    <row r="28" spans="1:18" ht="13.9" customHeight="1">
      <c r="A28" s="320"/>
      <c r="B28" s="315"/>
      <c r="C28" s="315"/>
      <c r="D28" s="315"/>
      <c r="E28" s="315"/>
      <c r="F28" s="315"/>
      <c r="G28" s="315"/>
      <c r="H28" s="315"/>
      <c r="I28" s="315"/>
      <c r="J28" s="315"/>
      <c r="K28" s="315"/>
      <c r="L28" s="315"/>
      <c r="M28" s="315"/>
      <c r="N28" s="315"/>
      <c r="O28" s="315"/>
      <c r="P28" s="315"/>
      <c r="Q28" s="315"/>
      <c r="R28" s="316"/>
    </row>
    <row r="29" spans="1:18">
      <c r="A29" s="91"/>
      <c r="B29" s="314"/>
      <c r="C29" s="315"/>
      <c r="D29" s="315"/>
      <c r="E29" s="315"/>
      <c r="F29" s="315"/>
      <c r="G29" s="315"/>
      <c r="H29" s="315"/>
      <c r="I29" s="315"/>
      <c r="J29" s="315"/>
      <c r="K29" s="315"/>
      <c r="L29" s="315"/>
      <c r="M29" s="315"/>
      <c r="N29" s="315"/>
      <c r="O29" s="315"/>
      <c r="P29" s="315"/>
      <c r="Q29" s="315"/>
      <c r="R29" s="316"/>
    </row>
    <row r="30" spans="1:18" ht="13.9" customHeight="1">
      <c r="A30" s="91"/>
      <c r="B30" s="305"/>
      <c r="C30" s="306"/>
      <c r="D30" s="306"/>
      <c r="E30" s="306"/>
      <c r="F30" s="306"/>
      <c r="G30" s="306"/>
      <c r="H30" s="306"/>
      <c r="I30" s="306"/>
      <c r="J30" s="306"/>
      <c r="K30" s="306"/>
      <c r="L30" s="306"/>
      <c r="M30" s="306"/>
      <c r="N30" s="306"/>
      <c r="O30" s="306"/>
      <c r="P30" s="306"/>
      <c r="Q30" s="306"/>
      <c r="R30" s="307"/>
    </row>
    <row r="31" spans="1:18" ht="13.9" customHeight="1">
      <c r="A31" s="91"/>
      <c r="B31" s="305"/>
      <c r="C31" s="306"/>
      <c r="D31" s="306"/>
      <c r="E31" s="306"/>
      <c r="F31" s="306"/>
      <c r="G31" s="306"/>
      <c r="H31" s="306"/>
      <c r="I31" s="306"/>
      <c r="J31" s="306"/>
      <c r="K31" s="306"/>
      <c r="L31" s="306"/>
      <c r="M31" s="306"/>
      <c r="N31" s="306"/>
      <c r="O31" s="306"/>
      <c r="P31" s="306"/>
      <c r="Q31" s="306"/>
      <c r="R31" s="307"/>
    </row>
    <row r="32" spans="1:18" ht="15.75" customHeight="1">
      <c r="A32" s="91"/>
      <c r="B32" s="305"/>
      <c r="C32" s="306"/>
      <c r="D32" s="306"/>
      <c r="E32" s="306"/>
      <c r="F32" s="306"/>
      <c r="G32" s="306"/>
      <c r="H32" s="306"/>
      <c r="I32" s="306"/>
      <c r="J32" s="306"/>
      <c r="K32" s="306"/>
      <c r="L32" s="306"/>
      <c r="M32" s="306"/>
      <c r="N32" s="306"/>
      <c r="O32" s="306"/>
      <c r="P32" s="306"/>
      <c r="Q32" s="306"/>
      <c r="R32" s="307"/>
    </row>
    <row r="33" spans="1:18">
      <c r="A33" s="317"/>
      <c r="B33" s="318"/>
      <c r="C33" s="318"/>
      <c r="D33" s="318"/>
      <c r="E33" s="318"/>
      <c r="F33" s="318"/>
      <c r="G33" s="318"/>
      <c r="H33" s="318"/>
      <c r="I33" s="318"/>
      <c r="J33" s="318"/>
      <c r="K33" s="318"/>
      <c r="L33" s="318"/>
      <c r="M33" s="318"/>
      <c r="N33" s="318"/>
      <c r="O33" s="318"/>
      <c r="P33" s="318"/>
      <c r="Q33" s="318"/>
      <c r="R33" s="319"/>
    </row>
    <row r="34" spans="1:18" ht="13.9" customHeight="1">
      <c r="A34" s="91"/>
      <c r="B34" s="305"/>
      <c r="C34" s="306"/>
      <c r="D34" s="306"/>
      <c r="E34" s="306"/>
      <c r="F34" s="306"/>
      <c r="G34" s="306"/>
      <c r="H34" s="306"/>
      <c r="I34" s="306"/>
      <c r="J34" s="306"/>
      <c r="K34" s="306"/>
      <c r="L34" s="306"/>
      <c r="M34" s="306"/>
      <c r="N34" s="306"/>
      <c r="O34" s="306"/>
      <c r="P34" s="306"/>
      <c r="Q34" s="306"/>
      <c r="R34" s="307"/>
    </row>
    <row r="35" spans="1:18" ht="15" customHeight="1">
      <c r="A35" s="91"/>
      <c r="B35" s="305"/>
      <c r="C35" s="306"/>
      <c r="D35" s="306"/>
      <c r="E35" s="306"/>
      <c r="F35" s="306"/>
      <c r="G35" s="306"/>
      <c r="H35" s="306"/>
      <c r="I35" s="306"/>
      <c r="J35" s="306"/>
      <c r="K35" s="306"/>
      <c r="L35" s="306"/>
      <c r="M35" s="306"/>
      <c r="N35" s="306"/>
      <c r="O35" s="306"/>
      <c r="P35" s="306"/>
      <c r="Q35" s="306"/>
      <c r="R35" s="307"/>
    </row>
    <row r="36" spans="1:18" ht="15" customHeight="1">
      <c r="A36" s="91"/>
      <c r="B36" s="305"/>
      <c r="C36" s="306"/>
      <c r="D36" s="306"/>
      <c r="E36" s="306"/>
      <c r="F36" s="306"/>
      <c r="G36" s="306"/>
      <c r="H36" s="306"/>
      <c r="I36" s="306"/>
      <c r="J36" s="306"/>
      <c r="K36" s="306"/>
      <c r="L36" s="306"/>
      <c r="M36" s="306"/>
      <c r="N36" s="306"/>
      <c r="O36" s="306"/>
      <c r="P36" s="306"/>
      <c r="Q36" s="306"/>
      <c r="R36" s="307"/>
    </row>
    <row r="37" spans="1:18">
      <c r="A37" s="317"/>
      <c r="B37" s="318"/>
      <c r="C37" s="318"/>
      <c r="D37" s="318"/>
      <c r="E37" s="318"/>
      <c r="F37" s="318"/>
      <c r="G37" s="318"/>
      <c r="H37" s="318"/>
      <c r="I37" s="318"/>
      <c r="J37" s="318"/>
      <c r="K37" s="318"/>
      <c r="L37" s="318"/>
      <c r="M37" s="318"/>
      <c r="N37" s="318"/>
      <c r="O37" s="318"/>
      <c r="P37" s="318"/>
      <c r="Q37" s="318"/>
      <c r="R37" s="319"/>
    </row>
    <row r="38" spans="1:18" ht="13.9" customHeight="1">
      <c r="A38" s="91"/>
      <c r="B38" s="305"/>
      <c r="C38" s="306"/>
      <c r="D38" s="306"/>
      <c r="E38" s="306"/>
      <c r="F38" s="306"/>
      <c r="G38" s="306"/>
      <c r="H38" s="306"/>
      <c r="I38" s="306"/>
      <c r="J38" s="306"/>
      <c r="K38" s="306"/>
      <c r="L38" s="306"/>
      <c r="M38" s="306"/>
      <c r="N38" s="306"/>
      <c r="O38" s="306"/>
      <c r="P38" s="306"/>
      <c r="Q38" s="306"/>
      <c r="R38" s="307"/>
    </row>
    <row r="39" spans="1:18" s="5" customFormat="1" ht="13.9" customHeight="1">
      <c r="A39" s="296" t="s">
        <v>271</v>
      </c>
      <c r="B39" s="297"/>
      <c r="C39" s="297"/>
      <c r="D39" s="297"/>
      <c r="E39" s="297"/>
      <c r="F39" s="297"/>
      <c r="G39" s="297"/>
      <c r="H39" s="297"/>
      <c r="I39" s="297"/>
      <c r="J39" s="297"/>
      <c r="K39" s="297"/>
      <c r="L39" s="297"/>
      <c r="M39" s="297"/>
      <c r="N39" s="297"/>
      <c r="O39" s="297"/>
      <c r="P39" s="297"/>
      <c r="Q39" s="297"/>
      <c r="R39" s="298"/>
    </row>
    <row r="40" spans="1:18" s="5" customFormat="1" ht="13.9" customHeight="1">
      <c r="A40" s="69" t="s">
        <v>272</v>
      </c>
      <c r="B40" s="144" t="e">
        <f ca="1">VLOOKUP(F3,INDEX!B:J,2,0)</f>
        <v>#VALUE!</v>
      </c>
      <c r="C40" s="145"/>
      <c r="D40" s="145"/>
      <c r="E40" s="145"/>
      <c r="F40" s="145"/>
      <c r="G40" s="145"/>
      <c r="H40" s="145"/>
      <c r="I40" s="145"/>
      <c r="J40" s="145"/>
      <c r="K40" s="145"/>
      <c r="L40" s="145"/>
      <c r="M40" s="145"/>
      <c r="N40" s="145"/>
      <c r="O40" s="145"/>
      <c r="P40" s="145"/>
      <c r="Q40" s="145"/>
      <c r="R40" s="147"/>
    </row>
    <row r="41" spans="1:18" s="5" customFormat="1" ht="13.9" customHeight="1">
      <c r="A41" s="69" t="s">
        <v>304</v>
      </c>
      <c r="B41" s="205" t="e">
        <f ca="1">"DSR"&amp;VLOOKUP(F3,INDEX!B:AH,33,0)&amp;"JT"</f>
        <v>#VALUE!</v>
      </c>
      <c r="C41" s="206"/>
      <c r="D41" s="206"/>
      <c r="E41" s="206"/>
      <c r="F41" s="206"/>
      <c r="G41" s="206"/>
      <c r="H41" s="206"/>
      <c r="I41" s="206"/>
      <c r="J41" s="206"/>
      <c r="K41" s="206"/>
      <c r="L41" s="206"/>
      <c r="M41" s="206"/>
      <c r="N41" s="206"/>
      <c r="O41" s="206"/>
      <c r="P41" s="206"/>
      <c r="Q41" s="206"/>
      <c r="R41" s="207"/>
    </row>
    <row r="42" spans="1:18" s="5" customFormat="1" ht="13.9" customHeight="1">
      <c r="A42" s="69" t="s">
        <v>515</v>
      </c>
      <c r="B42" s="205" t="e">
        <f ca="1">"NEE"&amp;VLOOKUP(F3,INDEX!B:AH,33,0)&amp;"F"</f>
        <v>#VALUE!</v>
      </c>
      <c r="C42" s="206"/>
      <c r="D42" s="206"/>
      <c r="E42" s="206"/>
      <c r="F42" s="206"/>
      <c r="G42" s="206"/>
      <c r="H42" s="206"/>
      <c r="I42" s="206"/>
      <c r="J42" s="206"/>
      <c r="K42" s="206"/>
      <c r="L42" s="206"/>
      <c r="M42" s="206"/>
      <c r="N42" s="206"/>
      <c r="O42" s="206"/>
      <c r="P42" s="206"/>
      <c r="Q42" s="206"/>
      <c r="R42" s="207"/>
    </row>
    <row r="43" spans="1:18" s="5" customFormat="1" ht="13.9" customHeight="1">
      <c r="A43" s="69" t="s">
        <v>516</v>
      </c>
      <c r="B43" s="109" t="e">
        <f ca="1">"BSF"&amp;VLOOKUP(F3,INDEX!B:AH,33,0)&amp;"J"</f>
        <v>#VALUE!</v>
      </c>
      <c r="C43" s="109"/>
      <c r="D43" s="109"/>
      <c r="E43" s="109"/>
      <c r="F43" s="109"/>
      <c r="G43" s="109"/>
      <c r="H43" s="109"/>
      <c r="I43" s="109"/>
      <c r="J43" s="109"/>
      <c r="K43" s="109"/>
      <c r="L43" s="109"/>
      <c r="M43" s="109"/>
      <c r="N43" s="109"/>
      <c r="O43" s="109"/>
      <c r="P43" s="109"/>
      <c r="Q43" s="109"/>
      <c r="R43" s="110"/>
    </row>
    <row r="44" spans="1:18" s="5" customFormat="1" ht="13.9" customHeight="1">
      <c r="A44" s="69" t="s">
        <v>517</v>
      </c>
      <c r="B44" s="109" t="e">
        <f ca="1">"CHP"&amp;VLOOKUP(F3,INDEX!B:AH,33,0)&amp;"F"</f>
        <v>#VALUE!</v>
      </c>
      <c r="C44" s="109"/>
      <c r="D44" s="109"/>
      <c r="E44" s="109"/>
      <c r="F44" s="109"/>
      <c r="G44" s="109"/>
      <c r="H44" s="109"/>
      <c r="I44" s="109"/>
      <c r="J44" s="109"/>
      <c r="K44" s="109"/>
      <c r="L44" s="109"/>
      <c r="M44" s="109"/>
      <c r="N44" s="109"/>
      <c r="O44" s="109"/>
      <c r="P44" s="109"/>
      <c r="Q44" s="109"/>
      <c r="R44" s="110"/>
    </row>
    <row r="45" spans="1:18" s="5" customFormat="1" ht="13.9" customHeight="1">
      <c r="A45" s="69"/>
      <c r="B45" s="144"/>
      <c r="C45" s="145"/>
      <c r="D45" s="145"/>
      <c r="E45" s="145"/>
      <c r="F45" s="145"/>
      <c r="G45" s="144"/>
      <c r="H45" s="145"/>
      <c r="I45" s="145"/>
      <c r="J45" s="145"/>
      <c r="K45" s="145"/>
      <c r="L45" s="145"/>
      <c r="M45" s="145"/>
      <c r="N45" s="145"/>
      <c r="O45" s="145"/>
      <c r="P45" s="145"/>
      <c r="Q45" s="145"/>
      <c r="R45" s="147"/>
    </row>
    <row r="46" spans="1:18">
      <c r="A46" s="299" t="s">
        <v>443</v>
      </c>
      <c r="B46" s="300"/>
      <c r="C46" s="300"/>
      <c r="D46" s="300"/>
      <c r="E46" s="300"/>
      <c r="F46" s="300"/>
      <c r="G46" s="300"/>
      <c r="H46" s="300"/>
      <c r="I46" s="300"/>
      <c r="J46" s="300"/>
      <c r="K46" s="300"/>
      <c r="L46" s="300"/>
      <c r="M46" s="300"/>
      <c r="N46" s="300"/>
      <c r="O46" s="300"/>
      <c r="P46" s="300"/>
      <c r="Q46" s="300"/>
      <c r="R46" s="301"/>
    </row>
    <row r="47" spans="1:18" ht="27" customHeight="1">
      <c r="A47" s="302" t="s">
        <v>518</v>
      </c>
      <c r="B47" s="303"/>
      <c r="C47" s="303"/>
      <c r="D47" s="303"/>
      <c r="E47" s="303"/>
      <c r="F47" s="303"/>
      <c r="G47" s="303"/>
      <c r="H47" s="303"/>
      <c r="I47" s="303"/>
      <c r="J47" s="303"/>
      <c r="K47" s="303"/>
      <c r="L47" s="303"/>
      <c r="M47" s="303"/>
      <c r="N47" s="303"/>
      <c r="O47" s="303"/>
      <c r="P47" s="303"/>
      <c r="Q47" s="303"/>
      <c r="R47" s="304"/>
    </row>
    <row r="48" spans="1:18">
      <c r="A48" s="308" t="s">
        <v>519</v>
      </c>
      <c r="B48" s="309"/>
      <c r="C48" s="309"/>
      <c r="D48" s="309"/>
      <c r="E48" s="309"/>
      <c r="F48" s="309"/>
      <c r="G48" s="309"/>
      <c r="H48" s="309"/>
      <c r="I48" s="309"/>
      <c r="J48" s="309"/>
      <c r="K48" s="309"/>
      <c r="L48" s="309"/>
      <c r="M48" s="309"/>
      <c r="N48" s="309"/>
      <c r="O48" s="309"/>
      <c r="P48" s="309"/>
      <c r="Q48" s="309"/>
      <c r="R48" s="310"/>
    </row>
    <row r="49" spans="1:18" ht="30.6" customHeight="1">
      <c r="A49" s="308" t="s">
        <v>520</v>
      </c>
      <c r="B49" s="309"/>
      <c r="C49" s="309"/>
      <c r="D49" s="309"/>
      <c r="E49" s="309"/>
      <c r="F49" s="309"/>
      <c r="G49" s="309"/>
      <c r="H49" s="309"/>
      <c r="I49" s="309"/>
      <c r="J49" s="309"/>
      <c r="K49" s="309"/>
      <c r="L49" s="309"/>
      <c r="M49" s="309"/>
      <c r="N49" s="309"/>
      <c r="O49" s="309"/>
      <c r="P49" s="309"/>
      <c r="Q49" s="309"/>
      <c r="R49" s="310"/>
    </row>
    <row r="50" spans="1:18">
      <c r="A50" s="308" t="s">
        <v>521</v>
      </c>
      <c r="B50" s="309"/>
      <c r="C50" s="309"/>
      <c r="D50" s="309"/>
      <c r="E50" s="309"/>
      <c r="F50" s="309"/>
      <c r="G50" s="309"/>
      <c r="H50" s="309"/>
      <c r="I50" s="309"/>
      <c r="J50" s="309"/>
      <c r="K50" s="309"/>
      <c r="L50" s="309"/>
      <c r="M50" s="309"/>
      <c r="N50" s="309"/>
      <c r="O50" s="309"/>
      <c r="P50" s="309"/>
      <c r="Q50" s="309"/>
      <c r="R50" s="310"/>
    </row>
    <row r="51" spans="1:18" ht="46.15" customHeight="1">
      <c r="A51" s="308" t="s">
        <v>522</v>
      </c>
      <c r="B51" s="309"/>
      <c r="C51" s="309"/>
      <c r="D51" s="309"/>
      <c r="E51" s="309"/>
      <c r="F51" s="309"/>
      <c r="G51" s="309"/>
      <c r="H51" s="309"/>
      <c r="I51" s="309"/>
      <c r="J51" s="309"/>
      <c r="K51" s="309"/>
      <c r="L51" s="309"/>
      <c r="M51" s="309"/>
      <c r="N51" s="309"/>
      <c r="O51" s="309"/>
      <c r="P51" s="309"/>
      <c r="Q51" s="309"/>
      <c r="R51" s="310"/>
    </row>
    <row r="52" spans="1:18" ht="32.25" customHeight="1">
      <c r="A52" s="308" t="s">
        <v>523</v>
      </c>
      <c r="B52" s="309"/>
      <c r="C52" s="309"/>
      <c r="D52" s="309"/>
      <c r="E52" s="309"/>
      <c r="F52" s="309"/>
      <c r="G52" s="309"/>
      <c r="H52" s="309"/>
      <c r="I52" s="309"/>
      <c r="J52" s="309"/>
      <c r="K52" s="309"/>
      <c r="L52" s="309"/>
      <c r="M52" s="309"/>
      <c r="N52" s="309"/>
      <c r="O52" s="309"/>
      <c r="P52" s="309"/>
      <c r="Q52" s="309"/>
      <c r="R52" s="310"/>
    </row>
    <row r="53" spans="1:18">
      <c r="A53" s="308" t="s">
        <v>524</v>
      </c>
      <c r="B53" s="309"/>
      <c r="C53" s="309"/>
      <c r="D53" s="309"/>
      <c r="E53" s="309"/>
      <c r="F53" s="309"/>
      <c r="G53" s="309"/>
      <c r="H53" s="309"/>
      <c r="I53" s="309"/>
      <c r="J53" s="309"/>
      <c r="K53" s="309"/>
      <c r="L53" s="309"/>
      <c r="M53" s="309"/>
      <c r="N53" s="309"/>
      <c r="O53" s="309"/>
      <c r="P53" s="309"/>
      <c r="Q53" s="309"/>
      <c r="R53" s="310"/>
    </row>
    <row r="54" spans="1:18" ht="29.45" customHeight="1" thickBot="1">
      <c r="A54" s="311" t="s">
        <v>525</v>
      </c>
      <c r="B54" s="312"/>
      <c r="C54" s="312"/>
      <c r="D54" s="312"/>
      <c r="E54" s="312"/>
      <c r="F54" s="312"/>
      <c r="G54" s="312"/>
      <c r="H54" s="312"/>
      <c r="I54" s="312"/>
      <c r="J54" s="312"/>
      <c r="K54" s="312"/>
      <c r="L54" s="312"/>
      <c r="M54" s="312"/>
      <c r="N54" s="312"/>
      <c r="O54" s="312"/>
      <c r="P54" s="312"/>
      <c r="Q54" s="312"/>
      <c r="R54" s="313"/>
    </row>
    <row r="55" spans="1:18">
      <c r="A55" s="61"/>
      <c r="B55" s="61"/>
      <c r="C55" s="61"/>
      <c r="D55" s="61"/>
      <c r="E55" s="61"/>
      <c r="F55" s="61"/>
      <c r="G55" s="61"/>
      <c r="H55" s="61"/>
      <c r="I55" s="61"/>
      <c r="J55" s="61"/>
      <c r="K55" s="61"/>
      <c r="L55" s="61"/>
      <c r="M55" s="61"/>
      <c r="N55" s="61"/>
      <c r="O55" s="61"/>
      <c r="P55" s="61"/>
      <c r="Q55" s="61"/>
      <c r="R55" s="61"/>
    </row>
  </sheetData>
  <mergeCells count="83">
    <mergeCell ref="A50:R50"/>
    <mergeCell ref="A51:R51"/>
    <mergeCell ref="A52:R52"/>
    <mergeCell ref="A53:R53"/>
    <mergeCell ref="A54:R54"/>
    <mergeCell ref="A49:R49"/>
    <mergeCell ref="A39:R39"/>
    <mergeCell ref="B40:R40"/>
    <mergeCell ref="B41:R41"/>
    <mergeCell ref="B42:R42"/>
    <mergeCell ref="B43:R43"/>
    <mergeCell ref="B44:E44"/>
    <mergeCell ref="F44:R44"/>
    <mergeCell ref="B45:F45"/>
    <mergeCell ref="G45:R45"/>
    <mergeCell ref="A46:R46"/>
    <mergeCell ref="A47:R47"/>
    <mergeCell ref="A48:R48"/>
    <mergeCell ref="B38:R38"/>
    <mergeCell ref="A27:R27"/>
    <mergeCell ref="A28:R28"/>
    <mergeCell ref="B29:R29"/>
    <mergeCell ref="B30:R30"/>
    <mergeCell ref="B31:R31"/>
    <mergeCell ref="B32:R32"/>
    <mergeCell ref="A33:R33"/>
    <mergeCell ref="B34:R34"/>
    <mergeCell ref="B35:R35"/>
    <mergeCell ref="B36:R36"/>
    <mergeCell ref="A37:R37"/>
    <mergeCell ref="B22:R22"/>
    <mergeCell ref="B23:R23"/>
    <mergeCell ref="B24:R24"/>
    <mergeCell ref="B25:R25"/>
    <mergeCell ref="B26:R26"/>
    <mergeCell ref="B21:R21"/>
    <mergeCell ref="P9:R9"/>
    <mergeCell ref="A10:R10"/>
    <mergeCell ref="B11:R11"/>
    <mergeCell ref="L12:R13"/>
    <mergeCell ref="B14:R14"/>
    <mergeCell ref="B15:R15"/>
    <mergeCell ref="B16:R16"/>
    <mergeCell ref="H17:R17"/>
    <mergeCell ref="B18:R18"/>
    <mergeCell ref="B19:R19"/>
    <mergeCell ref="B20:R20"/>
    <mergeCell ref="L8:M8"/>
    <mergeCell ref="N8:O8"/>
    <mergeCell ref="P8:R8"/>
    <mergeCell ref="B9:C9"/>
    <mergeCell ref="D9:E9"/>
    <mergeCell ref="F9:G9"/>
    <mergeCell ref="H9:I9"/>
    <mergeCell ref="J9:K9"/>
    <mergeCell ref="L9:M9"/>
    <mergeCell ref="N9:O9"/>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7" firstPageNumber="18"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DA07E-9F01-4358-B8F6-E8706FF0BA26}">
  <sheetPr>
    <tabColor theme="5" tint="-0.249977111117893"/>
    <pageSetUpPr fitToPage="1"/>
  </sheetPr>
  <dimension ref="A1:Z55"/>
  <sheetViews>
    <sheetView view="pageBreakPreview" zoomScale="120" zoomScaleNormal="85" zoomScaleSheetLayoutView="120" workbookViewId="0">
      <selection activeCell="S2" sqref="S2:U2"/>
    </sheetView>
  </sheetViews>
  <sheetFormatPr defaultColWidth="8.85546875" defaultRowHeight="15"/>
  <cols>
    <col min="1" max="1" width="11.5703125" style="36" customWidth="1"/>
    <col min="2" max="18" width="5.28515625" style="36" customWidth="1"/>
    <col min="19" max="16384" width="8.85546875" style="36"/>
  </cols>
  <sheetData>
    <row r="1" spans="1:26" s="4" customFormat="1" ht="14.45" customHeight="1">
      <c r="A1" s="132" t="e" vm="1">
        <v>#VALUE!</v>
      </c>
      <c r="B1" s="133"/>
      <c r="C1" s="133"/>
      <c r="D1" s="133"/>
      <c r="E1" s="134"/>
      <c r="F1" s="275" t="s">
        <v>213</v>
      </c>
      <c r="G1" s="276"/>
      <c r="H1" s="276"/>
      <c r="I1" s="276"/>
      <c r="J1" s="276"/>
      <c r="K1" s="276"/>
      <c r="L1" s="276"/>
      <c r="M1" s="276"/>
      <c r="N1" s="276"/>
      <c r="O1" s="276"/>
      <c r="P1" s="276"/>
      <c r="Q1" s="133" t="s">
        <v>214</v>
      </c>
      <c r="R1" s="134"/>
    </row>
    <row r="2" spans="1:26" s="4" customFormat="1"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26" s="4" customFormat="1">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26" s="4" customFormat="1"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26" s="4" customFormat="1"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26" s="4" customFormat="1"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26" s="4" customFormat="1" ht="14.45" customHeight="1">
      <c r="A7" s="167" t="s">
        <v>221</v>
      </c>
      <c r="B7" s="168"/>
      <c r="C7" s="168"/>
      <c r="D7" s="168"/>
      <c r="E7" s="168"/>
      <c r="F7" s="169"/>
      <c r="G7" s="169"/>
      <c r="H7" s="169"/>
      <c r="I7" s="169"/>
      <c r="J7" s="169"/>
      <c r="K7" s="169"/>
      <c r="L7" s="169"/>
      <c r="M7" s="169"/>
      <c r="N7" s="169"/>
      <c r="O7" s="169"/>
      <c r="P7" s="169"/>
      <c r="Q7" s="169"/>
      <c r="R7" s="170"/>
    </row>
    <row r="8" spans="1:26" s="38" customFormat="1">
      <c r="A8" s="88" t="s">
        <v>222</v>
      </c>
      <c r="B8" s="246">
        <v>125</v>
      </c>
      <c r="C8" s="277"/>
      <c r="D8" s="246">
        <v>116</v>
      </c>
      <c r="E8" s="277"/>
      <c r="F8" s="246"/>
      <c r="G8" s="277"/>
      <c r="H8" s="246"/>
      <c r="I8" s="277"/>
      <c r="J8" s="246"/>
      <c r="K8" s="277"/>
      <c r="L8" s="246"/>
      <c r="M8" s="277"/>
      <c r="N8" s="246"/>
      <c r="O8" s="277"/>
      <c r="P8" s="246" t="s">
        <v>223</v>
      </c>
      <c r="Q8" s="247"/>
      <c r="R8" s="248"/>
      <c r="S8" s="36"/>
      <c r="X8" s="38">
        <v>4.9000000000000002E-2</v>
      </c>
      <c r="Z8" s="38">
        <f t="shared" ref="Z8:Z9" si="0">CONVERT(X8,"in","mm")</f>
        <v>1.2445999999999999</v>
      </c>
    </row>
    <row r="9" spans="1:26" s="38" customFormat="1">
      <c r="A9" s="88" t="s">
        <v>224</v>
      </c>
      <c r="B9" s="246">
        <v>0</v>
      </c>
      <c r="C9" s="277"/>
      <c r="D9" s="246">
        <v>60</v>
      </c>
      <c r="E9" s="277"/>
      <c r="F9" s="246"/>
      <c r="G9" s="277"/>
      <c r="H9" s="246"/>
      <c r="I9" s="277"/>
      <c r="J9" s="246"/>
      <c r="K9" s="277"/>
      <c r="L9" s="246"/>
      <c r="M9" s="277"/>
      <c r="N9" s="246"/>
      <c r="O9" s="277"/>
      <c r="P9" s="246">
        <f>D8*1.5</f>
        <v>174</v>
      </c>
      <c r="Q9" s="247"/>
      <c r="R9" s="248"/>
      <c r="X9" s="38">
        <v>6.5000000000000002E-2</v>
      </c>
      <c r="Z9" s="38">
        <f t="shared" si="0"/>
        <v>1.6509999999999998</v>
      </c>
    </row>
    <row r="10" spans="1:26" s="38" customFormat="1">
      <c r="A10" s="266" t="s">
        <v>225</v>
      </c>
      <c r="B10" s="267"/>
      <c r="C10" s="267"/>
      <c r="D10" s="267"/>
      <c r="E10" s="267"/>
      <c r="F10" s="267"/>
      <c r="G10" s="267"/>
      <c r="H10" s="267"/>
      <c r="I10" s="267"/>
      <c r="J10" s="267"/>
      <c r="K10" s="267"/>
      <c r="L10" s="267"/>
      <c r="M10" s="267"/>
      <c r="N10" s="267"/>
      <c r="O10" s="267"/>
      <c r="P10" s="267"/>
      <c r="Q10" s="267"/>
      <c r="R10" s="268"/>
      <c r="X10" s="38">
        <v>9.5000000000000001E-2</v>
      </c>
      <c r="Z10" s="38">
        <f>CONVERT(X10,"in","mm")</f>
        <v>2.4130000000000003</v>
      </c>
    </row>
    <row r="11" spans="1:26" ht="13.9" customHeight="1">
      <c r="A11" s="91" t="s">
        <v>226</v>
      </c>
      <c r="B11" s="305" t="s">
        <v>508</v>
      </c>
      <c r="C11" s="306"/>
      <c r="D11" s="306"/>
      <c r="E11" s="306"/>
      <c r="F11" s="306"/>
      <c r="G11" s="306"/>
      <c r="H11" s="306"/>
      <c r="I11" s="306"/>
      <c r="J11" s="306"/>
      <c r="K11" s="306"/>
      <c r="L11" s="306"/>
      <c r="M11" s="306"/>
      <c r="N11" s="306"/>
      <c r="O11" s="306"/>
      <c r="P11" s="306"/>
      <c r="Q11" s="306"/>
      <c r="R11" s="307"/>
      <c r="X11" s="36">
        <v>0.109</v>
      </c>
      <c r="Z11" s="38">
        <f t="shared" ref="Z11:Z12" si="1">CONVERT(X11,"in","mm")</f>
        <v>2.7686000000000002</v>
      </c>
    </row>
    <row r="12" spans="1:26" s="39" customFormat="1">
      <c r="A12" s="92" t="s">
        <v>228</v>
      </c>
      <c r="B12" s="60">
        <v>0.5</v>
      </c>
      <c r="C12" s="60">
        <v>0.75</v>
      </c>
      <c r="D12" s="60">
        <v>1</v>
      </c>
      <c r="E12" s="60">
        <v>1.5</v>
      </c>
      <c r="F12" s="60"/>
      <c r="G12" s="60"/>
      <c r="H12" s="60"/>
      <c r="I12" s="60"/>
      <c r="J12" s="60"/>
      <c r="K12" s="60"/>
      <c r="L12" s="324"/>
      <c r="M12" s="325"/>
      <c r="N12" s="325"/>
      <c r="O12" s="325"/>
      <c r="P12" s="325"/>
      <c r="Q12" s="325"/>
      <c r="R12" s="326"/>
      <c r="U12" s="36"/>
      <c r="V12" s="36"/>
      <c r="W12" s="36"/>
      <c r="X12" s="36">
        <v>0.13400000000000001</v>
      </c>
      <c r="Y12" s="36"/>
      <c r="Z12" s="38">
        <f t="shared" si="1"/>
        <v>3.4036</v>
      </c>
    </row>
    <row r="13" spans="1:26" s="39" customFormat="1">
      <c r="A13" s="92" t="s">
        <v>509</v>
      </c>
      <c r="B13" s="60">
        <v>1.2450000000000001</v>
      </c>
      <c r="C13" s="60">
        <v>1.651</v>
      </c>
      <c r="D13" s="60">
        <v>2.4129999999999998</v>
      </c>
      <c r="E13" s="60">
        <v>3.4039999999999999</v>
      </c>
      <c r="F13" s="60"/>
      <c r="G13" s="60"/>
      <c r="H13" s="60"/>
      <c r="I13" s="60"/>
      <c r="J13" s="60"/>
      <c r="K13" s="60"/>
      <c r="L13" s="327"/>
      <c r="M13" s="328"/>
      <c r="N13" s="328"/>
      <c r="O13" s="328"/>
      <c r="P13" s="328"/>
      <c r="Q13" s="328"/>
      <c r="R13" s="329"/>
    </row>
    <row r="14" spans="1:26" s="39" customFormat="1" ht="15" customHeight="1">
      <c r="A14" s="92" t="s">
        <v>237</v>
      </c>
      <c r="B14" s="330" t="s">
        <v>526</v>
      </c>
      <c r="C14" s="331"/>
      <c r="D14" s="331"/>
      <c r="E14" s="331"/>
      <c r="F14" s="331"/>
      <c r="G14" s="331"/>
      <c r="H14" s="331"/>
      <c r="I14" s="331"/>
      <c r="J14" s="331"/>
      <c r="K14" s="331"/>
      <c r="L14" s="331"/>
      <c r="M14" s="331"/>
      <c r="N14" s="331"/>
      <c r="O14" s="331"/>
      <c r="P14" s="331"/>
      <c r="Q14" s="331"/>
      <c r="R14" s="332"/>
    </row>
    <row r="15" spans="1:26" s="39" customFormat="1">
      <c r="A15" s="92" t="s">
        <v>240</v>
      </c>
      <c r="B15" s="330" t="s">
        <v>415</v>
      </c>
      <c r="C15" s="331"/>
      <c r="D15" s="331"/>
      <c r="E15" s="331"/>
      <c r="F15" s="331"/>
      <c r="G15" s="331"/>
      <c r="H15" s="331"/>
      <c r="I15" s="331"/>
      <c r="J15" s="331"/>
      <c r="K15" s="331"/>
      <c r="L15" s="331"/>
      <c r="M15" s="331"/>
      <c r="N15" s="331"/>
      <c r="O15" s="331"/>
      <c r="P15" s="331"/>
      <c r="Q15" s="331"/>
      <c r="R15" s="332"/>
    </row>
    <row r="16" spans="1:26" s="39" customFormat="1" ht="15" customHeight="1">
      <c r="A16" s="92" t="s">
        <v>491</v>
      </c>
      <c r="B16" s="330" t="s">
        <v>511</v>
      </c>
      <c r="C16" s="331"/>
      <c r="D16" s="331"/>
      <c r="E16" s="331"/>
      <c r="F16" s="331"/>
      <c r="G16" s="331"/>
      <c r="H16" s="331"/>
      <c r="I16" s="331"/>
      <c r="J16" s="331"/>
      <c r="K16" s="331"/>
      <c r="L16" s="331"/>
      <c r="M16" s="331"/>
      <c r="N16" s="331"/>
      <c r="O16" s="331"/>
      <c r="P16" s="331"/>
      <c r="Q16" s="331"/>
      <c r="R16" s="332"/>
    </row>
    <row r="17" spans="1:18">
      <c r="A17" s="91" t="s">
        <v>228</v>
      </c>
      <c r="B17" s="59">
        <v>0.5</v>
      </c>
      <c r="C17" s="59">
        <v>0.75</v>
      </c>
      <c r="D17" s="59">
        <v>1</v>
      </c>
      <c r="E17" s="59">
        <v>1.5</v>
      </c>
      <c r="F17" s="59"/>
      <c r="G17" s="59"/>
      <c r="H17" s="314"/>
      <c r="I17" s="315"/>
      <c r="J17" s="315"/>
      <c r="K17" s="315"/>
      <c r="L17" s="315"/>
      <c r="M17" s="315"/>
      <c r="N17" s="315"/>
      <c r="O17" s="315"/>
      <c r="P17" s="315"/>
      <c r="Q17" s="315"/>
      <c r="R17" s="316"/>
    </row>
    <row r="18" spans="1:18" ht="13.15" customHeight="1">
      <c r="A18" s="91" t="s">
        <v>234</v>
      </c>
      <c r="B18" s="305" t="s">
        <v>512</v>
      </c>
      <c r="C18" s="306"/>
      <c r="D18" s="306"/>
      <c r="E18" s="306"/>
      <c r="F18" s="306"/>
      <c r="G18" s="306"/>
      <c r="H18" s="306"/>
      <c r="I18" s="306"/>
      <c r="J18" s="306"/>
      <c r="K18" s="306"/>
      <c r="L18" s="306"/>
      <c r="M18" s="306"/>
      <c r="N18" s="306"/>
      <c r="O18" s="306"/>
      <c r="P18" s="306"/>
      <c r="Q18" s="306"/>
      <c r="R18" s="307"/>
    </row>
    <row r="19" spans="1:18" ht="13.15" customHeight="1">
      <c r="A19" s="91" t="s">
        <v>237</v>
      </c>
      <c r="B19" s="305" t="s">
        <v>513</v>
      </c>
      <c r="C19" s="306"/>
      <c r="D19" s="306"/>
      <c r="E19" s="306"/>
      <c r="F19" s="306"/>
      <c r="G19" s="306"/>
      <c r="H19" s="306"/>
      <c r="I19" s="306"/>
      <c r="J19" s="306"/>
      <c r="K19" s="306"/>
      <c r="L19" s="306"/>
      <c r="M19" s="306"/>
      <c r="N19" s="306"/>
      <c r="O19" s="306"/>
      <c r="P19" s="306"/>
      <c r="Q19" s="306"/>
      <c r="R19" s="307"/>
    </row>
    <row r="20" spans="1:18" ht="13.15" customHeight="1">
      <c r="A20" s="91" t="s">
        <v>240</v>
      </c>
      <c r="B20" s="305" t="s">
        <v>514</v>
      </c>
      <c r="C20" s="306"/>
      <c r="D20" s="306"/>
      <c r="E20" s="306"/>
      <c r="F20" s="306"/>
      <c r="G20" s="306"/>
      <c r="H20" s="306"/>
      <c r="I20" s="306"/>
      <c r="J20" s="306"/>
      <c r="K20" s="306"/>
      <c r="L20" s="306"/>
      <c r="M20" s="306"/>
      <c r="N20" s="306"/>
      <c r="O20" s="306"/>
      <c r="P20" s="306"/>
      <c r="Q20" s="306"/>
      <c r="R20" s="307"/>
    </row>
    <row r="21" spans="1:18" ht="13.15" customHeight="1">
      <c r="A21" s="91"/>
      <c r="B21" s="305"/>
      <c r="C21" s="306"/>
      <c r="D21" s="306"/>
      <c r="E21" s="306"/>
      <c r="F21" s="306"/>
      <c r="G21" s="306"/>
      <c r="H21" s="306"/>
      <c r="I21" s="306"/>
      <c r="J21" s="306"/>
      <c r="K21" s="306"/>
      <c r="L21" s="306"/>
      <c r="M21" s="306"/>
      <c r="N21" s="306"/>
      <c r="O21" s="306"/>
      <c r="P21" s="306"/>
      <c r="Q21" s="306"/>
      <c r="R21" s="307"/>
    </row>
    <row r="22" spans="1:18" ht="13.15" customHeight="1">
      <c r="A22" s="91"/>
      <c r="B22" s="305"/>
      <c r="C22" s="306"/>
      <c r="D22" s="306"/>
      <c r="E22" s="306"/>
      <c r="F22" s="306"/>
      <c r="G22" s="306"/>
      <c r="H22" s="306"/>
      <c r="I22" s="306"/>
      <c r="J22" s="306"/>
      <c r="K22" s="306"/>
      <c r="L22" s="306"/>
      <c r="M22" s="306"/>
      <c r="N22" s="306"/>
      <c r="O22" s="306"/>
      <c r="P22" s="306"/>
      <c r="Q22" s="306"/>
      <c r="R22" s="307"/>
    </row>
    <row r="23" spans="1:18" ht="13.15" customHeight="1">
      <c r="A23" s="91"/>
      <c r="B23" s="305"/>
      <c r="C23" s="306"/>
      <c r="D23" s="306"/>
      <c r="E23" s="306"/>
      <c r="F23" s="306"/>
      <c r="G23" s="306"/>
      <c r="H23" s="306"/>
      <c r="I23" s="306"/>
      <c r="J23" s="306"/>
      <c r="K23" s="306"/>
      <c r="L23" s="306"/>
      <c r="M23" s="306"/>
      <c r="N23" s="306"/>
      <c r="O23" s="306"/>
      <c r="P23" s="306"/>
      <c r="Q23" s="306"/>
      <c r="R23" s="307"/>
    </row>
    <row r="24" spans="1:18" ht="13.15" customHeight="1">
      <c r="A24" s="91"/>
      <c r="B24" s="321"/>
      <c r="C24" s="322"/>
      <c r="D24" s="322"/>
      <c r="E24" s="322"/>
      <c r="F24" s="322"/>
      <c r="G24" s="322"/>
      <c r="H24" s="322"/>
      <c r="I24" s="322"/>
      <c r="J24" s="322"/>
      <c r="K24" s="322"/>
      <c r="L24" s="322"/>
      <c r="M24" s="322"/>
      <c r="N24" s="322"/>
      <c r="O24" s="322"/>
      <c r="P24" s="322"/>
      <c r="Q24" s="322"/>
      <c r="R24" s="323"/>
    </row>
    <row r="25" spans="1:18" ht="13.15" customHeight="1">
      <c r="A25" s="91"/>
      <c r="B25" s="305"/>
      <c r="C25" s="306"/>
      <c r="D25" s="306"/>
      <c r="E25" s="306"/>
      <c r="F25" s="306"/>
      <c r="G25" s="306"/>
      <c r="H25" s="306"/>
      <c r="I25" s="306"/>
      <c r="J25" s="306"/>
      <c r="K25" s="306"/>
      <c r="L25" s="306"/>
      <c r="M25" s="306"/>
      <c r="N25" s="306"/>
      <c r="O25" s="306"/>
      <c r="P25" s="306"/>
      <c r="Q25" s="306"/>
      <c r="R25" s="307"/>
    </row>
    <row r="26" spans="1:18" ht="13.15" customHeight="1">
      <c r="A26" s="91"/>
      <c r="B26" s="305"/>
      <c r="C26" s="306"/>
      <c r="D26" s="306"/>
      <c r="E26" s="306"/>
      <c r="F26" s="306"/>
      <c r="G26" s="306"/>
      <c r="H26" s="306"/>
      <c r="I26" s="306"/>
      <c r="J26" s="306"/>
      <c r="K26" s="306"/>
      <c r="L26" s="306"/>
      <c r="M26" s="306"/>
      <c r="N26" s="306"/>
      <c r="O26" s="306"/>
      <c r="P26" s="306"/>
      <c r="Q26" s="306"/>
      <c r="R26" s="307"/>
    </row>
    <row r="27" spans="1:18">
      <c r="A27" s="320"/>
      <c r="B27" s="315"/>
      <c r="C27" s="315"/>
      <c r="D27" s="315"/>
      <c r="E27" s="315"/>
      <c r="F27" s="315"/>
      <c r="G27" s="315"/>
      <c r="H27" s="315"/>
      <c r="I27" s="315"/>
      <c r="J27" s="315"/>
      <c r="K27" s="315"/>
      <c r="L27" s="315"/>
      <c r="M27" s="315"/>
      <c r="N27" s="315"/>
      <c r="O27" s="315"/>
      <c r="P27" s="315"/>
      <c r="Q27" s="315"/>
      <c r="R27" s="316"/>
    </row>
    <row r="28" spans="1:18" ht="13.9" customHeight="1">
      <c r="A28" s="320"/>
      <c r="B28" s="315"/>
      <c r="C28" s="315"/>
      <c r="D28" s="315"/>
      <c r="E28" s="315"/>
      <c r="F28" s="315"/>
      <c r="G28" s="315"/>
      <c r="H28" s="315"/>
      <c r="I28" s="315"/>
      <c r="J28" s="315"/>
      <c r="K28" s="315"/>
      <c r="L28" s="315"/>
      <c r="M28" s="315"/>
      <c r="N28" s="315"/>
      <c r="O28" s="315"/>
      <c r="P28" s="315"/>
      <c r="Q28" s="315"/>
      <c r="R28" s="316"/>
    </row>
    <row r="29" spans="1:18">
      <c r="A29" s="91"/>
      <c r="B29" s="314"/>
      <c r="C29" s="315"/>
      <c r="D29" s="315"/>
      <c r="E29" s="315"/>
      <c r="F29" s="315"/>
      <c r="G29" s="315"/>
      <c r="H29" s="315"/>
      <c r="I29" s="315"/>
      <c r="J29" s="315"/>
      <c r="K29" s="315"/>
      <c r="L29" s="315"/>
      <c r="M29" s="315"/>
      <c r="N29" s="315"/>
      <c r="O29" s="315"/>
      <c r="P29" s="315"/>
      <c r="Q29" s="315"/>
      <c r="R29" s="316"/>
    </row>
    <row r="30" spans="1:18" ht="13.9" customHeight="1">
      <c r="A30" s="91"/>
      <c r="B30" s="305"/>
      <c r="C30" s="306"/>
      <c r="D30" s="306"/>
      <c r="E30" s="306"/>
      <c r="F30" s="306"/>
      <c r="G30" s="306"/>
      <c r="H30" s="306"/>
      <c r="I30" s="306"/>
      <c r="J30" s="306"/>
      <c r="K30" s="306"/>
      <c r="L30" s="306"/>
      <c r="M30" s="306"/>
      <c r="N30" s="306"/>
      <c r="O30" s="306"/>
      <c r="P30" s="306"/>
      <c r="Q30" s="306"/>
      <c r="R30" s="307"/>
    </row>
    <row r="31" spans="1:18" ht="13.9" customHeight="1">
      <c r="A31" s="91"/>
      <c r="B31" s="305"/>
      <c r="C31" s="306"/>
      <c r="D31" s="306"/>
      <c r="E31" s="306"/>
      <c r="F31" s="306"/>
      <c r="G31" s="306"/>
      <c r="H31" s="306"/>
      <c r="I31" s="306"/>
      <c r="J31" s="306"/>
      <c r="K31" s="306"/>
      <c r="L31" s="306"/>
      <c r="M31" s="306"/>
      <c r="N31" s="306"/>
      <c r="O31" s="306"/>
      <c r="P31" s="306"/>
      <c r="Q31" s="306"/>
      <c r="R31" s="307"/>
    </row>
    <row r="32" spans="1:18" ht="15.75" customHeight="1">
      <c r="A32" s="91"/>
      <c r="B32" s="305"/>
      <c r="C32" s="306"/>
      <c r="D32" s="306"/>
      <c r="E32" s="306"/>
      <c r="F32" s="306"/>
      <c r="G32" s="306"/>
      <c r="H32" s="306"/>
      <c r="I32" s="306"/>
      <c r="J32" s="306"/>
      <c r="K32" s="306"/>
      <c r="L32" s="306"/>
      <c r="M32" s="306"/>
      <c r="N32" s="306"/>
      <c r="O32" s="306"/>
      <c r="P32" s="306"/>
      <c r="Q32" s="306"/>
      <c r="R32" s="307"/>
    </row>
    <row r="33" spans="1:18">
      <c r="A33" s="317"/>
      <c r="B33" s="318"/>
      <c r="C33" s="318"/>
      <c r="D33" s="318"/>
      <c r="E33" s="318"/>
      <c r="F33" s="318"/>
      <c r="G33" s="318"/>
      <c r="H33" s="318"/>
      <c r="I33" s="318"/>
      <c r="J33" s="318"/>
      <c r="K33" s="318"/>
      <c r="L33" s="318"/>
      <c r="M33" s="318"/>
      <c r="N33" s="318"/>
      <c r="O33" s="318"/>
      <c r="P33" s="318"/>
      <c r="Q33" s="318"/>
      <c r="R33" s="319"/>
    </row>
    <row r="34" spans="1:18" ht="13.9" customHeight="1">
      <c r="A34" s="91"/>
      <c r="B34" s="305"/>
      <c r="C34" s="306"/>
      <c r="D34" s="306"/>
      <c r="E34" s="306"/>
      <c r="F34" s="306"/>
      <c r="G34" s="306"/>
      <c r="H34" s="306"/>
      <c r="I34" s="306"/>
      <c r="J34" s="306"/>
      <c r="K34" s="306"/>
      <c r="L34" s="306"/>
      <c r="M34" s="306"/>
      <c r="N34" s="306"/>
      <c r="O34" s="306"/>
      <c r="P34" s="306"/>
      <c r="Q34" s="306"/>
      <c r="R34" s="307"/>
    </row>
    <row r="35" spans="1:18" ht="15" customHeight="1">
      <c r="A35" s="91"/>
      <c r="B35" s="305"/>
      <c r="C35" s="306"/>
      <c r="D35" s="306"/>
      <c r="E35" s="306"/>
      <c r="F35" s="306"/>
      <c r="G35" s="306"/>
      <c r="H35" s="306"/>
      <c r="I35" s="306"/>
      <c r="J35" s="306"/>
      <c r="K35" s="306"/>
      <c r="L35" s="306"/>
      <c r="M35" s="306"/>
      <c r="N35" s="306"/>
      <c r="O35" s="306"/>
      <c r="P35" s="306"/>
      <c r="Q35" s="306"/>
      <c r="R35" s="307"/>
    </row>
    <row r="36" spans="1:18" ht="15" customHeight="1">
      <c r="A36" s="91"/>
      <c r="B36" s="305"/>
      <c r="C36" s="306"/>
      <c r="D36" s="306"/>
      <c r="E36" s="306"/>
      <c r="F36" s="306"/>
      <c r="G36" s="306"/>
      <c r="H36" s="306"/>
      <c r="I36" s="306"/>
      <c r="J36" s="306"/>
      <c r="K36" s="306"/>
      <c r="L36" s="306"/>
      <c r="M36" s="306"/>
      <c r="N36" s="306"/>
      <c r="O36" s="306"/>
      <c r="P36" s="306"/>
      <c r="Q36" s="306"/>
      <c r="R36" s="307"/>
    </row>
    <row r="37" spans="1:18">
      <c r="A37" s="317"/>
      <c r="B37" s="318"/>
      <c r="C37" s="318"/>
      <c r="D37" s="318"/>
      <c r="E37" s="318"/>
      <c r="F37" s="318"/>
      <c r="G37" s="318"/>
      <c r="H37" s="318"/>
      <c r="I37" s="318"/>
      <c r="J37" s="318"/>
      <c r="K37" s="318"/>
      <c r="L37" s="318"/>
      <c r="M37" s="318"/>
      <c r="N37" s="318"/>
      <c r="O37" s="318"/>
      <c r="P37" s="318"/>
      <c r="Q37" s="318"/>
      <c r="R37" s="319"/>
    </row>
    <row r="38" spans="1:18" ht="13.9" customHeight="1">
      <c r="A38" s="91"/>
      <c r="B38" s="305"/>
      <c r="C38" s="306"/>
      <c r="D38" s="306"/>
      <c r="E38" s="306"/>
      <c r="F38" s="306"/>
      <c r="G38" s="306"/>
      <c r="H38" s="306"/>
      <c r="I38" s="306"/>
      <c r="J38" s="306"/>
      <c r="K38" s="306"/>
      <c r="L38" s="306"/>
      <c r="M38" s="306"/>
      <c r="N38" s="306"/>
      <c r="O38" s="306"/>
      <c r="P38" s="306"/>
      <c r="Q38" s="306"/>
      <c r="R38" s="307"/>
    </row>
    <row r="39" spans="1:18" s="5" customFormat="1" ht="13.9" customHeight="1">
      <c r="A39" s="296" t="s">
        <v>527</v>
      </c>
      <c r="B39" s="297"/>
      <c r="C39" s="297"/>
      <c r="D39" s="297"/>
      <c r="E39" s="297"/>
      <c r="F39" s="297"/>
      <c r="G39" s="297"/>
      <c r="H39" s="297"/>
      <c r="I39" s="297"/>
      <c r="J39" s="297"/>
      <c r="K39" s="297"/>
      <c r="L39" s="297"/>
      <c r="M39" s="297"/>
      <c r="N39" s="297"/>
      <c r="O39" s="297"/>
      <c r="P39" s="297"/>
      <c r="Q39" s="297"/>
      <c r="R39" s="298"/>
    </row>
    <row r="40" spans="1:18" s="5" customFormat="1" ht="13.9" customHeight="1">
      <c r="A40" s="69" t="s">
        <v>272</v>
      </c>
      <c r="B40" s="144" t="e">
        <f ca="1">VLOOKUP(F3,INDEX!B:J,2,0)</f>
        <v>#VALUE!</v>
      </c>
      <c r="C40" s="145"/>
      <c r="D40" s="145"/>
      <c r="E40" s="145"/>
      <c r="F40" s="145"/>
      <c r="G40" s="145"/>
      <c r="H40" s="145"/>
      <c r="I40" s="145"/>
      <c r="J40" s="145"/>
      <c r="K40" s="145"/>
      <c r="L40" s="145"/>
      <c r="M40" s="145"/>
      <c r="N40" s="145"/>
      <c r="O40" s="145"/>
      <c r="P40" s="145"/>
      <c r="Q40" s="145"/>
      <c r="R40" s="147"/>
    </row>
    <row r="41" spans="1:18" s="5" customFormat="1" ht="13.9" customHeight="1">
      <c r="A41" s="69" t="s">
        <v>304</v>
      </c>
      <c r="B41" s="205" t="e">
        <f ca="1">"DSR"&amp;VLOOKUP(F3,INDEX!B:AH,33,0)&amp;"JT"</f>
        <v>#VALUE!</v>
      </c>
      <c r="C41" s="206"/>
      <c r="D41" s="206"/>
      <c r="E41" s="206"/>
      <c r="F41" s="206"/>
      <c r="G41" s="206"/>
      <c r="H41" s="206"/>
      <c r="I41" s="206"/>
      <c r="J41" s="206"/>
      <c r="K41" s="206"/>
      <c r="L41" s="206"/>
      <c r="M41" s="206"/>
      <c r="N41" s="206"/>
      <c r="O41" s="206"/>
      <c r="P41" s="206"/>
      <c r="Q41" s="206"/>
      <c r="R41" s="207"/>
    </row>
    <row r="42" spans="1:18" s="5" customFormat="1" ht="13.9" customHeight="1">
      <c r="A42" s="69" t="s">
        <v>515</v>
      </c>
      <c r="B42" s="205" t="e">
        <f ca="1">"NEE"&amp;VLOOKUP(F3,INDEX!B:AH,33,0)&amp;"F"</f>
        <v>#VALUE!</v>
      </c>
      <c r="C42" s="206"/>
      <c r="D42" s="206"/>
      <c r="E42" s="206"/>
      <c r="F42" s="206"/>
      <c r="G42" s="206"/>
      <c r="H42" s="206"/>
      <c r="I42" s="206"/>
      <c r="J42" s="206"/>
      <c r="K42" s="206"/>
      <c r="L42" s="206"/>
      <c r="M42" s="206"/>
      <c r="N42" s="206"/>
      <c r="O42" s="206"/>
      <c r="P42" s="206"/>
      <c r="Q42" s="206"/>
      <c r="R42" s="207"/>
    </row>
    <row r="43" spans="1:18" s="5" customFormat="1" ht="13.9" customHeight="1">
      <c r="A43" s="69" t="s">
        <v>516</v>
      </c>
      <c r="B43" s="109" t="e">
        <f ca="1">"BSF"&amp;VLOOKUP(F3,INDEX!B:AH,33,0)&amp;"J"</f>
        <v>#VALUE!</v>
      </c>
      <c r="C43" s="109"/>
      <c r="D43" s="109"/>
      <c r="E43" s="109"/>
      <c r="F43" s="109"/>
      <c r="G43" s="109"/>
      <c r="H43" s="109"/>
      <c r="I43" s="109"/>
      <c r="J43" s="109"/>
      <c r="K43" s="109"/>
      <c r="L43" s="109"/>
      <c r="M43" s="109"/>
      <c r="N43" s="109"/>
      <c r="O43" s="109"/>
      <c r="P43" s="109"/>
      <c r="Q43" s="109"/>
      <c r="R43" s="110"/>
    </row>
    <row r="44" spans="1:18" s="5" customFormat="1" ht="13.9" customHeight="1">
      <c r="A44" s="69" t="s">
        <v>517</v>
      </c>
      <c r="B44" s="109" t="e">
        <f ca="1">"CHP"&amp;VLOOKUP(F3,INDEX!B:AH,33,0)&amp;"F"</f>
        <v>#VALUE!</v>
      </c>
      <c r="C44" s="109"/>
      <c r="D44" s="109"/>
      <c r="E44" s="109"/>
      <c r="F44" s="109"/>
      <c r="G44" s="109"/>
      <c r="H44" s="109"/>
      <c r="I44" s="109"/>
      <c r="J44" s="109"/>
      <c r="K44" s="109"/>
      <c r="L44" s="109"/>
      <c r="M44" s="109"/>
      <c r="N44" s="109"/>
      <c r="O44" s="109"/>
      <c r="P44" s="109"/>
      <c r="Q44" s="109"/>
      <c r="R44" s="110"/>
    </row>
    <row r="45" spans="1:18" s="5" customFormat="1" ht="13.9" customHeight="1">
      <c r="A45" s="69"/>
      <c r="B45" s="144"/>
      <c r="C45" s="145"/>
      <c r="D45" s="145"/>
      <c r="E45" s="145"/>
      <c r="F45" s="145"/>
      <c r="G45" s="144"/>
      <c r="H45" s="145"/>
      <c r="I45" s="145"/>
      <c r="J45" s="145"/>
      <c r="K45" s="145"/>
      <c r="L45" s="145"/>
      <c r="M45" s="145"/>
      <c r="N45" s="145"/>
      <c r="O45" s="145"/>
      <c r="P45" s="145"/>
      <c r="Q45" s="145"/>
      <c r="R45" s="147"/>
    </row>
    <row r="46" spans="1:18">
      <c r="A46" s="299" t="s">
        <v>443</v>
      </c>
      <c r="B46" s="300"/>
      <c r="C46" s="300"/>
      <c r="D46" s="300"/>
      <c r="E46" s="300"/>
      <c r="F46" s="300"/>
      <c r="G46" s="300"/>
      <c r="H46" s="300"/>
      <c r="I46" s="300"/>
      <c r="J46" s="300"/>
      <c r="K46" s="300"/>
      <c r="L46" s="300"/>
      <c r="M46" s="300"/>
      <c r="N46" s="300"/>
      <c r="O46" s="300"/>
      <c r="P46" s="300"/>
      <c r="Q46" s="300"/>
      <c r="R46" s="301"/>
    </row>
    <row r="47" spans="1:18" ht="27" customHeight="1">
      <c r="A47" s="302" t="s">
        <v>518</v>
      </c>
      <c r="B47" s="303"/>
      <c r="C47" s="303"/>
      <c r="D47" s="303"/>
      <c r="E47" s="303"/>
      <c r="F47" s="303"/>
      <c r="G47" s="303"/>
      <c r="H47" s="303"/>
      <c r="I47" s="303"/>
      <c r="J47" s="303"/>
      <c r="K47" s="303"/>
      <c r="L47" s="303"/>
      <c r="M47" s="303"/>
      <c r="N47" s="303"/>
      <c r="O47" s="303"/>
      <c r="P47" s="303"/>
      <c r="Q47" s="303"/>
      <c r="R47" s="304"/>
    </row>
    <row r="48" spans="1:18">
      <c r="A48" s="308" t="s">
        <v>519</v>
      </c>
      <c r="B48" s="309"/>
      <c r="C48" s="309"/>
      <c r="D48" s="309"/>
      <c r="E48" s="309"/>
      <c r="F48" s="309"/>
      <c r="G48" s="309"/>
      <c r="H48" s="309"/>
      <c r="I48" s="309"/>
      <c r="J48" s="309"/>
      <c r="K48" s="309"/>
      <c r="L48" s="309"/>
      <c r="M48" s="309"/>
      <c r="N48" s="309"/>
      <c r="O48" s="309"/>
      <c r="P48" s="309"/>
      <c r="Q48" s="309"/>
      <c r="R48" s="310"/>
    </row>
    <row r="49" spans="1:18" ht="30.6" customHeight="1">
      <c r="A49" s="308" t="s">
        <v>520</v>
      </c>
      <c r="B49" s="309"/>
      <c r="C49" s="309"/>
      <c r="D49" s="309"/>
      <c r="E49" s="309"/>
      <c r="F49" s="309"/>
      <c r="G49" s="309"/>
      <c r="H49" s="309"/>
      <c r="I49" s="309"/>
      <c r="J49" s="309"/>
      <c r="K49" s="309"/>
      <c r="L49" s="309"/>
      <c r="M49" s="309"/>
      <c r="N49" s="309"/>
      <c r="O49" s="309"/>
      <c r="P49" s="309"/>
      <c r="Q49" s="309"/>
      <c r="R49" s="310"/>
    </row>
    <row r="50" spans="1:18">
      <c r="A50" s="308" t="s">
        <v>521</v>
      </c>
      <c r="B50" s="309"/>
      <c r="C50" s="309"/>
      <c r="D50" s="309"/>
      <c r="E50" s="309"/>
      <c r="F50" s="309"/>
      <c r="G50" s="309"/>
      <c r="H50" s="309"/>
      <c r="I50" s="309"/>
      <c r="J50" s="309"/>
      <c r="K50" s="309"/>
      <c r="L50" s="309"/>
      <c r="M50" s="309"/>
      <c r="N50" s="309"/>
      <c r="O50" s="309"/>
      <c r="P50" s="309"/>
      <c r="Q50" s="309"/>
      <c r="R50" s="310"/>
    </row>
    <row r="51" spans="1:18" ht="46.15" customHeight="1">
      <c r="A51" s="308" t="s">
        <v>522</v>
      </c>
      <c r="B51" s="309"/>
      <c r="C51" s="309"/>
      <c r="D51" s="309"/>
      <c r="E51" s="309"/>
      <c r="F51" s="309"/>
      <c r="G51" s="309"/>
      <c r="H51" s="309"/>
      <c r="I51" s="309"/>
      <c r="J51" s="309"/>
      <c r="K51" s="309"/>
      <c r="L51" s="309"/>
      <c r="M51" s="309"/>
      <c r="N51" s="309"/>
      <c r="O51" s="309"/>
      <c r="P51" s="309"/>
      <c r="Q51" s="309"/>
      <c r="R51" s="310"/>
    </row>
    <row r="52" spans="1:18" ht="32.25" customHeight="1">
      <c r="A52" s="308" t="s">
        <v>523</v>
      </c>
      <c r="B52" s="309"/>
      <c r="C52" s="309"/>
      <c r="D52" s="309"/>
      <c r="E52" s="309"/>
      <c r="F52" s="309"/>
      <c r="G52" s="309"/>
      <c r="H52" s="309"/>
      <c r="I52" s="309"/>
      <c r="J52" s="309"/>
      <c r="K52" s="309"/>
      <c r="L52" s="309"/>
      <c r="M52" s="309"/>
      <c r="N52" s="309"/>
      <c r="O52" s="309"/>
      <c r="P52" s="309"/>
      <c r="Q52" s="309"/>
      <c r="R52" s="310"/>
    </row>
    <row r="53" spans="1:18">
      <c r="A53" s="308" t="s">
        <v>524</v>
      </c>
      <c r="B53" s="309"/>
      <c r="C53" s="309"/>
      <c r="D53" s="309"/>
      <c r="E53" s="309"/>
      <c r="F53" s="309"/>
      <c r="G53" s="309"/>
      <c r="H53" s="309"/>
      <c r="I53" s="309"/>
      <c r="J53" s="309"/>
      <c r="K53" s="309"/>
      <c r="L53" s="309"/>
      <c r="M53" s="309"/>
      <c r="N53" s="309"/>
      <c r="O53" s="309"/>
      <c r="P53" s="309"/>
      <c r="Q53" s="309"/>
      <c r="R53" s="310"/>
    </row>
    <row r="54" spans="1:18" ht="29.45" customHeight="1" thickBot="1">
      <c r="A54" s="311" t="s">
        <v>525</v>
      </c>
      <c r="B54" s="312"/>
      <c r="C54" s="312"/>
      <c r="D54" s="312"/>
      <c r="E54" s="312"/>
      <c r="F54" s="312"/>
      <c r="G54" s="312"/>
      <c r="H54" s="312"/>
      <c r="I54" s="312"/>
      <c r="J54" s="312"/>
      <c r="K54" s="312"/>
      <c r="L54" s="312"/>
      <c r="M54" s="312"/>
      <c r="N54" s="312"/>
      <c r="O54" s="312"/>
      <c r="P54" s="312"/>
      <c r="Q54" s="312"/>
      <c r="R54" s="313"/>
    </row>
    <row r="55" spans="1:18">
      <c r="A55" s="61"/>
      <c r="B55" s="61"/>
      <c r="C55" s="61"/>
      <c r="D55" s="61"/>
      <c r="E55" s="61"/>
      <c r="F55" s="61"/>
      <c r="G55" s="61"/>
      <c r="H55" s="61"/>
      <c r="I55" s="61"/>
      <c r="J55" s="61"/>
      <c r="K55" s="61"/>
      <c r="L55" s="61"/>
      <c r="M55" s="61"/>
      <c r="N55" s="61"/>
      <c r="O55" s="61"/>
      <c r="P55" s="61"/>
      <c r="Q55" s="61"/>
      <c r="R55" s="61"/>
    </row>
  </sheetData>
  <mergeCells count="83">
    <mergeCell ref="A50:R50"/>
    <mergeCell ref="A51:R51"/>
    <mergeCell ref="A52:R52"/>
    <mergeCell ref="A53:R53"/>
    <mergeCell ref="A54:R54"/>
    <mergeCell ref="A49:R49"/>
    <mergeCell ref="B40:R40"/>
    <mergeCell ref="B41:R41"/>
    <mergeCell ref="B42:R42"/>
    <mergeCell ref="B43:R43"/>
    <mergeCell ref="B44:E44"/>
    <mergeCell ref="F44:R44"/>
    <mergeCell ref="B45:F45"/>
    <mergeCell ref="G45:R45"/>
    <mergeCell ref="A46:R46"/>
    <mergeCell ref="A47:R47"/>
    <mergeCell ref="A48:R48"/>
    <mergeCell ref="A39:R39"/>
    <mergeCell ref="A28:R28"/>
    <mergeCell ref="B29:R29"/>
    <mergeCell ref="B30:R30"/>
    <mergeCell ref="B31:R31"/>
    <mergeCell ref="B32:R32"/>
    <mergeCell ref="A33:R33"/>
    <mergeCell ref="B34:R34"/>
    <mergeCell ref="B35:R35"/>
    <mergeCell ref="B36:R36"/>
    <mergeCell ref="A37:R37"/>
    <mergeCell ref="B38:R38"/>
    <mergeCell ref="A27:R27"/>
    <mergeCell ref="B16:R16"/>
    <mergeCell ref="H17:R17"/>
    <mergeCell ref="B18:R18"/>
    <mergeCell ref="B19:R19"/>
    <mergeCell ref="B20:R20"/>
    <mergeCell ref="B21:R21"/>
    <mergeCell ref="B22:R22"/>
    <mergeCell ref="B23:R23"/>
    <mergeCell ref="B24:R24"/>
    <mergeCell ref="B25:R25"/>
    <mergeCell ref="B26:R26"/>
    <mergeCell ref="P9:R9"/>
    <mergeCell ref="A10:R10"/>
    <mergeCell ref="B11:R11"/>
    <mergeCell ref="L12:R13"/>
    <mergeCell ref="B14:R14"/>
    <mergeCell ref="B15:R15"/>
    <mergeCell ref="L8:M8"/>
    <mergeCell ref="N8:O8"/>
    <mergeCell ref="P8:R8"/>
    <mergeCell ref="B9:C9"/>
    <mergeCell ref="D9:E9"/>
    <mergeCell ref="F9:G9"/>
    <mergeCell ref="H9:I9"/>
    <mergeCell ref="J9:K9"/>
    <mergeCell ref="L9:M9"/>
    <mergeCell ref="N9:O9"/>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7" firstPageNumber="18"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584A-5A3F-41F3-A2BB-A9BB5816E912}">
  <sheetPr>
    <tabColor theme="5" tint="-0.249977111117893"/>
    <pageSetUpPr fitToPage="1"/>
  </sheetPr>
  <dimension ref="A1:Z55"/>
  <sheetViews>
    <sheetView view="pageBreakPreview" zoomScale="120" zoomScaleNormal="85" zoomScaleSheetLayoutView="120" workbookViewId="0">
      <selection activeCell="S2" sqref="S2:U2"/>
    </sheetView>
  </sheetViews>
  <sheetFormatPr defaultColWidth="8.85546875" defaultRowHeight="15"/>
  <cols>
    <col min="1" max="1" width="11.7109375" style="36" customWidth="1"/>
    <col min="2" max="18" width="5.28515625" style="36" customWidth="1"/>
    <col min="19" max="16384" width="8.85546875" style="36"/>
  </cols>
  <sheetData>
    <row r="1" spans="1:26" s="4" customFormat="1" ht="14.45" customHeight="1">
      <c r="A1" s="132" t="e" vm="1">
        <v>#VALUE!</v>
      </c>
      <c r="B1" s="133"/>
      <c r="C1" s="133"/>
      <c r="D1" s="133"/>
      <c r="E1" s="134"/>
      <c r="F1" s="275" t="s">
        <v>213</v>
      </c>
      <c r="G1" s="276"/>
      <c r="H1" s="276"/>
      <c r="I1" s="276"/>
      <c r="J1" s="276"/>
      <c r="K1" s="276"/>
      <c r="L1" s="276"/>
      <c r="M1" s="276"/>
      <c r="N1" s="276"/>
      <c r="O1" s="276"/>
      <c r="P1" s="276"/>
      <c r="Q1" s="133" t="s">
        <v>214</v>
      </c>
      <c r="R1" s="134"/>
    </row>
    <row r="2" spans="1:26" s="4" customFormat="1"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26" s="4" customFormat="1">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26" s="4" customFormat="1"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26" s="4" customFormat="1"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26" s="4" customFormat="1"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26" s="4" customFormat="1" ht="14.45" customHeight="1">
      <c r="A7" s="167" t="s">
        <v>221</v>
      </c>
      <c r="B7" s="168"/>
      <c r="C7" s="168"/>
      <c r="D7" s="168"/>
      <c r="E7" s="168"/>
      <c r="F7" s="169"/>
      <c r="G7" s="169"/>
      <c r="H7" s="169"/>
      <c r="I7" s="169"/>
      <c r="J7" s="169"/>
      <c r="K7" s="169"/>
      <c r="L7" s="169"/>
      <c r="M7" s="169"/>
      <c r="N7" s="169"/>
      <c r="O7" s="169"/>
      <c r="P7" s="169"/>
      <c r="Q7" s="169"/>
      <c r="R7" s="170"/>
    </row>
    <row r="8" spans="1:26" s="38" customFormat="1">
      <c r="A8" s="88" t="s">
        <v>222</v>
      </c>
      <c r="B8" s="246">
        <v>206</v>
      </c>
      <c r="C8" s="277"/>
      <c r="D8" s="246">
        <v>200</v>
      </c>
      <c r="E8" s="277"/>
      <c r="F8" s="246"/>
      <c r="G8" s="277"/>
      <c r="H8" s="246"/>
      <c r="I8" s="277"/>
      <c r="J8" s="246"/>
      <c r="K8" s="277"/>
      <c r="L8" s="246"/>
      <c r="M8" s="277"/>
      <c r="N8" s="246"/>
      <c r="O8" s="277"/>
      <c r="P8" s="246" t="s">
        <v>223</v>
      </c>
      <c r="Q8" s="247"/>
      <c r="R8" s="248"/>
      <c r="S8" s="36"/>
      <c r="X8" s="38">
        <v>4.9000000000000002E-2</v>
      </c>
      <c r="Z8" s="38">
        <f t="shared" ref="Z8:Z9" si="0">CONVERT(X8,"in","mm")</f>
        <v>1.2445999999999999</v>
      </c>
    </row>
    <row r="9" spans="1:26" s="38" customFormat="1">
      <c r="A9" s="88" t="s">
        <v>224</v>
      </c>
      <c r="B9" s="246">
        <v>0</v>
      </c>
      <c r="C9" s="277"/>
      <c r="D9" s="246">
        <v>60</v>
      </c>
      <c r="E9" s="277"/>
      <c r="F9" s="246"/>
      <c r="G9" s="277"/>
      <c r="H9" s="246"/>
      <c r="I9" s="277"/>
      <c r="J9" s="246"/>
      <c r="K9" s="277"/>
      <c r="L9" s="246"/>
      <c r="M9" s="277"/>
      <c r="N9" s="246"/>
      <c r="O9" s="277"/>
      <c r="P9" s="246">
        <f>D8*1.5</f>
        <v>300</v>
      </c>
      <c r="Q9" s="247"/>
      <c r="R9" s="248"/>
      <c r="X9" s="38">
        <v>6.5000000000000002E-2</v>
      </c>
      <c r="Z9" s="38">
        <f t="shared" si="0"/>
        <v>1.6509999999999998</v>
      </c>
    </row>
    <row r="10" spans="1:26" s="38" customFormat="1">
      <c r="A10" s="266" t="s">
        <v>225</v>
      </c>
      <c r="B10" s="267"/>
      <c r="C10" s="267"/>
      <c r="D10" s="267"/>
      <c r="E10" s="267"/>
      <c r="F10" s="267"/>
      <c r="G10" s="267"/>
      <c r="H10" s="267"/>
      <c r="I10" s="267"/>
      <c r="J10" s="267"/>
      <c r="K10" s="267"/>
      <c r="L10" s="267"/>
      <c r="M10" s="267"/>
      <c r="N10" s="267"/>
      <c r="O10" s="267"/>
      <c r="P10" s="267"/>
      <c r="Q10" s="267"/>
      <c r="R10" s="268"/>
      <c r="X10" s="38">
        <v>9.5000000000000001E-2</v>
      </c>
      <c r="Z10" s="38">
        <f>CONVERT(X10,"in","mm")</f>
        <v>2.4130000000000003</v>
      </c>
    </row>
    <row r="11" spans="1:26" ht="13.9" customHeight="1">
      <c r="A11" s="91" t="s">
        <v>226</v>
      </c>
      <c r="B11" s="305" t="s">
        <v>508</v>
      </c>
      <c r="C11" s="306"/>
      <c r="D11" s="306"/>
      <c r="E11" s="306"/>
      <c r="F11" s="306"/>
      <c r="G11" s="306"/>
      <c r="H11" s="306"/>
      <c r="I11" s="306"/>
      <c r="J11" s="306"/>
      <c r="K11" s="306"/>
      <c r="L11" s="306"/>
      <c r="M11" s="306"/>
      <c r="N11" s="306"/>
      <c r="O11" s="306"/>
      <c r="P11" s="306"/>
      <c r="Q11" s="306"/>
      <c r="R11" s="307"/>
      <c r="X11" s="36">
        <v>0.109</v>
      </c>
      <c r="Z11" s="38">
        <f t="shared" ref="Z11:Z12" si="1">CONVERT(X11,"in","mm")</f>
        <v>2.7686000000000002</v>
      </c>
    </row>
    <row r="12" spans="1:26" s="39" customFormat="1">
      <c r="A12" s="92" t="s">
        <v>228</v>
      </c>
      <c r="B12" s="60">
        <v>0.5</v>
      </c>
      <c r="C12" s="60">
        <v>0.75</v>
      </c>
      <c r="D12" s="60">
        <v>1</v>
      </c>
      <c r="E12" s="60">
        <v>1.5</v>
      </c>
      <c r="F12" s="60"/>
      <c r="G12" s="60"/>
      <c r="H12" s="60"/>
      <c r="I12" s="60"/>
      <c r="J12" s="60"/>
      <c r="K12" s="60"/>
      <c r="L12" s="324"/>
      <c r="M12" s="325"/>
      <c r="N12" s="325"/>
      <c r="O12" s="325"/>
      <c r="P12" s="325"/>
      <c r="Q12" s="325"/>
      <c r="R12" s="326"/>
      <c r="U12" s="36"/>
      <c r="V12" s="36"/>
      <c r="W12" s="36"/>
      <c r="X12" s="36">
        <v>0.13400000000000001</v>
      </c>
      <c r="Y12" s="36"/>
      <c r="Z12" s="38">
        <f t="shared" si="1"/>
        <v>3.4036</v>
      </c>
    </row>
    <row r="13" spans="1:26" s="39" customFormat="1">
      <c r="A13" s="92" t="s">
        <v>509</v>
      </c>
      <c r="B13" s="60">
        <v>1.2450000000000001</v>
      </c>
      <c r="C13" s="60">
        <v>1.651</v>
      </c>
      <c r="D13" s="60">
        <v>2.4129999999999998</v>
      </c>
      <c r="E13" s="60">
        <v>3.4039999999999999</v>
      </c>
      <c r="F13" s="60"/>
      <c r="G13" s="60"/>
      <c r="H13" s="60"/>
      <c r="I13" s="60"/>
      <c r="J13" s="60"/>
      <c r="K13" s="60"/>
      <c r="L13" s="327"/>
      <c r="M13" s="328"/>
      <c r="N13" s="328"/>
      <c r="O13" s="328"/>
      <c r="P13" s="328"/>
      <c r="Q13" s="328"/>
      <c r="R13" s="329"/>
    </row>
    <row r="14" spans="1:26" s="39" customFormat="1" ht="15" customHeight="1">
      <c r="A14" s="92" t="s">
        <v>237</v>
      </c>
      <c r="B14" s="330" t="s">
        <v>526</v>
      </c>
      <c r="C14" s="331"/>
      <c r="D14" s="331"/>
      <c r="E14" s="331"/>
      <c r="F14" s="331"/>
      <c r="G14" s="331"/>
      <c r="H14" s="331"/>
      <c r="I14" s="331"/>
      <c r="J14" s="331"/>
      <c r="K14" s="331"/>
      <c r="L14" s="331"/>
      <c r="M14" s="331"/>
      <c r="N14" s="331"/>
      <c r="O14" s="331"/>
      <c r="P14" s="331"/>
      <c r="Q14" s="331"/>
      <c r="R14" s="332"/>
    </row>
    <row r="15" spans="1:26" s="39" customFormat="1">
      <c r="A15" s="92" t="s">
        <v>240</v>
      </c>
      <c r="B15" s="330" t="s">
        <v>415</v>
      </c>
      <c r="C15" s="331"/>
      <c r="D15" s="331"/>
      <c r="E15" s="331"/>
      <c r="F15" s="331"/>
      <c r="G15" s="331"/>
      <c r="H15" s="331"/>
      <c r="I15" s="331"/>
      <c r="J15" s="331"/>
      <c r="K15" s="331"/>
      <c r="L15" s="331"/>
      <c r="M15" s="331"/>
      <c r="N15" s="331"/>
      <c r="O15" s="331"/>
      <c r="P15" s="331"/>
      <c r="Q15" s="331"/>
      <c r="R15" s="332"/>
    </row>
    <row r="16" spans="1:26" s="39" customFormat="1" ht="15" customHeight="1">
      <c r="A16" s="92" t="s">
        <v>491</v>
      </c>
      <c r="B16" s="330" t="s">
        <v>511</v>
      </c>
      <c r="C16" s="331"/>
      <c r="D16" s="331"/>
      <c r="E16" s="331"/>
      <c r="F16" s="331"/>
      <c r="G16" s="331"/>
      <c r="H16" s="331"/>
      <c r="I16" s="331"/>
      <c r="J16" s="331"/>
      <c r="K16" s="331"/>
      <c r="L16" s="331"/>
      <c r="M16" s="331"/>
      <c r="N16" s="331"/>
      <c r="O16" s="331"/>
      <c r="P16" s="331"/>
      <c r="Q16" s="331"/>
      <c r="R16" s="332"/>
    </row>
    <row r="17" spans="1:18">
      <c r="A17" s="91" t="s">
        <v>228</v>
      </c>
      <c r="B17" s="59">
        <v>0.5</v>
      </c>
      <c r="C17" s="59">
        <v>0.75</v>
      </c>
      <c r="D17" s="59">
        <v>1</v>
      </c>
      <c r="E17" s="59">
        <v>1.5</v>
      </c>
      <c r="F17" s="59"/>
      <c r="G17" s="59"/>
      <c r="H17" s="314"/>
      <c r="I17" s="315"/>
      <c r="J17" s="315"/>
      <c r="K17" s="315"/>
      <c r="L17" s="315"/>
      <c r="M17" s="315"/>
      <c r="N17" s="315"/>
      <c r="O17" s="315"/>
      <c r="P17" s="315"/>
      <c r="Q17" s="315"/>
      <c r="R17" s="316"/>
    </row>
    <row r="18" spans="1:18" ht="13.15" customHeight="1">
      <c r="A18" s="91" t="s">
        <v>234</v>
      </c>
      <c r="B18" s="305" t="s">
        <v>512</v>
      </c>
      <c r="C18" s="306"/>
      <c r="D18" s="306"/>
      <c r="E18" s="306"/>
      <c r="F18" s="306"/>
      <c r="G18" s="306"/>
      <c r="H18" s="306"/>
      <c r="I18" s="306"/>
      <c r="J18" s="306"/>
      <c r="K18" s="306"/>
      <c r="L18" s="306"/>
      <c r="M18" s="306"/>
      <c r="N18" s="306"/>
      <c r="O18" s="306"/>
      <c r="P18" s="306"/>
      <c r="Q18" s="306"/>
      <c r="R18" s="307"/>
    </row>
    <row r="19" spans="1:18" ht="13.15" customHeight="1">
      <c r="A19" s="91" t="s">
        <v>237</v>
      </c>
      <c r="B19" s="305" t="s">
        <v>513</v>
      </c>
      <c r="C19" s="306"/>
      <c r="D19" s="306"/>
      <c r="E19" s="306"/>
      <c r="F19" s="306"/>
      <c r="G19" s="306"/>
      <c r="H19" s="306"/>
      <c r="I19" s="306"/>
      <c r="J19" s="306"/>
      <c r="K19" s="306"/>
      <c r="L19" s="306"/>
      <c r="M19" s="306"/>
      <c r="N19" s="306"/>
      <c r="O19" s="306"/>
      <c r="P19" s="306"/>
      <c r="Q19" s="306"/>
      <c r="R19" s="307"/>
    </row>
    <row r="20" spans="1:18" ht="13.15" customHeight="1">
      <c r="A20" s="91" t="s">
        <v>240</v>
      </c>
      <c r="B20" s="305" t="s">
        <v>514</v>
      </c>
      <c r="C20" s="306"/>
      <c r="D20" s="306"/>
      <c r="E20" s="306"/>
      <c r="F20" s="306"/>
      <c r="G20" s="306"/>
      <c r="H20" s="306"/>
      <c r="I20" s="306"/>
      <c r="J20" s="306"/>
      <c r="K20" s="306"/>
      <c r="L20" s="306"/>
      <c r="M20" s="306"/>
      <c r="N20" s="306"/>
      <c r="O20" s="306"/>
      <c r="P20" s="306"/>
      <c r="Q20" s="306"/>
      <c r="R20" s="307"/>
    </row>
    <row r="21" spans="1:18" ht="13.15" customHeight="1">
      <c r="A21" s="91"/>
      <c r="B21" s="305"/>
      <c r="C21" s="306"/>
      <c r="D21" s="306"/>
      <c r="E21" s="306"/>
      <c r="F21" s="306"/>
      <c r="G21" s="306"/>
      <c r="H21" s="306"/>
      <c r="I21" s="306"/>
      <c r="J21" s="306"/>
      <c r="K21" s="306"/>
      <c r="L21" s="306"/>
      <c r="M21" s="306"/>
      <c r="N21" s="306"/>
      <c r="O21" s="306"/>
      <c r="P21" s="306"/>
      <c r="Q21" s="306"/>
      <c r="R21" s="307"/>
    </row>
    <row r="22" spans="1:18" ht="13.15" customHeight="1">
      <c r="A22" s="91"/>
      <c r="B22" s="305"/>
      <c r="C22" s="306"/>
      <c r="D22" s="306"/>
      <c r="E22" s="306"/>
      <c r="F22" s="306"/>
      <c r="G22" s="306"/>
      <c r="H22" s="306"/>
      <c r="I22" s="306"/>
      <c r="J22" s="306"/>
      <c r="K22" s="306"/>
      <c r="L22" s="306"/>
      <c r="M22" s="306"/>
      <c r="N22" s="306"/>
      <c r="O22" s="306"/>
      <c r="P22" s="306"/>
      <c r="Q22" s="306"/>
      <c r="R22" s="307"/>
    </row>
    <row r="23" spans="1:18" ht="13.15" customHeight="1">
      <c r="A23" s="91"/>
      <c r="B23" s="305"/>
      <c r="C23" s="306"/>
      <c r="D23" s="306"/>
      <c r="E23" s="306"/>
      <c r="F23" s="306"/>
      <c r="G23" s="306"/>
      <c r="H23" s="306"/>
      <c r="I23" s="306"/>
      <c r="J23" s="306"/>
      <c r="K23" s="306"/>
      <c r="L23" s="306"/>
      <c r="M23" s="306"/>
      <c r="N23" s="306"/>
      <c r="O23" s="306"/>
      <c r="P23" s="306"/>
      <c r="Q23" s="306"/>
      <c r="R23" s="307"/>
    </row>
    <row r="24" spans="1:18" ht="13.15" customHeight="1">
      <c r="A24" s="91"/>
      <c r="B24" s="321"/>
      <c r="C24" s="322"/>
      <c r="D24" s="322"/>
      <c r="E24" s="322"/>
      <c r="F24" s="322"/>
      <c r="G24" s="322"/>
      <c r="H24" s="322"/>
      <c r="I24" s="322"/>
      <c r="J24" s="322"/>
      <c r="K24" s="322"/>
      <c r="L24" s="322"/>
      <c r="M24" s="322"/>
      <c r="N24" s="322"/>
      <c r="O24" s="322"/>
      <c r="P24" s="322"/>
      <c r="Q24" s="322"/>
      <c r="R24" s="323"/>
    </row>
    <row r="25" spans="1:18" ht="13.15" customHeight="1">
      <c r="A25" s="91"/>
      <c r="B25" s="305"/>
      <c r="C25" s="306"/>
      <c r="D25" s="306"/>
      <c r="E25" s="306"/>
      <c r="F25" s="306"/>
      <c r="G25" s="306"/>
      <c r="H25" s="306"/>
      <c r="I25" s="306"/>
      <c r="J25" s="306"/>
      <c r="K25" s="306"/>
      <c r="L25" s="306"/>
      <c r="M25" s="306"/>
      <c r="N25" s="306"/>
      <c r="O25" s="306"/>
      <c r="P25" s="306"/>
      <c r="Q25" s="306"/>
      <c r="R25" s="307"/>
    </row>
    <row r="26" spans="1:18" ht="13.15" customHeight="1">
      <c r="A26" s="91"/>
      <c r="B26" s="305"/>
      <c r="C26" s="306"/>
      <c r="D26" s="306"/>
      <c r="E26" s="306"/>
      <c r="F26" s="306"/>
      <c r="G26" s="306"/>
      <c r="H26" s="306"/>
      <c r="I26" s="306"/>
      <c r="J26" s="306"/>
      <c r="K26" s="306"/>
      <c r="L26" s="306"/>
      <c r="M26" s="306"/>
      <c r="N26" s="306"/>
      <c r="O26" s="306"/>
      <c r="P26" s="306"/>
      <c r="Q26" s="306"/>
      <c r="R26" s="307"/>
    </row>
    <row r="27" spans="1:18">
      <c r="A27" s="320"/>
      <c r="B27" s="315"/>
      <c r="C27" s="315"/>
      <c r="D27" s="315"/>
      <c r="E27" s="315"/>
      <c r="F27" s="315"/>
      <c r="G27" s="315"/>
      <c r="H27" s="315"/>
      <c r="I27" s="315"/>
      <c r="J27" s="315"/>
      <c r="K27" s="315"/>
      <c r="L27" s="315"/>
      <c r="M27" s="315"/>
      <c r="N27" s="315"/>
      <c r="O27" s="315"/>
      <c r="P27" s="315"/>
      <c r="Q27" s="315"/>
      <c r="R27" s="316"/>
    </row>
    <row r="28" spans="1:18" ht="13.9" customHeight="1">
      <c r="A28" s="320"/>
      <c r="B28" s="315"/>
      <c r="C28" s="315"/>
      <c r="D28" s="315"/>
      <c r="E28" s="315"/>
      <c r="F28" s="315"/>
      <c r="G28" s="315"/>
      <c r="H28" s="315"/>
      <c r="I28" s="315"/>
      <c r="J28" s="315"/>
      <c r="K28" s="315"/>
      <c r="L28" s="315"/>
      <c r="M28" s="315"/>
      <c r="N28" s="315"/>
      <c r="O28" s="315"/>
      <c r="P28" s="315"/>
      <c r="Q28" s="315"/>
      <c r="R28" s="316"/>
    </row>
    <row r="29" spans="1:18">
      <c r="A29" s="91"/>
      <c r="B29" s="314"/>
      <c r="C29" s="315"/>
      <c r="D29" s="315"/>
      <c r="E29" s="315"/>
      <c r="F29" s="315"/>
      <c r="G29" s="315"/>
      <c r="H29" s="315"/>
      <c r="I29" s="315"/>
      <c r="J29" s="315"/>
      <c r="K29" s="315"/>
      <c r="L29" s="315"/>
      <c r="M29" s="315"/>
      <c r="N29" s="315"/>
      <c r="O29" s="315"/>
      <c r="P29" s="315"/>
      <c r="Q29" s="315"/>
      <c r="R29" s="316"/>
    </row>
    <row r="30" spans="1:18" ht="13.9" customHeight="1">
      <c r="A30" s="91"/>
      <c r="B30" s="305"/>
      <c r="C30" s="306"/>
      <c r="D30" s="306"/>
      <c r="E30" s="306"/>
      <c r="F30" s="306"/>
      <c r="G30" s="306"/>
      <c r="H30" s="306"/>
      <c r="I30" s="306"/>
      <c r="J30" s="306"/>
      <c r="K30" s="306"/>
      <c r="L30" s="306"/>
      <c r="M30" s="306"/>
      <c r="N30" s="306"/>
      <c r="O30" s="306"/>
      <c r="P30" s="306"/>
      <c r="Q30" s="306"/>
      <c r="R30" s="307"/>
    </row>
    <row r="31" spans="1:18" ht="13.9" customHeight="1">
      <c r="A31" s="91"/>
      <c r="B31" s="305"/>
      <c r="C31" s="306"/>
      <c r="D31" s="306"/>
      <c r="E31" s="306"/>
      <c r="F31" s="306"/>
      <c r="G31" s="306"/>
      <c r="H31" s="306"/>
      <c r="I31" s="306"/>
      <c r="J31" s="306"/>
      <c r="K31" s="306"/>
      <c r="L31" s="306"/>
      <c r="M31" s="306"/>
      <c r="N31" s="306"/>
      <c r="O31" s="306"/>
      <c r="P31" s="306"/>
      <c r="Q31" s="306"/>
      <c r="R31" s="307"/>
    </row>
    <row r="32" spans="1:18" ht="15.75" customHeight="1">
      <c r="A32" s="91"/>
      <c r="B32" s="305"/>
      <c r="C32" s="306"/>
      <c r="D32" s="306"/>
      <c r="E32" s="306"/>
      <c r="F32" s="306"/>
      <c r="G32" s="306"/>
      <c r="H32" s="306"/>
      <c r="I32" s="306"/>
      <c r="J32" s="306"/>
      <c r="K32" s="306"/>
      <c r="L32" s="306"/>
      <c r="M32" s="306"/>
      <c r="N32" s="306"/>
      <c r="O32" s="306"/>
      <c r="P32" s="306"/>
      <c r="Q32" s="306"/>
      <c r="R32" s="307"/>
    </row>
    <row r="33" spans="1:18">
      <c r="A33" s="317"/>
      <c r="B33" s="318"/>
      <c r="C33" s="318"/>
      <c r="D33" s="318"/>
      <c r="E33" s="318"/>
      <c r="F33" s="318"/>
      <c r="G33" s="318"/>
      <c r="H33" s="318"/>
      <c r="I33" s="318"/>
      <c r="J33" s="318"/>
      <c r="K33" s="318"/>
      <c r="L33" s="318"/>
      <c r="M33" s="318"/>
      <c r="N33" s="318"/>
      <c r="O33" s="318"/>
      <c r="P33" s="318"/>
      <c r="Q33" s="318"/>
      <c r="R33" s="319"/>
    </row>
    <row r="34" spans="1:18" ht="13.9" customHeight="1">
      <c r="A34" s="91"/>
      <c r="B34" s="305"/>
      <c r="C34" s="306"/>
      <c r="D34" s="306"/>
      <c r="E34" s="306"/>
      <c r="F34" s="306"/>
      <c r="G34" s="306"/>
      <c r="H34" s="306"/>
      <c r="I34" s="306"/>
      <c r="J34" s="306"/>
      <c r="K34" s="306"/>
      <c r="L34" s="306"/>
      <c r="M34" s="306"/>
      <c r="N34" s="306"/>
      <c r="O34" s="306"/>
      <c r="P34" s="306"/>
      <c r="Q34" s="306"/>
      <c r="R34" s="307"/>
    </row>
    <row r="35" spans="1:18" ht="15" customHeight="1">
      <c r="A35" s="91"/>
      <c r="B35" s="305"/>
      <c r="C35" s="306"/>
      <c r="D35" s="306"/>
      <c r="E35" s="306"/>
      <c r="F35" s="306"/>
      <c r="G35" s="306"/>
      <c r="H35" s="306"/>
      <c r="I35" s="306"/>
      <c r="J35" s="306"/>
      <c r="K35" s="306"/>
      <c r="L35" s="306"/>
      <c r="M35" s="306"/>
      <c r="N35" s="306"/>
      <c r="O35" s="306"/>
      <c r="P35" s="306"/>
      <c r="Q35" s="306"/>
      <c r="R35" s="307"/>
    </row>
    <row r="36" spans="1:18" ht="15" customHeight="1">
      <c r="A36" s="91"/>
      <c r="B36" s="305"/>
      <c r="C36" s="306"/>
      <c r="D36" s="306"/>
      <c r="E36" s="306"/>
      <c r="F36" s="306"/>
      <c r="G36" s="306"/>
      <c r="H36" s="306"/>
      <c r="I36" s="306"/>
      <c r="J36" s="306"/>
      <c r="K36" s="306"/>
      <c r="L36" s="306"/>
      <c r="M36" s="306"/>
      <c r="N36" s="306"/>
      <c r="O36" s="306"/>
      <c r="P36" s="306"/>
      <c r="Q36" s="306"/>
      <c r="R36" s="307"/>
    </row>
    <row r="37" spans="1:18">
      <c r="A37" s="317"/>
      <c r="B37" s="318"/>
      <c r="C37" s="318"/>
      <c r="D37" s="318"/>
      <c r="E37" s="318"/>
      <c r="F37" s="318"/>
      <c r="G37" s="318"/>
      <c r="H37" s="318"/>
      <c r="I37" s="318"/>
      <c r="J37" s="318"/>
      <c r="K37" s="318"/>
      <c r="L37" s="318"/>
      <c r="M37" s="318"/>
      <c r="N37" s="318"/>
      <c r="O37" s="318"/>
      <c r="P37" s="318"/>
      <c r="Q37" s="318"/>
      <c r="R37" s="319"/>
    </row>
    <row r="38" spans="1:18" ht="13.9" customHeight="1">
      <c r="A38" s="91"/>
      <c r="B38" s="305"/>
      <c r="C38" s="306"/>
      <c r="D38" s="306"/>
      <c r="E38" s="306"/>
      <c r="F38" s="306"/>
      <c r="G38" s="306"/>
      <c r="H38" s="306"/>
      <c r="I38" s="306"/>
      <c r="J38" s="306"/>
      <c r="K38" s="306"/>
      <c r="L38" s="306"/>
      <c r="M38" s="306"/>
      <c r="N38" s="306"/>
      <c r="O38" s="306"/>
      <c r="P38" s="306"/>
      <c r="Q38" s="306"/>
      <c r="R38" s="307"/>
    </row>
    <row r="39" spans="1:18" s="5" customFormat="1" ht="13.9" customHeight="1">
      <c r="A39" s="296" t="s">
        <v>527</v>
      </c>
      <c r="B39" s="297"/>
      <c r="C39" s="297"/>
      <c r="D39" s="297"/>
      <c r="E39" s="297"/>
      <c r="F39" s="297"/>
      <c r="G39" s="297"/>
      <c r="H39" s="297"/>
      <c r="I39" s="297"/>
      <c r="J39" s="297"/>
      <c r="K39" s="297"/>
      <c r="L39" s="297"/>
      <c r="M39" s="297"/>
      <c r="N39" s="297"/>
      <c r="O39" s="297"/>
      <c r="P39" s="297"/>
      <c r="Q39" s="297"/>
      <c r="R39" s="298"/>
    </row>
    <row r="40" spans="1:18" s="5" customFormat="1" ht="13.9" customHeight="1">
      <c r="A40" s="69" t="s">
        <v>272</v>
      </c>
      <c r="B40" s="144" t="e">
        <f ca="1">VLOOKUP(F3,INDEX!B:J,2,0)</f>
        <v>#VALUE!</v>
      </c>
      <c r="C40" s="145"/>
      <c r="D40" s="145"/>
      <c r="E40" s="145"/>
      <c r="F40" s="145"/>
      <c r="G40" s="145"/>
      <c r="H40" s="145"/>
      <c r="I40" s="145"/>
      <c r="J40" s="145"/>
      <c r="K40" s="145"/>
      <c r="L40" s="145"/>
      <c r="M40" s="145"/>
      <c r="N40" s="145"/>
      <c r="O40" s="145"/>
      <c r="P40" s="145"/>
      <c r="Q40" s="145"/>
      <c r="R40" s="147"/>
    </row>
    <row r="41" spans="1:18" s="5" customFormat="1" ht="13.9" customHeight="1">
      <c r="A41" s="69" t="s">
        <v>304</v>
      </c>
      <c r="B41" s="205" t="e">
        <f ca="1">"DSR"&amp;VLOOKUP(F3,INDEX!B:AH,33,0)&amp;"JT"</f>
        <v>#VALUE!</v>
      </c>
      <c r="C41" s="206"/>
      <c r="D41" s="206"/>
      <c r="E41" s="206"/>
      <c r="F41" s="206"/>
      <c r="G41" s="206"/>
      <c r="H41" s="206"/>
      <c r="I41" s="206"/>
      <c r="J41" s="206"/>
      <c r="K41" s="206"/>
      <c r="L41" s="206"/>
      <c r="M41" s="206"/>
      <c r="N41" s="206"/>
      <c r="O41" s="206"/>
      <c r="P41" s="206"/>
      <c r="Q41" s="206"/>
      <c r="R41" s="207"/>
    </row>
    <row r="42" spans="1:18" s="5" customFormat="1" ht="13.9" customHeight="1">
      <c r="A42" s="69" t="s">
        <v>515</v>
      </c>
      <c r="B42" s="205" t="e">
        <f ca="1">"NEE"&amp;VLOOKUP(F3,INDEX!B:AH,33,0)&amp;"F"</f>
        <v>#VALUE!</v>
      </c>
      <c r="C42" s="206"/>
      <c r="D42" s="206"/>
      <c r="E42" s="206"/>
      <c r="F42" s="206"/>
      <c r="G42" s="206"/>
      <c r="H42" s="206"/>
      <c r="I42" s="206"/>
      <c r="J42" s="206"/>
      <c r="K42" s="206"/>
      <c r="L42" s="206"/>
      <c r="M42" s="206"/>
      <c r="N42" s="206"/>
      <c r="O42" s="206"/>
      <c r="P42" s="206"/>
      <c r="Q42" s="206"/>
      <c r="R42" s="207"/>
    </row>
    <row r="43" spans="1:18" s="5" customFormat="1" ht="13.9" customHeight="1">
      <c r="A43" s="69" t="s">
        <v>516</v>
      </c>
      <c r="B43" s="109" t="e">
        <f ca="1">"BSF"&amp;VLOOKUP(F3,INDEX!B:AH,33,0)&amp;"J"</f>
        <v>#VALUE!</v>
      </c>
      <c r="C43" s="109"/>
      <c r="D43" s="109"/>
      <c r="E43" s="109"/>
      <c r="F43" s="109"/>
      <c r="G43" s="109"/>
      <c r="H43" s="109"/>
      <c r="I43" s="109"/>
      <c r="J43" s="109"/>
      <c r="K43" s="109"/>
      <c r="L43" s="109"/>
      <c r="M43" s="109"/>
      <c r="N43" s="109"/>
      <c r="O43" s="109"/>
      <c r="P43" s="109"/>
      <c r="Q43" s="109"/>
      <c r="R43" s="110"/>
    </row>
    <row r="44" spans="1:18" s="5" customFormat="1" ht="13.9" customHeight="1">
      <c r="A44" s="69" t="s">
        <v>517</v>
      </c>
      <c r="B44" s="109" t="e">
        <f ca="1">"CHP"&amp;VLOOKUP(F3,INDEX!B:AH,33,0)&amp;"F"</f>
        <v>#VALUE!</v>
      </c>
      <c r="C44" s="109"/>
      <c r="D44" s="109"/>
      <c r="E44" s="109"/>
      <c r="F44" s="109"/>
      <c r="G44" s="109"/>
      <c r="H44" s="109"/>
      <c r="I44" s="109"/>
      <c r="J44" s="109"/>
      <c r="K44" s="109"/>
      <c r="L44" s="109"/>
      <c r="M44" s="109"/>
      <c r="N44" s="109"/>
      <c r="O44" s="109"/>
      <c r="P44" s="109"/>
      <c r="Q44" s="109"/>
      <c r="R44" s="110"/>
    </row>
    <row r="45" spans="1:18" s="5" customFormat="1" ht="13.9" customHeight="1">
      <c r="A45" s="69"/>
      <c r="B45" s="144"/>
      <c r="C45" s="145"/>
      <c r="D45" s="145"/>
      <c r="E45" s="145"/>
      <c r="F45" s="145"/>
      <c r="G45" s="144"/>
      <c r="H45" s="145"/>
      <c r="I45" s="145"/>
      <c r="J45" s="145"/>
      <c r="K45" s="145"/>
      <c r="L45" s="145"/>
      <c r="M45" s="145"/>
      <c r="N45" s="145"/>
      <c r="O45" s="145"/>
      <c r="P45" s="145"/>
      <c r="Q45" s="145"/>
      <c r="R45" s="147"/>
    </row>
    <row r="46" spans="1:18">
      <c r="A46" s="299" t="s">
        <v>443</v>
      </c>
      <c r="B46" s="300"/>
      <c r="C46" s="300"/>
      <c r="D46" s="300"/>
      <c r="E46" s="300"/>
      <c r="F46" s="300"/>
      <c r="G46" s="300"/>
      <c r="H46" s="300"/>
      <c r="I46" s="300"/>
      <c r="J46" s="300"/>
      <c r="K46" s="300"/>
      <c r="L46" s="300"/>
      <c r="M46" s="300"/>
      <c r="N46" s="300"/>
      <c r="O46" s="300"/>
      <c r="P46" s="300"/>
      <c r="Q46" s="300"/>
      <c r="R46" s="301"/>
    </row>
    <row r="47" spans="1:18" ht="27" customHeight="1">
      <c r="A47" s="302" t="s">
        <v>518</v>
      </c>
      <c r="B47" s="303"/>
      <c r="C47" s="303"/>
      <c r="D47" s="303"/>
      <c r="E47" s="303"/>
      <c r="F47" s="303"/>
      <c r="G47" s="303"/>
      <c r="H47" s="303"/>
      <c r="I47" s="303"/>
      <c r="J47" s="303"/>
      <c r="K47" s="303"/>
      <c r="L47" s="303"/>
      <c r="M47" s="303"/>
      <c r="N47" s="303"/>
      <c r="O47" s="303"/>
      <c r="P47" s="303"/>
      <c r="Q47" s="303"/>
      <c r="R47" s="304"/>
    </row>
    <row r="48" spans="1:18">
      <c r="A48" s="308" t="s">
        <v>519</v>
      </c>
      <c r="B48" s="309"/>
      <c r="C48" s="309"/>
      <c r="D48" s="309"/>
      <c r="E48" s="309"/>
      <c r="F48" s="309"/>
      <c r="G48" s="309"/>
      <c r="H48" s="309"/>
      <c r="I48" s="309"/>
      <c r="J48" s="309"/>
      <c r="K48" s="309"/>
      <c r="L48" s="309"/>
      <c r="M48" s="309"/>
      <c r="N48" s="309"/>
      <c r="O48" s="309"/>
      <c r="P48" s="309"/>
      <c r="Q48" s="309"/>
      <c r="R48" s="310"/>
    </row>
    <row r="49" spans="1:18" ht="30.6" customHeight="1">
      <c r="A49" s="308" t="s">
        <v>520</v>
      </c>
      <c r="B49" s="309"/>
      <c r="C49" s="309"/>
      <c r="D49" s="309"/>
      <c r="E49" s="309"/>
      <c r="F49" s="309"/>
      <c r="G49" s="309"/>
      <c r="H49" s="309"/>
      <c r="I49" s="309"/>
      <c r="J49" s="309"/>
      <c r="K49" s="309"/>
      <c r="L49" s="309"/>
      <c r="M49" s="309"/>
      <c r="N49" s="309"/>
      <c r="O49" s="309"/>
      <c r="P49" s="309"/>
      <c r="Q49" s="309"/>
      <c r="R49" s="310"/>
    </row>
    <row r="50" spans="1:18">
      <c r="A50" s="308" t="s">
        <v>521</v>
      </c>
      <c r="B50" s="309"/>
      <c r="C50" s="309"/>
      <c r="D50" s="309"/>
      <c r="E50" s="309"/>
      <c r="F50" s="309"/>
      <c r="G50" s="309"/>
      <c r="H50" s="309"/>
      <c r="I50" s="309"/>
      <c r="J50" s="309"/>
      <c r="K50" s="309"/>
      <c r="L50" s="309"/>
      <c r="M50" s="309"/>
      <c r="N50" s="309"/>
      <c r="O50" s="309"/>
      <c r="P50" s="309"/>
      <c r="Q50" s="309"/>
      <c r="R50" s="310"/>
    </row>
    <row r="51" spans="1:18" ht="46.15" customHeight="1">
      <c r="A51" s="308" t="s">
        <v>522</v>
      </c>
      <c r="B51" s="309"/>
      <c r="C51" s="309"/>
      <c r="D51" s="309"/>
      <c r="E51" s="309"/>
      <c r="F51" s="309"/>
      <c r="G51" s="309"/>
      <c r="H51" s="309"/>
      <c r="I51" s="309"/>
      <c r="J51" s="309"/>
      <c r="K51" s="309"/>
      <c r="L51" s="309"/>
      <c r="M51" s="309"/>
      <c r="N51" s="309"/>
      <c r="O51" s="309"/>
      <c r="P51" s="309"/>
      <c r="Q51" s="309"/>
      <c r="R51" s="310"/>
    </row>
    <row r="52" spans="1:18" ht="32.25" customHeight="1">
      <c r="A52" s="308" t="s">
        <v>523</v>
      </c>
      <c r="B52" s="309"/>
      <c r="C52" s="309"/>
      <c r="D52" s="309"/>
      <c r="E52" s="309"/>
      <c r="F52" s="309"/>
      <c r="G52" s="309"/>
      <c r="H52" s="309"/>
      <c r="I52" s="309"/>
      <c r="J52" s="309"/>
      <c r="K52" s="309"/>
      <c r="L52" s="309"/>
      <c r="M52" s="309"/>
      <c r="N52" s="309"/>
      <c r="O52" s="309"/>
      <c r="P52" s="309"/>
      <c r="Q52" s="309"/>
      <c r="R52" s="310"/>
    </row>
    <row r="53" spans="1:18">
      <c r="A53" s="308" t="s">
        <v>524</v>
      </c>
      <c r="B53" s="309"/>
      <c r="C53" s="309"/>
      <c r="D53" s="309"/>
      <c r="E53" s="309"/>
      <c r="F53" s="309"/>
      <c r="G53" s="309"/>
      <c r="H53" s="309"/>
      <c r="I53" s="309"/>
      <c r="J53" s="309"/>
      <c r="K53" s="309"/>
      <c r="L53" s="309"/>
      <c r="M53" s="309"/>
      <c r="N53" s="309"/>
      <c r="O53" s="309"/>
      <c r="P53" s="309"/>
      <c r="Q53" s="309"/>
      <c r="R53" s="310"/>
    </row>
    <row r="54" spans="1:18" ht="28.9" customHeight="1" thickBot="1">
      <c r="A54" s="311" t="s">
        <v>525</v>
      </c>
      <c r="B54" s="312"/>
      <c r="C54" s="312"/>
      <c r="D54" s="312"/>
      <c r="E54" s="312"/>
      <c r="F54" s="312"/>
      <c r="G54" s="312"/>
      <c r="H54" s="312"/>
      <c r="I54" s="312"/>
      <c r="J54" s="312"/>
      <c r="K54" s="312"/>
      <c r="L54" s="312"/>
      <c r="M54" s="312"/>
      <c r="N54" s="312"/>
      <c r="O54" s="312"/>
      <c r="P54" s="312"/>
      <c r="Q54" s="312"/>
      <c r="R54" s="313"/>
    </row>
    <row r="55" spans="1:18">
      <c r="A55" s="61"/>
      <c r="B55" s="61"/>
      <c r="C55" s="61"/>
      <c r="D55" s="61"/>
      <c r="E55" s="61"/>
      <c r="F55" s="61"/>
      <c r="G55" s="61"/>
      <c r="H55" s="61"/>
      <c r="I55" s="61"/>
      <c r="J55" s="61"/>
      <c r="K55" s="61"/>
      <c r="L55" s="61"/>
      <c r="M55" s="61"/>
      <c r="N55" s="61"/>
      <c r="O55" s="61"/>
      <c r="P55" s="61"/>
      <c r="Q55" s="61"/>
      <c r="R55" s="61"/>
    </row>
  </sheetData>
  <mergeCells count="83">
    <mergeCell ref="A50:R50"/>
    <mergeCell ref="A51:R51"/>
    <mergeCell ref="A52:R52"/>
    <mergeCell ref="A53:R53"/>
    <mergeCell ref="A54:R54"/>
    <mergeCell ref="A49:R49"/>
    <mergeCell ref="B40:R40"/>
    <mergeCell ref="B41:R41"/>
    <mergeCell ref="B42:R42"/>
    <mergeCell ref="B43:R43"/>
    <mergeCell ref="B44:E44"/>
    <mergeCell ref="F44:R44"/>
    <mergeCell ref="B45:F45"/>
    <mergeCell ref="G45:R45"/>
    <mergeCell ref="A46:R46"/>
    <mergeCell ref="A47:R47"/>
    <mergeCell ref="A48:R48"/>
    <mergeCell ref="A39:R39"/>
    <mergeCell ref="A28:R28"/>
    <mergeCell ref="B29:R29"/>
    <mergeCell ref="B30:R30"/>
    <mergeCell ref="B31:R31"/>
    <mergeCell ref="B32:R32"/>
    <mergeCell ref="A33:R33"/>
    <mergeCell ref="B34:R34"/>
    <mergeCell ref="B35:R35"/>
    <mergeCell ref="B36:R36"/>
    <mergeCell ref="A37:R37"/>
    <mergeCell ref="B38:R38"/>
    <mergeCell ref="A27:R27"/>
    <mergeCell ref="B16:R16"/>
    <mergeCell ref="H17:R17"/>
    <mergeCell ref="B18:R18"/>
    <mergeCell ref="B19:R19"/>
    <mergeCell ref="B20:R20"/>
    <mergeCell ref="B21:R21"/>
    <mergeCell ref="B22:R22"/>
    <mergeCell ref="B23:R23"/>
    <mergeCell ref="B24:R24"/>
    <mergeCell ref="B25:R25"/>
    <mergeCell ref="B26:R26"/>
    <mergeCell ref="P9:R9"/>
    <mergeCell ref="A10:R10"/>
    <mergeCell ref="B11:R11"/>
    <mergeCell ref="L12:R13"/>
    <mergeCell ref="B14:R14"/>
    <mergeCell ref="B15:R15"/>
    <mergeCell ref="L8:M8"/>
    <mergeCell ref="N8:O8"/>
    <mergeCell ref="P8:R8"/>
    <mergeCell ref="B9:C9"/>
    <mergeCell ref="D9:E9"/>
    <mergeCell ref="F9:G9"/>
    <mergeCell ref="H9:I9"/>
    <mergeCell ref="J9:K9"/>
    <mergeCell ref="L9:M9"/>
    <mergeCell ref="N9:O9"/>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7" firstPageNumber="18"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AFD28-1E9F-4CAF-ABCA-D998EB1249B1}">
  <sheetPr>
    <tabColor theme="5" tint="-0.249977111117893"/>
    <pageSetUpPr fitToPage="1"/>
  </sheetPr>
  <dimension ref="A1:Z55"/>
  <sheetViews>
    <sheetView view="pageBreakPreview" zoomScale="120" zoomScaleNormal="85" zoomScaleSheetLayoutView="120" workbookViewId="0">
      <selection activeCell="T21" sqref="T21"/>
    </sheetView>
  </sheetViews>
  <sheetFormatPr defaultColWidth="8.85546875" defaultRowHeight="15"/>
  <cols>
    <col min="1" max="1" width="11.7109375" style="36" customWidth="1"/>
    <col min="2" max="18" width="5.28515625" style="36" customWidth="1"/>
    <col min="19" max="16384" width="8.85546875" style="36"/>
  </cols>
  <sheetData>
    <row r="1" spans="1:26" s="4" customFormat="1" ht="14.45" customHeight="1">
      <c r="A1" s="132" t="e" vm="1">
        <v>#VALUE!</v>
      </c>
      <c r="B1" s="133"/>
      <c r="C1" s="133"/>
      <c r="D1" s="133"/>
      <c r="E1" s="134"/>
      <c r="F1" s="275" t="s">
        <v>213</v>
      </c>
      <c r="G1" s="276"/>
      <c r="H1" s="276"/>
      <c r="I1" s="276"/>
      <c r="J1" s="276"/>
      <c r="K1" s="276"/>
      <c r="L1" s="276"/>
      <c r="M1" s="276"/>
      <c r="N1" s="276"/>
      <c r="O1" s="276"/>
      <c r="P1" s="276"/>
      <c r="Q1" s="133" t="s">
        <v>214</v>
      </c>
      <c r="R1" s="134"/>
    </row>
    <row r="2" spans="1:26" s="4" customFormat="1" ht="15.75" customHeight="1">
      <c r="A2" s="135"/>
      <c r="B2" s="136"/>
      <c r="C2" s="136"/>
      <c r="D2" s="136"/>
      <c r="E2" s="137"/>
      <c r="F2" s="277" t="s">
        <v>215</v>
      </c>
      <c r="G2" s="278"/>
      <c r="H2" s="278"/>
      <c r="I2" s="278"/>
      <c r="J2" s="246" t="s">
        <v>216</v>
      </c>
      <c r="K2" s="247"/>
      <c r="L2" s="277"/>
      <c r="M2" s="278" t="s">
        <v>217</v>
      </c>
      <c r="N2" s="278"/>
      <c r="O2" s="278" t="s">
        <v>13</v>
      </c>
      <c r="P2" s="278"/>
      <c r="Q2" s="278" t="s">
        <v>10</v>
      </c>
      <c r="R2" s="279"/>
    </row>
    <row r="3" spans="1:26" s="4" customFormat="1">
      <c r="A3" s="135"/>
      <c r="B3" s="136"/>
      <c r="C3" s="136"/>
      <c r="D3" s="136"/>
      <c r="E3" s="137"/>
      <c r="F3" s="277" t="e">
        <f ca="1">MID(CELL("filename",A4),FIND("]",CELL("filename",A4))+1,255)</f>
        <v>#VALUE!</v>
      </c>
      <c r="G3" s="278"/>
      <c r="H3" s="278" t="e">
        <f ca="1">VLOOKUP(F3,INDEX!B:J,2,0)</f>
        <v>#VALUE!</v>
      </c>
      <c r="I3" s="278"/>
      <c r="J3" s="246" t="e">
        <f ca="1">VLOOKUP(F3,INDEX!B:J,4,0)</f>
        <v>#VALUE!</v>
      </c>
      <c r="K3" s="247"/>
      <c r="L3" s="277"/>
      <c r="M3" s="278" t="e">
        <f ca="1">VLOOKUP(F3,INDEX!B:J,5,0)</f>
        <v>#VALUE!</v>
      </c>
      <c r="N3" s="278"/>
      <c r="O3" s="292" t="e">
        <f ca="1">VLOOKUP(F3,INDEX!B:AF,17,0)</f>
        <v>#VALUE!</v>
      </c>
      <c r="P3" s="292"/>
      <c r="Q3" s="278" t="e">
        <f ca="1">VLOOKUP(F3,INDEX!B:J,9,0)</f>
        <v>#VALUE!</v>
      </c>
      <c r="R3" s="279"/>
    </row>
    <row r="4" spans="1:26" s="4" customFormat="1" ht="15" customHeight="1">
      <c r="A4" s="135"/>
      <c r="B4" s="136"/>
      <c r="C4" s="136"/>
      <c r="D4" s="136"/>
      <c r="E4" s="137"/>
      <c r="F4" s="289" t="s">
        <v>218</v>
      </c>
      <c r="G4" s="289"/>
      <c r="H4" s="289"/>
      <c r="I4" s="287" t="e">
        <f ca="1">VLOOKUP(F3,INDEX!B:AF,18,0)</f>
        <v>#VALUE!</v>
      </c>
      <c r="J4" s="287"/>
      <c r="K4" s="287"/>
      <c r="L4" s="287"/>
      <c r="M4" s="287"/>
      <c r="N4" s="287"/>
      <c r="O4" s="287"/>
      <c r="P4" s="287"/>
      <c r="Q4" s="287"/>
      <c r="R4" s="288"/>
    </row>
    <row r="5" spans="1:26" s="4" customFormat="1" ht="13.9" customHeight="1">
      <c r="A5" s="135"/>
      <c r="B5" s="136"/>
      <c r="C5" s="136"/>
      <c r="D5" s="136"/>
      <c r="E5" s="137"/>
      <c r="F5" s="286" t="s">
        <v>219</v>
      </c>
      <c r="G5" s="286"/>
      <c r="H5" s="287" t="e">
        <f ca="1">VLOOKUP(F3,INDEX!B:J,6,0)</f>
        <v>#VALUE!</v>
      </c>
      <c r="I5" s="287"/>
      <c r="J5" s="287"/>
      <c r="K5" s="287"/>
      <c r="L5" s="287"/>
      <c r="M5" s="287"/>
      <c r="N5" s="287"/>
      <c r="O5" s="287"/>
      <c r="P5" s="287"/>
      <c r="Q5" s="287"/>
      <c r="R5" s="288"/>
    </row>
    <row r="6" spans="1:26" s="4" customFormat="1" ht="14.45" customHeight="1" thickBot="1">
      <c r="A6" s="138"/>
      <c r="B6" s="139"/>
      <c r="C6" s="139"/>
      <c r="D6" s="139"/>
      <c r="E6" s="140"/>
      <c r="F6" s="289" t="s">
        <v>220</v>
      </c>
      <c r="G6" s="289"/>
      <c r="H6" s="289"/>
      <c r="I6" s="290" t="e">
        <f ca="1">VLOOKUP(F3,INDEX!B:AF,16,0)</f>
        <v>#VALUE!</v>
      </c>
      <c r="J6" s="290"/>
      <c r="K6" s="290"/>
      <c r="L6" s="290"/>
      <c r="M6" s="290"/>
      <c r="N6" s="290"/>
      <c r="O6" s="290"/>
      <c r="P6" s="290"/>
      <c r="Q6" s="290"/>
      <c r="R6" s="291"/>
    </row>
    <row r="7" spans="1:26" s="4" customFormat="1" ht="14.45" customHeight="1">
      <c r="A7" s="167" t="s">
        <v>221</v>
      </c>
      <c r="B7" s="168"/>
      <c r="C7" s="168"/>
      <c r="D7" s="168"/>
      <c r="E7" s="168"/>
      <c r="F7" s="169"/>
      <c r="G7" s="169"/>
      <c r="H7" s="169"/>
      <c r="I7" s="169"/>
      <c r="J7" s="169"/>
      <c r="K7" s="169"/>
      <c r="L7" s="169"/>
      <c r="M7" s="169"/>
      <c r="N7" s="169"/>
      <c r="O7" s="169"/>
      <c r="P7" s="169"/>
      <c r="Q7" s="169"/>
      <c r="R7" s="170"/>
    </row>
    <row r="8" spans="1:26" s="38" customFormat="1">
      <c r="A8" s="88" t="s">
        <v>222</v>
      </c>
      <c r="B8" s="246">
        <v>330</v>
      </c>
      <c r="C8" s="277"/>
      <c r="D8" s="246">
        <v>325</v>
      </c>
      <c r="E8" s="277"/>
      <c r="F8" s="246"/>
      <c r="G8" s="277"/>
      <c r="H8" s="246"/>
      <c r="I8" s="277"/>
      <c r="J8" s="246"/>
      <c r="K8" s="277"/>
      <c r="L8" s="246"/>
      <c r="M8" s="277"/>
      <c r="N8" s="246"/>
      <c r="O8" s="277"/>
      <c r="P8" s="246" t="s">
        <v>223</v>
      </c>
      <c r="Q8" s="247"/>
      <c r="R8" s="248"/>
      <c r="S8" s="36"/>
    </row>
    <row r="9" spans="1:26" s="38" customFormat="1">
      <c r="A9" s="88" t="s">
        <v>224</v>
      </c>
      <c r="B9" s="246">
        <v>0</v>
      </c>
      <c r="C9" s="277"/>
      <c r="D9" s="246">
        <v>60</v>
      </c>
      <c r="E9" s="277"/>
      <c r="F9" s="246"/>
      <c r="G9" s="277"/>
      <c r="H9" s="246"/>
      <c r="I9" s="277"/>
      <c r="J9" s="246"/>
      <c r="K9" s="277"/>
      <c r="L9" s="246"/>
      <c r="M9" s="277"/>
      <c r="N9" s="246"/>
      <c r="O9" s="277"/>
      <c r="P9" s="246">
        <f>D8*1.5</f>
        <v>487.5</v>
      </c>
      <c r="Q9" s="247"/>
      <c r="R9" s="248"/>
    </row>
    <row r="10" spans="1:26" s="38" customFormat="1">
      <c r="A10" s="266" t="s">
        <v>225</v>
      </c>
      <c r="B10" s="267"/>
      <c r="C10" s="267"/>
      <c r="D10" s="267"/>
      <c r="E10" s="267"/>
      <c r="F10" s="267"/>
      <c r="G10" s="267"/>
      <c r="H10" s="267"/>
      <c r="I10" s="267"/>
      <c r="J10" s="267"/>
      <c r="K10" s="267"/>
      <c r="L10" s="267"/>
      <c r="M10" s="267"/>
      <c r="N10" s="267"/>
      <c r="O10" s="267"/>
      <c r="P10" s="267"/>
      <c r="Q10" s="267"/>
      <c r="R10" s="268"/>
    </row>
    <row r="11" spans="1:26" ht="13.9" customHeight="1">
      <c r="A11" s="91" t="s">
        <v>226</v>
      </c>
      <c r="B11" s="305" t="s">
        <v>508</v>
      </c>
      <c r="C11" s="306"/>
      <c r="D11" s="306"/>
      <c r="E11" s="306"/>
      <c r="F11" s="306"/>
      <c r="G11" s="306"/>
      <c r="H11" s="306"/>
      <c r="I11" s="306"/>
      <c r="J11" s="306"/>
      <c r="K11" s="306"/>
      <c r="L11" s="306"/>
      <c r="M11" s="306"/>
      <c r="N11" s="306"/>
      <c r="O11" s="306"/>
      <c r="P11" s="306"/>
      <c r="Q11" s="306"/>
      <c r="R11" s="307"/>
      <c r="Z11" s="38"/>
    </row>
    <row r="12" spans="1:26" s="39" customFormat="1">
      <c r="A12" s="92" t="s">
        <v>228</v>
      </c>
      <c r="B12" s="60">
        <v>0.5</v>
      </c>
      <c r="C12" s="60">
        <v>0.75</v>
      </c>
      <c r="D12" s="60">
        <v>1</v>
      </c>
      <c r="E12" s="60">
        <v>1.5</v>
      </c>
      <c r="F12" s="60"/>
      <c r="G12" s="60"/>
      <c r="H12" s="60"/>
      <c r="I12" s="60"/>
      <c r="J12" s="60"/>
      <c r="K12" s="60"/>
      <c r="L12" s="324"/>
      <c r="M12" s="325"/>
      <c r="N12" s="325"/>
      <c r="O12" s="325"/>
      <c r="P12" s="325"/>
      <c r="Q12" s="325"/>
      <c r="R12" s="326"/>
      <c r="U12" s="36"/>
      <c r="V12" s="36"/>
      <c r="W12" s="36"/>
      <c r="X12" s="36"/>
      <c r="Y12" s="36"/>
      <c r="Z12" s="38"/>
    </row>
    <row r="13" spans="1:26" s="39" customFormat="1">
      <c r="A13" s="92" t="s">
        <v>509</v>
      </c>
      <c r="B13" s="60">
        <v>1.2450000000000001</v>
      </c>
      <c r="C13" s="60">
        <v>1.651</v>
      </c>
      <c r="D13" s="60">
        <v>2.4129999999999998</v>
      </c>
      <c r="E13" s="60">
        <v>3.4039999999999999</v>
      </c>
      <c r="F13" s="60"/>
      <c r="G13" s="60"/>
      <c r="H13" s="60"/>
      <c r="I13" s="60"/>
      <c r="J13" s="60"/>
      <c r="K13" s="60"/>
      <c r="L13" s="327"/>
      <c r="M13" s="328"/>
      <c r="N13" s="328"/>
      <c r="O13" s="328"/>
      <c r="P13" s="328"/>
      <c r="Q13" s="328"/>
      <c r="R13" s="329"/>
    </row>
    <row r="14" spans="1:26" s="39" customFormat="1" ht="15" customHeight="1">
      <c r="A14" s="92" t="s">
        <v>237</v>
      </c>
      <c r="B14" s="330" t="s">
        <v>526</v>
      </c>
      <c r="C14" s="331"/>
      <c r="D14" s="331"/>
      <c r="E14" s="331"/>
      <c r="F14" s="331"/>
      <c r="G14" s="331"/>
      <c r="H14" s="331"/>
      <c r="I14" s="331"/>
      <c r="J14" s="331"/>
      <c r="K14" s="331"/>
      <c r="L14" s="331"/>
      <c r="M14" s="331"/>
      <c r="N14" s="331"/>
      <c r="O14" s="331"/>
      <c r="P14" s="331"/>
      <c r="Q14" s="331"/>
      <c r="R14" s="332"/>
    </row>
    <row r="15" spans="1:26" s="39" customFormat="1">
      <c r="A15" s="92" t="s">
        <v>240</v>
      </c>
      <c r="B15" s="330" t="s">
        <v>415</v>
      </c>
      <c r="C15" s="331"/>
      <c r="D15" s="331"/>
      <c r="E15" s="331"/>
      <c r="F15" s="331"/>
      <c r="G15" s="331"/>
      <c r="H15" s="331"/>
      <c r="I15" s="331"/>
      <c r="J15" s="331"/>
      <c r="K15" s="331"/>
      <c r="L15" s="331"/>
      <c r="M15" s="331"/>
      <c r="N15" s="331"/>
      <c r="O15" s="331"/>
      <c r="P15" s="331"/>
      <c r="Q15" s="331"/>
      <c r="R15" s="332"/>
    </row>
    <row r="16" spans="1:26" s="39" customFormat="1" ht="15" customHeight="1">
      <c r="A16" s="92" t="s">
        <v>491</v>
      </c>
      <c r="B16" s="330" t="s">
        <v>511</v>
      </c>
      <c r="C16" s="331"/>
      <c r="D16" s="331"/>
      <c r="E16" s="331"/>
      <c r="F16" s="331"/>
      <c r="G16" s="331"/>
      <c r="H16" s="331"/>
      <c r="I16" s="331"/>
      <c r="J16" s="331"/>
      <c r="K16" s="331"/>
      <c r="L16" s="331"/>
      <c r="M16" s="331"/>
      <c r="N16" s="331"/>
      <c r="O16" s="331"/>
      <c r="P16" s="331"/>
      <c r="Q16" s="331"/>
      <c r="R16" s="332"/>
    </row>
    <row r="17" spans="1:18">
      <c r="A17" s="91" t="s">
        <v>228</v>
      </c>
      <c r="B17" s="59">
        <v>0.5</v>
      </c>
      <c r="C17" s="59">
        <v>0.75</v>
      </c>
      <c r="D17" s="59">
        <v>1</v>
      </c>
      <c r="E17" s="59">
        <v>1.5</v>
      </c>
      <c r="F17" s="59"/>
      <c r="G17" s="59"/>
      <c r="H17" s="314"/>
      <c r="I17" s="315"/>
      <c r="J17" s="315"/>
      <c r="K17" s="315"/>
      <c r="L17" s="315"/>
      <c r="M17" s="315"/>
      <c r="N17" s="315"/>
      <c r="O17" s="315"/>
      <c r="P17" s="315"/>
      <c r="Q17" s="315"/>
      <c r="R17" s="316"/>
    </row>
    <row r="18" spans="1:18" ht="13.15" customHeight="1">
      <c r="A18" s="91" t="s">
        <v>234</v>
      </c>
      <c r="B18" s="305" t="s">
        <v>512</v>
      </c>
      <c r="C18" s="306"/>
      <c r="D18" s="306"/>
      <c r="E18" s="306"/>
      <c r="F18" s="306"/>
      <c r="G18" s="306"/>
      <c r="H18" s="306"/>
      <c r="I18" s="306"/>
      <c r="J18" s="306"/>
      <c r="K18" s="306"/>
      <c r="L18" s="306"/>
      <c r="M18" s="306"/>
      <c r="N18" s="306"/>
      <c r="O18" s="306"/>
      <c r="P18" s="306"/>
      <c r="Q18" s="306"/>
      <c r="R18" s="307"/>
    </row>
    <row r="19" spans="1:18" ht="13.15" customHeight="1">
      <c r="A19" s="91" t="s">
        <v>237</v>
      </c>
      <c r="B19" s="305" t="s">
        <v>513</v>
      </c>
      <c r="C19" s="306"/>
      <c r="D19" s="306"/>
      <c r="E19" s="306"/>
      <c r="F19" s="306"/>
      <c r="G19" s="306"/>
      <c r="H19" s="306"/>
      <c r="I19" s="306"/>
      <c r="J19" s="306"/>
      <c r="K19" s="306"/>
      <c r="L19" s="306"/>
      <c r="M19" s="306"/>
      <c r="N19" s="306"/>
      <c r="O19" s="306"/>
      <c r="P19" s="306"/>
      <c r="Q19" s="306"/>
      <c r="R19" s="307"/>
    </row>
    <row r="20" spans="1:18" ht="13.15" customHeight="1">
      <c r="A20" s="91" t="s">
        <v>240</v>
      </c>
      <c r="B20" s="305" t="s">
        <v>514</v>
      </c>
      <c r="C20" s="306"/>
      <c r="D20" s="306"/>
      <c r="E20" s="306"/>
      <c r="F20" s="306"/>
      <c r="G20" s="306"/>
      <c r="H20" s="306"/>
      <c r="I20" s="306"/>
      <c r="J20" s="306"/>
      <c r="K20" s="306"/>
      <c r="L20" s="306"/>
      <c r="M20" s="306"/>
      <c r="N20" s="306"/>
      <c r="O20" s="306"/>
      <c r="P20" s="306"/>
      <c r="Q20" s="306"/>
      <c r="R20" s="307"/>
    </row>
    <row r="21" spans="1:18" ht="13.15" customHeight="1">
      <c r="A21" s="91"/>
      <c r="B21" s="305"/>
      <c r="C21" s="306"/>
      <c r="D21" s="306"/>
      <c r="E21" s="306"/>
      <c r="F21" s="306"/>
      <c r="G21" s="306"/>
      <c r="H21" s="306"/>
      <c r="I21" s="306"/>
      <c r="J21" s="306"/>
      <c r="K21" s="306"/>
      <c r="L21" s="306"/>
      <c r="M21" s="306"/>
      <c r="N21" s="306"/>
      <c r="O21" s="306"/>
      <c r="P21" s="306"/>
      <c r="Q21" s="306"/>
      <c r="R21" s="307"/>
    </row>
    <row r="22" spans="1:18" ht="13.15" customHeight="1">
      <c r="A22" s="91"/>
      <c r="B22" s="305"/>
      <c r="C22" s="306"/>
      <c r="D22" s="306"/>
      <c r="E22" s="306"/>
      <c r="F22" s="306"/>
      <c r="G22" s="306"/>
      <c r="H22" s="306"/>
      <c r="I22" s="306"/>
      <c r="J22" s="306"/>
      <c r="K22" s="306"/>
      <c r="L22" s="306"/>
      <c r="M22" s="306"/>
      <c r="N22" s="306"/>
      <c r="O22" s="306"/>
      <c r="P22" s="306"/>
      <c r="Q22" s="306"/>
      <c r="R22" s="307"/>
    </row>
    <row r="23" spans="1:18" ht="13.15" customHeight="1">
      <c r="A23" s="91"/>
      <c r="B23" s="305"/>
      <c r="C23" s="306"/>
      <c r="D23" s="306"/>
      <c r="E23" s="306"/>
      <c r="F23" s="306"/>
      <c r="G23" s="306"/>
      <c r="H23" s="306"/>
      <c r="I23" s="306"/>
      <c r="J23" s="306"/>
      <c r="K23" s="306"/>
      <c r="L23" s="306"/>
      <c r="M23" s="306"/>
      <c r="N23" s="306"/>
      <c r="O23" s="306"/>
      <c r="P23" s="306"/>
      <c r="Q23" s="306"/>
      <c r="R23" s="307"/>
    </row>
    <row r="24" spans="1:18" ht="13.15" customHeight="1">
      <c r="A24" s="91"/>
      <c r="B24" s="321"/>
      <c r="C24" s="322"/>
      <c r="D24" s="322"/>
      <c r="E24" s="322"/>
      <c r="F24" s="322"/>
      <c r="G24" s="322"/>
      <c r="H24" s="322"/>
      <c r="I24" s="322"/>
      <c r="J24" s="322"/>
      <c r="K24" s="322"/>
      <c r="L24" s="322"/>
      <c r="M24" s="322"/>
      <c r="N24" s="322"/>
      <c r="O24" s="322"/>
      <c r="P24" s="322"/>
      <c r="Q24" s="322"/>
      <c r="R24" s="323"/>
    </row>
    <row r="25" spans="1:18" ht="13.15" customHeight="1">
      <c r="A25" s="91"/>
      <c r="B25" s="305"/>
      <c r="C25" s="306"/>
      <c r="D25" s="306"/>
      <c r="E25" s="306"/>
      <c r="F25" s="306"/>
      <c r="G25" s="306"/>
      <c r="H25" s="306"/>
      <c r="I25" s="306"/>
      <c r="J25" s="306"/>
      <c r="K25" s="306"/>
      <c r="L25" s="306"/>
      <c r="M25" s="306"/>
      <c r="N25" s="306"/>
      <c r="O25" s="306"/>
      <c r="P25" s="306"/>
      <c r="Q25" s="306"/>
      <c r="R25" s="307"/>
    </row>
    <row r="26" spans="1:18" ht="13.15" customHeight="1">
      <c r="A26" s="91"/>
      <c r="B26" s="305"/>
      <c r="C26" s="306"/>
      <c r="D26" s="306"/>
      <c r="E26" s="306"/>
      <c r="F26" s="306"/>
      <c r="G26" s="306"/>
      <c r="H26" s="306"/>
      <c r="I26" s="306"/>
      <c r="J26" s="306"/>
      <c r="K26" s="306"/>
      <c r="L26" s="306"/>
      <c r="M26" s="306"/>
      <c r="N26" s="306"/>
      <c r="O26" s="306"/>
      <c r="P26" s="306"/>
      <c r="Q26" s="306"/>
      <c r="R26" s="307"/>
    </row>
    <row r="27" spans="1:18">
      <c r="A27" s="320"/>
      <c r="B27" s="315"/>
      <c r="C27" s="315"/>
      <c r="D27" s="315"/>
      <c r="E27" s="315"/>
      <c r="F27" s="315"/>
      <c r="G27" s="315"/>
      <c r="H27" s="315"/>
      <c r="I27" s="315"/>
      <c r="J27" s="315"/>
      <c r="K27" s="315"/>
      <c r="L27" s="315"/>
      <c r="M27" s="315"/>
      <c r="N27" s="315"/>
      <c r="O27" s="315"/>
      <c r="P27" s="315"/>
      <c r="Q27" s="315"/>
      <c r="R27" s="316"/>
    </row>
    <row r="28" spans="1:18" ht="13.9" customHeight="1">
      <c r="A28" s="320"/>
      <c r="B28" s="315"/>
      <c r="C28" s="315"/>
      <c r="D28" s="315"/>
      <c r="E28" s="315"/>
      <c r="F28" s="315"/>
      <c r="G28" s="315"/>
      <c r="H28" s="315"/>
      <c r="I28" s="315"/>
      <c r="J28" s="315"/>
      <c r="K28" s="315"/>
      <c r="L28" s="315"/>
      <c r="M28" s="315"/>
      <c r="N28" s="315"/>
      <c r="O28" s="315"/>
      <c r="P28" s="315"/>
      <c r="Q28" s="315"/>
      <c r="R28" s="316"/>
    </row>
    <row r="29" spans="1:18">
      <c r="A29" s="91"/>
      <c r="B29" s="314"/>
      <c r="C29" s="315"/>
      <c r="D29" s="315"/>
      <c r="E29" s="315"/>
      <c r="F29" s="315"/>
      <c r="G29" s="315"/>
      <c r="H29" s="315"/>
      <c r="I29" s="315"/>
      <c r="J29" s="315"/>
      <c r="K29" s="315"/>
      <c r="L29" s="315"/>
      <c r="M29" s="315"/>
      <c r="N29" s="315"/>
      <c r="O29" s="315"/>
      <c r="P29" s="315"/>
      <c r="Q29" s="315"/>
      <c r="R29" s="316"/>
    </row>
    <row r="30" spans="1:18" ht="13.9" customHeight="1">
      <c r="A30" s="91"/>
      <c r="B30" s="305"/>
      <c r="C30" s="306"/>
      <c r="D30" s="306"/>
      <c r="E30" s="306"/>
      <c r="F30" s="306"/>
      <c r="G30" s="306"/>
      <c r="H30" s="306"/>
      <c r="I30" s="306"/>
      <c r="J30" s="306"/>
      <c r="K30" s="306"/>
      <c r="L30" s="306"/>
      <c r="M30" s="306"/>
      <c r="N30" s="306"/>
      <c r="O30" s="306"/>
      <c r="P30" s="306"/>
      <c r="Q30" s="306"/>
      <c r="R30" s="307"/>
    </row>
    <row r="31" spans="1:18" ht="13.9" customHeight="1">
      <c r="A31" s="91"/>
      <c r="B31" s="305"/>
      <c r="C31" s="306"/>
      <c r="D31" s="306"/>
      <c r="E31" s="306"/>
      <c r="F31" s="306"/>
      <c r="G31" s="306"/>
      <c r="H31" s="306"/>
      <c r="I31" s="306"/>
      <c r="J31" s="306"/>
      <c r="K31" s="306"/>
      <c r="L31" s="306"/>
      <c r="M31" s="306"/>
      <c r="N31" s="306"/>
      <c r="O31" s="306"/>
      <c r="P31" s="306"/>
      <c r="Q31" s="306"/>
      <c r="R31" s="307"/>
    </row>
    <row r="32" spans="1:18" ht="15.75" customHeight="1">
      <c r="A32" s="91"/>
      <c r="B32" s="305"/>
      <c r="C32" s="306"/>
      <c r="D32" s="306"/>
      <c r="E32" s="306"/>
      <c r="F32" s="306"/>
      <c r="G32" s="306"/>
      <c r="H32" s="306"/>
      <c r="I32" s="306"/>
      <c r="J32" s="306"/>
      <c r="K32" s="306"/>
      <c r="L32" s="306"/>
      <c r="M32" s="306"/>
      <c r="N32" s="306"/>
      <c r="O32" s="306"/>
      <c r="P32" s="306"/>
      <c r="Q32" s="306"/>
      <c r="R32" s="307"/>
    </row>
    <row r="33" spans="1:18">
      <c r="A33" s="317"/>
      <c r="B33" s="318"/>
      <c r="C33" s="318"/>
      <c r="D33" s="318"/>
      <c r="E33" s="318"/>
      <c r="F33" s="318"/>
      <c r="G33" s="318"/>
      <c r="H33" s="318"/>
      <c r="I33" s="318"/>
      <c r="J33" s="318"/>
      <c r="K33" s="318"/>
      <c r="L33" s="318"/>
      <c r="M33" s="318"/>
      <c r="N33" s="318"/>
      <c r="O33" s="318"/>
      <c r="P33" s="318"/>
      <c r="Q33" s="318"/>
      <c r="R33" s="319"/>
    </row>
    <row r="34" spans="1:18" ht="13.9" customHeight="1">
      <c r="A34" s="91"/>
      <c r="B34" s="305"/>
      <c r="C34" s="306"/>
      <c r="D34" s="306"/>
      <c r="E34" s="306"/>
      <c r="F34" s="306"/>
      <c r="G34" s="306"/>
      <c r="H34" s="306"/>
      <c r="I34" s="306"/>
      <c r="J34" s="306"/>
      <c r="K34" s="306"/>
      <c r="L34" s="306"/>
      <c r="M34" s="306"/>
      <c r="N34" s="306"/>
      <c r="O34" s="306"/>
      <c r="P34" s="306"/>
      <c r="Q34" s="306"/>
      <c r="R34" s="307"/>
    </row>
    <row r="35" spans="1:18" ht="15" customHeight="1">
      <c r="A35" s="91"/>
      <c r="B35" s="305"/>
      <c r="C35" s="306"/>
      <c r="D35" s="306"/>
      <c r="E35" s="306"/>
      <c r="F35" s="306"/>
      <c r="G35" s="306"/>
      <c r="H35" s="306"/>
      <c r="I35" s="306"/>
      <c r="J35" s="306"/>
      <c r="K35" s="306"/>
      <c r="L35" s="306"/>
      <c r="M35" s="306"/>
      <c r="N35" s="306"/>
      <c r="O35" s="306"/>
      <c r="P35" s="306"/>
      <c r="Q35" s="306"/>
      <c r="R35" s="307"/>
    </row>
    <row r="36" spans="1:18" ht="15" customHeight="1">
      <c r="A36" s="91"/>
      <c r="B36" s="305"/>
      <c r="C36" s="306"/>
      <c r="D36" s="306"/>
      <c r="E36" s="306"/>
      <c r="F36" s="306"/>
      <c r="G36" s="306"/>
      <c r="H36" s="306"/>
      <c r="I36" s="306"/>
      <c r="J36" s="306"/>
      <c r="K36" s="306"/>
      <c r="L36" s="306"/>
      <c r="M36" s="306"/>
      <c r="N36" s="306"/>
      <c r="O36" s="306"/>
      <c r="P36" s="306"/>
      <c r="Q36" s="306"/>
      <c r="R36" s="307"/>
    </row>
    <row r="37" spans="1:18">
      <c r="A37" s="317"/>
      <c r="B37" s="318"/>
      <c r="C37" s="318"/>
      <c r="D37" s="318"/>
      <c r="E37" s="318"/>
      <c r="F37" s="318"/>
      <c r="G37" s="318"/>
      <c r="H37" s="318"/>
      <c r="I37" s="318"/>
      <c r="J37" s="318"/>
      <c r="K37" s="318"/>
      <c r="L37" s="318"/>
      <c r="M37" s="318"/>
      <c r="N37" s="318"/>
      <c r="O37" s="318"/>
      <c r="P37" s="318"/>
      <c r="Q37" s="318"/>
      <c r="R37" s="319"/>
    </row>
    <row r="38" spans="1:18" ht="13.9" customHeight="1">
      <c r="A38" s="91"/>
      <c r="B38" s="305"/>
      <c r="C38" s="306"/>
      <c r="D38" s="306"/>
      <c r="E38" s="306"/>
      <c r="F38" s="306"/>
      <c r="G38" s="306"/>
      <c r="H38" s="306"/>
      <c r="I38" s="306"/>
      <c r="J38" s="306"/>
      <c r="K38" s="306"/>
      <c r="L38" s="306"/>
      <c r="M38" s="306"/>
      <c r="N38" s="306"/>
      <c r="O38" s="306"/>
      <c r="P38" s="306"/>
      <c r="Q38" s="306"/>
      <c r="R38" s="307"/>
    </row>
    <row r="39" spans="1:18" s="5" customFormat="1" ht="13.9" customHeight="1">
      <c r="A39" s="296" t="s">
        <v>527</v>
      </c>
      <c r="B39" s="297"/>
      <c r="C39" s="297"/>
      <c r="D39" s="297"/>
      <c r="E39" s="297"/>
      <c r="F39" s="297"/>
      <c r="G39" s="297"/>
      <c r="H39" s="297"/>
      <c r="I39" s="297"/>
      <c r="J39" s="297"/>
      <c r="K39" s="297"/>
      <c r="L39" s="297"/>
      <c r="M39" s="297"/>
      <c r="N39" s="297"/>
      <c r="O39" s="297"/>
      <c r="P39" s="297"/>
      <c r="Q39" s="297"/>
      <c r="R39" s="298"/>
    </row>
    <row r="40" spans="1:18" s="5" customFormat="1" ht="13.9" customHeight="1">
      <c r="A40" s="69" t="s">
        <v>272</v>
      </c>
      <c r="B40" s="144" t="e">
        <f ca="1">VLOOKUP(F3,INDEX!B:J,2,0)</f>
        <v>#VALUE!</v>
      </c>
      <c r="C40" s="145"/>
      <c r="D40" s="145"/>
      <c r="E40" s="145"/>
      <c r="F40" s="145"/>
      <c r="G40" s="145"/>
      <c r="H40" s="145"/>
      <c r="I40" s="145"/>
      <c r="J40" s="145"/>
      <c r="K40" s="145"/>
      <c r="L40" s="145"/>
      <c r="M40" s="145"/>
      <c r="N40" s="145"/>
      <c r="O40" s="145"/>
      <c r="P40" s="145"/>
      <c r="Q40" s="145"/>
      <c r="R40" s="147"/>
    </row>
    <row r="41" spans="1:18" s="5" customFormat="1" ht="13.9" customHeight="1">
      <c r="A41" s="69" t="s">
        <v>304</v>
      </c>
      <c r="B41" s="205" t="e">
        <f ca="1">"DSR"&amp;VLOOKUP(F3,INDEX!B:AH,33,0)&amp;"JT"</f>
        <v>#VALUE!</v>
      </c>
      <c r="C41" s="206"/>
      <c r="D41" s="206"/>
      <c r="E41" s="206"/>
      <c r="F41" s="206"/>
      <c r="G41" s="206"/>
      <c r="H41" s="206"/>
      <c r="I41" s="206"/>
      <c r="J41" s="206"/>
      <c r="K41" s="206"/>
      <c r="L41" s="206"/>
      <c r="M41" s="206"/>
      <c r="N41" s="206"/>
      <c r="O41" s="206"/>
      <c r="P41" s="206"/>
      <c r="Q41" s="206"/>
      <c r="R41" s="207"/>
    </row>
    <row r="42" spans="1:18" s="5" customFormat="1" ht="13.9" customHeight="1">
      <c r="A42" s="69" t="s">
        <v>515</v>
      </c>
      <c r="B42" s="205" t="e">
        <f ca="1">"NEE"&amp;VLOOKUP(F3,INDEX!B:AH,33,0)&amp;"F"</f>
        <v>#VALUE!</v>
      </c>
      <c r="C42" s="206"/>
      <c r="D42" s="206"/>
      <c r="E42" s="206"/>
      <c r="F42" s="206"/>
      <c r="G42" s="206"/>
      <c r="H42" s="206"/>
      <c r="I42" s="206"/>
      <c r="J42" s="206"/>
      <c r="K42" s="206"/>
      <c r="L42" s="206"/>
      <c r="M42" s="206"/>
      <c r="N42" s="206"/>
      <c r="O42" s="206"/>
      <c r="P42" s="206"/>
      <c r="Q42" s="206"/>
      <c r="R42" s="207"/>
    </row>
    <row r="43" spans="1:18" s="5" customFormat="1" ht="13.9" customHeight="1">
      <c r="A43" s="69" t="s">
        <v>516</v>
      </c>
      <c r="B43" s="109" t="e">
        <f ca="1">"BSF"&amp;VLOOKUP(F3,INDEX!B:AH,33,0)&amp;"J"</f>
        <v>#VALUE!</v>
      </c>
      <c r="C43" s="109"/>
      <c r="D43" s="109"/>
      <c r="E43" s="109"/>
      <c r="F43" s="109"/>
      <c r="G43" s="109"/>
      <c r="H43" s="109"/>
      <c r="I43" s="109"/>
      <c r="J43" s="109"/>
      <c r="K43" s="109"/>
      <c r="L43" s="109"/>
      <c r="M43" s="109"/>
      <c r="N43" s="109"/>
      <c r="O43" s="109"/>
      <c r="P43" s="109"/>
      <c r="Q43" s="109"/>
      <c r="R43" s="110"/>
    </row>
    <row r="44" spans="1:18" s="5" customFormat="1" ht="13.9" customHeight="1">
      <c r="A44" s="69" t="s">
        <v>517</v>
      </c>
      <c r="B44" s="109" t="e">
        <f ca="1">"CHP"&amp;VLOOKUP(F3,INDEX!B:AH,33,0)&amp;"F"</f>
        <v>#VALUE!</v>
      </c>
      <c r="C44" s="109"/>
      <c r="D44" s="109"/>
      <c r="E44" s="109"/>
      <c r="F44" s="109"/>
      <c r="G44" s="109"/>
      <c r="H44" s="109"/>
      <c r="I44" s="109"/>
      <c r="J44" s="109"/>
      <c r="K44" s="109"/>
      <c r="L44" s="109"/>
      <c r="M44" s="109"/>
      <c r="N44" s="109"/>
      <c r="O44" s="109"/>
      <c r="P44" s="109"/>
      <c r="Q44" s="109"/>
      <c r="R44" s="110"/>
    </row>
    <row r="45" spans="1:18" s="5" customFormat="1" ht="13.9" customHeight="1">
      <c r="A45" s="69"/>
      <c r="B45" s="144"/>
      <c r="C45" s="145"/>
      <c r="D45" s="145"/>
      <c r="E45" s="145"/>
      <c r="F45" s="145"/>
      <c r="G45" s="144"/>
      <c r="H45" s="145"/>
      <c r="I45" s="145"/>
      <c r="J45" s="145"/>
      <c r="K45" s="145"/>
      <c r="L45" s="145"/>
      <c r="M45" s="145"/>
      <c r="N45" s="145"/>
      <c r="O45" s="145"/>
      <c r="P45" s="145"/>
      <c r="Q45" s="145"/>
      <c r="R45" s="147"/>
    </row>
    <row r="46" spans="1:18">
      <c r="A46" s="299" t="s">
        <v>443</v>
      </c>
      <c r="B46" s="300"/>
      <c r="C46" s="300"/>
      <c r="D46" s="300"/>
      <c r="E46" s="300"/>
      <c r="F46" s="300"/>
      <c r="G46" s="300"/>
      <c r="H46" s="300"/>
      <c r="I46" s="300"/>
      <c r="J46" s="300"/>
      <c r="K46" s="300"/>
      <c r="L46" s="300"/>
      <c r="M46" s="300"/>
      <c r="N46" s="300"/>
      <c r="O46" s="300"/>
      <c r="P46" s="300"/>
      <c r="Q46" s="300"/>
      <c r="R46" s="301"/>
    </row>
    <row r="47" spans="1:18" ht="27" customHeight="1">
      <c r="A47" s="302" t="s">
        <v>518</v>
      </c>
      <c r="B47" s="303"/>
      <c r="C47" s="303"/>
      <c r="D47" s="303"/>
      <c r="E47" s="303"/>
      <c r="F47" s="303"/>
      <c r="G47" s="303"/>
      <c r="H47" s="303"/>
      <c r="I47" s="303"/>
      <c r="J47" s="303"/>
      <c r="K47" s="303"/>
      <c r="L47" s="303"/>
      <c r="M47" s="303"/>
      <c r="N47" s="303"/>
      <c r="O47" s="303"/>
      <c r="P47" s="303"/>
      <c r="Q47" s="303"/>
      <c r="R47" s="304"/>
    </row>
    <row r="48" spans="1:18">
      <c r="A48" s="308" t="s">
        <v>519</v>
      </c>
      <c r="B48" s="309"/>
      <c r="C48" s="309"/>
      <c r="D48" s="309"/>
      <c r="E48" s="309"/>
      <c r="F48" s="309"/>
      <c r="G48" s="309"/>
      <c r="H48" s="309"/>
      <c r="I48" s="309"/>
      <c r="J48" s="309"/>
      <c r="K48" s="309"/>
      <c r="L48" s="309"/>
      <c r="M48" s="309"/>
      <c r="N48" s="309"/>
      <c r="O48" s="309"/>
      <c r="P48" s="309"/>
      <c r="Q48" s="309"/>
      <c r="R48" s="310"/>
    </row>
    <row r="49" spans="1:18" ht="30.6" customHeight="1">
      <c r="A49" s="308" t="s">
        <v>520</v>
      </c>
      <c r="B49" s="309"/>
      <c r="C49" s="309"/>
      <c r="D49" s="309"/>
      <c r="E49" s="309"/>
      <c r="F49" s="309"/>
      <c r="G49" s="309"/>
      <c r="H49" s="309"/>
      <c r="I49" s="309"/>
      <c r="J49" s="309"/>
      <c r="K49" s="309"/>
      <c r="L49" s="309"/>
      <c r="M49" s="309"/>
      <c r="N49" s="309"/>
      <c r="O49" s="309"/>
      <c r="P49" s="309"/>
      <c r="Q49" s="309"/>
      <c r="R49" s="310"/>
    </row>
    <row r="50" spans="1:18">
      <c r="A50" s="308" t="s">
        <v>521</v>
      </c>
      <c r="B50" s="309"/>
      <c r="C50" s="309"/>
      <c r="D50" s="309"/>
      <c r="E50" s="309"/>
      <c r="F50" s="309"/>
      <c r="G50" s="309"/>
      <c r="H50" s="309"/>
      <c r="I50" s="309"/>
      <c r="J50" s="309"/>
      <c r="K50" s="309"/>
      <c r="L50" s="309"/>
      <c r="M50" s="309"/>
      <c r="N50" s="309"/>
      <c r="O50" s="309"/>
      <c r="P50" s="309"/>
      <c r="Q50" s="309"/>
      <c r="R50" s="310"/>
    </row>
    <row r="51" spans="1:18" ht="46.15" customHeight="1">
      <c r="A51" s="308" t="s">
        <v>522</v>
      </c>
      <c r="B51" s="309"/>
      <c r="C51" s="309"/>
      <c r="D51" s="309"/>
      <c r="E51" s="309"/>
      <c r="F51" s="309"/>
      <c r="G51" s="309"/>
      <c r="H51" s="309"/>
      <c r="I51" s="309"/>
      <c r="J51" s="309"/>
      <c r="K51" s="309"/>
      <c r="L51" s="309"/>
      <c r="M51" s="309"/>
      <c r="N51" s="309"/>
      <c r="O51" s="309"/>
      <c r="P51" s="309"/>
      <c r="Q51" s="309"/>
      <c r="R51" s="310"/>
    </row>
    <row r="52" spans="1:18" ht="32.25" customHeight="1">
      <c r="A52" s="308" t="s">
        <v>523</v>
      </c>
      <c r="B52" s="309"/>
      <c r="C52" s="309"/>
      <c r="D52" s="309"/>
      <c r="E52" s="309"/>
      <c r="F52" s="309"/>
      <c r="G52" s="309"/>
      <c r="H52" s="309"/>
      <c r="I52" s="309"/>
      <c r="J52" s="309"/>
      <c r="K52" s="309"/>
      <c r="L52" s="309"/>
      <c r="M52" s="309"/>
      <c r="N52" s="309"/>
      <c r="O52" s="309"/>
      <c r="P52" s="309"/>
      <c r="Q52" s="309"/>
      <c r="R52" s="310"/>
    </row>
    <row r="53" spans="1:18">
      <c r="A53" s="308" t="s">
        <v>524</v>
      </c>
      <c r="B53" s="309"/>
      <c r="C53" s="309"/>
      <c r="D53" s="309"/>
      <c r="E53" s="309"/>
      <c r="F53" s="309"/>
      <c r="G53" s="309"/>
      <c r="H53" s="309"/>
      <c r="I53" s="309"/>
      <c r="J53" s="309"/>
      <c r="K53" s="309"/>
      <c r="L53" s="309"/>
      <c r="M53" s="309"/>
      <c r="N53" s="309"/>
      <c r="O53" s="309"/>
      <c r="P53" s="309"/>
      <c r="Q53" s="309"/>
      <c r="R53" s="310"/>
    </row>
    <row r="54" spans="1:18" ht="29.45" customHeight="1" thickBot="1">
      <c r="A54" s="311" t="s">
        <v>525</v>
      </c>
      <c r="B54" s="312"/>
      <c r="C54" s="312"/>
      <c r="D54" s="312"/>
      <c r="E54" s="312"/>
      <c r="F54" s="312"/>
      <c r="G54" s="312"/>
      <c r="H54" s="312"/>
      <c r="I54" s="312"/>
      <c r="J54" s="312"/>
      <c r="K54" s="312"/>
      <c r="L54" s="312"/>
      <c r="M54" s="312"/>
      <c r="N54" s="312"/>
      <c r="O54" s="312"/>
      <c r="P54" s="312"/>
      <c r="Q54" s="312"/>
      <c r="R54" s="313"/>
    </row>
    <row r="55" spans="1:18">
      <c r="A55" s="61"/>
      <c r="B55" s="61"/>
      <c r="C55" s="61"/>
      <c r="D55" s="61"/>
      <c r="E55" s="61"/>
      <c r="F55" s="61"/>
      <c r="G55" s="61"/>
      <c r="H55" s="61"/>
      <c r="I55" s="61"/>
      <c r="J55" s="61"/>
      <c r="K55" s="61"/>
      <c r="L55" s="61"/>
      <c r="M55" s="61"/>
      <c r="N55" s="61"/>
      <c r="O55" s="61"/>
      <c r="P55" s="61"/>
      <c r="Q55" s="61"/>
      <c r="R55" s="61"/>
    </row>
  </sheetData>
  <mergeCells count="83">
    <mergeCell ref="A50:R50"/>
    <mergeCell ref="A51:R51"/>
    <mergeCell ref="A52:R52"/>
    <mergeCell ref="A53:R53"/>
    <mergeCell ref="A54:R54"/>
    <mergeCell ref="A49:R49"/>
    <mergeCell ref="B40:R40"/>
    <mergeCell ref="B41:R41"/>
    <mergeCell ref="B42:R42"/>
    <mergeCell ref="B43:R43"/>
    <mergeCell ref="B44:E44"/>
    <mergeCell ref="F44:R44"/>
    <mergeCell ref="B45:F45"/>
    <mergeCell ref="G45:R45"/>
    <mergeCell ref="A46:R46"/>
    <mergeCell ref="A47:R47"/>
    <mergeCell ref="A48:R48"/>
    <mergeCell ref="A39:R39"/>
    <mergeCell ref="A28:R28"/>
    <mergeCell ref="B29:R29"/>
    <mergeCell ref="B30:R30"/>
    <mergeCell ref="B31:R31"/>
    <mergeCell ref="B32:R32"/>
    <mergeCell ref="A33:R33"/>
    <mergeCell ref="B34:R34"/>
    <mergeCell ref="B35:R35"/>
    <mergeCell ref="B36:R36"/>
    <mergeCell ref="A37:R37"/>
    <mergeCell ref="B38:R38"/>
    <mergeCell ref="A27:R27"/>
    <mergeCell ref="B16:R16"/>
    <mergeCell ref="H17:R17"/>
    <mergeCell ref="B18:R18"/>
    <mergeCell ref="B19:R19"/>
    <mergeCell ref="B20:R20"/>
    <mergeCell ref="B21:R21"/>
    <mergeCell ref="B22:R22"/>
    <mergeCell ref="B23:R23"/>
    <mergeCell ref="B24:R24"/>
    <mergeCell ref="B25:R25"/>
    <mergeCell ref="B26:R26"/>
    <mergeCell ref="P9:R9"/>
    <mergeCell ref="A10:R10"/>
    <mergeCell ref="B11:R11"/>
    <mergeCell ref="L12:R13"/>
    <mergeCell ref="B14:R14"/>
    <mergeCell ref="B15:R15"/>
    <mergeCell ref="L8:M8"/>
    <mergeCell ref="N8:O8"/>
    <mergeCell ref="P8:R8"/>
    <mergeCell ref="B9:C9"/>
    <mergeCell ref="D9:E9"/>
    <mergeCell ref="F9:G9"/>
    <mergeCell ref="H9:I9"/>
    <mergeCell ref="J9:K9"/>
    <mergeCell ref="L9:M9"/>
    <mergeCell ref="N9:O9"/>
    <mergeCell ref="B8:C8"/>
    <mergeCell ref="D8:E8"/>
    <mergeCell ref="F8:G8"/>
    <mergeCell ref="H8:I8"/>
    <mergeCell ref="J8:K8"/>
    <mergeCell ref="F5:G5"/>
    <mergeCell ref="H5:R5"/>
    <mergeCell ref="F6:H6"/>
    <mergeCell ref="I6:R6"/>
    <mergeCell ref="A7:R7"/>
    <mergeCell ref="A1:E6"/>
    <mergeCell ref="F1:P1"/>
    <mergeCell ref="Q1:R1"/>
    <mergeCell ref="F2:I2"/>
    <mergeCell ref="J2:L2"/>
    <mergeCell ref="M2:N2"/>
    <mergeCell ref="O2:P2"/>
    <mergeCell ref="Q2:R2"/>
    <mergeCell ref="J3:L3"/>
    <mergeCell ref="M3:N3"/>
    <mergeCell ref="O3:P3"/>
    <mergeCell ref="Q3:R3"/>
    <mergeCell ref="F4:H4"/>
    <mergeCell ref="I4:R4"/>
    <mergeCell ref="F3:G3"/>
    <mergeCell ref="H3:I3"/>
  </mergeCells>
  <printOptions horizontalCentered="1"/>
  <pageMargins left="0.7" right="0.7" top="0.75" bottom="0.75" header="0.3" footer="0.3"/>
  <pageSetup paperSize="9" scale="87" firstPageNumber="1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D7F7665F4F3243991D36AF54278397" ma:contentTypeVersion="12" ma:contentTypeDescription="Create a new document." ma:contentTypeScope="" ma:versionID="0e18d53710df35f3cfc0cbf81fe6d5d6">
  <xsd:schema xmlns:xsd="http://www.w3.org/2001/XMLSchema" xmlns:xs="http://www.w3.org/2001/XMLSchema" xmlns:p="http://schemas.microsoft.com/office/2006/metadata/properties" xmlns:ns3="b67adc24-7827-4200-8c4b-03cdce3eb303" xmlns:ns4="a7e613de-c9c4-4c09-80a5-409b1de1638f" targetNamespace="http://schemas.microsoft.com/office/2006/metadata/properties" ma:root="true" ma:fieldsID="7be96c08afc6be3bc1b2edf62da8d920" ns3:_="" ns4:_="">
    <xsd:import namespace="b67adc24-7827-4200-8c4b-03cdce3eb303"/>
    <xsd:import namespace="a7e613de-c9c4-4c09-80a5-409b1de1638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adc24-7827-4200-8c4b-03cdce3eb3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e613de-c9c4-4c09-80a5-409b1de1638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987377-E41C-4036-8269-9C8187A6E13E}"/>
</file>

<file path=customXml/itemProps2.xml><?xml version="1.0" encoding="utf-8"?>
<ds:datastoreItem xmlns:ds="http://schemas.openxmlformats.org/officeDocument/2006/customXml" ds:itemID="{C0A04E0F-0326-48AB-B44F-D5B46AFDEC44}"/>
</file>

<file path=customXml/itemProps3.xml><?xml version="1.0" encoding="utf-8"?>
<ds:datastoreItem xmlns:ds="http://schemas.openxmlformats.org/officeDocument/2006/customXml" ds:itemID="{DEADE557-DE6C-4F7E-9DBE-382D0B9E4E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Gopiram Tiruchy Nagendran ( shapoorji )</dc:creator>
  <cp:keywords/>
  <dc:description/>
  <cp:lastModifiedBy>Aditi Tomar</cp:lastModifiedBy>
  <cp:revision/>
  <dcterms:created xsi:type="dcterms:W3CDTF">2017-02-13T09:26:00Z</dcterms:created>
  <dcterms:modified xsi:type="dcterms:W3CDTF">2026-02-02T05:43:38Z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0x01010004D7F7665F4F3243991D36AF54278397</vt:lpwstr>
  </property>
</Properties>
</file>