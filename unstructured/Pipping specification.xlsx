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8_{3D4B8578-F222-B046-9FBA-749A46E54E46}" xr6:coauthVersionLast="47" xr6:coauthVersionMax="47" xr10:uidLastSave="{00000000-0000-0000-0000-000000000000}"/>
  <bookViews>
    <workbookView xWindow="780" yWindow="1000" windowWidth="27640" windowHeight="15560" activeTab="3" xr2:uid="{A1629FFC-9C8F-3346-BCF8-5DE4C998CF2A}"/>
  </bookViews>
  <sheets>
    <sheet name="A1" sheetId="1" r:id="rId1"/>
    <sheet name="B1" sheetId="2" r:id="rId2"/>
    <sheet name="D1" sheetId="3" r:id="rId3"/>
    <sheet name="E1" sheetId="4" r:id="rId4"/>
  </sheets>
  <externalReferences>
    <externalReference r:id="rId5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B46" i="4" s="1"/>
  <c r="F3" i="1"/>
  <c r="F44" i="1" s="1"/>
  <c r="I6" i="4" l="1"/>
  <c r="B40" i="4"/>
  <c r="F41" i="4"/>
  <c r="J3" i="4"/>
  <c r="D8" i="4"/>
  <c r="B42" i="4"/>
  <c r="M3" i="4"/>
  <c r="F8" i="4"/>
  <c r="B43" i="4"/>
  <c r="H3" i="4"/>
  <c r="B8" i="4"/>
  <c r="P9" i="4" s="1"/>
  <c r="B44" i="4"/>
  <c r="H8" i="4"/>
  <c r="Q3" i="4"/>
  <c r="J8" i="4"/>
  <c r="F44" i="4"/>
  <c r="O3" i="4"/>
  <c r="I4" i="4"/>
  <c r="B9" i="4"/>
  <c r="B45" i="4"/>
  <c r="H5" i="4"/>
  <c r="B9" i="1"/>
  <c r="I4" i="1"/>
  <c r="H5" i="1"/>
  <c r="I6" i="1"/>
  <c r="B40" i="1"/>
  <c r="H3" i="1"/>
  <c r="B8" i="1"/>
  <c r="P9" i="1" s="1"/>
  <c r="B41" i="1"/>
  <c r="J3" i="1"/>
  <c r="D8" i="1"/>
  <c r="B42" i="1"/>
  <c r="M3" i="1"/>
  <c r="F8" i="1"/>
  <c r="B43" i="1"/>
  <c r="O3" i="1"/>
  <c r="H8" i="1"/>
  <c r="B44" i="1"/>
  <c r="Q3" i="1"/>
  <c r="J8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<sst xmlns="http://schemas.openxmlformats.org/spreadsheetml/2006/main" count="360" uniqueCount="111">
  <si>
    <t>PIPING MATERIAL SPECIFICATION</t>
  </si>
  <si>
    <t>Rev: C0</t>
  </si>
  <si>
    <t>Piping Class</t>
  </si>
  <si>
    <t>Material</t>
  </si>
  <si>
    <t>C.A</t>
  </si>
  <si>
    <t>Mill Tol</t>
  </si>
  <si>
    <t>Sheet No.</t>
  </si>
  <si>
    <t xml:space="preserve">Design Code: </t>
  </si>
  <si>
    <t>Service:</t>
  </si>
  <si>
    <t xml:space="preserve">Branch Chart: </t>
  </si>
  <si>
    <t>Pressure-Temperature Rating</t>
  </si>
  <si>
    <t>Press., barg</t>
  </si>
  <si>
    <t>Hydrotest Pr. (barg)</t>
  </si>
  <si>
    <t>Temp., °C</t>
  </si>
  <si>
    <t>Pipe Data</t>
  </si>
  <si>
    <t>Code</t>
  </si>
  <si>
    <t>ASME B 36.10M</t>
  </si>
  <si>
    <t>Size(in)</t>
  </si>
  <si>
    <t>O.D.mm</t>
  </si>
  <si>
    <t>Sch.</t>
  </si>
  <si>
    <t>-</t>
  </si>
  <si>
    <t>WT. mm</t>
  </si>
  <si>
    <t>TYPE</t>
  </si>
  <si>
    <t>Seamless</t>
  </si>
  <si>
    <t>EFW, 100% RT</t>
  </si>
  <si>
    <t>MOC</t>
  </si>
  <si>
    <t>ASTM A 106 Gr. B</t>
  </si>
  <si>
    <t>ASTM A 671 - CC60 Class 22</t>
  </si>
  <si>
    <t>Ends</t>
  </si>
  <si>
    <t>BE</t>
  </si>
  <si>
    <t>Fittings Data</t>
  </si>
  <si>
    <t>Butt Weld (SCH to match pipe), Seamless</t>
  </si>
  <si>
    <t>Butt Weld (SCH to match pipe), Welded</t>
  </si>
  <si>
    <t>ASTM A 234 Gr. WPB</t>
  </si>
  <si>
    <t>ASTM A 420 Gr. WPL6</t>
  </si>
  <si>
    <t>Elbow</t>
  </si>
  <si>
    <t>ASME B 16.9</t>
  </si>
  <si>
    <t>Tee</t>
  </si>
  <si>
    <t>Red.</t>
  </si>
  <si>
    <t>Cap</t>
  </si>
  <si>
    <t>Plug</t>
  </si>
  <si>
    <t>Hex Head Plug, ASME B 16.11</t>
  </si>
  <si>
    <t>Weldolet</t>
  </si>
  <si>
    <t>MSS SP 97, ASTM A 105N</t>
  </si>
  <si>
    <t>Flange</t>
  </si>
  <si>
    <t>ASTM A 105N</t>
  </si>
  <si>
    <t>FACE</t>
  </si>
  <si>
    <t>300# RF, Serrated Finish</t>
  </si>
  <si>
    <t>Weld Neck, ASME B 16.5, Butt Welding ends as per ASME B 16.25</t>
  </si>
  <si>
    <t>Spectacle Blind/Spacer Blinds</t>
  </si>
  <si>
    <t>Spectacle</t>
  </si>
  <si>
    <t>ASME B 16.48</t>
  </si>
  <si>
    <t>Spacer and blind as per ASME B 16.48</t>
  </si>
  <si>
    <t>Bolts/ Nuts/ Gaskets</t>
  </si>
  <si>
    <t>Stud Bolts</t>
  </si>
  <si>
    <t>ASTM A 193 Gr. B7M, XYLAR 2 + XYLAN 1070 coated with minimum combined thickness of 50μm</t>
  </si>
  <si>
    <t>Hex Nuts</t>
  </si>
  <si>
    <t>ASTM A 194 Gr. 2HM, XYLAR 2 + XYLAN 1070 coated with minimum combined thickness of 50μm</t>
  </si>
  <si>
    <t>Gasket</t>
  </si>
  <si>
    <t>ASME B 16.20, 4.5mm, SS316/SS316L Spiral Wound with Flexible Graphite (F.G.) filler</t>
  </si>
  <si>
    <t>Valves</t>
  </si>
  <si>
    <t>Rating</t>
  </si>
  <si>
    <t>Ball</t>
  </si>
  <si>
    <t>Gate</t>
  </si>
  <si>
    <t>Globe</t>
  </si>
  <si>
    <t>Check</t>
  </si>
  <si>
    <t>Notes</t>
  </si>
  <si>
    <t>1. PMS to be read in conjunction with Piping Design Basis, Doc No. 50502-SPE- 80000-PP-BD-0001 and Valve Material Specification, Doc. No. 50502-SPE- 80000-PP-SP-0002.</t>
  </si>
  <si>
    <t>2. Weld Joint Factor for welded pipe shall be as per ASME B 31.3.</t>
  </si>
  <si>
    <t>3. Welded fittings shall be 100% radiographed.</t>
  </si>
  <si>
    <t>4. Two jackscrew, 180 degree apart shall be provided in one of the flanges for all orifice flange and specified spectacle blind assemblies.</t>
  </si>
  <si>
    <t>5. Spectacle blinds and spacer sizes and rating that are not available in ASME B 16.48 shall be as per manuf. standard. Design shall be submitted to Company for review and approval.</t>
  </si>
  <si>
    <t>6. Maximum temperature limit for all Soft Seat Ball Valve shall be 200°C.</t>
  </si>
  <si>
    <t xml:space="preserve">7. Wafer check valve to be avoided, unless the available space constraint does not allow normal check valve. </t>
  </si>
  <si>
    <t>B1</t>
  </si>
  <si>
    <t>300#</t>
  </si>
  <si>
    <t>CS</t>
  </si>
  <si>
    <t>3 mm</t>
  </si>
  <si>
    <t>ASME B 31.3</t>
  </si>
  <si>
    <t>Cooling Water, Diesel, WI, HC with low CO2 and H2S, Steam, Hydraulic</t>
  </si>
  <si>
    <t>Ref. APPENDIX-1, Chart 1</t>
  </si>
  <si>
    <t>-29 to 38</t>
  </si>
  <si>
    <t>50</t>
  </si>
  <si>
    <t>300#, RF</t>
  </si>
  <si>
    <t>BSRB1R, BSFB1R</t>
  </si>
  <si>
    <t>GAWB1R</t>
  </si>
  <si>
    <t>GLSB1R</t>
  </si>
  <si>
    <t>CHPB1R</t>
  </si>
  <si>
    <t>CSWB1R, CDPB1R</t>
  </si>
  <si>
    <t>Sheet NO</t>
  </si>
  <si>
    <t>D1</t>
  </si>
  <si>
    <t>600#</t>
  </si>
  <si>
    <t>ASTM A 333 Gr.6</t>
  </si>
  <si>
    <t xml:space="preserve">ASTM A 234 Gr. WPB </t>
  </si>
  <si>
    <t xml:space="preserve">ASTM A 420 Gr. WPL6 </t>
  </si>
  <si>
    <t>600# RF, Serrated Finish</t>
  </si>
  <si>
    <t>600#, RF</t>
  </si>
  <si>
    <t>BSRD1R, BSFD1R</t>
  </si>
  <si>
    <t>GAWD1R</t>
  </si>
  <si>
    <t>GLSD1R</t>
  </si>
  <si>
    <t>CHPD1R</t>
  </si>
  <si>
    <t>CSWD1R, CDPD1R</t>
  </si>
  <si>
    <t>1500#, RTJ</t>
  </si>
  <si>
    <t>900#, RTJ</t>
  </si>
  <si>
    <t>Weld Neck, ASME B16.5, Butt welding ends as per ASME 16.25, Note 8,9</t>
  </si>
  <si>
    <t>ASME B 16.20, OCT ring of Soft Iron with Max. Hardness of 90 BHN, HDG</t>
  </si>
  <si>
    <t>USE GATE VALVE</t>
  </si>
  <si>
    <t>DBB (Inst)</t>
  </si>
  <si>
    <t>DBB</t>
  </si>
  <si>
    <t>8. Gasket Contact Surface shall have maximum roughness of 63AARH.</t>
  </si>
  <si>
    <t>9. Minimum RTJ groove hardness shall be 120 BHN.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</si>
</sst>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rgb="FF000000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35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shrinkToFit="1"/>
    </xf>
    <xf numFmtId="0" fontId="2" fillId="0" borderId="9" xfId="0" applyFont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  <xf numFmtId="164" fontId="2" fillId="0" borderId="6" xfId="0" quotePrefix="1" applyNumberFormat="1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left" vertical="center" shrinkToFit="1"/>
    </xf>
    <xf numFmtId="0" fontId="2" fillId="0" borderId="10" xfId="0" applyFont="1" applyBorder="1" applyAlignment="1">
      <alignment horizontal="left" vertical="center" shrinkToFit="1"/>
    </xf>
    <xf numFmtId="0" fontId="2" fillId="0" borderId="11" xfId="0" applyFont="1" applyBorder="1" applyAlignment="1">
      <alignment horizontal="left" vertical="center" shrinkToFit="1"/>
    </xf>
    <xf numFmtId="0" fontId="3" fillId="0" borderId="10" xfId="0" applyFont="1" applyBorder="1" applyAlignment="1">
      <alignment horizontal="left" vertical="center" wrapText="1"/>
    </xf>
    <xf numFmtId="0" fontId="2" fillId="0" borderId="12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3" fillId="0" borderId="15" xfId="1" applyFont="1" applyBorder="1" applyAlignment="1">
      <alignment horizontal="center" vertical="center" wrapText="1"/>
    </xf>
    <xf numFmtId="0" fontId="3" fillId="0" borderId="16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shrinkToFit="1"/>
    </xf>
    <xf numFmtId="0" fontId="2" fillId="0" borderId="17" xfId="0" applyFont="1" applyBorder="1" applyAlignment="1">
      <alignment horizontal="center" vertical="center" shrinkToFit="1"/>
    </xf>
    <xf numFmtId="0" fontId="2" fillId="0" borderId="18" xfId="0" applyFont="1" applyBorder="1" applyAlignment="1">
      <alignment horizontal="center" vertical="center" shrinkToFit="1"/>
    </xf>
    <xf numFmtId="0" fontId="2" fillId="0" borderId="19" xfId="0" applyFont="1" applyBorder="1" applyAlignment="1">
      <alignment horizontal="center" vertical="center" shrinkToFit="1"/>
    </xf>
    <xf numFmtId="0" fontId="2" fillId="0" borderId="11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shrinkToFit="1"/>
    </xf>
    <xf numFmtId="0" fontId="2" fillId="0" borderId="20" xfId="0" applyFont="1" applyBorder="1" applyAlignment="1">
      <alignment horizontal="center" vertical="center" shrinkToFit="1"/>
    </xf>
    <xf numFmtId="0" fontId="2" fillId="0" borderId="16" xfId="0" applyFont="1" applyBorder="1" applyAlignment="1">
      <alignment horizontal="center" vertical="center" shrinkToFit="1"/>
    </xf>
    <xf numFmtId="0" fontId="2" fillId="0" borderId="21" xfId="0" applyFont="1" applyBorder="1" applyAlignment="1">
      <alignment horizontal="center" vertical="center" shrinkToFit="1"/>
    </xf>
    <xf numFmtId="0" fontId="3" fillId="0" borderId="22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shrinkToFit="1"/>
    </xf>
    <xf numFmtId="0" fontId="4" fillId="0" borderId="40" xfId="0" applyFont="1" applyBorder="1" applyAlignment="1">
      <alignment horizontal="left" vertical="center" shrinkToFit="1"/>
    </xf>
    <xf numFmtId="0" fontId="4" fillId="0" borderId="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shrinkToFit="1"/>
    </xf>
    <xf numFmtId="0" fontId="4" fillId="0" borderId="21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40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shrinkToFit="1"/>
    </xf>
    <xf numFmtId="0" fontId="4" fillId="0" borderId="45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38" xfId="0" applyFont="1" applyBorder="1" applyAlignment="1">
      <alignment horizontal="center" vertical="center" shrinkToFit="1"/>
    </xf>
    <xf numFmtId="164" fontId="4" fillId="0" borderId="9" xfId="0" applyNumberFormat="1" applyFont="1" applyBorder="1" applyAlignment="1">
      <alignment horizontal="center" vertical="center" shrinkToFit="1"/>
    </xf>
    <xf numFmtId="164" fontId="4" fillId="0" borderId="8" xfId="0" applyNumberFormat="1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left" vertical="center" shrinkToFit="1"/>
    </xf>
    <xf numFmtId="0" fontId="5" fillId="0" borderId="45" xfId="0" applyFont="1" applyBorder="1" applyAlignment="1">
      <alignment horizontal="left" vertical="center" shrinkToFit="1"/>
    </xf>
    <xf numFmtId="0" fontId="4" fillId="0" borderId="10" xfId="0" applyFont="1" applyBorder="1" applyAlignment="1">
      <alignment horizontal="left" vertical="center" shrinkToFit="1"/>
    </xf>
    <xf numFmtId="0" fontId="4" fillId="0" borderId="38" xfId="0" applyFont="1" applyBorder="1" applyAlignment="1">
      <alignment horizontal="left" vertical="center" shrinkToFit="1"/>
    </xf>
    <xf numFmtId="0" fontId="5" fillId="0" borderId="10" xfId="0" applyFont="1" applyBorder="1" applyAlignment="1">
      <alignment horizontal="left" vertical="center" wrapText="1"/>
    </xf>
    <xf numFmtId="0" fontId="5" fillId="0" borderId="45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shrinkToFit="1"/>
    </xf>
    <xf numFmtId="0" fontId="4" fillId="0" borderId="46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4" fillId="0" borderId="21" xfId="0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38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31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shrinkToFit="1"/>
    </xf>
    <xf numFmtId="0" fontId="2" fillId="0" borderId="0" xfId="0" quotePrefix="1" applyFont="1"/>
  </cellXfs>
  <cellStyles count="2">
    <cellStyle name="Normal" xfId="0" builtinId="0"/>
    <cellStyle name="Normal 2 2" xfId="1" xr:uid="{E34E4A83-EA64-6E43-9F13-FCB3B4F40E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externalLink" Target="externalLinks/externalLink1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c/Documents/Projects/SPE/Piping%20data-Valvesheet/Piping%20Team_AI%20Development/For%20AI%20tool-sample%20datasheet,%20excel%20files/Pipe%20Class%20Sheets-With%20Tubing.xlsx" TargetMode="External"/><Relationship Id="rId1" Type="http://schemas.openxmlformats.org/officeDocument/2006/relationships/externalLinkPath" Target="/Users/mac/Documents/Projects/SPE/Piping%20data-Valvesheet/Piping%20Team_AI%20Development/For%20AI%20tool-sample%20datasheet,%20excel%20files/Pipe%20Class%20Sheets-With%20Tub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A1"/>
      <sheetName val="B1"/>
      <sheetName val="D1"/>
      <sheetName val="E1"/>
      <sheetName val="F1"/>
      <sheetName val="G1"/>
      <sheetName val="A1N"/>
      <sheetName val="B1N"/>
      <sheetName val="D1N"/>
      <sheetName val="E1N"/>
      <sheetName val="F1N"/>
      <sheetName val="G1N"/>
      <sheetName val="A2"/>
      <sheetName val="A2N"/>
      <sheetName val="B2N"/>
      <sheetName val="D2N"/>
      <sheetName val="E2N"/>
      <sheetName val="F2N"/>
      <sheetName val="G2N"/>
      <sheetName val="A1LN"/>
      <sheetName val="B1LN"/>
      <sheetName val="D1LN"/>
      <sheetName val="E1LN"/>
      <sheetName val="F1LN"/>
      <sheetName val="G1LN"/>
      <sheetName val="A2LN"/>
      <sheetName val="B2LN"/>
      <sheetName val="D2LN"/>
      <sheetName val="E2LN"/>
      <sheetName val="F2LN"/>
      <sheetName val="G2LN"/>
      <sheetName val="A3"/>
      <sheetName val="A4"/>
      <sheetName val="B4"/>
      <sheetName val="D4"/>
      <sheetName val="A5"/>
      <sheetName val="A6"/>
      <sheetName val="A10"/>
      <sheetName val="B10"/>
      <sheetName val="D10"/>
      <sheetName val="E10"/>
      <sheetName val="F10"/>
      <sheetName val="G10"/>
      <sheetName val="A10N"/>
      <sheetName val="B10N"/>
      <sheetName val="D10N"/>
      <sheetName val="E10N"/>
      <sheetName val="F10N"/>
      <sheetName val="G10N"/>
      <sheetName val="A20N"/>
      <sheetName val="B20N"/>
      <sheetName val="D20N"/>
      <sheetName val="E20N"/>
      <sheetName val="F20N"/>
      <sheetName val="G20N"/>
      <sheetName val="A25"/>
      <sheetName val="G25"/>
      <sheetName val="A25N"/>
      <sheetName val="B25N"/>
      <sheetName val="D25N"/>
      <sheetName val="E25N"/>
      <sheetName val="F25N"/>
      <sheetName val="G25N"/>
      <sheetName val="A30"/>
      <sheetName val="A31"/>
      <sheetName val="A40"/>
      <sheetName val="A41"/>
      <sheetName val="A42"/>
      <sheetName val="T50A"/>
      <sheetName val="T50B"/>
      <sheetName val="T50C"/>
      <sheetName val="T60A"/>
      <sheetName val="T60B"/>
      <sheetName val="T60C"/>
    </sheetNames>
    <sheetDataSet>
      <sheetData sheetId="0">
        <row r="1">
          <cell r="F1" t="str">
            <v>1.15 - PIPING MATERIAL SPECIFICATION INDEX</v>
          </cell>
          <cell r="L1">
            <v>11</v>
          </cell>
          <cell r="Q1">
            <v>16</v>
          </cell>
          <cell r="R1">
            <v>17</v>
          </cell>
          <cell r="S1">
            <v>18</v>
          </cell>
          <cell r="T1">
            <v>19</v>
          </cell>
          <cell r="U1">
            <v>20</v>
          </cell>
          <cell r="V1">
            <v>21</v>
          </cell>
          <cell r="W1">
            <v>22</v>
          </cell>
          <cell r="X1">
            <v>23</v>
          </cell>
          <cell r="Y1">
            <v>24</v>
          </cell>
          <cell r="Z1">
            <v>25</v>
          </cell>
          <cell r="AA1">
            <v>26</v>
          </cell>
          <cell r="AB1">
            <v>27</v>
          </cell>
          <cell r="AC1">
            <v>28</v>
          </cell>
          <cell r="AD1">
            <v>29</v>
          </cell>
          <cell r="AE1">
            <v>30</v>
          </cell>
          <cell r="AF1">
            <v>31</v>
          </cell>
          <cell r="AG1">
            <v>32</v>
          </cell>
          <cell r="AH1">
            <v>33</v>
          </cell>
        </row>
        <row r="2">
          <cell r="B2" t="str">
            <v>SPEC</v>
          </cell>
          <cell r="C2" t="str">
            <v>RATING</v>
          </cell>
          <cell r="D2" t="str">
            <v>ASME MATERIAL GROUP</v>
          </cell>
          <cell r="E2" t="str">
            <v>PIPE MATERIAL</v>
          </cell>
          <cell r="F2" t="str">
            <v>CORROSION ALLOWANCE</v>
          </cell>
          <cell r="G2" t="str">
            <v>SERVICE</v>
          </cell>
          <cell r="H2" t="str">
            <v>MaxPressure 
@ Min Temp
(barg)</v>
          </cell>
          <cell r="I2" t="str">
            <v>MaxPressure 
@ Max Temp
(barg)</v>
          </cell>
          <cell r="J2" t="str">
            <v>Sheet No.</v>
          </cell>
          <cell r="L2" t="str">
            <v>Link</v>
          </cell>
          <cell r="Q2" t="str">
            <v>Branch Chart</v>
          </cell>
          <cell r="R2" t="str">
            <v>Mill Tol</v>
          </cell>
          <cell r="S2" t="str">
            <v>Design Code</v>
          </cell>
          <cell r="T2" t="str">
            <v>MIN
TEMP
(°C)</v>
          </cell>
          <cell r="U2">
            <v>38</v>
          </cell>
          <cell r="V2">
            <v>50</v>
          </cell>
          <cell r="W2">
            <v>100</v>
          </cell>
          <cell r="X2">
            <v>150</v>
          </cell>
          <cell r="Y2">
            <v>200</v>
          </cell>
          <cell r="Z2">
            <v>250</v>
          </cell>
          <cell r="AA2">
            <v>300</v>
          </cell>
          <cell r="AB2">
            <v>350</v>
          </cell>
          <cell r="AC2">
            <v>400</v>
          </cell>
          <cell r="AD2">
            <v>450</v>
          </cell>
          <cell r="AE2">
            <v>500</v>
          </cell>
          <cell r="AG2" t="str">
            <v>HT</v>
          </cell>
          <cell r="AH2" t="str">
            <v>Valve Material Code</v>
          </cell>
        </row>
        <row r="3">
          <cell r="B3" t="str">
            <v>A1</v>
          </cell>
          <cell r="C3" t="str">
            <v>150#</v>
          </cell>
          <cell r="D3">
            <v>1.1000000000000001</v>
          </cell>
          <cell r="E3" t="str">
            <v>CS</v>
          </cell>
          <cell r="F3" t="str">
            <v>3 mm</v>
          </cell>
          <cell r="G3" t="str">
            <v>Cooling Water, Diesel, Steam, WI, HC with low CO2 and H2S, Fresh Water, Hydraulic, Nitrogen, Exhaust, Fuel Oil, Tank Air Vent</v>
          </cell>
          <cell r="H3" t="str">
            <v>19.6 @ -29°C</v>
          </cell>
          <cell r="I3" t="str">
            <v>13.8 @ 200°C</v>
          </cell>
          <cell r="J3">
            <v>24</v>
          </cell>
          <cell r="L3" t="str">
            <v>A1</v>
          </cell>
          <cell r="Q3" t="str">
            <v>Ref. APPENDIX-1, Chart 1</v>
          </cell>
          <cell r="R3">
            <v>0.125</v>
          </cell>
          <cell r="S3" t="str">
            <v>ASME B 31.3</v>
          </cell>
          <cell r="T3">
            <v>-29</v>
          </cell>
          <cell r="U3">
            <v>19.600000000000001</v>
          </cell>
          <cell r="V3">
            <v>19.2</v>
          </cell>
          <cell r="W3">
            <v>17.7</v>
          </cell>
          <cell r="X3">
            <v>15.8</v>
          </cell>
          <cell r="Y3">
            <v>13.8</v>
          </cell>
          <cell r="Z3">
            <v>12.1</v>
          </cell>
          <cell r="AF3" t="str">
            <v>A1</v>
          </cell>
          <cell r="AG3">
            <v>29.400000000000002</v>
          </cell>
          <cell r="AH3" t="str">
            <v>A1</v>
          </cell>
        </row>
        <row r="4">
          <cell r="B4" t="str">
            <v>B1</v>
          </cell>
          <cell r="C4" t="str">
            <v>300#</v>
          </cell>
          <cell r="D4">
            <v>1.1000000000000001</v>
          </cell>
          <cell r="E4" t="str">
            <v>CS</v>
          </cell>
          <cell r="F4" t="str">
            <v>3 mm</v>
          </cell>
          <cell r="G4" t="str">
            <v>Cooling Water, Diesel, WI, HC with low CO2 and H2S, Steam, Hydraulic</v>
          </cell>
          <cell r="H4" t="str">
            <v>51.1 @ -29°C</v>
          </cell>
          <cell r="I4" t="str">
            <v>43.8 @ 200°C</v>
          </cell>
          <cell r="J4">
            <v>25</v>
          </cell>
          <cell r="L4" t="str">
            <v>B1</v>
          </cell>
          <cell r="Q4" t="str">
            <v>Ref. APPENDIX-1, Chart 1</v>
          </cell>
          <cell r="R4">
            <v>0.125</v>
          </cell>
          <cell r="S4" t="str">
            <v>ASME B 31.3</v>
          </cell>
          <cell r="T4">
            <v>-29</v>
          </cell>
          <cell r="U4">
            <v>51.1</v>
          </cell>
          <cell r="V4">
            <v>50.1</v>
          </cell>
          <cell r="W4">
            <v>46.6</v>
          </cell>
          <cell r="X4">
            <v>45.1</v>
          </cell>
          <cell r="Y4">
            <v>43.8</v>
          </cell>
          <cell r="Z4">
            <v>41.9</v>
          </cell>
          <cell r="AF4" t="str">
            <v>B1</v>
          </cell>
          <cell r="AG4">
            <v>76.650000000000006</v>
          </cell>
          <cell r="AH4" t="str">
            <v>B1</v>
          </cell>
        </row>
        <row r="5">
          <cell r="B5" t="str">
            <v>D1</v>
          </cell>
          <cell r="C5" t="str">
            <v>600#</v>
          </cell>
          <cell r="D5">
            <v>1.1000000000000001</v>
          </cell>
          <cell r="E5" t="str">
            <v>CS</v>
          </cell>
          <cell r="F5" t="str">
            <v>3 mm</v>
          </cell>
          <cell r="G5" t="str">
            <v>Cooling Water, Diesel, WI, HC with low CO2 and H2S, Steam, Hydraulic</v>
          </cell>
          <cell r="H5" t="str">
            <v>102.1 @ -29°C</v>
          </cell>
          <cell r="I5" t="str">
            <v>87.6 @ 200°C</v>
          </cell>
          <cell r="J5">
            <v>26</v>
          </cell>
          <cell r="L5" t="str">
            <v>D1</v>
          </cell>
          <cell r="Q5" t="str">
            <v>Ref. APPENDIX-1, Chart 1</v>
          </cell>
          <cell r="R5">
            <v>0.125</v>
          </cell>
          <cell r="S5" t="str">
            <v>ASME B 31.3</v>
          </cell>
          <cell r="T5">
            <v>-29</v>
          </cell>
          <cell r="U5">
            <v>102.1</v>
          </cell>
          <cell r="V5">
            <v>100.2</v>
          </cell>
          <cell r="W5">
            <v>93.2</v>
          </cell>
          <cell r="X5">
            <v>90.2</v>
          </cell>
          <cell r="Y5">
            <v>87.6</v>
          </cell>
          <cell r="Z5">
            <v>83.9</v>
          </cell>
          <cell r="AF5" t="str">
            <v>D1</v>
          </cell>
          <cell r="AG5">
            <v>153.14999999999998</v>
          </cell>
          <cell r="AH5" t="str">
            <v>D1</v>
          </cell>
        </row>
        <row r="6">
          <cell r="B6" t="str">
            <v>E1</v>
          </cell>
          <cell r="C6" t="str">
            <v>900#</v>
          </cell>
          <cell r="D6">
            <v>1.1000000000000001</v>
          </cell>
          <cell r="E6" t="str">
            <v>CS</v>
          </cell>
          <cell r="F6" t="str">
            <v>3 mm</v>
          </cell>
          <cell r="G6" t="str">
            <v>Diesel, WI, HC with low CO2 and H2S, Steam, Hydraulic</v>
          </cell>
          <cell r="H6" t="str">
            <v>153.2 @ -29°C</v>
          </cell>
          <cell r="I6" t="str">
            <v>131.4 @ 200°C</v>
          </cell>
          <cell r="J6">
            <v>27</v>
          </cell>
          <cell r="L6" t="str">
            <v>E1</v>
          </cell>
          <cell r="Q6" t="str">
            <v>Ref. APPENDIX-1, Chart 1</v>
          </cell>
          <cell r="R6">
            <v>0.125</v>
          </cell>
          <cell r="S6" t="str">
            <v>ASME B 31.3</v>
          </cell>
          <cell r="T6">
            <v>-29</v>
          </cell>
          <cell r="U6">
            <v>153.19999999999999</v>
          </cell>
          <cell r="V6">
            <v>150.4</v>
          </cell>
          <cell r="W6">
            <v>139.80000000000001</v>
          </cell>
          <cell r="X6">
            <v>135.19999999999999</v>
          </cell>
          <cell r="Y6">
            <v>131.4</v>
          </cell>
          <cell r="Z6">
            <v>125.8</v>
          </cell>
          <cell r="AF6" t="str">
            <v>E1</v>
          </cell>
          <cell r="AG6">
            <v>229.79999999999998</v>
          </cell>
          <cell r="AH6" t="str">
            <v>E1</v>
          </cell>
        </row>
        <row r="7">
          <cell r="B7" t="str">
            <v>F1</v>
          </cell>
          <cell r="C7" t="str">
            <v>1500#</v>
          </cell>
          <cell r="D7">
            <v>1.1000000000000001</v>
          </cell>
          <cell r="E7" t="str">
            <v>CS</v>
          </cell>
          <cell r="F7" t="str">
            <v>3 mm</v>
          </cell>
          <cell r="G7" t="str">
            <v>Diesel, WI, HC with low CO2 and H2S, Steam, Hydraulic</v>
          </cell>
          <cell r="H7" t="str">
            <v>255.3 @ -29°C</v>
          </cell>
          <cell r="I7" t="str">
            <v>219 @ 200°C</v>
          </cell>
          <cell r="J7">
            <v>28</v>
          </cell>
          <cell r="L7" t="str">
            <v>F1</v>
          </cell>
          <cell r="Q7" t="str">
            <v>Ref. APPENDIX-1, Chart 1</v>
          </cell>
          <cell r="R7">
            <v>0.125</v>
          </cell>
          <cell r="S7" t="str">
            <v>ASME B 31.3</v>
          </cell>
          <cell r="T7">
            <v>-29</v>
          </cell>
          <cell r="U7">
            <v>255.3</v>
          </cell>
          <cell r="V7">
            <v>250.6</v>
          </cell>
          <cell r="W7">
            <v>233</v>
          </cell>
          <cell r="X7">
            <v>225.4</v>
          </cell>
          <cell r="Y7">
            <v>219</v>
          </cell>
          <cell r="Z7">
            <v>209.7</v>
          </cell>
          <cell r="AF7" t="str">
            <v>F1</v>
          </cell>
          <cell r="AG7">
            <v>382.95000000000005</v>
          </cell>
          <cell r="AH7" t="str">
            <v>F1</v>
          </cell>
        </row>
        <row r="8">
          <cell r="B8" t="str">
            <v>G1</v>
          </cell>
          <cell r="C8" t="str">
            <v>2500#</v>
          </cell>
          <cell r="D8">
            <v>1.1000000000000001</v>
          </cell>
          <cell r="E8" t="str">
            <v>CS</v>
          </cell>
          <cell r="F8" t="str">
            <v>3 mm</v>
          </cell>
          <cell r="G8" t="str">
            <v>HC with low CO2 and H2S, Steam, Hydraulic</v>
          </cell>
          <cell r="H8" t="str">
            <v>399.8 @ -29°C</v>
          </cell>
          <cell r="I8" t="str">
            <v>342.9 @ 200°C</v>
          </cell>
          <cell r="J8">
            <v>29</v>
          </cell>
          <cell r="L8" t="str">
            <v>G1</v>
          </cell>
          <cell r="Q8" t="str">
            <v>Ref. APPENDIX-1, Chart 1</v>
          </cell>
          <cell r="R8">
            <v>0.125</v>
          </cell>
          <cell r="S8" t="str">
            <v>ASME B 31.3</v>
          </cell>
          <cell r="T8">
            <v>-29</v>
          </cell>
          <cell r="U8">
            <v>399.8</v>
          </cell>
          <cell r="V8">
            <v>392.40000000000003</v>
          </cell>
          <cell r="W8">
            <v>364.8</v>
          </cell>
          <cell r="X8">
            <v>352.90000000000003</v>
          </cell>
          <cell r="Y8">
            <v>342.90000000000003</v>
          </cell>
          <cell r="AF8" t="str">
            <v>G1</v>
          </cell>
          <cell r="AG8">
            <v>599.70000000000005</v>
          </cell>
          <cell r="AH8" t="str">
            <v>G1</v>
          </cell>
        </row>
        <row r="9">
          <cell r="B9" t="str">
            <v>A1N</v>
          </cell>
          <cell r="C9" t="str">
            <v>150#</v>
          </cell>
          <cell r="D9">
            <v>1.1000000000000001</v>
          </cell>
          <cell r="E9" t="str">
            <v>CS NACE</v>
          </cell>
          <cell r="F9" t="str">
            <v>3 mm</v>
          </cell>
          <cell r="G9" t="str">
            <v>Glycol, FG, HC service</v>
          </cell>
          <cell r="H9" t="str">
            <v>19.6 @ -29°C</v>
          </cell>
          <cell r="I9" t="str">
            <v>13.8 @ 250°C</v>
          </cell>
          <cell r="J9">
            <v>30</v>
          </cell>
          <cell r="L9" t="str">
            <v>A1N</v>
          </cell>
          <cell r="Q9" t="str">
            <v>Ref. APPENDIX-1, Chart 1</v>
          </cell>
          <cell r="R9">
            <v>0.125</v>
          </cell>
          <cell r="S9" t="str">
            <v>ASME B 31.3, NACE-MR-01-75/ISO-15156-1/2/3</v>
          </cell>
          <cell r="T9">
            <v>-29</v>
          </cell>
          <cell r="U9">
            <v>19.600000000000001</v>
          </cell>
          <cell r="V9">
            <v>19.2</v>
          </cell>
          <cell r="W9">
            <v>17.7</v>
          </cell>
          <cell r="X9">
            <v>15.8</v>
          </cell>
          <cell r="Y9">
            <v>13.8</v>
          </cell>
          <cell r="Z9">
            <v>12.1</v>
          </cell>
          <cell r="AF9" t="str">
            <v>A1N</v>
          </cell>
          <cell r="AG9">
            <v>29.400000000000002</v>
          </cell>
          <cell r="AH9" t="str">
            <v>A1N</v>
          </cell>
        </row>
        <row r="10">
          <cell r="B10" t="str">
            <v>B1N</v>
          </cell>
          <cell r="C10" t="str">
            <v>300#</v>
          </cell>
          <cell r="D10">
            <v>1.1000000000000001</v>
          </cell>
          <cell r="E10" t="str">
            <v>CS NACE</v>
          </cell>
          <cell r="F10" t="str">
            <v>3 mm</v>
          </cell>
          <cell r="G10" t="str">
            <v>Glycol, FG, HC service</v>
          </cell>
          <cell r="H10" t="str">
            <v>51.1 @ -29°C</v>
          </cell>
          <cell r="I10" t="str">
            <v>43.8 @ 250°C</v>
          </cell>
          <cell r="J10">
            <v>31</v>
          </cell>
          <cell r="L10" t="str">
            <v>B1N</v>
          </cell>
          <cell r="Q10" t="str">
            <v>Ref. APPENDIX-1, Chart 1</v>
          </cell>
          <cell r="R10">
            <v>0.125</v>
          </cell>
          <cell r="S10" t="str">
            <v>ASME B 31.3, NACE-MR-01-75/ISO-15156-1/2/3</v>
          </cell>
          <cell r="T10">
            <v>-29</v>
          </cell>
          <cell r="U10">
            <v>51.1</v>
          </cell>
          <cell r="V10">
            <v>50.1</v>
          </cell>
          <cell r="W10">
            <v>46.6</v>
          </cell>
          <cell r="X10">
            <v>45.1</v>
          </cell>
          <cell r="Y10">
            <v>43.8</v>
          </cell>
          <cell r="Z10">
            <v>41.9</v>
          </cell>
          <cell r="AF10" t="str">
            <v>B1N</v>
          </cell>
          <cell r="AG10">
            <v>76.650000000000006</v>
          </cell>
          <cell r="AH10" t="str">
            <v>B1N</v>
          </cell>
        </row>
        <row r="11">
          <cell r="B11" t="str">
            <v>D1N</v>
          </cell>
          <cell r="C11" t="str">
            <v>600#</v>
          </cell>
          <cell r="D11">
            <v>1.1000000000000001</v>
          </cell>
          <cell r="E11" t="str">
            <v>CS NACE</v>
          </cell>
          <cell r="F11" t="str">
            <v>3 mm</v>
          </cell>
          <cell r="G11" t="str">
            <v>Glycol, FG, HC service</v>
          </cell>
          <cell r="H11" t="str">
            <v>102.1 @ -29°C</v>
          </cell>
          <cell r="I11" t="str">
            <v>87.6 @ 250°C</v>
          </cell>
          <cell r="J11">
            <v>32</v>
          </cell>
          <cell r="L11" t="str">
            <v>D1N</v>
          </cell>
          <cell r="Q11" t="str">
            <v>Ref. APPENDIX-1, Chart 1</v>
          </cell>
          <cell r="R11">
            <v>0.125</v>
          </cell>
          <cell r="S11" t="str">
            <v>ASME B 31.3, NACE-MR-01-75/ISO-15156-1/2/3</v>
          </cell>
          <cell r="T11">
            <v>-29</v>
          </cell>
          <cell r="U11">
            <v>102.1</v>
          </cell>
          <cell r="V11">
            <v>100.2</v>
          </cell>
          <cell r="W11">
            <v>93.2</v>
          </cell>
          <cell r="X11">
            <v>90.2</v>
          </cell>
          <cell r="Y11">
            <v>87.6</v>
          </cell>
          <cell r="Z11">
            <v>83.9</v>
          </cell>
          <cell r="AF11" t="str">
            <v>D1N</v>
          </cell>
          <cell r="AG11">
            <v>153.14999999999998</v>
          </cell>
          <cell r="AH11" t="str">
            <v>D1N</v>
          </cell>
        </row>
        <row r="12">
          <cell r="B12" t="str">
            <v>E1N</v>
          </cell>
          <cell r="C12" t="str">
            <v>900#</v>
          </cell>
          <cell r="D12">
            <v>1.1000000000000001</v>
          </cell>
          <cell r="E12" t="str">
            <v>CS NACE</v>
          </cell>
          <cell r="F12" t="str">
            <v>3 mm</v>
          </cell>
          <cell r="G12" t="str">
            <v>Glycol, FG, HC service</v>
          </cell>
          <cell r="H12" t="str">
            <v>153.2 @ -29°C</v>
          </cell>
          <cell r="I12" t="str">
            <v>131.4 @ 250°C</v>
          </cell>
          <cell r="J12">
            <v>33</v>
          </cell>
          <cell r="L12" t="str">
            <v>E1N</v>
          </cell>
          <cell r="Q12" t="str">
            <v>Ref. APPENDIX-1, Chart 1</v>
          </cell>
          <cell r="R12">
            <v>0.125</v>
          </cell>
          <cell r="S12" t="str">
            <v>ASME B 31.3, NACE-MR-01-75/ISO-15156-1/2/3</v>
          </cell>
          <cell r="T12">
            <v>-29</v>
          </cell>
          <cell r="U12">
            <v>153.19999999999999</v>
          </cell>
          <cell r="V12">
            <v>150.4</v>
          </cell>
          <cell r="W12">
            <v>139.80000000000001</v>
          </cell>
          <cell r="X12">
            <v>135.19999999999999</v>
          </cell>
          <cell r="Y12">
            <v>131.4</v>
          </cell>
          <cell r="Z12">
            <v>125.8</v>
          </cell>
          <cell r="AF12" t="str">
            <v>E1N</v>
          </cell>
          <cell r="AG12">
            <v>229.79999999999998</v>
          </cell>
          <cell r="AH12" t="str">
            <v>E1N</v>
          </cell>
        </row>
        <row r="13">
          <cell r="B13" t="str">
            <v>F1N</v>
          </cell>
          <cell r="C13" t="str">
            <v>1500#</v>
          </cell>
          <cell r="D13">
            <v>1.1000000000000001</v>
          </cell>
          <cell r="E13" t="str">
            <v>CS NACE</v>
          </cell>
          <cell r="F13" t="str">
            <v>3 mm</v>
          </cell>
          <cell r="G13" t="str">
            <v>Glycol, FG, HC service</v>
          </cell>
          <cell r="H13" t="str">
            <v>255.3 @ -29°C</v>
          </cell>
          <cell r="I13" t="str">
            <v>219 @ 200°C</v>
          </cell>
          <cell r="J13">
            <v>34</v>
          </cell>
          <cell r="L13" t="str">
            <v>F1N</v>
          </cell>
          <cell r="Q13" t="str">
            <v>Ref. APPENDIX-1, Chart 1</v>
          </cell>
          <cell r="R13">
            <v>0.125</v>
          </cell>
          <cell r="S13" t="str">
            <v>ASME B 31.3, NACE-MR-01-75/ISO-15156-1/2/3</v>
          </cell>
          <cell r="T13">
            <v>-29</v>
          </cell>
          <cell r="U13">
            <v>255.3</v>
          </cell>
          <cell r="V13">
            <v>250.6</v>
          </cell>
          <cell r="W13">
            <v>233</v>
          </cell>
          <cell r="X13">
            <v>225.4</v>
          </cell>
          <cell r="Y13">
            <v>219</v>
          </cell>
          <cell r="Z13">
            <v>209.7</v>
          </cell>
          <cell r="AF13" t="str">
            <v>F1N</v>
          </cell>
          <cell r="AG13">
            <v>382.95000000000005</v>
          </cell>
          <cell r="AH13" t="str">
            <v>F1N</v>
          </cell>
        </row>
        <row r="14">
          <cell r="B14" t="str">
            <v>G1N</v>
          </cell>
          <cell r="C14" t="str">
            <v>2500#</v>
          </cell>
          <cell r="D14">
            <v>1.1000000000000001</v>
          </cell>
          <cell r="E14" t="str">
            <v>CS NACE</v>
          </cell>
          <cell r="F14" t="str">
            <v>3 mm</v>
          </cell>
          <cell r="G14" t="str">
            <v>Glycol, FG, HC service</v>
          </cell>
          <cell r="H14" t="str">
            <v>399.8 @ -29°C</v>
          </cell>
          <cell r="I14" t="str">
            <v>342.9 @ 200°C</v>
          </cell>
          <cell r="J14">
            <v>35</v>
          </cell>
          <cell r="L14" t="str">
            <v>G1N</v>
          </cell>
          <cell r="Q14" t="str">
            <v>Ref. APPENDIX-1, Chart 1</v>
          </cell>
          <cell r="R14">
            <v>0.125</v>
          </cell>
          <cell r="S14" t="str">
            <v>ASME B 31.3, NACE-MR-01-75/ISO-15156-1/2/3</v>
          </cell>
          <cell r="T14">
            <v>-29</v>
          </cell>
          <cell r="U14">
            <v>399.8</v>
          </cell>
          <cell r="V14">
            <v>392.40000000000003</v>
          </cell>
          <cell r="W14">
            <v>364.8</v>
          </cell>
          <cell r="X14">
            <v>352.90000000000003</v>
          </cell>
          <cell r="Y14">
            <v>342.90000000000003</v>
          </cell>
          <cell r="AF14" t="str">
            <v>G1N</v>
          </cell>
          <cell r="AG14">
            <v>599.70000000000005</v>
          </cell>
          <cell r="AH14" t="str">
            <v>G1N</v>
          </cell>
        </row>
        <row r="15">
          <cell r="B15" t="str">
            <v>A2</v>
          </cell>
          <cell r="C15" t="str">
            <v>150#</v>
          </cell>
          <cell r="D15">
            <v>1.1000000000000001</v>
          </cell>
          <cell r="E15" t="str">
            <v>CS</v>
          </cell>
          <cell r="F15" t="str">
            <v>6 mm</v>
          </cell>
          <cell r="G15" t="str">
            <v>Crude Oil</v>
          </cell>
          <cell r="H15" t="str">
            <v>19.6 @ -29°C</v>
          </cell>
          <cell r="I15" t="str">
            <v>13.8 @ 200°C</v>
          </cell>
          <cell r="J15">
            <v>36</v>
          </cell>
          <cell r="L15" t="str">
            <v>A2</v>
          </cell>
          <cell r="Q15" t="str">
            <v>Ref. APPENDIX-1, Chart 1</v>
          </cell>
          <cell r="R15">
            <v>0.125</v>
          </cell>
          <cell r="S15" t="str">
            <v>ASME B 31.3</v>
          </cell>
          <cell r="T15">
            <v>-29</v>
          </cell>
          <cell r="U15">
            <v>19.600000000000001</v>
          </cell>
          <cell r="V15">
            <v>19.2</v>
          </cell>
          <cell r="W15">
            <v>17.7</v>
          </cell>
          <cell r="X15">
            <v>15.8</v>
          </cell>
          <cell r="Y15">
            <v>13.8</v>
          </cell>
          <cell r="Z15">
            <v>12.1</v>
          </cell>
          <cell r="AF15" t="str">
            <v>A2</v>
          </cell>
          <cell r="AG15">
            <v>29.400000000000002</v>
          </cell>
          <cell r="AH15" t="str">
            <v>A2</v>
          </cell>
        </row>
        <row r="16">
          <cell r="B16" t="str">
            <v>A2N</v>
          </cell>
          <cell r="C16" t="str">
            <v>150#</v>
          </cell>
          <cell r="D16">
            <v>1.1000000000000001</v>
          </cell>
          <cell r="E16" t="str">
            <v>CS NACE</v>
          </cell>
          <cell r="F16" t="str">
            <v>6 mm</v>
          </cell>
          <cell r="G16" t="str">
            <v>Corrosive HC service</v>
          </cell>
          <cell r="H16" t="str">
            <v>19.6 @ -29°C</v>
          </cell>
          <cell r="I16" t="str">
            <v>13.8 @ 200°C</v>
          </cell>
          <cell r="J16">
            <v>37</v>
          </cell>
          <cell r="L16" t="str">
            <v>A2N</v>
          </cell>
          <cell r="Q16" t="str">
            <v>Ref. APPENDIX-1, Chart 1</v>
          </cell>
          <cell r="R16">
            <v>0.125</v>
          </cell>
          <cell r="S16" t="str">
            <v>ASME B 31.3, NACE-MR-01-75/ISO-15156-1/2/3</v>
          </cell>
          <cell r="T16">
            <v>-29</v>
          </cell>
          <cell r="U16">
            <v>19.600000000000001</v>
          </cell>
          <cell r="V16">
            <v>19.2</v>
          </cell>
          <cell r="W16">
            <v>17.7</v>
          </cell>
          <cell r="X16">
            <v>15.8</v>
          </cell>
          <cell r="Y16">
            <v>13.8</v>
          </cell>
          <cell r="Z16">
            <v>12.1</v>
          </cell>
          <cell r="AF16" t="str">
            <v>A2N</v>
          </cell>
          <cell r="AG16">
            <v>29.400000000000002</v>
          </cell>
          <cell r="AH16" t="str">
            <v>A2N</v>
          </cell>
        </row>
        <row r="17">
          <cell r="B17" t="str">
            <v>B2N</v>
          </cell>
          <cell r="C17" t="str">
            <v>300#</v>
          </cell>
          <cell r="D17">
            <v>1.1000000000000001</v>
          </cell>
          <cell r="E17" t="str">
            <v>CS NACE</v>
          </cell>
          <cell r="F17" t="str">
            <v>6 mm</v>
          </cell>
          <cell r="G17" t="str">
            <v>Corrosive HC service</v>
          </cell>
          <cell r="H17" t="str">
            <v>51.1 @ -29°C</v>
          </cell>
          <cell r="I17" t="str">
            <v>43.8 @ 200°C</v>
          </cell>
          <cell r="J17">
            <v>38</v>
          </cell>
          <cell r="L17" t="str">
            <v>B2N</v>
          </cell>
          <cell r="Q17" t="str">
            <v>Ref. APPENDIX-1, Chart 1</v>
          </cell>
          <cell r="R17">
            <v>0.125</v>
          </cell>
          <cell r="S17" t="str">
            <v>ASME B 31.3, NACE-MR-01-75/ISO-15156-1/2/3</v>
          </cell>
          <cell r="T17">
            <v>-29</v>
          </cell>
          <cell r="U17">
            <v>51.1</v>
          </cell>
          <cell r="V17">
            <v>50.1</v>
          </cell>
          <cell r="W17">
            <v>46.6</v>
          </cell>
          <cell r="X17">
            <v>45.1</v>
          </cell>
          <cell r="Y17">
            <v>43.8</v>
          </cell>
          <cell r="Z17">
            <v>41.9</v>
          </cell>
          <cell r="AF17" t="str">
            <v>B2N</v>
          </cell>
          <cell r="AG17">
            <v>76.650000000000006</v>
          </cell>
          <cell r="AH17" t="str">
            <v>B2N</v>
          </cell>
        </row>
        <row r="18">
          <cell r="B18" t="str">
            <v>D2N</v>
          </cell>
          <cell r="C18" t="str">
            <v>600#</v>
          </cell>
          <cell r="D18">
            <v>1.1000000000000001</v>
          </cell>
          <cell r="E18" t="str">
            <v>CS NACE</v>
          </cell>
          <cell r="F18" t="str">
            <v>6 mm</v>
          </cell>
          <cell r="G18" t="str">
            <v>Corrosive HC service</v>
          </cell>
          <cell r="H18" t="str">
            <v>102.1 @ -29°C</v>
          </cell>
          <cell r="I18" t="str">
            <v>87.6 @ 200°C</v>
          </cell>
          <cell r="J18">
            <v>39</v>
          </cell>
          <cell r="L18" t="str">
            <v>D2N</v>
          </cell>
          <cell r="Q18" t="str">
            <v>Ref. APPENDIX-1, Chart 1</v>
          </cell>
          <cell r="R18">
            <v>0.125</v>
          </cell>
          <cell r="S18" t="str">
            <v>ASME B 31.3, NACE-MR-01-75/ISO-15156-1/2/3</v>
          </cell>
          <cell r="T18">
            <v>-29</v>
          </cell>
          <cell r="U18">
            <v>102.1</v>
          </cell>
          <cell r="V18">
            <v>100.2</v>
          </cell>
          <cell r="W18">
            <v>93.2</v>
          </cell>
          <cell r="X18">
            <v>90.2</v>
          </cell>
          <cell r="Y18">
            <v>87.6</v>
          </cell>
          <cell r="Z18">
            <v>83.9</v>
          </cell>
          <cell r="AF18" t="str">
            <v>D2N</v>
          </cell>
          <cell r="AG18">
            <v>153.14999999999998</v>
          </cell>
          <cell r="AH18" t="str">
            <v>D2N</v>
          </cell>
        </row>
        <row r="19">
          <cell r="B19" t="str">
            <v>E2N</v>
          </cell>
          <cell r="C19" t="str">
            <v>900#</v>
          </cell>
          <cell r="D19">
            <v>1.1000000000000001</v>
          </cell>
          <cell r="E19" t="str">
            <v>CS NACE</v>
          </cell>
          <cell r="F19" t="str">
            <v>6 mm</v>
          </cell>
          <cell r="G19" t="str">
            <v>Corrosive HC service</v>
          </cell>
          <cell r="H19" t="str">
            <v>153.2 @ -29°C</v>
          </cell>
          <cell r="I19" t="str">
            <v>131.4 @ 200°C</v>
          </cell>
          <cell r="J19">
            <v>40</v>
          </cell>
          <cell r="L19" t="str">
            <v>E2N</v>
          </cell>
          <cell r="Q19" t="str">
            <v>Ref. APPENDIX-1, Chart 1</v>
          </cell>
          <cell r="R19">
            <v>0.125</v>
          </cell>
          <cell r="S19" t="str">
            <v>ASME B 31.3, NACE-MR-01-75/ISO-15156-1/2/3</v>
          </cell>
          <cell r="T19">
            <v>-29</v>
          </cell>
          <cell r="U19">
            <v>153.19999999999999</v>
          </cell>
          <cell r="V19">
            <v>150.4</v>
          </cell>
          <cell r="W19">
            <v>139.80000000000001</v>
          </cell>
          <cell r="X19">
            <v>135.19999999999999</v>
          </cell>
          <cell r="Y19">
            <v>131.4</v>
          </cell>
          <cell r="Z19">
            <v>125.8</v>
          </cell>
          <cell r="AF19" t="str">
            <v>E2N</v>
          </cell>
          <cell r="AG19">
            <v>229.79999999999998</v>
          </cell>
          <cell r="AH19" t="str">
            <v>E2N</v>
          </cell>
        </row>
        <row r="20">
          <cell r="B20" t="str">
            <v>F2N</v>
          </cell>
          <cell r="C20" t="str">
            <v>1500#</v>
          </cell>
          <cell r="D20">
            <v>1.1000000000000001</v>
          </cell>
          <cell r="E20" t="str">
            <v>CS NACE</v>
          </cell>
          <cell r="F20" t="str">
            <v>6 mm</v>
          </cell>
          <cell r="G20" t="str">
            <v>Corrosive HC service</v>
          </cell>
          <cell r="H20" t="str">
            <v>255.3 @ -29°C</v>
          </cell>
          <cell r="I20" t="str">
            <v>219 @ 200°C</v>
          </cell>
          <cell r="J20">
            <v>41</v>
          </cell>
          <cell r="L20" t="str">
            <v>F2N</v>
          </cell>
          <cell r="Q20" t="str">
            <v>Ref. APPENDIX-1, Chart 1</v>
          </cell>
          <cell r="R20">
            <v>0.125</v>
          </cell>
          <cell r="S20" t="str">
            <v>ASME B 31.3, NACE-MR-01-75/ISO-15156-1/2/3</v>
          </cell>
          <cell r="T20">
            <v>-29</v>
          </cell>
          <cell r="U20">
            <v>255.3</v>
          </cell>
          <cell r="V20">
            <v>250.6</v>
          </cell>
          <cell r="W20">
            <v>233</v>
          </cell>
          <cell r="X20">
            <v>225.4</v>
          </cell>
          <cell r="Y20">
            <v>219</v>
          </cell>
          <cell r="Z20">
            <v>209.7</v>
          </cell>
          <cell r="AF20" t="str">
            <v>F2N</v>
          </cell>
          <cell r="AG20">
            <v>382.95000000000005</v>
          </cell>
          <cell r="AH20" t="str">
            <v>F2N</v>
          </cell>
        </row>
        <row r="21">
          <cell r="B21" t="str">
            <v>G2N</v>
          </cell>
          <cell r="C21" t="str">
            <v>2500#</v>
          </cell>
          <cell r="D21">
            <v>1.1000000000000001</v>
          </cell>
          <cell r="E21" t="str">
            <v>CS NACE</v>
          </cell>
          <cell r="F21" t="str">
            <v>6 mm</v>
          </cell>
          <cell r="G21" t="str">
            <v>Corrosive HC service</v>
          </cell>
          <cell r="H21" t="str">
            <v>399.8 @ -29°C</v>
          </cell>
          <cell r="I21" t="str">
            <v>342.9 @ 200°C</v>
          </cell>
          <cell r="J21">
            <v>42</v>
          </cell>
          <cell r="L21" t="str">
            <v>G2N</v>
          </cell>
          <cell r="Q21" t="str">
            <v>Ref. APPENDIX-1, Chart 1</v>
          </cell>
          <cell r="R21">
            <v>0.125</v>
          </cell>
          <cell r="S21" t="str">
            <v>ASME B 31.3, NACE-MR-01-75/ISO-15156-1/2/3</v>
          </cell>
          <cell r="T21">
            <v>-29</v>
          </cell>
          <cell r="U21">
            <v>399.8</v>
          </cell>
          <cell r="V21">
            <v>392.40000000000003</v>
          </cell>
          <cell r="W21">
            <v>364.8</v>
          </cell>
          <cell r="X21">
            <v>352.90000000000003</v>
          </cell>
          <cell r="Y21">
            <v>342.90000000000003</v>
          </cell>
          <cell r="AF21" t="str">
            <v>G2N</v>
          </cell>
          <cell r="AG21">
            <v>599.70000000000005</v>
          </cell>
          <cell r="AH21" t="str">
            <v>G2N</v>
          </cell>
        </row>
        <row r="22">
          <cell r="B22" t="str">
            <v>A1LN</v>
          </cell>
          <cell r="C22" t="str">
            <v>150#</v>
          </cell>
          <cell r="D22">
            <v>1.1000000000000001</v>
          </cell>
          <cell r="E22" t="str">
            <v>LTCS NACE</v>
          </cell>
          <cell r="F22" t="str">
            <v>3 mm</v>
          </cell>
          <cell r="G22" t="str">
            <v>Flare, Corrosive HC service (Low Temp)</v>
          </cell>
          <cell r="H22" t="str">
            <v>19.6 @ -45°C</v>
          </cell>
          <cell r="I22" t="str">
            <v>13.8 @ 200°C</v>
          </cell>
          <cell r="J22">
            <v>43</v>
          </cell>
          <cell r="L22" t="str">
            <v>A1LN</v>
          </cell>
          <cell r="Q22" t="str">
            <v>Ref. APPENDIX-1, Chart 1</v>
          </cell>
          <cell r="R22">
            <v>0.125</v>
          </cell>
          <cell r="S22" t="str">
            <v>ASME B 31.3, NACE-MR-01-75/ISO-15156-1/2/3</v>
          </cell>
          <cell r="T22">
            <v>-45</v>
          </cell>
          <cell r="U22">
            <v>19.600000000000001</v>
          </cell>
          <cell r="V22">
            <v>19.2</v>
          </cell>
          <cell r="W22">
            <v>17.7</v>
          </cell>
          <cell r="X22">
            <v>15.8</v>
          </cell>
          <cell r="Y22">
            <v>13.8</v>
          </cell>
          <cell r="Z22">
            <v>12.1</v>
          </cell>
          <cell r="AF22" t="str">
            <v>A1LN</v>
          </cell>
          <cell r="AG22">
            <v>29.400000000000002</v>
          </cell>
          <cell r="AH22" t="str">
            <v>A1LN</v>
          </cell>
        </row>
        <row r="23">
          <cell r="B23" t="str">
            <v>B1LN</v>
          </cell>
          <cell r="C23" t="str">
            <v>300#</v>
          </cell>
          <cell r="D23">
            <v>1.1000000000000001</v>
          </cell>
          <cell r="E23" t="str">
            <v>LTCS NACE</v>
          </cell>
          <cell r="F23" t="str">
            <v>3 mm</v>
          </cell>
          <cell r="G23" t="str">
            <v>Flare, Corrosive HC service (Low Temp)</v>
          </cell>
          <cell r="H23" t="str">
            <v>51.1 @ -45°C</v>
          </cell>
          <cell r="I23" t="str">
            <v>43.8 @ 200°C</v>
          </cell>
          <cell r="J23">
            <v>44</v>
          </cell>
          <cell r="L23" t="str">
            <v>B1LN</v>
          </cell>
          <cell r="Q23" t="str">
            <v>Ref. APPENDIX-1, Chart 1</v>
          </cell>
          <cell r="R23">
            <v>0.125</v>
          </cell>
          <cell r="S23" t="str">
            <v>ASME B 31.3, NACE-MR-01-75/ISO-15156-1/2/3</v>
          </cell>
          <cell r="T23">
            <v>-45</v>
          </cell>
          <cell r="U23">
            <v>51.1</v>
          </cell>
          <cell r="V23">
            <v>50.1</v>
          </cell>
          <cell r="W23">
            <v>46.6</v>
          </cell>
          <cell r="X23">
            <v>45.1</v>
          </cell>
          <cell r="Y23">
            <v>43.8</v>
          </cell>
          <cell r="Z23">
            <v>41.9</v>
          </cell>
          <cell r="AF23" t="str">
            <v>B1LN</v>
          </cell>
          <cell r="AG23">
            <v>76.650000000000006</v>
          </cell>
          <cell r="AH23" t="str">
            <v>B1LN</v>
          </cell>
        </row>
        <row r="24">
          <cell r="B24" t="str">
            <v>D1LN</v>
          </cell>
          <cell r="C24" t="str">
            <v>600#</v>
          </cell>
          <cell r="D24">
            <v>1.1000000000000001</v>
          </cell>
          <cell r="E24" t="str">
            <v>LTCS NACE</v>
          </cell>
          <cell r="F24" t="str">
            <v>3 mm</v>
          </cell>
          <cell r="G24" t="str">
            <v>Corrosive HC service (Low Temp)</v>
          </cell>
          <cell r="H24" t="str">
            <v>102.1 @ -45°C</v>
          </cell>
          <cell r="I24" t="str">
            <v>87.6 @ 200°C</v>
          </cell>
          <cell r="J24">
            <v>45</v>
          </cell>
          <cell r="L24" t="str">
            <v>D1LN</v>
          </cell>
          <cell r="Q24" t="str">
            <v>Ref. APPENDIX-1, Chart 1</v>
          </cell>
          <cell r="R24">
            <v>0.125</v>
          </cell>
          <cell r="S24" t="str">
            <v>ASME B 31.3, NACE-MR-01-75/ISO-15156-1/2/3</v>
          </cell>
          <cell r="T24">
            <v>-45</v>
          </cell>
          <cell r="U24">
            <v>102.1</v>
          </cell>
          <cell r="V24">
            <v>100.2</v>
          </cell>
          <cell r="W24">
            <v>93.2</v>
          </cell>
          <cell r="X24">
            <v>90.2</v>
          </cell>
          <cell r="Y24">
            <v>87.6</v>
          </cell>
          <cell r="Z24">
            <v>83.9</v>
          </cell>
          <cell r="AF24" t="str">
            <v>D1LN</v>
          </cell>
          <cell r="AG24">
            <v>153.14999999999998</v>
          </cell>
          <cell r="AH24" t="str">
            <v>D1LN</v>
          </cell>
        </row>
        <row r="25">
          <cell r="B25" t="str">
            <v>E1LN</v>
          </cell>
          <cell r="C25" t="str">
            <v>900#</v>
          </cell>
          <cell r="D25">
            <v>1.1000000000000001</v>
          </cell>
          <cell r="E25" t="str">
            <v>LTCS NACE</v>
          </cell>
          <cell r="F25" t="str">
            <v>3 mm</v>
          </cell>
          <cell r="G25" t="str">
            <v>Corrosive HC service (Low Temp)</v>
          </cell>
          <cell r="H25" t="str">
            <v>153.2 @ -45°C</v>
          </cell>
          <cell r="I25" t="str">
            <v>131.4 @ 200°C</v>
          </cell>
          <cell r="J25">
            <v>46</v>
          </cell>
          <cell r="L25" t="str">
            <v>E1LN</v>
          </cell>
          <cell r="Q25" t="str">
            <v>Ref. APPENDIX-1, Chart 1</v>
          </cell>
          <cell r="R25">
            <v>0.125</v>
          </cell>
          <cell r="S25" t="str">
            <v>ASME B 31.3, NACE-MR-01-75/ISO-15156-1/2/3</v>
          </cell>
          <cell r="T25">
            <v>-45</v>
          </cell>
          <cell r="U25">
            <v>153.19999999999999</v>
          </cell>
          <cell r="V25">
            <v>150.4</v>
          </cell>
          <cell r="W25">
            <v>139.80000000000001</v>
          </cell>
          <cell r="X25">
            <v>135.19999999999999</v>
          </cell>
          <cell r="Y25">
            <v>131.4</v>
          </cell>
          <cell r="Z25">
            <v>125.8</v>
          </cell>
          <cell r="AF25" t="str">
            <v>E1LN</v>
          </cell>
          <cell r="AG25">
            <v>229.79999999999998</v>
          </cell>
          <cell r="AH25" t="str">
            <v>E1LN</v>
          </cell>
        </row>
        <row r="26">
          <cell r="B26" t="str">
            <v>F1LN</v>
          </cell>
          <cell r="C26" t="str">
            <v>1500#</v>
          </cell>
          <cell r="D26">
            <v>1.1000000000000001</v>
          </cell>
          <cell r="E26" t="str">
            <v>LTCS NACE</v>
          </cell>
          <cell r="F26" t="str">
            <v>3 mm</v>
          </cell>
          <cell r="G26" t="str">
            <v>Corrosive HC service (Low Temp)</v>
          </cell>
          <cell r="H26" t="str">
            <v>255.3 @ -45°C</v>
          </cell>
          <cell r="I26" t="str">
            <v>219 @ 200°C</v>
          </cell>
          <cell r="J26">
            <v>47</v>
          </cell>
          <cell r="L26" t="str">
            <v>F1LN</v>
          </cell>
          <cell r="Q26" t="str">
            <v>Ref. APPENDIX-1, Chart 1</v>
          </cell>
          <cell r="R26">
            <v>0.125</v>
          </cell>
          <cell r="S26" t="str">
            <v>ASME B 31.3, NACE-MR-01-75/ISO-15156-1/2/3</v>
          </cell>
          <cell r="T26">
            <v>-45</v>
          </cell>
          <cell r="U26">
            <v>255.3</v>
          </cell>
          <cell r="V26">
            <v>250.6</v>
          </cell>
          <cell r="W26">
            <v>233</v>
          </cell>
          <cell r="X26">
            <v>225.4</v>
          </cell>
          <cell r="Y26">
            <v>219</v>
          </cell>
          <cell r="Z26">
            <v>209.7</v>
          </cell>
          <cell r="AF26" t="str">
            <v>F1LN</v>
          </cell>
          <cell r="AG26">
            <v>382.95000000000005</v>
          </cell>
          <cell r="AH26" t="str">
            <v>F1LN</v>
          </cell>
        </row>
        <row r="27">
          <cell r="B27" t="str">
            <v>G1LN</v>
          </cell>
          <cell r="C27" t="str">
            <v>2500#</v>
          </cell>
          <cell r="D27">
            <v>1.1000000000000001</v>
          </cell>
          <cell r="E27" t="str">
            <v>LTCS NACE</v>
          </cell>
          <cell r="F27" t="str">
            <v>3 mm</v>
          </cell>
          <cell r="G27" t="str">
            <v>Gas Lift, Corrosive HC service (Low Temp)</v>
          </cell>
          <cell r="H27" t="str">
            <v>399.8 @ -29°C</v>
          </cell>
          <cell r="I27" t="str">
            <v>342.9 @ 200°C</v>
          </cell>
          <cell r="J27">
            <v>48</v>
          </cell>
          <cell r="L27" t="str">
            <v>G1LN</v>
          </cell>
          <cell r="Q27" t="str">
            <v>Ref. APPENDIX-1, Chart 1</v>
          </cell>
          <cell r="R27">
            <v>0.125</v>
          </cell>
          <cell r="S27" t="str">
            <v>ASME B 31.3, NACE-MR-01-75/ISO-15156-1/2/3</v>
          </cell>
          <cell r="T27">
            <v>-45</v>
          </cell>
          <cell r="U27">
            <v>399.8</v>
          </cell>
          <cell r="V27">
            <v>392.40000000000003</v>
          </cell>
          <cell r="W27">
            <v>364.8</v>
          </cell>
          <cell r="X27">
            <v>352.90000000000003</v>
          </cell>
          <cell r="Y27">
            <v>342.90000000000003</v>
          </cell>
          <cell r="AF27" t="str">
            <v>G1LN</v>
          </cell>
          <cell r="AG27">
            <v>599.70000000000005</v>
          </cell>
          <cell r="AH27" t="str">
            <v>G1LN</v>
          </cell>
        </row>
        <row r="28">
          <cell r="B28" t="str">
            <v>A2LN</v>
          </cell>
          <cell r="C28" t="str">
            <v>150#</v>
          </cell>
          <cell r="D28">
            <v>1.1000000000000001</v>
          </cell>
          <cell r="E28" t="str">
            <v>LTCS NACE</v>
          </cell>
          <cell r="F28" t="str">
            <v>6 mm</v>
          </cell>
          <cell r="G28" t="str">
            <v>Corrosive HC service (Low Temp)</v>
          </cell>
          <cell r="H28" t="str">
            <v>19.6 @ -45°C</v>
          </cell>
          <cell r="I28" t="str">
            <v>13.8 @ 200°C</v>
          </cell>
          <cell r="J28">
            <v>49</v>
          </cell>
          <cell r="L28" t="str">
            <v>A2LN</v>
          </cell>
          <cell r="Q28" t="str">
            <v>Ref. APPENDIX-1, Chart 1</v>
          </cell>
          <cell r="R28">
            <v>0.125</v>
          </cell>
          <cell r="S28" t="str">
            <v>ASME B 31.3, NACE-MR-01-75/ISO-15156-1/2/3</v>
          </cell>
          <cell r="T28">
            <v>-45</v>
          </cell>
          <cell r="U28">
            <v>19.600000000000001</v>
          </cell>
          <cell r="V28">
            <v>19.2</v>
          </cell>
          <cell r="W28">
            <v>17.7</v>
          </cell>
          <cell r="X28">
            <v>15.8</v>
          </cell>
          <cell r="Y28">
            <v>13.8</v>
          </cell>
          <cell r="Z28">
            <v>12.1</v>
          </cell>
          <cell r="AF28" t="str">
            <v>A2LN</v>
          </cell>
          <cell r="AG28">
            <v>29.400000000000002</v>
          </cell>
          <cell r="AH28" t="str">
            <v>A2LN</v>
          </cell>
        </row>
        <row r="29">
          <cell r="B29" t="str">
            <v>B2LN</v>
          </cell>
          <cell r="C29" t="str">
            <v>300#</v>
          </cell>
          <cell r="D29">
            <v>1.1000000000000001</v>
          </cell>
          <cell r="E29" t="str">
            <v>LTCS NACE</v>
          </cell>
          <cell r="F29" t="str">
            <v>6 mm</v>
          </cell>
          <cell r="G29" t="str">
            <v>Corrosive HC service (Low Temp)</v>
          </cell>
          <cell r="H29" t="str">
            <v>51.1 @ -45°C</v>
          </cell>
          <cell r="I29" t="str">
            <v>43.8 @ 200°C</v>
          </cell>
          <cell r="J29">
            <v>50</v>
          </cell>
          <cell r="L29" t="str">
            <v>B2LN</v>
          </cell>
          <cell r="Q29" t="str">
            <v>Ref. APPENDIX-1, Chart 1</v>
          </cell>
          <cell r="R29">
            <v>0.125</v>
          </cell>
          <cell r="S29" t="str">
            <v>ASME B 31.3, NACE-MR-01-75/ISO-15156-1/2/3</v>
          </cell>
          <cell r="T29">
            <v>-45</v>
          </cell>
          <cell r="U29">
            <v>51.1</v>
          </cell>
          <cell r="V29">
            <v>50.1</v>
          </cell>
          <cell r="W29">
            <v>46.6</v>
          </cell>
          <cell r="X29">
            <v>45.1</v>
          </cell>
          <cell r="Y29">
            <v>43.8</v>
          </cell>
          <cell r="Z29">
            <v>41.9</v>
          </cell>
          <cell r="AF29" t="str">
            <v>B2LN</v>
          </cell>
          <cell r="AG29">
            <v>76.650000000000006</v>
          </cell>
          <cell r="AH29" t="str">
            <v>B2LN</v>
          </cell>
        </row>
        <row r="30">
          <cell r="B30" t="str">
            <v>D2LN</v>
          </cell>
          <cell r="C30" t="str">
            <v>600#</v>
          </cell>
          <cell r="D30">
            <v>1.1000000000000001</v>
          </cell>
          <cell r="E30" t="str">
            <v>LTCS NACE</v>
          </cell>
          <cell r="F30" t="str">
            <v>6 mm</v>
          </cell>
          <cell r="G30" t="str">
            <v>Corrosive HC service (Low Temp)</v>
          </cell>
          <cell r="H30" t="str">
            <v>102.1 @ -45°C</v>
          </cell>
          <cell r="I30" t="str">
            <v>87.6 @ 200°C</v>
          </cell>
          <cell r="J30">
            <v>51</v>
          </cell>
          <cell r="L30" t="str">
            <v>D2LN</v>
          </cell>
          <cell r="Q30" t="str">
            <v>Ref. APPENDIX-1, Chart 1</v>
          </cell>
          <cell r="R30">
            <v>0.125</v>
          </cell>
          <cell r="S30" t="str">
            <v>ASME B 31.3, NACE-MR-01-75/ISO-15156-1/2/3</v>
          </cell>
          <cell r="T30">
            <v>-45</v>
          </cell>
          <cell r="U30">
            <v>102.1</v>
          </cell>
          <cell r="V30">
            <v>100.2</v>
          </cell>
          <cell r="W30">
            <v>93.2</v>
          </cell>
          <cell r="X30">
            <v>90.2</v>
          </cell>
          <cell r="Y30">
            <v>87.6</v>
          </cell>
          <cell r="Z30">
            <v>83.9</v>
          </cell>
          <cell r="AF30" t="str">
            <v>D2LN</v>
          </cell>
          <cell r="AG30">
            <v>153.14999999999998</v>
          </cell>
          <cell r="AH30" t="str">
            <v>D2LN</v>
          </cell>
        </row>
        <row r="31">
          <cell r="B31" t="str">
            <v>E2LN</v>
          </cell>
          <cell r="C31" t="str">
            <v>900#</v>
          </cell>
          <cell r="D31">
            <v>1.1000000000000001</v>
          </cell>
          <cell r="E31" t="str">
            <v>LTCS NACE</v>
          </cell>
          <cell r="F31" t="str">
            <v>6 mm</v>
          </cell>
          <cell r="G31" t="str">
            <v>Corrosive HC service (Low Temp)</v>
          </cell>
          <cell r="H31" t="str">
            <v>153.2 @ -45°C</v>
          </cell>
          <cell r="I31" t="str">
            <v>131.4 @ 200°C</v>
          </cell>
          <cell r="J31">
            <v>52</v>
          </cell>
          <cell r="L31" t="str">
            <v>E2LN</v>
          </cell>
          <cell r="Q31" t="str">
            <v>Ref. APPENDIX-1, Chart 1</v>
          </cell>
          <cell r="R31">
            <v>0.125</v>
          </cell>
          <cell r="S31" t="str">
            <v>ASME B 31.3, NACE-MR-01-75/ISO-15156-1/2/3</v>
          </cell>
          <cell r="T31">
            <v>-45</v>
          </cell>
          <cell r="U31">
            <v>153.19999999999999</v>
          </cell>
          <cell r="V31">
            <v>150.4</v>
          </cell>
          <cell r="W31">
            <v>139.80000000000001</v>
          </cell>
          <cell r="X31">
            <v>135.19999999999999</v>
          </cell>
          <cell r="Y31">
            <v>131.4</v>
          </cell>
          <cell r="Z31">
            <v>125.8</v>
          </cell>
          <cell r="AF31" t="str">
            <v>E2LN</v>
          </cell>
          <cell r="AG31">
            <v>229.79999999999998</v>
          </cell>
          <cell r="AH31" t="str">
            <v>E2LN</v>
          </cell>
        </row>
        <row r="32">
          <cell r="B32" t="str">
            <v>F2LN</v>
          </cell>
          <cell r="C32" t="str">
            <v>1500#</v>
          </cell>
          <cell r="D32">
            <v>1.1000000000000001</v>
          </cell>
          <cell r="E32" t="str">
            <v>LTCS NACE</v>
          </cell>
          <cell r="F32" t="str">
            <v>6 mm</v>
          </cell>
          <cell r="G32" t="str">
            <v>Corrosive HC service (Low Temp)</v>
          </cell>
          <cell r="H32" t="str">
            <v>255.3 @ -45°C</v>
          </cell>
          <cell r="I32" t="str">
            <v>219 @ 200°C</v>
          </cell>
          <cell r="J32">
            <v>53</v>
          </cell>
          <cell r="L32" t="str">
            <v>F2LN</v>
          </cell>
          <cell r="Q32" t="str">
            <v>Ref. APPENDIX-1, Chart 1</v>
          </cell>
          <cell r="R32">
            <v>0.125</v>
          </cell>
          <cell r="S32" t="str">
            <v>ASME B 31.3, NACE-MR-01-75/ISO-15156-1/2/3</v>
          </cell>
          <cell r="T32">
            <v>-45</v>
          </cell>
          <cell r="U32">
            <v>255.3</v>
          </cell>
          <cell r="V32">
            <v>250.6</v>
          </cell>
          <cell r="W32">
            <v>233</v>
          </cell>
          <cell r="X32">
            <v>225.4</v>
          </cell>
          <cell r="Y32">
            <v>219</v>
          </cell>
          <cell r="Z32">
            <v>209.7</v>
          </cell>
          <cell r="AF32" t="str">
            <v>F2LN</v>
          </cell>
          <cell r="AG32">
            <v>382.95000000000005</v>
          </cell>
          <cell r="AH32" t="str">
            <v>F2LN</v>
          </cell>
        </row>
        <row r="33">
          <cell r="B33" t="str">
            <v>G2LN</v>
          </cell>
          <cell r="C33" t="str">
            <v>2500#</v>
          </cell>
          <cell r="D33">
            <v>1.1000000000000001</v>
          </cell>
          <cell r="E33" t="str">
            <v>LTCS NACE</v>
          </cell>
          <cell r="F33" t="str">
            <v>6 mm</v>
          </cell>
          <cell r="G33" t="str">
            <v>Corrosive HC service (Low Temp)</v>
          </cell>
          <cell r="H33" t="str">
            <v>399.8 @ -29°C</v>
          </cell>
          <cell r="I33" t="str">
            <v>342.9 @ 200°C</v>
          </cell>
          <cell r="J33">
            <v>54</v>
          </cell>
          <cell r="L33" t="str">
            <v>G2LN</v>
          </cell>
          <cell r="Q33" t="str">
            <v>Ref. APPENDIX-1, Chart 1</v>
          </cell>
          <cell r="R33">
            <v>0.125</v>
          </cell>
          <cell r="S33" t="str">
            <v>ASME B 31.3, NACE-MR-01-75/ISO-15156-1/2/3</v>
          </cell>
          <cell r="T33">
            <v>-45</v>
          </cell>
          <cell r="U33">
            <v>399.8</v>
          </cell>
          <cell r="V33">
            <v>392.40000000000003</v>
          </cell>
          <cell r="W33">
            <v>364.8</v>
          </cell>
          <cell r="X33">
            <v>352.90000000000003</v>
          </cell>
          <cell r="Y33">
            <v>342.90000000000003</v>
          </cell>
          <cell r="AF33" t="str">
            <v>G2LN</v>
          </cell>
          <cell r="AG33">
            <v>599.70000000000005</v>
          </cell>
          <cell r="AH33" t="str">
            <v>G2LN</v>
          </cell>
        </row>
        <row r="34">
          <cell r="B34" t="str">
            <v>A3</v>
          </cell>
          <cell r="C34" t="str">
            <v>150#</v>
          </cell>
          <cell r="D34">
            <v>1.1000000000000001</v>
          </cell>
          <cell r="E34" t="str">
            <v>CS GALV (Valve: SS)</v>
          </cell>
          <cell r="F34" t="str">
            <v>3 mm</v>
          </cell>
          <cell r="G34" t="str">
            <v>Utility Water</v>
          </cell>
          <cell r="H34" t="str">
            <v>19 @ -29°C</v>
          </cell>
          <cell r="I34" t="str">
            <v xml:space="preserve"> 16.2 @ 100°C</v>
          </cell>
          <cell r="J34">
            <v>55</v>
          </cell>
          <cell r="L34" t="str">
            <v>A3</v>
          </cell>
          <cell r="Q34" t="str">
            <v>Ref. APPENDIX-1, Chart 2</v>
          </cell>
          <cell r="R34">
            <v>0.125</v>
          </cell>
          <cell r="S34" t="str">
            <v>ASME B 31.3</v>
          </cell>
          <cell r="T34">
            <v>-29</v>
          </cell>
          <cell r="U34">
            <v>15.9</v>
          </cell>
          <cell r="V34">
            <v>15.3</v>
          </cell>
          <cell r="W34">
            <v>13.3</v>
          </cell>
          <cell r="X34">
            <v>12</v>
          </cell>
          <cell r="Y34">
            <v>11.2</v>
          </cell>
          <cell r="Z34">
            <v>10.5</v>
          </cell>
          <cell r="AF34" t="str">
            <v>A3</v>
          </cell>
          <cell r="AG34">
            <v>23.85</v>
          </cell>
          <cell r="AH34" t="str">
            <v>A10</v>
          </cell>
        </row>
        <row r="35">
          <cell r="B35" t="str">
            <v>A4</v>
          </cell>
          <cell r="C35" t="str">
            <v>150#</v>
          </cell>
          <cell r="D35">
            <v>1.1000000000000001</v>
          </cell>
          <cell r="E35" t="str">
            <v>CS GALV (Valve: SS)</v>
          </cell>
          <cell r="F35" t="str">
            <v>1.5 mm</v>
          </cell>
          <cell r="G35" t="str">
            <v>Bilge, drain, sewage, produced water, C02 Gas</v>
          </cell>
          <cell r="H35" t="str">
            <v>19 @ -29°C</v>
          </cell>
          <cell r="I35" t="str">
            <v xml:space="preserve"> 16.2 @ 100°C</v>
          </cell>
          <cell r="J35">
            <v>56</v>
          </cell>
          <cell r="L35" t="str">
            <v>A4</v>
          </cell>
          <cell r="Q35" t="str">
            <v>Ref. APPENDIX-1, Chart 2</v>
          </cell>
          <cell r="R35">
            <v>0.125</v>
          </cell>
          <cell r="S35" t="str">
            <v>ASME B 31.3</v>
          </cell>
          <cell r="T35">
            <v>-29</v>
          </cell>
          <cell r="U35">
            <v>15.9</v>
          </cell>
          <cell r="V35">
            <v>15.3</v>
          </cell>
          <cell r="W35">
            <v>13.3</v>
          </cell>
          <cell r="X35">
            <v>12</v>
          </cell>
          <cell r="Y35">
            <v>11.2</v>
          </cell>
          <cell r="Z35">
            <v>10.5</v>
          </cell>
          <cell r="AF35" t="str">
            <v>A4</v>
          </cell>
          <cell r="AG35">
            <v>23.85</v>
          </cell>
          <cell r="AH35" t="str">
            <v>A10</v>
          </cell>
        </row>
        <row r="36">
          <cell r="B36" t="str">
            <v>B4</v>
          </cell>
          <cell r="C36" t="str">
            <v>300#</v>
          </cell>
          <cell r="D36">
            <v>1.1000000000000001</v>
          </cell>
          <cell r="E36" t="str">
            <v>CS GALV (Valve: SS)</v>
          </cell>
          <cell r="F36" t="str">
            <v>1.5 mm</v>
          </cell>
          <cell r="G36" t="str">
            <v>Bilge, drain, sewage, produced water, C02 Gas</v>
          </cell>
          <cell r="H36" t="str">
            <v>51.1 @ -29°C</v>
          </cell>
          <cell r="I36" t="str">
            <v>43.8 @ 250°C</v>
          </cell>
          <cell r="J36">
            <v>57</v>
          </cell>
          <cell r="L36" t="str">
            <v>B4</v>
          </cell>
          <cell r="Q36" t="str">
            <v>Ref. APPENDIX-1, Chart 2</v>
          </cell>
          <cell r="R36">
            <v>0.125</v>
          </cell>
          <cell r="S36" t="str">
            <v>ASME B 31.3</v>
          </cell>
          <cell r="T36">
            <v>-29</v>
          </cell>
          <cell r="U36">
            <v>51.1</v>
          </cell>
          <cell r="V36">
            <v>50.1</v>
          </cell>
          <cell r="W36">
            <v>46.6</v>
          </cell>
          <cell r="X36">
            <v>45.1</v>
          </cell>
          <cell r="Y36">
            <v>43.8</v>
          </cell>
          <cell r="Z36">
            <v>41.9</v>
          </cell>
          <cell r="AF36" t="str">
            <v>B4</v>
          </cell>
          <cell r="AG36">
            <v>76.650000000000006</v>
          </cell>
          <cell r="AH36" t="str">
            <v>B10</v>
          </cell>
        </row>
        <row r="37">
          <cell r="B37" t="str">
            <v>D4</v>
          </cell>
          <cell r="C37" t="str">
            <v>600#</v>
          </cell>
          <cell r="D37">
            <v>1.1000000000000001</v>
          </cell>
          <cell r="E37" t="str">
            <v>CS GALV (Valve: SS)</v>
          </cell>
          <cell r="F37" t="str">
            <v>1.5 mm</v>
          </cell>
          <cell r="G37" t="str">
            <v>Bilge, drain, sewage, produced water, C02 Gas</v>
          </cell>
          <cell r="H37" t="str">
            <v>102.1 @ -29°C</v>
          </cell>
          <cell r="I37" t="str">
            <v>87.6 @ 250°C</v>
          </cell>
          <cell r="J37">
            <v>58</v>
          </cell>
          <cell r="L37" t="str">
            <v>D4</v>
          </cell>
          <cell r="Q37" t="str">
            <v>Ref. APPENDIX-1, Chart 2</v>
          </cell>
          <cell r="R37">
            <v>0.125</v>
          </cell>
          <cell r="S37" t="str">
            <v>ASME B 31.3</v>
          </cell>
          <cell r="T37">
            <v>-29</v>
          </cell>
          <cell r="U37">
            <v>102.1</v>
          </cell>
          <cell r="V37">
            <v>100.2</v>
          </cell>
          <cell r="W37">
            <v>93.2</v>
          </cell>
          <cell r="X37">
            <v>90.2</v>
          </cell>
          <cell r="Y37">
            <v>87.6</v>
          </cell>
          <cell r="Z37">
            <v>83.9</v>
          </cell>
          <cell r="AF37" t="str">
            <v>D4</v>
          </cell>
          <cell r="AG37">
            <v>153.14999999999998</v>
          </cell>
          <cell r="AH37" t="str">
            <v>D10</v>
          </cell>
        </row>
        <row r="38">
          <cell r="B38" t="str">
            <v>A5</v>
          </cell>
          <cell r="C38" t="str">
            <v>150#</v>
          </cell>
          <cell r="D38">
            <v>1.1000000000000001</v>
          </cell>
          <cell r="E38" t="str">
            <v>CS GALV</v>
          </cell>
          <cell r="F38" t="str">
            <v>6 mm</v>
          </cell>
          <cell r="G38" t="str">
            <v>Chemical (penetration), Firewater (penetration), Seawater (penetration), Ballast, Inert Gas, COW/Tank Cleaning, Slop, Stripping, Seawater</v>
          </cell>
          <cell r="H38" t="str">
            <v>19 @ -29°C</v>
          </cell>
          <cell r="I38" t="str">
            <v xml:space="preserve"> 16.2 @ 100°C</v>
          </cell>
          <cell r="J38">
            <v>59</v>
          </cell>
          <cell r="L38" t="str">
            <v>A5</v>
          </cell>
          <cell r="Q38" t="str">
            <v>Ref. APPENDIX-1, Chart 2</v>
          </cell>
          <cell r="R38">
            <v>0.125</v>
          </cell>
          <cell r="S38" t="str">
            <v>ASME B 31.3</v>
          </cell>
          <cell r="T38">
            <v>-29</v>
          </cell>
          <cell r="U38">
            <v>15.9</v>
          </cell>
          <cell r="V38">
            <v>15.3</v>
          </cell>
          <cell r="W38">
            <v>13.3</v>
          </cell>
          <cell r="X38">
            <v>12</v>
          </cell>
          <cell r="Y38">
            <v>11.2</v>
          </cell>
          <cell r="Z38">
            <v>10.5</v>
          </cell>
          <cell r="AF38" t="str">
            <v>A5</v>
          </cell>
          <cell r="AG38">
            <v>23.85</v>
          </cell>
          <cell r="AH38" t="str">
            <v>A10</v>
          </cell>
        </row>
        <row r="39">
          <cell r="B39" t="str">
            <v>A6</v>
          </cell>
          <cell r="C39" t="str">
            <v>150#</v>
          </cell>
          <cell r="D39">
            <v>1.1000000000000001</v>
          </cell>
          <cell r="E39" t="str">
            <v>CS - Epoxy Lined</v>
          </cell>
          <cell r="F39" t="str">
            <v>6 mm</v>
          </cell>
          <cell r="G39" t="str">
            <v>Ballast, Inert Gas, COW/Tank Cleaning, Slop, Seawater, Firewater</v>
          </cell>
          <cell r="H39" t="str">
            <v>19 @ -29°C</v>
          </cell>
          <cell r="I39" t="str">
            <v xml:space="preserve"> 16.2 @ 100°C</v>
          </cell>
          <cell r="J39">
            <v>60</v>
          </cell>
          <cell r="L39" t="str">
            <v>A6</v>
          </cell>
          <cell r="Q39" t="str">
            <v>Ref. APPENDIX-1, Chart 2</v>
          </cell>
          <cell r="R39">
            <v>0.125</v>
          </cell>
          <cell r="S39" t="str">
            <v>ASME B 31.3</v>
          </cell>
          <cell r="T39">
            <v>-29</v>
          </cell>
          <cell r="U39">
            <v>15.9</v>
          </cell>
          <cell r="V39">
            <v>15.3</v>
          </cell>
          <cell r="W39">
            <v>13.3</v>
          </cell>
          <cell r="X39">
            <v>12</v>
          </cell>
          <cell r="Y39">
            <v>11.2</v>
          </cell>
          <cell r="Z39">
            <v>10.5</v>
          </cell>
          <cell r="AF39" t="str">
            <v>A6</v>
          </cell>
          <cell r="AG39">
            <v>23.85</v>
          </cell>
          <cell r="AH39" t="str">
            <v>A10</v>
          </cell>
        </row>
        <row r="40">
          <cell r="B40" t="str">
            <v>A10</v>
          </cell>
          <cell r="C40" t="str">
            <v>150#</v>
          </cell>
          <cell r="D40">
            <v>2.2999999999999998</v>
          </cell>
          <cell r="E40" t="str">
            <v>SS316L</v>
          </cell>
          <cell r="F40" t="str">
            <v>NIL</v>
          </cell>
          <cell r="G40" t="str">
            <v>Air, Nitrogen, Lube oil, Chemical, Foam, hydraulic, Instrument Air, Diesel Fuel</v>
          </cell>
          <cell r="H40" t="str">
            <v>15.9 @ -100°C</v>
          </cell>
          <cell r="I40" t="str">
            <v>11.2 @ 200°C</v>
          </cell>
          <cell r="J40">
            <v>61</v>
          </cell>
          <cell r="L40" t="str">
            <v>A10</v>
          </cell>
          <cell r="Q40" t="str">
            <v>Ref. APPENDIX-1, Chart 1</v>
          </cell>
          <cell r="R40">
            <v>0.125</v>
          </cell>
          <cell r="S40" t="str">
            <v>ASME B 31.3</v>
          </cell>
          <cell r="T40">
            <v>-100</v>
          </cell>
          <cell r="U40">
            <v>15.9</v>
          </cell>
          <cell r="V40">
            <v>15.3</v>
          </cell>
          <cell r="W40">
            <v>13.3</v>
          </cell>
          <cell r="X40">
            <v>12</v>
          </cell>
          <cell r="Y40">
            <v>11.2</v>
          </cell>
          <cell r="Z40">
            <v>10.5</v>
          </cell>
          <cell r="AF40" t="str">
            <v>A10</v>
          </cell>
          <cell r="AG40">
            <v>23.85</v>
          </cell>
          <cell r="AH40" t="str">
            <v>A10</v>
          </cell>
        </row>
        <row r="41">
          <cell r="B41" t="str">
            <v>B10</v>
          </cell>
          <cell r="C41" t="str">
            <v>300#</v>
          </cell>
          <cell r="D41">
            <v>2.2999999999999998</v>
          </cell>
          <cell r="E41" t="str">
            <v>SS316L</v>
          </cell>
          <cell r="F41" t="str">
            <v>NIL</v>
          </cell>
          <cell r="G41" t="str">
            <v>Air, Nitrogen, Lube oil, Chemical, Foam, Hydraulic, Instrument Air, Diesel Fuel</v>
          </cell>
          <cell r="H41" t="str">
            <v>41.4 @ -100°C</v>
          </cell>
          <cell r="I41" t="str">
            <v>29.2 @ 200°C</v>
          </cell>
          <cell r="J41">
            <v>62</v>
          </cell>
          <cell r="L41" t="str">
            <v>B10</v>
          </cell>
          <cell r="Q41" t="str">
            <v>Ref. APPENDIX-1, Chart 1</v>
          </cell>
          <cell r="R41">
            <v>0.125</v>
          </cell>
          <cell r="S41" t="str">
            <v>ASME B 31.3</v>
          </cell>
          <cell r="T41">
            <v>-100</v>
          </cell>
          <cell r="U41">
            <v>41.4</v>
          </cell>
          <cell r="V41">
            <v>40</v>
          </cell>
          <cell r="W41">
            <v>34.799999999999997</v>
          </cell>
          <cell r="X41">
            <v>31.4</v>
          </cell>
          <cell r="Y41">
            <v>29.2</v>
          </cell>
          <cell r="Z41">
            <v>27.5</v>
          </cell>
          <cell r="AF41" t="str">
            <v>B10</v>
          </cell>
          <cell r="AG41">
            <v>62.099999999999994</v>
          </cell>
          <cell r="AH41" t="str">
            <v>B10</v>
          </cell>
        </row>
        <row r="42">
          <cell r="B42" t="str">
            <v>D10</v>
          </cell>
          <cell r="C42" t="str">
            <v>600#</v>
          </cell>
          <cell r="D42">
            <v>2.2999999999999998</v>
          </cell>
          <cell r="E42" t="str">
            <v>SS316L</v>
          </cell>
          <cell r="F42" t="str">
            <v>NIL</v>
          </cell>
          <cell r="G42" t="str">
            <v>Air, Nitrogen, Lube oil, Chemical, Hydraulic</v>
          </cell>
          <cell r="H42" t="str">
            <v>82.7 @ -100°C</v>
          </cell>
          <cell r="I42" t="str">
            <v>58.3 @ 200°C</v>
          </cell>
          <cell r="J42">
            <v>63</v>
          </cell>
          <cell r="L42" t="str">
            <v>D10</v>
          </cell>
          <cell r="Q42" t="str">
            <v>Ref. APPENDIX-1, Chart 1</v>
          </cell>
          <cell r="R42">
            <v>0.125</v>
          </cell>
          <cell r="S42" t="str">
            <v>ASME B 31.3</v>
          </cell>
          <cell r="T42">
            <v>-100</v>
          </cell>
          <cell r="U42">
            <v>82.7</v>
          </cell>
          <cell r="V42">
            <v>80</v>
          </cell>
          <cell r="W42">
            <v>69.599999999999994</v>
          </cell>
          <cell r="X42">
            <v>62.8</v>
          </cell>
          <cell r="Y42">
            <v>58.3</v>
          </cell>
          <cell r="Z42">
            <v>54.9</v>
          </cell>
          <cell r="AF42" t="str">
            <v>D10</v>
          </cell>
          <cell r="AG42">
            <v>124.05000000000001</v>
          </cell>
          <cell r="AH42" t="str">
            <v>D10</v>
          </cell>
        </row>
        <row r="43">
          <cell r="B43" t="str">
            <v>E10</v>
          </cell>
          <cell r="C43" t="str">
            <v>900#</v>
          </cell>
          <cell r="D43">
            <v>2.2999999999999998</v>
          </cell>
          <cell r="E43" t="str">
            <v>SS316L</v>
          </cell>
          <cell r="F43" t="str">
            <v>NIL</v>
          </cell>
          <cell r="G43" t="str">
            <v>Air, Nitrogen, Lube oil, Chemical, Hydraulic</v>
          </cell>
          <cell r="H43" t="str">
            <v>124.1 @ -100°C</v>
          </cell>
          <cell r="I43" t="str">
            <v>87.5 @ 200°C</v>
          </cell>
          <cell r="J43">
            <v>64</v>
          </cell>
          <cell r="L43" t="str">
            <v>E10</v>
          </cell>
          <cell r="Q43" t="str">
            <v>Ref. APPENDIX-1, Chart 1</v>
          </cell>
          <cell r="R43">
            <v>0.125</v>
          </cell>
          <cell r="S43" t="str">
            <v>ASME B 31.3</v>
          </cell>
          <cell r="T43">
            <v>-100</v>
          </cell>
          <cell r="U43">
            <v>124.1</v>
          </cell>
          <cell r="V43">
            <v>120.1</v>
          </cell>
          <cell r="W43">
            <v>104.4</v>
          </cell>
          <cell r="X43">
            <v>94.2</v>
          </cell>
          <cell r="Y43">
            <v>87.5</v>
          </cell>
          <cell r="Z43">
            <v>82.4</v>
          </cell>
          <cell r="AF43" t="str">
            <v>E10</v>
          </cell>
          <cell r="AG43">
            <v>186.14999999999998</v>
          </cell>
          <cell r="AH43" t="str">
            <v>E10</v>
          </cell>
        </row>
        <row r="44">
          <cell r="B44" t="str">
            <v>F10</v>
          </cell>
          <cell r="C44" t="str">
            <v>1500#</v>
          </cell>
          <cell r="D44">
            <v>2.2999999999999998</v>
          </cell>
          <cell r="E44" t="str">
            <v>SS316L</v>
          </cell>
          <cell r="F44" t="str">
            <v>NIL</v>
          </cell>
          <cell r="G44" t="str">
            <v>Air, Nitrogen, Lube oil, Chemical, Hydraulic</v>
          </cell>
          <cell r="H44" t="str">
            <v>206.8 @ -100°C</v>
          </cell>
          <cell r="I44" t="str">
            <v>145.8 @ 200°C</v>
          </cell>
          <cell r="J44">
            <v>65</v>
          </cell>
          <cell r="L44" t="str">
            <v>F10</v>
          </cell>
          <cell r="Q44" t="str">
            <v>Ref. APPENDIX-1, Chart 1</v>
          </cell>
          <cell r="R44">
            <v>0.125</v>
          </cell>
          <cell r="S44" t="str">
            <v>ASME B 31.3</v>
          </cell>
          <cell r="T44">
            <v>-100</v>
          </cell>
          <cell r="U44">
            <v>206.8</v>
          </cell>
          <cell r="V44">
            <v>200.1</v>
          </cell>
          <cell r="W44">
            <v>173.9</v>
          </cell>
          <cell r="X44">
            <v>157</v>
          </cell>
          <cell r="Y44">
            <v>145.80000000000001</v>
          </cell>
          <cell r="Z44">
            <v>137.30000000000001</v>
          </cell>
          <cell r="AF44" t="str">
            <v>F10</v>
          </cell>
          <cell r="AG44">
            <v>310.20000000000005</v>
          </cell>
          <cell r="AH44" t="str">
            <v>F10</v>
          </cell>
        </row>
        <row r="45">
          <cell r="B45" t="str">
            <v>G10</v>
          </cell>
          <cell r="C45" t="str">
            <v>2500#</v>
          </cell>
          <cell r="D45">
            <v>2.2999999999999998</v>
          </cell>
          <cell r="E45" t="str">
            <v>SS316L</v>
          </cell>
          <cell r="F45" t="str">
            <v>NIL</v>
          </cell>
          <cell r="G45" t="str">
            <v>Air, Nitrogen, Lube oil, Chemical, Hydraulic</v>
          </cell>
          <cell r="H45" t="str">
            <v>344.7 @ -100°C</v>
          </cell>
          <cell r="I45" t="str">
            <v>243 @ 200°C</v>
          </cell>
          <cell r="J45">
            <v>66</v>
          </cell>
          <cell r="L45" t="str">
            <v>G10</v>
          </cell>
          <cell r="Q45" t="str">
            <v>Ref. APPENDIX-1, Chart 1</v>
          </cell>
          <cell r="R45">
            <v>0.125</v>
          </cell>
          <cell r="S45" t="str">
            <v>ASME B 31.3</v>
          </cell>
          <cell r="T45">
            <v>-100</v>
          </cell>
          <cell r="U45">
            <v>344.7</v>
          </cell>
          <cell r="V45">
            <v>333.5</v>
          </cell>
          <cell r="W45">
            <v>289.89999999999998</v>
          </cell>
          <cell r="X45">
            <v>261.60000000000002</v>
          </cell>
          <cell r="Y45">
            <v>243</v>
          </cell>
          <cell r="Z45">
            <v>228.9</v>
          </cell>
          <cell r="AF45" t="str">
            <v>G10</v>
          </cell>
          <cell r="AG45">
            <v>517.04999999999995</v>
          </cell>
          <cell r="AH45" t="str">
            <v>G10</v>
          </cell>
        </row>
        <row r="46">
          <cell r="B46" t="str">
            <v>A10N</v>
          </cell>
          <cell r="C46" t="str">
            <v>150#</v>
          </cell>
          <cell r="D46">
            <v>2.2999999999999998</v>
          </cell>
          <cell r="E46" t="str">
            <v>SS316L NACE</v>
          </cell>
          <cell r="F46" t="str">
            <v>NIL</v>
          </cell>
          <cell r="G46" t="str">
            <v>Glycol, Corrosive HC service</v>
          </cell>
          <cell r="H46" t="str">
            <v>15.9 @ -100°C</v>
          </cell>
          <cell r="I46" t="str">
            <v>11.2 @ 200°C</v>
          </cell>
          <cell r="J46">
            <v>67</v>
          </cell>
          <cell r="L46" t="str">
            <v>A10N</v>
          </cell>
          <cell r="Q46" t="str">
            <v>Ref. APPENDIX-1, Chart 1</v>
          </cell>
          <cell r="R46">
            <v>0.125</v>
          </cell>
          <cell r="S46" t="str">
            <v>ASME B 31.3, NACE-MR-01-75/ISO-15156-1/2/3</v>
          </cell>
          <cell r="T46">
            <v>-100</v>
          </cell>
          <cell r="U46">
            <v>15.9</v>
          </cell>
          <cell r="V46">
            <v>15.3</v>
          </cell>
          <cell r="W46">
            <v>13.3</v>
          </cell>
          <cell r="X46">
            <v>12</v>
          </cell>
          <cell r="Y46">
            <v>11.2</v>
          </cell>
          <cell r="Z46">
            <v>10.5</v>
          </cell>
          <cell r="AF46" t="str">
            <v>A10N</v>
          </cell>
          <cell r="AG46">
            <v>23.85</v>
          </cell>
          <cell r="AH46" t="str">
            <v>A10N</v>
          </cell>
        </row>
        <row r="47">
          <cell r="B47" t="str">
            <v>B10N</v>
          </cell>
          <cell r="C47" t="str">
            <v>300#</v>
          </cell>
          <cell r="D47">
            <v>2.2999999999999998</v>
          </cell>
          <cell r="E47" t="str">
            <v>SS316L NACE</v>
          </cell>
          <cell r="F47" t="str">
            <v>NIL</v>
          </cell>
          <cell r="G47" t="str">
            <v>Glycol, Corrosive HC service</v>
          </cell>
          <cell r="H47" t="str">
            <v>41.4 @ -100°C</v>
          </cell>
          <cell r="I47" t="str">
            <v>29.2 @ 200°C</v>
          </cell>
          <cell r="J47">
            <v>68</v>
          </cell>
          <cell r="L47" t="str">
            <v>B10N</v>
          </cell>
          <cell r="Q47" t="str">
            <v>Ref. APPENDIX-1, Chart 1</v>
          </cell>
          <cell r="R47">
            <v>0.125</v>
          </cell>
          <cell r="S47" t="str">
            <v>ASME B 31.3, NACE-MR-01-75/ISO-15156-1/2/3</v>
          </cell>
          <cell r="T47">
            <v>-100</v>
          </cell>
          <cell r="U47">
            <v>41.4</v>
          </cell>
          <cell r="V47">
            <v>40</v>
          </cell>
          <cell r="W47">
            <v>34.799999999999997</v>
          </cell>
          <cell r="X47">
            <v>31.4</v>
          </cell>
          <cell r="Y47">
            <v>29.2</v>
          </cell>
          <cell r="Z47">
            <v>27.5</v>
          </cell>
          <cell r="AF47" t="str">
            <v>B10N</v>
          </cell>
          <cell r="AG47">
            <v>62.099999999999994</v>
          </cell>
          <cell r="AH47" t="str">
            <v>B10N</v>
          </cell>
        </row>
        <row r="48">
          <cell r="B48" t="str">
            <v>D10N</v>
          </cell>
          <cell r="C48" t="str">
            <v>600#</v>
          </cell>
          <cell r="D48">
            <v>2.2999999999999998</v>
          </cell>
          <cell r="E48" t="str">
            <v>SS316L NACE</v>
          </cell>
          <cell r="F48" t="str">
            <v>NIL</v>
          </cell>
          <cell r="G48" t="str">
            <v>Glycol, Corrosive HC service</v>
          </cell>
          <cell r="H48" t="str">
            <v>82.7 @ -100°C</v>
          </cell>
          <cell r="I48" t="str">
            <v>58.3 @ 200°C</v>
          </cell>
          <cell r="J48">
            <v>69</v>
          </cell>
          <cell r="L48" t="str">
            <v>D10N</v>
          </cell>
          <cell r="Q48" t="str">
            <v>Ref. APPENDIX-1, Chart 1</v>
          </cell>
          <cell r="R48">
            <v>0.125</v>
          </cell>
          <cell r="S48" t="str">
            <v>ASME B 31.3, NACE-MR-01-75/ISO-15156-1/2/3</v>
          </cell>
          <cell r="T48">
            <v>-100</v>
          </cell>
          <cell r="U48">
            <v>82.7</v>
          </cell>
          <cell r="V48">
            <v>80</v>
          </cell>
          <cell r="W48">
            <v>69.599999999999994</v>
          </cell>
          <cell r="X48">
            <v>62.8</v>
          </cell>
          <cell r="Y48">
            <v>58.3</v>
          </cell>
          <cell r="Z48">
            <v>54.9</v>
          </cell>
          <cell r="AF48" t="str">
            <v>D10N</v>
          </cell>
          <cell r="AG48">
            <v>124.05000000000001</v>
          </cell>
          <cell r="AH48" t="str">
            <v>D10N</v>
          </cell>
        </row>
        <row r="49">
          <cell r="B49" t="str">
            <v>E10N</v>
          </cell>
          <cell r="C49" t="str">
            <v>900#</v>
          </cell>
          <cell r="D49">
            <v>2.2999999999999998</v>
          </cell>
          <cell r="E49" t="str">
            <v>SS316L NACE</v>
          </cell>
          <cell r="F49" t="str">
            <v>NIL</v>
          </cell>
          <cell r="G49" t="str">
            <v>Glycol, Corrosive HC service</v>
          </cell>
          <cell r="H49" t="str">
            <v>124.1 @ -100°C</v>
          </cell>
          <cell r="I49" t="str">
            <v>87.5 @ 200°C</v>
          </cell>
          <cell r="J49">
            <v>70</v>
          </cell>
          <cell r="L49" t="str">
            <v>E10N</v>
          </cell>
          <cell r="Q49" t="str">
            <v>Ref. APPENDIX-1, Chart 1</v>
          </cell>
          <cell r="R49">
            <v>0.125</v>
          </cell>
          <cell r="S49" t="str">
            <v>ASME B 31.3, NACE-MR-01-75/ISO-15156-1/2/3</v>
          </cell>
          <cell r="T49">
            <v>-100</v>
          </cell>
          <cell r="U49">
            <v>124.1</v>
          </cell>
          <cell r="V49">
            <v>120.1</v>
          </cell>
          <cell r="W49">
            <v>104.4</v>
          </cell>
          <cell r="X49">
            <v>94.2</v>
          </cell>
          <cell r="Y49">
            <v>87.5</v>
          </cell>
          <cell r="Z49">
            <v>82.4</v>
          </cell>
          <cell r="AF49" t="str">
            <v>E10N</v>
          </cell>
          <cell r="AG49">
            <v>186.14999999999998</v>
          </cell>
          <cell r="AH49" t="str">
            <v>E10N</v>
          </cell>
        </row>
        <row r="50">
          <cell r="B50" t="str">
            <v>F10N</v>
          </cell>
          <cell r="C50" t="str">
            <v>1500#</v>
          </cell>
          <cell r="D50">
            <v>2.2999999999999998</v>
          </cell>
          <cell r="E50" t="str">
            <v>SS316L NACE</v>
          </cell>
          <cell r="F50" t="str">
            <v>NIL</v>
          </cell>
          <cell r="G50" t="str">
            <v>Glycol, Corrosive HC service</v>
          </cell>
          <cell r="H50" t="str">
            <v>206.8 @ -100°C</v>
          </cell>
          <cell r="I50" t="str">
            <v>145.8 @ 200°C</v>
          </cell>
          <cell r="J50">
            <v>71</v>
          </cell>
          <cell r="L50" t="str">
            <v>F10N</v>
          </cell>
          <cell r="Q50" t="str">
            <v>Ref. APPENDIX-1, Chart 1</v>
          </cell>
          <cell r="R50">
            <v>0.125</v>
          </cell>
          <cell r="S50" t="str">
            <v>ASME B 31.3, NACE-MR-01-75/ISO-15156-1/2/3</v>
          </cell>
          <cell r="T50">
            <v>-100</v>
          </cell>
          <cell r="U50">
            <v>206.8</v>
          </cell>
          <cell r="V50">
            <v>200.1</v>
          </cell>
          <cell r="W50">
            <v>173.9</v>
          </cell>
          <cell r="X50">
            <v>157</v>
          </cell>
          <cell r="Y50">
            <v>145.80000000000001</v>
          </cell>
          <cell r="Z50">
            <v>137.30000000000001</v>
          </cell>
          <cell r="AF50" t="str">
            <v>F10N</v>
          </cell>
          <cell r="AG50">
            <v>310.20000000000005</v>
          </cell>
          <cell r="AH50" t="str">
            <v>F10N</v>
          </cell>
        </row>
        <row r="51">
          <cell r="B51" t="str">
            <v>G10N</v>
          </cell>
          <cell r="C51" t="str">
            <v>2500#</v>
          </cell>
          <cell r="D51">
            <v>2.2999999999999998</v>
          </cell>
          <cell r="E51" t="str">
            <v>SS316L NACE</v>
          </cell>
          <cell r="F51" t="str">
            <v>NIL</v>
          </cell>
          <cell r="G51" t="str">
            <v>Glycol, Corrosive HC service</v>
          </cell>
          <cell r="H51" t="str">
            <v>344.7 @ -100°C</v>
          </cell>
          <cell r="I51" t="str">
            <v>243 @ 200°C</v>
          </cell>
          <cell r="J51">
            <v>72</v>
          </cell>
          <cell r="L51" t="str">
            <v>G10N</v>
          </cell>
          <cell r="Q51" t="str">
            <v>Ref. APPENDIX-1, Chart 1</v>
          </cell>
          <cell r="R51">
            <v>0.125</v>
          </cell>
          <cell r="S51" t="str">
            <v>ASME B 31.3, NACE-MR-01-75/ISO-15156-1/2/3</v>
          </cell>
          <cell r="T51">
            <v>-100</v>
          </cell>
          <cell r="U51">
            <v>344.7</v>
          </cell>
          <cell r="V51">
            <v>333.5</v>
          </cell>
          <cell r="W51">
            <v>289.89999999999998</v>
          </cell>
          <cell r="X51">
            <v>261.60000000000002</v>
          </cell>
          <cell r="Y51">
            <v>243</v>
          </cell>
          <cell r="Z51">
            <v>228.9</v>
          </cell>
          <cell r="AF51" t="str">
            <v>G10N</v>
          </cell>
          <cell r="AG51">
            <v>517.04999999999995</v>
          </cell>
          <cell r="AH51" t="str">
            <v>G10N</v>
          </cell>
        </row>
        <row r="52">
          <cell r="B52" t="str">
            <v>A20N</v>
          </cell>
          <cell r="C52" t="str">
            <v>150#</v>
          </cell>
          <cell r="D52">
            <v>2.8</v>
          </cell>
          <cell r="E52" t="str">
            <v>DSS NACE</v>
          </cell>
          <cell r="F52" t="str">
            <v>NIL</v>
          </cell>
          <cell r="G52" t="str">
            <v>Corrosive HC service</v>
          </cell>
          <cell r="H52" t="str">
            <v>20 @ -46°C</v>
          </cell>
          <cell r="I52" t="str">
            <v>13.8 @ 200°C</v>
          </cell>
          <cell r="J52">
            <v>73</v>
          </cell>
          <cell r="L52" t="str">
            <v>A20N</v>
          </cell>
          <cell r="Q52" t="str">
            <v>Ref. APPENDIX-1, Chart 1</v>
          </cell>
          <cell r="R52">
            <v>0.125</v>
          </cell>
          <cell r="S52" t="str">
            <v>ASME B 31.3, NACE-MR-01-75/ISO-15156-1/2/3</v>
          </cell>
          <cell r="T52">
            <v>-46</v>
          </cell>
          <cell r="U52">
            <v>20</v>
          </cell>
          <cell r="V52">
            <v>19.5</v>
          </cell>
          <cell r="W52">
            <v>17.7</v>
          </cell>
          <cell r="X52">
            <v>15.8</v>
          </cell>
          <cell r="Y52">
            <v>13.8</v>
          </cell>
          <cell r="Z52">
            <v>12.1</v>
          </cell>
          <cell r="AF52" t="str">
            <v>A20N</v>
          </cell>
          <cell r="AG52">
            <v>30</v>
          </cell>
          <cell r="AH52" t="str">
            <v>A20N</v>
          </cell>
        </row>
        <row r="53">
          <cell r="B53" t="str">
            <v>B20N</v>
          </cell>
          <cell r="C53" t="str">
            <v>300#</v>
          </cell>
          <cell r="D53">
            <v>2.8</v>
          </cell>
          <cell r="E53" t="str">
            <v>DSS NACE</v>
          </cell>
          <cell r="F53" t="str">
            <v>NIL</v>
          </cell>
          <cell r="G53" t="str">
            <v>Corrosive HC service</v>
          </cell>
          <cell r="H53" t="str">
            <v>51.7 @ -46°C</v>
          </cell>
          <cell r="I53" t="str">
            <v>42.7 @ 200°C</v>
          </cell>
          <cell r="J53">
            <v>74</v>
          </cell>
          <cell r="L53" t="str">
            <v>B20N</v>
          </cell>
          <cell r="Q53" t="str">
            <v>Ref. APPENDIX-1, Chart 1</v>
          </cell>
          <cell r="R53">
            <v>0.125</v>
          </cell>
          <cell r="S53" t="str">
            <v>ASME B 31.3, NACE-MR-01-75/ISO-15156-1/2/3</v>
          </cell>
          <cell r="T53">
            <v>-46</v>
          </cell>
          <cell r="U53">
            <v>51.7</v>
          </cell>
          <cell r="V53">
            <v>51.7</v>
          </cell>
          <cell r="W53">
            <v>50.7</v>
          </cell>
          <cell r="X53">
            <v>45.9</v>
          </cell>
          <cell r="Y53">
            <v>42.7</v>
          </cell>
          <cell r="Z53">
            <v>40.5</v>
          </cell>
          <cell r="AF53" t="str">
            <v>B20N</v>
          </cell>
          <cell r="AG53">
            <v>77.550000000000011</v>
          </cell>
          <cell r="AH53" t="str">
            <v>B20N</v>
          </cell>
        </row>
        <row r="54">
          <cell r="B54" t="str">
            <v>D20N</v>
          </cell>
          <cell r="C54" t="str">
            <v>600#</v>
          </cell>
          <cell r="D54">
            <v>2.8</v>
          </cell>
          <cell r="E54" t="str">
            <v>DSS NACE</v>
          </cell>
          <cell r="F54" t="str">
            <v>NIL</v>
          </cell>
          <cell r="G54" t="str">
            <v>Corrosive HC service</v>
          </cell>
          <cell r="H54" t="str">
            <v>103.4 @ -46°C</v>
          </cell>
          <cell r="I54" t="str">
            <v>85.3 @ 200°C</v>
          </cell>
          <cell r="J54">
            <v>75</v>
          </cell>
          <cell r="L54" t="str">
            <v>D20N</v>
          </cell>
          <cell r="Q54" t="str">
            <v>Ref. APPENDIX-1, Chart 1</v>
          </cell>
          <cell r="R54">
            <v>0.125</v>
          </cell>
          <cell r="S54" t="str">
            <v>ASME B 31.3, NACE-MR-01-75/ISO-15156-1/2/3</v>
          </cell>
          <cell r="T54">
            <v>-46</v>
          </cell>
          <cell r="U54">
            <v>103.4</v>
          </cell>
          <cell r="V54">
            <v>103.4</v>
          </cell>
          <cell r="W54">
            <v>101.3</v>
          </cell>
          <cell r="X54">
            <v>91.9</v>
          </cell>
          <cell r="Y54">
            <v>85.3</v>
          </cell>
          <cell r="Z54">
            <v>80.900000000000006</v>
          </cell>
          <cell r="AF54" t="str">
            <v>D20N</v>
          </cell>
          <cell r="AG54">
            <v>155.10000000000002</v>
          </cell>
          <cell r="AH54" t="str">
            <v>D20N</v>
          </cell>
        </row>
        <row r="55">
          <cell r="B55" t="str">
            <v>E20N</v>
          </cell>
          <cell r="C55" t="str">
            <v>900#</v>
          </cell>
          <cell r="D55">
            <v>2.8</v>
          </cell>
          <cell r="E55" t="str">
            <v>DSS NACE</v>
          </cell>
          <cell r="F55" t="str">
            <v>NIL</v>
          </cell>
          <cell r="G55" t="str">
            <v>Corrosive HC service</v>
          </cell>
          <cell r="H55" t="str">
            <v>155.1 @ -46°C</v>
          </cell>
          <cell r="I55" t="str">
            <v>128 @ 200°C</v>
          </cell>
          <cell r="J55">
            <v>76</v>
          </cell>
          <cell r="L55" t="str">
            <v>E20N</v>
          </cell>
          <cell r="Q55" t="str">
            <v>Ref. APPENDIX-1, Chart 1</v>
          </cell>
          <cell r="R55">
            <v>0.125</v>
          </cell>
          <cell r="S55" t="str">
            <v>ASME B 31.3, NACE-MR-01-75/ISO-15156-1/2/3</v>
          </cell>
          <cell r="T55">
            <v>-46</v>
          </cell>
          <cell r="U55">
            <v>155.1</v>
          </cell>
          <cell r="V55">
            <v>155.1</v>
          </cell>
          <cell r="W55">
            <v>152</v>
          </cell>
          <cell r="X55">
            <v>137.80000000000001</v>
          </cell>
          <cell r="Y55">
            <v>128</v>
          </cell>
          <cell r="Z55">
            <v>121.4</v>
          </cell>
          <cell r="AF55" t="str">
            <v>E20N</v>
          </cell>
          <cell r="AG55">
            <v>232.64999999999998</v>
          </cell>
          <cell r="AH55" t="str">
            <v>E20N</v>
          </cell>
        </row>
        <row r="56">
          <cell r="B56" t="str">
            <v>F20N</v>
          </cell>
          <cell r="C56" t="str">
            <v>1500#</v>
          </cell>
          <cell r="D56">
            <v>2.8</v>
          </cell>
          <cell r="E56" t="str">
            <v>DSS NACE</v>
          </cell>
          <cell r="F56" t="str">
            <v>NIL</v>
          </cell>
          <cell r="G56" t="str">
            <v>Corrosive HC service</v>
          </cell>
          <cell r="H56" t="str">
            <v>258.6 @ -46°C</v>
          </cell>
          <cell r="I56" t="str">
            <v>213.3 @ 200°C</v>
          </cell>
          <cell r="J56">
            <v>77</v>
          </cell>
          <cell r="L56" t="str">
            <v>F20N</v>
          </cell>
          <cell r="Q56" t="str">
            <v>Ref. APPENDIX-1, Chart 1</v>
          </cell>
          <cell r="R56">
            <v>0.125</v>
          </cell>
          <cell r="S56" t="str">
            <v>ASME B 31.3, NACE-MR-01-75/ISO-15156-1/2/3</v>
          </cell>
          <cell r="T56">
            <v>-46</v>
          </cell>
          <cell r="U56">
            <v>258.60000000000002</v>
          </cell>
          <cell r="V56">
            <v>258.60000000000002</v>
          </cell>
          <cell r="W56">
            <v>253.3</v>
          </cell>
          <cell r="X56">
            <v>229.6</v>
          </cell>
          <cell r="Y56">
            <v>213.3</v>
          </cell>
          <cell r="Z56">
            <v>202.3</v>
          </cell>
          <cell r="AF56" t="str">
            <v>F20N</v>
          </cell>
          <cell r="AG56">
            <v>387.90000000000003</v>
          </cell>
          <cell r="AH56" t="str">
            <v>F20N</v>
          </cell>
        </row>
        <row r="57">
          <cell r="B57" t="str">
            <v>G20N</v>
          </cell>
          <cell r="C57" t="str">
            <v>2500#</v>
          </cell>
          <cell r="D57">
            <v>2.8</v>
          </cell>
          <cell r="E57" t="str">
            <v>DSS NACE</v>
          </cell>
          <cell r="F57" t="str">
            <v>NIL</v>
          </cell>
          <cell r="G57" t="str">
            <v>Corrosive HC service</v>
          </cell>
          <cell r="H57" t="str">
            <v>430.9 @ -46°C</v>
          </cell>
          <cell r="I57" t="str">
            <v>355.4 @ 200°C</v>
          </cell>
          <cell r="J57">
            <v>78</v>
          </cell>
          <cell r="L57" t="str">
            <v>G20N</v>
          </cell>
          <cell r="Q57" t="str">
            <v>Ref. APPENDIX-1, Chart 1</v>
          </cell>
          <cell r="R57">
            <v>0.125</v>
          </cell>
          <cell r="S57" t="str">
            <v>ASME B 31.3, NACE-MR-01-75/ISO-15156-1/2/3</v>
          </cell>
          <cell r="T57">
            <v>-46</v>
          </cell>
          <cell r="U57">
            <v>430.9</v>
          </cell>
          <cell r="V57">
            <v>430.9</v>
          </cell>
          <cell r="W57">
            <v>422.2</v>
          </cell>
          <cell r="X57">
            <v>382.7</v>
          </cell>
          <cell r="Y57">
            <v>355.4</v>
          </cell>
          <cell r="Z57">
            <v>337.2</v>
          </cell>
          <cell r="AF57" t="str">
            <v>G20N</v>
          </cell>
          <cell r="AG57">
            <v>646.34999999999991</v>
          </cell>
          <cell r="AH57" t="str">
            <v>G20N</v>
          </cell>
        </row>
        <row r="58">
          <cell r="B58" t="str">
            <v>A25</v>
          </cell>
          <cell r="C58" t="str">
            <v>150#</v>
          </cell>
          <cell r="D58">
            <v>2.8</v>
          </cell>
          <cell r="E58" t="str">
            <v>SDSS</v>
          </cell>
          <cell r="F58" t="str">
            <v>NIL</v>
          </cell>
          <cell r="G58" t="str">
            <v>Firewater, Raw Seawater and Topsides Seawater</v>
          </cell>
          <cell r="H58" t="str">
            <v>20 @ -46°C</v>
          </cell>
          <cell r="I58" t="str">
            <v>13.8 @ 200°C</v>
          </cell>
          <cell r="J58">
            <v>79</v>
          </cell>
          <cell r="L58" t="str">
            <v>A25</v>
          </cell>
          <cell r="Q58" t="str">
            <v>Ref. APPENDIX-1, Chart 1</v>
          </cell>
          <cell r="R58">
            <v>0.125</v>
          </cell>
          <cell r="S58" t="str">
            <v>ASME B 31.3</v>
          </cell>
          <cell r="T58">
            <v>-46</v>
          </cell>
          <cell r="U58">
            <v>20</v>
          </cell>
          <cell r="V58">
            <v>19.5</v>
          </cell>
          <cell r="W58">
            <v>17.7</v>
          </cell>
          <cell r="X58">
            <v>15.8</v>
          </cell>
          <cell r="Y58">
            <v>13.8</v>
          </cell>
          <cell r="Z58">
            <v>12.1</v>
          </cell>
          <cell r="AF58" t="str">
            <v>A25</v>
          </cell>
          <cell r="AG58">
            <v>30</v>
          </cell>
          <cell r="AH58" t="str">
            <v>A25</v>
          </cell>
        </row>
        <row r="59">
          <cell r="B59" t="str">
            <v>G25</v>
          </cell>
          <cell r="C59" t="str">
            <v>2500#</v>
          </cell>
          <cell r="D59">
            <v>2.8</v>
          </cell>
          <cell r="E59" t="str">
            <v>SDSS</v>
          </cell>
          <cell r="F59" t="str">
            <v>NIL</v>
          </cell>
          <cell r="G59" t="str">
            <v>Topside Seawater and Water Injection</v>
          </cell>
          <cell r="H59" t="str">
            <v>430.9 @ -46°C</v>
          </cell>
          <cell r="I59" t="str">
            <v>355.4 @ 200°C</v>
          </cell>
          <cell r="J59">
            <v>80</v>
          </cell>
          <cell r="L59" t="str">
            <v>G25</v>
          </cell>
          <cell r="Q59" t="str">
            <v>Ref. APPENDIX-1, Chart 1</v>
          </cell>
          <cell r="R59">
            <v>0.125</v>
          </cell>
          <cell r="S59" t="str">
            <v>ASME B 31.3</v>
          </cell>
          <cell r="T59">
            <v>-46</v>
          </cell>
          <cell r="U59">
            <v>430.9</v>
          </cell>
          <cell r="V59">
            <v>430.9</v>
          </cell>
          <cell r="W59">
            <v>422.2</v>
          </cell>
          <cell r="X59">
            <v>382.7</v>
          </cell>
          <cell r="Y59">
            <v>355.4</v>
          </cell>
          <cell r="Z59">
            <v>337.2</v>
          </cell>
          <cell r="AF59" t="str">
            <v>G25</v>
          </cell>
          <cell r="AG59">
            <v>646.34999999999991</v>
          </cell>
          <cell r="AH59" t="str">
            <v>G25</v>
          </cell>
        </row>
        <row r="60">
          <cell r="B60" t="str">
            <v>A25N</v>
          </cell>
          <cell r="C60" t="str">
            <v>150#</v>
          </cell>
          <cell r="D60">
            <v>2.8</v>
          </cell>
          <cell r="E60" t="str">
            <v>SDSS NACE</v>
          </cell>
          <cell r="F60" t="str">
            <v>NIL</v>
          </cell>
          <cell r="G60" t="str">
            <v>Corrosive HC service</v>
          </cell>
          <cell r="H60" t="str">
            <v>20 @ -46°C</v>
          </cell>
          <cell r="I60" t="str">
            <v>13.8 @ 200°C</v>
          </cell>
          <cell r="J60">
            <v>81</v>
          </cell>
          <cell r="L60" t="str">
            <v>A25N</v>
          </cell>
          <cell r="Q60" t="str">
            <v>Ref. APPENDIX-1, Chart 1</v>
          </cell>
          <cell r="R60">
            <v>0.125</v>
          </cell>
          <cell r="S60" t="str">
            <v>ASME B 31.3, NACE-MR-01-75/ISO-15156-1/2/3</v>
          </cell>
          <cell r="T60">
            <v>-46</v>
          </cell>
          <cell r="U60">
            <v>20</v>
          </cell>
          <cell r="V60">
            <v>19.5</v>
          </cell>
          <cell r="W60">
            <v>17.7</v>
          </cell>
          <cell r="X60">
            <v>15.8</v>
          </cell>
          <cell r="Y60">
            <v>13.8</v>
          </cell>
          <cell r="Z60">
            <v>12.1</v>
          </cell>
          <cell r="AF60" t="str">
            <v>A25N</v>
          </cell>
          <cell r="AG60">
            <v>30</v>
          </cell>
          <cell r="AH60" t="str">
            <v>A25N</v>
          </cell>
        </row>
        <row r="61">
          <cell r="B61" t="str">
            <v>B25N</v>
          </cell>
          <cell r="C61" t="str">
            <v>300#</v>
          </cell>
          <cell r="D61">
            <v>2.8</v>
          </cell>
          <cell r="E61" t="str">
            <v>SDSS NACE</v>
          </cell>
          <cell r="F61" t="str">
            <v>NIL</v>
          </cell>
          <cell r="G61" t="str">
            <v>Corrosive HC service</v>
          </cell>
          <cell r="H61" t="str">
            <v>51.7 @ -46°C</v>
          </cell>
          <cell r="I61" t="str">
            <v>42.7 @ 200°C</v>
          </cell>
          <cell r="J61">
            <v>82</v>
          </cell>
          <cell r="L61" t="str">
            <v>B25N</v>
          </cell>
          <cell r="Q61" t="str">
            <v>Ref. APPENDIX-1, Chart 1</v>
          </cell>
          <cell r="R61">
            <v>0.125</v>
          </cell>
          <cell r="S61" t="str">
            <v>ASME B 31.3, NACE-MR-01-75/ISO-15156-1/2/3</v>
          </cell>
          <cell r="T61">
            <v>-46</v>
          </cell>
          <cell r="U61">
            <v>51.7</v>
          </cell>
          <cell r="V61">
            <v>51.7</v>
          </cell>
          <cell r="W61">
            <v>50.7</v>
          </cell>
          <cell r="X61">
            <v>45.9</v>
          </cell>
          <cell r="Y61">
            <v>42.7</v>
          </cell>
          <cell r="Z61">
            <v>40.5</v>
          </cell>
          <cell r="AF61" t="str">
            <v>B25N</v>
          </cell>
          <cell r="AG61">
            <v>77.550000000000011</v>
          </cell>
          <cell r="AH61" t="str">
            <v>B25N</v>
          </cell>
        </row>
        <row r="62">
          <cell r="B62" t="str">
            <v>D25N</v>
          </cell>
          <cell r="C62" t="str">
            <v>600#</v>
          </cell>
          <cell r="D62">
            <v>2.8</v>
          </cell>
          <cell r="E62" t="str">
            <v>SDSS NACE</v>
          </cell>
          <cell r="F62" t="str">
            <v>NIL</v>
          </cell>
          <cell r="G62" t="str">
            <v>Corrosive HC service</v>
          </cell>
          <cell r="H62" t="str">
            <v>103.4 @ -46°C</v>
          </cell>
          <cell r="I62" t="str">
            <v>85.3 @ 200°C</v>
          </cell>
          <cell r="J62">
            <v>83</v>
          </cell>
          <cell r="L62" t="str">
            <v>D25N</v>
          </cell>
          <cell r="Q62" t="str">
            <v>Ref. APPENDIX-1, Chart 1</v>
          </cell>
          <cell r="R62">
            <v>0.125</v>
          </cell>
          <cell r="S62" t="str">
            <v>ASME B 31.3, NACE-MR-01-75/ISO-15156-1/2/3</v>
          </cell>
          <cell r="T62">
            <v>-46</v>
          </cell>
          <cell r="U62">
            <v>103.4</v>
          </cell>
          <cell r="V62">
            <v>103.4</v>
          </cell>
          <cell r="W62">
            <v>101.3</v>
          </cell>
          <cell r="X62">
            <v>91.9</v>
          </cell>
          <cell r="Y62">
            <v>85.3</v>
          </cell>
          <cell r="Z62">
            <v>80.900000000000006</v>
          </cell>
          <cell r="AF62" t="str">
            <v>D25N</v>
          </cell>
          <cell r="AG62">
            <v>155.10000000000002</v>
          </cell>
          <cell r="AH62" t="str">
            <v>D25N</v>
          </cell>
        </row>
        <row r="63">
          <cell r="B63" t="str">
            <v>E25N</v>
          </cell>
          <cell r="C63" t="str">
            <v>900#</v>
          </cell>
          <cell r="D63">
            <v>2.8</v>
          </cell>
          <cell r="E63" t="str">
            <v>SDSS NACE</v>
          </cell>
          <cell r="F63" t="str">
            <v>NIL</v>
          </cell>
          <cell r="G63" t="str">
            <v>Corrosive HC service</v>
          </cell>
          <cell r="H63" t="str">
            <v>155.1 @ -46°C</v>
          </cell>
          <cell r="I63" t="str">
            <v>128 @ 200°C</v>
          </cell>
          <cell r="J63">
            <v>84</v>
          </cell>
          <cell r="L63" t="str">
            <v>E25N</v>
          </cell>
          <cell r="Q63" t="str">
            <v>Ref. APPENDIX-1, Chart 1</v>
          </cell>
          <cell r="R63">
            <v>0.125</v>
          </cell>
          <cell r="S63" t="str">
            <v>ASME B 31.3, NACE-MR-01-75/ISO-15156-1/2/3</v>
          </cell>
          <cell r="T63">
            <v>-46</v>
          </cell>
          <cell r="U63">
            <v>155.1</v>
          </cell>
          <cell r="V63">
            <v>155.1</v>
          </cell>
          <cell r="W63">
            <v>152</v>
          </cell>
          <cell r="X63">
            <v>137.80000000000001</v>
          </cell>
          <cell r="Y63">
            <v>128</v>
          </cell>
          <cell r="Z63">
            <v>121.4</v>
          </cell>
          <cell r="AF63" t="str">
            <v>E25N</v>
          </cell>
          <cell r="AG63">
            <v>232.64999999999998</v>
          </cell>
          <cell r="AH63" t="str">
            <v>E25N</v>
          </cell>
        </row>
        <row r="64">
          <cell r="B64" t="str">
            <v>F25N</v>
          </cell>
          <cell r="C64" t="str">
            <v>1500#</v>
          </cell>
          <cell r="D64">
            <v>2.8</v>
          </cell>
          <cell r="E64" t="str">
            <v>SDSS NACE</v>
          </cell>
          <cell r="F64" t="str">
            <v>NIL</v>
          </cell>
          <cell r="G64" t="str">
            <v>Corrosive HC service</v>
          </cell>
          <cell r="H64" t="str">
            <v>258.6 @ -46°C</v>
          </cell>
          <cell r="I64" t="str">
            <v>213.3 @ 200°C</v>
          </cell>
          <cell r="J64">
            <v>85</v>
          </cell>
          <cell r="L64" t="str">
            <v>F25N</v>
          </cell>
          <cell r="Q64" t="str">
            <v>Ref. APPENDIX-1, Chart 1</v>
          </cell>
          <cell r="R64">
            <v>0.125</v>
          </cell>
          <cell r="S64" t="str">
            <v>ASME B 31.3, NACE-MR-01-75/ISO-15156-1/2/3</v>
          </cell>
          <cell r="T64">
            <v>-46</v>
          </cell>
          <cell r="U64">
            <v>258.60000000000002</v>
          </cell>
          <cell r="V64">
            <v>258.60000000000002</v>
          </cell>
          <cell r="W64">
            <v>253.3</v>
          </cell>
          <cell r="X64">
            <v>229.6</v>
          </cell>
          <cell r="Y64">
            <v>213.3</v>
          </cell>
          <cell r="Z64">
            <v>202.3</v>
          </cell>
          <cell r="AF64" t="str">
            <v>F25N</v>
          </cell>
          <cell r="AG64">
            <v>387.90000000000003</v>
          </cell>
          <cell r="AH64" t="str">
            <v>F25N</v>
          </cell>
        </row>
        <row r="65">
          <cell r="B65" t="str">
            <v>G25N</v>
          </cell>
          <cell r="C65" t="str">
            <v>2500#</v>
          </cell>
          <cell r="D65">
            <v>2.8</v>
          </cell>
          <cell r="E65" t="str">
            <v>SDSS NACE</v>
          </cell>
          <cell r="F65" t="str">
            <v>NIL</v>
          </cell>
          <cell r="G65" t="str">
            <v>Corrosive HC service</v>
          </cell>
          <cell r="H65" t="str">
            <v>430.9 @ -46°C</v>
          </cell>
          <cell r="I65" t="str">
            <v>355.4 @ 200°C</v>
          </cell>
          <cell r="J65">
            <v>86</v>
          </cell>
          <cell r="L65" t="str">
            <v>G25N</v>
          </cell>
          <cell r="Q65" t="str">
            <v>Ref. APPENDIX-1, Chart 1</v>
          </cell>
          <cell r="R65">
            <v>0.125</v>
          </cell>
          <cell r="S65" t="str">
            <v>ASME B 31.3, NACE-MR-01-75/ISO-15156-1/2/3</v>
          </cell>
          <cell r="T65">
            <v>-46</v>
          </cell>
          <cell r="U65">
            <v>430.9</v>
          </cell>
          <cell r="V65">
            <v>430.9</v>
          </cell>
          <cell r="W65">
            <v>422.2</v>
          </cell>
          <cell r="X65">
            <v>382.7</v>
          </cell>
          <cell r="Y65">
            <v>355.4</v>
          </cell>
          <cell r="Z65">
            <v>337.2</v>
          </cell>
          <cell r="AF65" t="str">
            <v>G25N</v>
          </cell>
          <cell r="AG65">
            <v>646.34999999999991</v>
          </cell>
          <cell r="AH65" t="str">
            <v>G25N</v>
          </cell>
        </row>
        <row r="66">
          <cell r="B66" t="str">
            <v>A30</v>
          </cell>
          <cell r="C66" t="str">
            <v>EEMUA 20 bar</v>
          </cell>
          <cell r="D66" t="str">
            <v>-</v>
          </cell>
          <cell r="E66" t="str">
            <v>CuNi (Valve: NAB)</v>
          </cell>
          <cell r="F66" t="str">
            <v>NIL</v>
          </cell>
          <cell r="G66" t="str">
            <v>Raw Sea Water, Fire Water</v>
          </cell>
          <cell r="H66" t="str">
            <v>20 @ 0°C</v>
          </cell>
          <cell r="I66" t="str">
            <v>17.3 @ 100°C</v>
          </cell>
          <cell r="J66">
            <v>87</v>
          </cell>
          <cell r="L66" t="str">
            <v>A30</v>
          </cell>
          <cell r="Q66" t="str">
            <v>Ref. APPENDIX-1, Chart 3</v>
          </cell>
          <cell r="R66">
            <v>0.125</v>
          </cell>
          <cell r="S66" t="str">
            <v>ASME B 31.3 / EEMUA 234</v>
          </cell>
          <cell r="T66">
            <v>0</v>
          </cell>
          <cell r="U66">
            <v>20</v>
          </cell>
          <cell r="V66">
            <v>19.7</v>
          </cell>
          <cell r="W66">
            <v>18.600000000000001</v>
          </cell>
          <cell r="X66">
            <v>17.3</v>
          </cell>
          <cell r="AF66" t="str">
            <v>A30</v>
          </cell>
          <cell r="AG66">
            <v>30</v>
          </cell>
          <cell r="AH66" t="str">
            <v>A30</v>
          </cell>
        </row>
        <row r="67">
          <cell r="B67" t="str">
            <v>A31</v>
          </cell>
          <cell r="C67" t="str">
            <v>150#</v>
          </cell>
          <cell r="D67" t="str">
            <v>-</v>
          </cell>
          <cell r="E67" t="str">
            <v>Copper</v>
          </cell>
          <cell r="F67" t="str">
            <v>NIL</v>
          </cell>
          <cell r="G67" t="str">
            <v>Potable Water</v>
          </cell>
          <cell r="H67" t="str">
            <v>20 @ 0°C</v>
          </cell>
          <cell r="I67" t="str">
            <v>17.3 @ 100°C</v>
          </cell>
          <cell r="J67">
            <v>88</v>
          </cell>
          <cell r="L67" t="str">
            <v>A31</v>
          </cell>
          <cell r="Q67" t="str">
            <v>Ref. APPENDIX-1, Chart 3</v>
          </cell>
          <cell r="R67">
            <v>0.125</v>
          </cell>
          <cell r="S67" t="str">
            <v>ASME B 31.3</v>
          </cell>
          <cell r="T67">
            <v>0</v>
          </cell>
          <cell r="U67">
            <v>15.5</v>
          </cell>
          <cell r="V67">
            <v>15.5</v>
          </cell>
          <cell r="W67">
            <v>14.5</v>
          </cell>
          <cell r="AF67" t="str">
            <v>A31</v>
          </cell>
          <cell r="AG67">
            <v>23.25</v>
          </cell>
          <cell r="AH67" t="str">
            <v>A31</v>
          </cell>
        </row>
        <row r="68">
          <cell r="B68" t="str">
            <v>A40</v>
          </cell>
          <cell r="C68" t="str">
            <v>150#</v>
          </cell>
          <cell r="D68" t="str">
            <v>-</v>
          </cell>
          <cell r="E68" t="str">
            <v>GRE (Valve: NAB)</v>
          </cell>
          <cell r="F68" t="str">
            <v>NIL</v>
          </cell>
          <cell r="G68" t="str">
            <v>Raw Sea Water</v>
          </cell>
          <cell r="H68" t="str">
            <v>20 @ 0°C</v>
          </cell>
          <cell r="I68" t="str">
            <v>20 @ 90°C</v>
          </cell>
          <cell r="J68">
            <v>89</v>
          </cell>
          <cell r="L68" t="str">
            <v>A40</v>
          </cell>
          <cell r="Q68" t="str">
            <v>Ref. APPENDIX-1, Chart 4</v>
          </cell>
          <cell r="R68">
            <v>0.125</v>
          </cell>
          <cell r="S68" t="str">
            <v>ASME B31.3 / ISO 14692 / UKOOA</v>
          </cell>
          <cell r="T68">
            <v>0</v>
          </cell>
          <cell r="U68">
            <v>20</v>
          </cell>
          <cell r="V68">
            <v>20</v>
          </cell>
          <cell r="W68">
            <v>20</v>
          </cell>
          <cell r="AF68" t="str">
            <v>A40</v>
          </cell>
          <cell r="AG68">
            <v>30</v>
          </cell>
          <cell r="AH68" t="str">
            <v>A30</v>
          </cell>
        </row>
        <row r="69">
          <cell r="B69" t="str">
            <v>A41</v>
          </cell>
          <cell r="C69" t="str">
            <v>150#</v>
          </cell>
          <cell r="D69" t="str">
            <v>-</v>
          </cell>
          <cell r="E69" t="str">
            <v>GRE (Valve: NAB)</v>
          </cell>
          <cell r="F69" t="str">
            <v>NIL</v>
          </cell>
          <cell r="G69" t="str">
            <v>Hypochlorite</v>
          </cell>
          <cell r="H69" t="str">
            <v>16.32 @ 0°C</v>
          </cell>
          <cell r="I69" t="str">
            <v>16.32 @ 82°C</v>
          </cell>
          <cell r="J69">
            <v>90</v>
          </cell>
          <cell r="L69" t="str">
            <v>A41</v>
          </cell>
          <cell r="Q69" t="str">
            <v>Ref. APPENDIX-1, Chart 4</v>
          </cell>
          <cell r="R69">
            <v>0.125</v>
          </cell>
          <cell r="S69" t="str">
            <v>ASME B31.3 / ISO 14692 / UKOOA</v>
          </cell>
          <cell r="T69">
            <v>0</v>
          </cell>
          <cell r="U69">
            <v>16.32</v>
          </cell>
          <cell r="V69">
            <v>16.32</v>
          </cell>
          <cell r="W69">
            <v>16.32</v>
          </cell>
          <cell r="AF69" t="str">
            <v>A41</v>
          </cell>
          <cell r="AG69">
            <v>24.48</v>
          </cell>
          <cell r="AH69" t="str">
            <v>A30</v>
          </cell>
        </row>
        <row r="70">
          <cell r="B70" t="str">
            <v>A42</v>
          </cell>
          <cell r="C70" t="str">
            <v>150#</v>
          </cell>
          <cell r="D70" t="str">
            <v>-</v>
          </cell>
          <cell r="E70" t="str">
            <v>CPVC (Valve: NAB)</v>
          </cell>
          <cell r="F70" t="str">
            <v>NIL</v>
          </cell>
          <cell r="G70" t="str">
            <v>Sewage, Hypochlorite</v>
          </cell>
          <cell r="H70" t="str">
            <v>20 @ 0°C</v>
          </cell>
          <cell r="I70" t="str">
            <v>20 @ 90°C</v>
          </cell>
          <cell r="J70">
            <v>91</v>
          </cell>
          <cell r="L70" t="str">
            <v>A42</v>
          </cell>
          <cell r="Q70" t="str">
            <v>Ref. APPENDIX-1, Chart 4</v>
          </cell>
          <cell r="R70">
            <v>0.125</v>
          </cell>
          <cell r="S70" t="str">
            <v>ASME B31.3</v>
          </cell>
          <cell r="T70">
            <v>0</v>
          </cell>
          <cell r="U70">
            <v>20</v>
          </cell>
          <cell r="V70">
            <v>20</v>
          </cell>
          <cell r="W70">
            <v>20</v>
          </cell>
          <cell r="AF70" t="str">
            <v>A42</v>
          </cell>
          <cell r="AG70">
            <v>30</v>
          </cell>
          <cell r="AH70" t="str">
            <v>A30</v>
          </cell>
        </row>
        <row r="71">
          <cell r="B71" t="str">
            <v>T50A</v>
          </cell>
          <cell r="C71" t="str">
            <v>-</v>
          </cell>
          <cell r="D71" t="str">
            <v>-</v>
          </cell>
          <cell r="E71" t="str">
            <v>SS 316 / 316L (Tubing)</v>
          </cell>
          <cell r="F71" t="str">
            <v>NIL</v>
          </cell>
          <cell r="G71" t="str">
            <v>Chemical Injection (Except Hypochlorite)</v>
          </cell>
          <cell r="H71" t="str">
            <v>125 @ 0°C</v>
          </cell>
          <cell r="I71" t="str">
            <v>116 @ 60°C</v>
          </cell>
          <cell r="J71">
            <v>92</v>
          </cell>
          <cell r="L71" t="str">
            <v>T50A</v>
          </cell>
          <cell r="AF71" t="str">
            <v>T50A</v>
          </cell>
          <cell r="AH71" t="str">
            <v>T50A</v>
          </cell>
        </row>
        <row r="72">
          <cell r="B72" t="str">
            <v>T50B</v>
          </cell>
          <cell r="C72" t="str">
            <v>-</v>
          </cell>
          <cell r="D72" t="str">
            <v>-</v>
          </cell>
          <cell r="E72" t="str">
            <v>SS 316 / 316L (Tubing)</v>
          </cell>
          <cell r="F72" t="str">
            <v>NIL</v>
          </cell>
          <cell r="G72" t="str">
            <v>Chemical Injection (Except Hypochlorite)</v>
          </cell>
          <cell r="H72" t="str">
            <v>206 @ 0°C</v>
          </cell>
          <cell r="I72" t="str">
            <v>200 @ 60°C</v>
          </cell>
          <cell r="J72">
            <v>93</v>
          </cell>
          <cell r="L72" t="str">
            <v>T50B</v>
          </cell>
          <cell r="AF72" t="str">
            <v>T50B</v>
          </cell>
          <cell r="AH72" t="str">
            <v>T50B</v>
          </cell>
        </row>
        <row r="73">
          <cell r="B73" t="str">
            <v>T50C</v>
          </cell>
          <cell r="C73" t="str">
            <v>-</v>
          </cell>
          <cell r="D73" t="str">
            <v>-</v>
          </cell>
          <cell r="E73" t="str">
            <v>SS 316 / 316L (Tubing)</v>
          </cell>
          <cell r="F73" t="str">
            <v>NIL</v>
          </cell>
          <cell r="G73" t="str">
            <v>Chemical Injection (Except Hypochlorite)</v>
          </cell>
          <cell r="H73" t="str">
            <v>325 @ 0°C</v>
          </cell>
          <cell r="I73" t="str">
            <v>325 @ 60°C</v>
          </cell>
          <cell r="J73">
            <v>94</v>
          </cell>
          <cell r="L73" t="str">
            <v>T50C</v>
          </cell>
          <cell r="AF73" t="str">
            <v>T50C</v>
          </cell>
          <cell r="AH73" t="str">
            <v>T50C</v>
          </cell>
        </row>
        <row r="74">
          <cell r="B74" t="str">
            <v>T60A</v>
          </cell>
          <cell r="C74" t="str">
            <v>-</v>
          </cell>
          <cell r="D74" t="str">
            <v>-</v>
          </cell>
          <cell r="E74" t="str">
            <v>6 MO Tubing</v>
          </cell>
          <cell r="F74" t="str">
            <v>NIL</v>
          </cell>
          <cell r="G74" t="str">
            <v>Chemical Injection (Except Hypochlorite)</v>
          </cell>
          <cell r="H74" t="str">
            <v>125 @ 0°C</v>
          </cell>
          <cell r="I74" t="str">
            <v>116 @ 60°C</v>
          </cell>
          <cell r="J74">
            <v>95</v>
          </cell>
          <cell r="L74" t="str">
            <v>T60A</v>
          </cell>
          <cell r="AF74" t="str">
            <v>T60A</v>
          </cell>
          <cell r="AH74" t="str">
            <v>T50A</v>
          </cell>
        </row>
        <row r="75">
          <cell r="B75" t="str">
            <v>T60B</v>
          </cell>
          <cell r="C75" t="str">
            <v>-</v>
          </cell>
          <cell r="D75" t="str">
            <v>-</v>
          </cell>
          <cell r="E75" t="str">
            <v>6 MO Tubing</v>
          </cell>
          <cell r="F75" t="str">
            <v>NIL</v>
          </cell>
          <cell r="G75" t="str">
            <v>Chemical Injection (Except Hypochlorite)</v>
          </cell>
          <cell r="H75" t="str">
            <v>206 @ 0°C</v>
          </cell>
          <cell r="I75" t="str">
            <v>200 @ 60°C</v>
          </cell>
          <cell r="J75">
            <v>96</v>
          </cell>
          <cell r="L75" t="str">
            <v>T60B</v>
          </cell>
          <cell r="AF75" t="str">
            <v>T60B</v>
          </cell>
          <cell r="AH75" t="str">
            <v>T50B</v>
          </cell>
        </row>
        <row r="76">
          <cell r="B76" t="str">
            <v>T60C</v>
          </cell>
          <cell r="C76" t="str">
            <v>-</v>
          </cell>
          <cell r="D76" t="str">
            <v>-</v>
          </cell>
          <cell r="E76" t="str">
            <v>6 MO Tubing</v>
          </cell>
          <cell r="F76" t="str">
            <v>NIL</v>
          </cell>
          <cell r="G76" t="str">
            <v>Chemical Injection (Except Hypochlorite)</v>
          </cell>
          <cell r="H76" t="str">
            <v>325 @ 0°C</v>
          </cell>
          <cell r="I76" t="str">
            <v>325 @ 60°C</v>
          </cell>
          <cell r="J76">
            <v>97</v>
          </cell>
          <cell r="L76" t="str">
            <v>T60C</v>
          </cell>
          <cell r="AF76" t="str">
            <v>T60C</v>
          </cell>
          <cell r="AH76" t="str">
            <v>T50C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9B109-2BF1-C24F-B962-CBC89AF172C0}">
  <dimension ref="A1:R55"/>
  <sheetViews>
    <sheetView workbookViewId="0">
      <selection sqref="A1:XFD1048576"/>
    </sheetView>
  </sheetViews>
  <sheetFormatPr baseColWidth="10" defaultColWidth="9.1640625" defaultRowHeight="15" x14ac:dyDescent="0.2"/>
  <cols>
    <col min="1" max="1" width="10.6640625" style="8" customWidth="1"/>
    <col min="2" max="5" width="4.6640625" style="8" customWidth="1"/>
    <col min="6" max="22" width="5.33203125" style="8" customWidth="1"/>
    <col min="23" max="16384" width="9.1640625" style="8"/>
  </cols>
  <sheetData>
    <row r="1" spans="1:18" ht="15" customHeight="1" x14ac:dyDescent="0.2">
      <c r="A1" s="1" t="e" vm="1">
        <v>#VALUE!</v>
      </c>
      <c r="B1" s="2"/>
      <c r="C1" s="2"/>
      <c r="D1" s="2"/>
      <c r="E1" s="3"/>
      <c r="F1" s="4" t="s">
        <v>0</v>
      </c>
      <c r="G1" s="5"/>
      <c r="H1" s="5"/>
      <c r="I1" s="5"/>
      <c r="J1" s="5"/>
      <c r="K1" s="5"/>
      <c r="L1" s="5"/>
      <c r="M1" s="5"/>
      <c r="N1" s="5"/>
      <c r="O1" s="5"/>
      <c r="P1" s="5"/>
      <c r="Q1" s="6" t="s">
        <v>1</v>
      </c>
      <c r="R1" s="7"/>
    </row>
    <row r="2" spans="1:18" ht="15" customHeight="1" x14ac:dyDescent="0.2">
      <c r="A2" s="9"/>
      <c r="B2" s="10"/>
      <c r="C2" s="10"/>
      <c r="D2" s="10"/>
      <c r="E2" s="11"/>
      <c r="F2" s="12" t="s">
        <v>2</v>
      </c>
      <c r="G2" s="13"/>
      <c r="H2" s="13"/>
      <c r="I2" s="13"/>
      <c r="J2" s="14" t="s">
        <v>3</v>
      </c>
      <c r="K2" s="15"/>
      <c r="L2" s="12"/>
      <c r="M2" s="13" t="s">
        <v>4</v>
      </c>
      <c r="N2" s="13"/>
      <c r="O2" s="13" t="s">
        <v>5</v>
      </c>
      <c r="P2" s="13"/>
      <c r="Q2" s="13" t="s">
        <v>6</v>
      </c>
      <c r="R2" s="16"/>
    </row>
    <row r="3" spans="1:18" ht="15" customHeight="1" x14ac:dyDescent="0.2">
      <c r="A3" s="9"/>
      <c r="B3" s="10"/>
      <c r="C3" s="10"/>
      <c r="D3" s="10"/>
      <c r="E3" s="11"/>
      <c r="F3" s="12" t="str">
        <f ca="1">MID(CELL("filename",A4),FIND("]",CELL("filename",A4))+1,255)</f>
        <v>A1</v>
      </c>
      <c r="G3" s="13"/>
      <c r="H3" s="13" t="str">
        <f ca="1">VLOOKUP(F3,[1]INDEX!B:J,2,0)</f>
        <v>150#</v>
      </c>
      <c r="I3" s="13"/>
      <c r="J3" s="14" t="str">
        <f ca="1">VLOOKUP(F3,[1]INDEX!B:J,4,0)</f>
        <v>CS</v>
      </c>
      <c r="K3" s="15"/>
      <c r="L3" s="12"/>
      <c r="M3" s="13" t="str">
        <f ca="1">VLOOKUP(F3,[1]INDEX!B:J,5,0)</f>
        <v>3 mm</v>
      </c>
      <c r="N3" s="13"/>
      <c r="O3" s="17">
        <f ca="1">VLOOKUP(F3,[1]INDEX!B:AF,17,0)</f>
        <v>0.125</v>
      </c>
      <c r="P3" s="17"/>
      <c r="Q3" s="13">
        <f ca="1">VLOOKUP(F3,[1]INDEX!B:J,9,0)</f>
        <v>24</v>
      </c>
      <c r="R3" s="16"/>
    </row>
    <row r="4" spans="1:18" ht="15" customHeight="1" x14ac:dyDescent="0.2">
      <c r="A4" s="9"/>
      <c r="B4" s="10"/>
      <c r="C4" s="10"/>
      <c r="D4" s="10"/>
      <c r="E4" s="11"/>
      <c r="F4" s="18" t="s">
        <v>7</v>
      </c>
      <c r="G4" s="18"/>
      <c r="H4" s="18"/>
      <c r="I4" s="19" t="str">
        <f ca="1">VLOOKUP(F3,[1]INDEX!B:AF,18,0)</f>
        <v>ASME B 31.3</v>
      </c>
      <c r="J4" s="19"/>
      <c r="K4" s="19"/>
      <c r="L4" s="19"/>
      <c r="M4" s="19"/>
      <c r="N4" s="19"/>
      <c r="O4" s="19"/>
      <c r="P4" s="19"/>
      <c r="Q4" s="19"/>
      <c r="R4" s="20"/>
    </row>
    <row r="5" spans="1:18" ht="15" customHeight="1" x14ac:dyDescent="0.2">
      <c r="A5" s="9"/>
      <c r="B5" s="10"/>
      <c r="C5" s="10"/>
      <c r="D5" s="10"/>
      <c r="E5" s="11"/>
      <c r="F5" s="21" t="s">
        <v>8</v>
      </c>
      <c r="G5" s="21"/>
      <c r="H5" s="19" t="str">
        <f ca="1">VLOOKUP(F3,[1]INDEX!B:J,6,0)</f>
        <v>Cooling Water, Diesel, Steam, WI, HC with low CO2 and H2S, Fresh Water, Hydraulic, Nitrogen, Exhaust, Fuel Oil, Tank Air Vent</v>
      </c>
      <c r="I5" s="19"/>
      <c r="J5" s="19"/>
      <c r="K5" s="19"/>
      <c r="L5" s="19"/>
      <c r="M5" s="19"/>
      <c r="N5" s="19"/>
      <c r="O5" s="19"/>
      <c r="P5" s="19"/>
      <c r="Q5" s="19"/>
      <c r="R5" s="20"/>
    </row>
    <row r="6" spans="1:18" ht="15" customHeight="1" thickBot="1" x14ac:dyDescent="0.25">
      <c r="A6" s="22"/>
      <c r="B6" s="23"/>
      <c r="C6" s="23"/>
      <c r="D6" s="23"/>
      <c r="E6" s="24"/>
      <c r="F6" s="18" t="s">
        <v>9</v>
      </c>
      <c r="G6" s="18"/>
      <c r="H6" s="18"/>
      <c r="I6" s="25" t="str">
        <f ca="1">VLOOKUP(F3,[1]INDEX!B:AF,16,0)</f>
        <v>Ref. APPENDIX-1, Chart 1</v>
      </c>
      <c r="J6" s="25"/>
      <c r="K6" s="25"/>
      <c r="L6" s="25"/>
      <c r="M6" s="25"/>
      <c r="N6" s="25"/>
      <c r="O6" s="25"/>
      <c r="P6" s="25"/>
      <c r="Q6" s="25"/>
      <c r="R6" s="26"/>
    </row>
    <row r="7" spans="1:18" ht="14.5" customHeight="1" x14ac:dyDescent="0.2">
      <c r="A7" s="27" t="s">
        <v>10</v>
      </c>
      <c r="B7" s="28"/>
      <c r="C7" s="28"/>
      <c r="D7" s="28"/>
      <c r="E7" s="28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30"/>
    </row>
    <row r="8" spans="1:18" s="36" customFormat="1" x14ac:dyDescent="0.2">
      <c r="A8" s="31" t="s">
        <v>11</v>
      </c>
      <c r="B8" s="14">
        <f ca="1">VLOOKUP(F3,[1]INDEX!B:AF,20,0)</f>
        <v>19.600000000000001</v>
      </c>
      <c r="C8" s="12"/>
      <c r="D8" s="14">
        <f ca="1">VLOOKUP(F3,[1]INDEX!B:AF,21,0)</f>
        <v>19.2</v>
      </c>
      <c r="E8" s="12"/>
      <c r="F8" s="14">
        <f ca="1">VLOOKUP(F3,[1]INDEX!B:AF,22,0)</f>
        <v>17.7</v>
      </c>
      <c r="G8" s="12"/>
      <c r="H8" s="14">
        <f ca="1">VLOOKUP(F3,[1]INDEX!B:AF,23,0)</f>
        <v>15.8</v>
      </c>
      <c r="I8" s="12"/>
      <c r="J8" s="14">
        <f ca="1">VLOOKUP(F3,[1]INDEX!B:AF,24,0)</f>
        <v>13.8</v>
      </c>
      <c r="K8" s="12"/>
      <c r="L8" s="32"/>
      <c r="M8" s="33"/>
      <c r="N8" s="33"/>
      <c r="O8" s="34"/>
      <c r="P8" s="14" t="s">
        <v>12</v>
      </c>
      <c r="Q8" s="15"/>
      <c r="R8" s="35"/>
    </row>
    <row r="9" spans="1:18" s="36" customFormat="1" x14ac:dyDescent="0.2">
      <c r="A9" s="31" t="s">
        <v>13</v>
      </c>
      <c r="B9" s="14" t="str">
        <f ca="1">VLOOKUP(F3,[1]INDEX!B:Z,19,0)&amp;" to 38"</f>
        <v>-29 to 38</v>
      </c>
      <c r="C9" s="12"/>
      <c r="D9" s="14">
        <v>50</v>
      </c>
      <c r="E9" s="12"/>
      <c r="F9" s="14">
        <v>100</v>
      </c>
      <c r="G9" s="12"/>
      <c r="H9" s="14">
        <v>150</v>
      </c>
      <c r="I9" s="12"/>
      <c r="J9" s="14">
        <v>200</v>
      </c>
      <c r="K9" s="12"/>
      <c r="L9" s="37"/>
      <c r="M9" s="38"/>
      <c r="N9" s="38"/>
      <c r="O9" s="39"/>
      <c r="P9" s="14">
        <f ca="1">B8*1.5</f>
        <v>29.400000000000002</v>
      </c>
      <c r="Q9" s="15"/>
      <c r="R9" s="35"/>
    </row>
    <row r="10" spans="1:18" s="36" customFormat="1" x14ac:dyDescent="0.2">
      <c r="A10" s="40" t="s">
        <v>14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2"/>
    </row>
    <row r="11" spans="1:18" ht="16" x14ac:dyDescent="0.2">
      <c r="A11" s="43" t="s">
        <v>15</v>
      </c>
      <c r="B11" s="44" t="s">
        <v>16</v>
      </c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5"/>
    </row>
    <row r="12" spans="1:18" s="36" customFormat="1" x14ac:dyDescent="0.2">
      <c r="A12" s="46" t="s">
        <v>17</v>
      </c>
      <c r="B12" s="47">
        <v>0.5</v>
      </c>
      <c r="C12" s="47">
        <v>0.75</v>
      </c>
      <c r="D12" s="47">
        <v>1</v>
      </c>
      <c r="E12" s="47">
        <v>1.5</v>
      </c>
      <c r="F12" s="47">
        <v>2</v>
      </c>
      <c r="G12" s="47">
        <v>3</v>
      </c>
      <c r="H12" s="47">
        <v>4</v>
      </c>
      <c r="I12" s="47">
        <v>6</v>
      </c>
      <c r="J12" s="47">
        <v>8</v>
      </c>
      <c r="K12" s="47">
        <v>10</v>
      </c>
      <c r="L12" s="47">
        <v>12</v>
      </c>
      <c r="M12" s="47">
        <v>14</v>
      </c>
      <c r="N12" s="47">
        <v>16</v>
      </c>
      <c r="O12" s="47">
        <v>18</v>
      </c>
      <c r="P12" s="47">
        <v>20</v>
      </c>
      <c r="Q12" s="47">
        <v>22</v>
      </c>
      <c r="R12" s="48">
        <v>24</v>
      </c>
    </row>
    <row r="13" spans="1:18" s="36" customFormat="1" x14ac:dyDescent="0.2">
      <c r="A13" s="46" t="s">
        <v>18</v>
      </c>
      <c r="B13" s="47">
        <v>21.3</v>
      </c>
      <c r="C13" s="47">
        <v>26.7</v>
      </c>
      <c r="D13" s="47">
        <v>33.4</v>
      </c>
      <c r="E13" s="47">
        <v>48.3</v>
      </c>
      <c r="F13" s="47">
        <v>60.3</v>
      </c>
      <c r="G13" s="47">
        <v>88.9</v>
      </c>
      <c r="H13" s="47">
        <v>114.3</v>
      </c>
      <c r="I13" s="47">
        <v>168.3</v>
      </c>
      <c r="J13" s="47">
        <v>219.1</v>
      </c>
      <c r="K13" s="47">
        <v>273.10000000000002</v>
      </c>
      <c r="L13" s="47">
        <v>323.89999999999998</v>
      </c>
      <c r="M13" s="47">
        <v>355.6</v>
      </c>
      <c r="N13" s="47">
        <v>406.4</v>
      </c>
      <c r="O13" s="47">
        <v>457</v>
      </c>
      <c r="P13" s="47">
        <v>508</v>
      </c>
      <c r="Q13" s="47">
        <v>559</v>
      </c>
      <c r="R13" s="48">
        <v>610</v>
      </c>
    </row>
    <row r="14" spans="1:18" s="36" customFormat="1" x14ac:dyDescent="0.2">
      <c r="A14" s="46" t="s">
        <v>19</v>
      </c>
      <c r="B14" s="47">
        <v>160</v>
      </c>
      <c r="C14" s="47">
        <v>160</v>
      </c>
      <c r="D14" s="47">
        <v>160</v>
      </c>
      <c r="E14" s="47">
        <v>160</v>
      </c>
      <c r="F14" s="47">
        <v>80</v>
      </c>
      <c r="G14" s="47">
        <v>80</v>
      </c>
      <c r="H14" s="47">
        <v>80</v>
      </c>
      <c r="I14" s="47">
        <v>80</v>
      </c>
      <c r="J14" s="47">
        <v>40</v>
      </c>
      <c r="K14" s="47">
        <v>40</v>
      </c>
      <c r="L14" s="47">
        <v>40</v>
      </c>
      <c r="M14" s="47">
        <v>40</v>
      </c>
      <c r="N14" s="47">
        <v>40</v>
      </c>
      <c r="O14" s="47">
        <v>40</v>
      </c>
      <c r="P14" s="47">
        <v>40</v>
      </c>
      <c r="Q14" s="47" t="s">
        <v>20</v>
      </c>
      <c r="R14" s="48">
        <v>40</v>
      </c>
    </row>
    <row r="15" spans="1:18" s="36" customFormat="1" x14ac:dyDescent="0.2">
      <c r="A15" s="46" t="s">
        <v>21</v>
      </c>
      <c r="B15" s="47">
        <v>7.47</v>
      </c>
      <c r="C15" s="47">
        <v>5.56</v>
      </c>
      <c r="D15" s="47">
        <v>6.35</v>
      </c>
      <c r="E15" s="47">
        <v>7.14</v>
      </c>
      <c r="F15" s="47">
        <v>5.54</v>
      </c>
      <c r="G15" s="47">
        <v>7.62</v>
      </c>
      <c r="H15" s="47">
        <v>8.56</v>
      </c>
      <c r="I15" s="47">
        <v>10.97</v>
      </c>
      <c r="J15" s="47">
        <v>8.18</v>
      </c>
      <c r="K15" s="47">
        <v>9.27</v>
      </c>
      <c r="L15" s="47">
        <v>10.31</v>
      </c>
      <c r="M15" s="47">
        <v>11.1</v>
      </c>
      <c r="N15" s="47">
        <v>12.7</v>
      </c>
      <c r="O15" s="47">
        <v>14.27</v>
      </c>
      <c r="P15" s="47">
        <v>15.1</v>
      </c>
      <c r="Q15" s="47">
        <v>15.88</v>
      </c>
      <c r="R15" s="48">
        <v>17.47</v>
      </c>
    </row>
    <row r="16" spans="1:18" ht="16" x14ac:dyDescent="0.2">
      <c r="A16" s="43" t="s">
        <v>22</v>
      </c>
      <c r="B16" s="44" t="s">
        <v>23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 t="s">
        <v>24</v>
      </c>
      <c r="P16" s="44"/>
      <c r="Q16" s="44"/>
      <c r="R16" s="45"/>
    </row>
    <row r="17" spans="1:18" ht="16" x14ac:dyDescent="0.2">
      <c r="A17" s="43" t="s">
        <v>25</v>
      </c>
      <c r="B17" s="44" t="s">
        <v>26</v>
      </c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14" t="s">
        <v>27</v>
      </c>
      <c r="P17" s="49"/>
      <c r="Q17" s="49"/>
      <c r="R17" s="50"/>
    </row>
    <row r="18" spans="1:18" ht="16" x14ac:dyDescent="0.2">
      <c r="A18" s="43" t="s">
        <v>28</v>
      </c>
      <c r="B18" s="51" t="s">
        <v>29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50"/>
    </row>
    <row r="19" spans="1:18" x14ac:dyDescent="0.2">
      <c r="A19" s="52" t="s">
        <v>30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5"/>
    </row>
    <row r="20" spans="1:18" ht="29.5" customHeight="1" x14ac:dyDescent="0.2">
      <c r="A20" s="43" t="s">
        <v>22</v>
      </c>
      <c r="B20" s="51" t="s">
        <v>31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51" t="s">
        <v>32</v>
      </c>
      <c r="P20" s="49"/>
      <c r="Q20" s="49"/>
      <c r="R20" s="50"/>
    </row>
    <row r="21" spans="1:18" ht="15" customHeight="1" x14ac:dyDescent="0.2">
      <c r="A21" s="43" t="s">
        <v>25</v>
      </c>
      <c r="B21" s="51" t="s">
        <v>33</v>
      </c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53"/>
      <c r="O21" s="44" t="s">
        <v>34</v>
      </c>
      <c r="P21" s="44"/>
      <c r="Q21" s="44"/>
      <c r="R21" s="45"/>
    </row>
    <row r="22" spans="1:18" ht="15" customHeight="1" x14ac:dyDescent="0.2">
      <c r="A22" s="43" t="s">
        <v>35</v>
      </c>
      <c r="B22" s="51" t="s">
        <v>36</v>
      </c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50"/>
    </row>
    <row r="23" spans="1:18" ht="15" customHeight="1" x14ac:dyDescent="0.2">
      <c r="A23" s="43" t="s">
        <v>37</v>
      </c>
      <c r="B23" s="51" t="s">
        <v>36</v>
      </c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50"/>
    </row>
    <row r="24" spans="1:18" ht="15" customHeight="1" x14ac:dyDescent="0.2">
      <c r="A24" s="43" t="s">
        <v>38</v>
      </c>
      <c r="B24" s="51" t="s">
        <v>36</v>
      </c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50"/>
    </row>
    <row r="25" spans="1:18" ht="15" customHeight="1" x14ac:dyDescent="0.2">
      <c r="A25" s="43" t="s">
        <v>39</v>
      </c>
      <c r="B25" s="51" t="s">
        <v>36</v>
      </c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50"/>
    </row>
    <row r="26" spans="1:18" ht="15" customHeight="1" x14ac:dyDescent="0.2">
      <c r="A26" s="43" t="s">
        <v>40</v>
      </c>
      <c r="B26" s="14" t="s">
        <v>41</v>
      </c>
      <c r="C26" s="15"/>
      <c r="D26" s="15"/>
      <c r="E26" s="15"/>
      <c r="F26" s="51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50"/>
    </row>
    <row r="27" spans="1:18" ht="15" customHeight="1" x14ac:dyDescent="0.2">
      <c r="A27" s="43" t="s">
        <v>42</v>
      </c>
      <c r="B27" s="51" t="s">
        <v>43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50"/>
    </row>
    <row r="28" spans="1:18" x14ac:dyDescent="0.2">
      <c r="A28" s="52" t="s">
        <v>44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5"/>
    </row>
    <row r="29" spans="1:18" ht="14" customHeight="1" x14ac:dyDescent="0.2">
      <c r="A29" s="43" t="s">
        <v>25</v>
      </c>
      <c r="B29" s="51" t="s">
        <v>45</v>
      </c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50"/>
    </row>
    <row r="30" spans="1:18" ht="14" customHeight="1" x14ac:dyDescent="0.2">
      <c r="A30" s="43" t="s">
        <v>46</v>
      </c>
      <c r="B30" s="51" t="s">
        <v>47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50"/>
    </row>
    <row r="31" spans="1:18" ht="14" customHeight="1" x14ac:dyDescent="0.2">
      <c r="A31" s="43" t="s">
        <v>22</v>
      </c>
      <c r="B31" s="51" t="s">
        <v>48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50"/>
    </row>
    <row r="32" spans="1:18" x14ac:dyDescent="0.2">
      <c r="A32" s="52" t="s">
        <v>49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5"/>
    </row>
    <row r="33" spans="1:18" ht="16" x14ac:dyDescent="0.2">
      <c r="A33" s="43" t="s">
        <v>25</v>
      </c>
      <c r="B33" s="44" t="s">
        <v>45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5"/>
    </row>
    <row r="34" spans="1:18" ht="14" customHeight="1" x14ac:dyDescent="0.2">
      <c r="A34" s="43" t="s">
        <v>50</v>
      </c>
      <c r="B34" s="51" t="s">
        <v>51</v>
      </c>
      <c r="C34" s="49"/>
      <c r="D34" s="49"/>
      <c r="E34" s="49"/>
      <c r="F34" s="49"/>
      <c r="G34" s="49"/>
      <c r="H34" s="49"/>
      <c r="I34" s="49"/>
      <c r="J34" s="49"/>
      <c r="K34" s="49"/>
      <c r="L34" s="53"/>
      <c r="M34" s="13" t="s">
        <v>52</v>
      </c>
      <c r="N34" s="13"/>
      <c r="O34" s="13"/>
      <c r="P34" s="13"/>
      <c r="Q34" s="13"/>
      <c r="R34" s="16"/>
    </row>
    <row r="35" spans="1:18" ht="14" customHeight="1" x14ac:dyDescent="0.2">
      <c r="A35" s="54" t="s">
        <v>53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6"/>
    </row>
    <row r="36" spans="1:18" ht="14" customHeight="1" x14ac:dyDescent="0.2">
      <c r="A36" s="43" t="s">
        <v>54</v>
      </c>
      <c r="B36" s="44" t="s">
        <v>55</v>
      </c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5"/>
    </row>
    <row r="37" spans="1:18" ht="14" customHeight="1" x14ac:dyDescent="0.2">
      <c r="A37" s="43" t="s">
        <v>56</v>
      </c>
      <c r="B37" s="44" t="s">
        <v>57</v>
      </c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5"/>
    </row>
    <row r="38" spans="1:18" ht="14" customHeight="1" x14ac:dyDescent="0.2">
      <c r="A38" s="43" t="s">
        <v>58</v>
      </c>
      <c r="B38" s="44" t="s">
        <v>59</v>
      </c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5"/>
    </row>
    <row r="39" spans="1:18" ht="14" customHeight="1" x14ac:dyDescent="0.2">
      <c r="A39" s="54" t="s">
        <v>60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6"/>
    </row>
    <row r="40" spans="1:18" ht="14" customHeight="1" x14ac:dyDescent="0.2">
      <c r="A40" s="43" t="s">
        <v>61</v>
      </c>
      <c r="B40" s="44" t="str">
        <f ca="1">VLOOKUP(F3,[1]INDEX!B:J,2,0)&amp;", RF"</f>
        <v>150#, RF</v>
      </c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5"/>
    </row>
    <row r="41" spans="1:18" ht="14" customHeight="1" x14ac:dyDescent="0.2">
      <c r="A41" s="43" t="s">
        <v>62</v>
      </c>
      <c r="B41" s="44" t="str">
        <f ca="1">"BSR"&amp;VLOOKUP(F3,[1]INDEX!B:AH,33,0)&amp;"R"&amp;", BSF"&amp;VLOOKUP(F3,[1]INDEX!B:AH,33,0)&amp;"R"</f>
        <v>BSRA1R, BSFA1R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5"/>
    </row>
    <row r="42" spans="1:18" ht="14" customHeight="1" x14ac:dyDescent="0.2">
      <c r="A42" s="43" t="s">
        <v>63</v>
      </c>
      <c r="B42" s="44" t="str">
        <f ca="1">"GAW"&amp;VLOOKUP(F3,[1]INDEX!B:AH,33,0)&amp;"R"</f>
        <v>GAWA1R</v>
      </c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5"/>
    </row>
    <row r="43" spans="1:18" ht="14" customHeight="1" x14ac:dyDescent="0.2">
      <c r="A43" s="43" t="s">
        <v>64</v>
      </c>
      <c r="B43" s="44" t="str">
        <f ca="1">"GLS"&amp;VLOOKUP(F3,[1]INDEX!B:AH,33,0)&amp;"R"</f>
        <v>GLSA1R</v>
      </c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5"/>
    </row>
    <row r="44" spans="1:18" ht="14" customHeight="1" x14ac:dyDescent="0.2">
      <c r="A44" s="43" t="s">
        <v>65</v>
      </c>
      <c r="B44" s="51" t="str">
        <f ca="1">"CHP"&amp;VLOOKUP(F3,[1]INDEX!B:AH,33,0)&amp;"R"</f>
        <v>CHPA1R</v>
      </c>
      <c r="C44" s="49"/>
      <c r="D44" s="49"/>
      <c r="E44" s="53"/>
      <c r="F44" s="51" t="str">
        <f ca="1">"CSW"&amp;VLOOKUP(F3,[1]INDEX!B:AH,33,0)&amp;"R"&amp;", CDP"&amp;VLOOKUP(F3,[1]INDEX!B:AH,33,0)&amp;"R"</f>
        <v>CSWA1R, CDPA1R</v>
      </c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50"/>
    </row>
    <row r="45" spans="1:18" ht="14" customHeight="1" x14ac:dyDescent="0.2">
      <c r="A45" s="43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5"/>
    </row>
    <row r="46" spans="1:18" ht="14" customHeight="1" x14ac:dyDescent="0.2">
      <c r="A46" s="43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5"/>
    </row>
    <row r="47" spans="1:18" x14ac:dyDescent="0.2">
      <c r="A47" s="57" t="s">
        <v>66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9"/>
    </row>
    <row r="48" spans="1:18" ht="28.25" customHeight="1" x14ac:dyDescent="0.2">
      <c r="A48" s="60" t="s">
        <v>67</v>
      </c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2"/>
    </row>
    <row r="49" spans="1:18" x14ac:dyDescent="0.2">
      <c r="A49" s="60" t="s">
        <v>68</v>
      </c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2"/>
    </row>
    <row r="50" spans="1:18" x14ac:dyDescent="0.2">
      <c r="A50" s="60" t="s">
        <v>69</v>
      </c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2"/>
    </row>
    <row r="51" spans="1:18" ht="29" customHeight="1" x14ac:dyDescent="0.2">
      <c r="A51" s="60" t="s">
        <v>70</v>
      </c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2"/>
    </row>
    <row r="52" spans="1:18" ht="26.5" customHeight="1" x14ac:dyDescent="0.2">
      <c r="A52" s="60" t="s">
        <v>71</v>
      </c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2"/>
    </row>
    <row r="53" spans="1:18" x14ac:dyDescent="0.2">
      <c r="A53" s="60" t="s">
        <v>72</v>
      </c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2"/>
    </row>
    <row r="54" spans="1:18" x14ac:dyDescent="0.2">
      <c r="A54" s="60" t="s">
        <v>73</v>
      </c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2"/>
    </row>
    <row r="55" spans="1:18" ht="16" thickBot="1" x14ac:dyDescent="0.25">
      <c r="A55" s="63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5"/>
    </row>
  </sheetData>
  <mergeCells count="83">
    <mergeCell ref="A55:R55"/>
    <mergeCell ref="A49:R49"/>
    <mergeCell ref="A50:R50"/>
    <mergeCell ref="A51:R51"/>
    <mergeCell ref="A52:R52"/>
    <mergeCell ref="A53:R53"/>
    <mergeCell ref="A54:R54"/>
    <mergeCell ref="B44:E44"/>
    <mergeCell ref="F44:R44"/>
    <mergeCell ref="B45:R45"/>
    <mergeCell ref="B46:R46"/>
    <mergeCell ref="A47:R47"/>
    <mergeCell ref="A48:R48"/>
    <mergeCell ref="B38:R38"/>
    <mergeCell ref="A39:R39"/>
    <mergeCell ref="B40:R40"/>
    <mergeCell ref="B41:R41"/>
    <mergeCell ref="B42:R42"/>
    <mergeCell ref="B43:R43"/>
    <mergeCell ref="B33:R33"/>
    <mergeCell ref="B34:L34"/>
    <mergeCell ref="M34:R34"/>
    <mergeCell ref="A35:R35"/>
    <mergeCell ref="B36:R36"/>
    <mergeCell ref="B37:R37"/>
    <mergeCell ref="B27:R27"/>
    <mergeCell ref="A28:R28"/>
    <mergeCell ref="B29:R29"/>
    <mergeCell ref="B30:R30"/>
    <mergeCell ref="B31:R31"/>
    <mergeCell ref="A32:R32"/>
    <mergeCell ref="B22:R22"/>
    <mergeCell ref="B23:R23"/>
    <mergeCell ref="B24:R24"/>
    <mergeCell ref="B25:R25"/>
    <mergeCell ref="B26:E26"/>
    <mergeCell ref="F26:R26"/>
    <mergeCell ref="B18:R18"/>
    <mergeCell ref="A19:R19"/>
    <mergeCell ref="B20:N20"/>
    <mergeCell ref="O20:R20"/>
    <mergeCell ref="B21:N21"/>
    <mergeCell ref="O21:R21"/>
    <mergeCell ref="A10:R10"/>
    <mergeCell ref="B11:R11"/>
    <mergeCell ref="B16:N16"/>
    <mergeCell ref="O16:R16"/>
    <mergeCell ref="B17:N17"/>
    <mergeCell ref="O17:R17"/>
    <mergeCell ref="L8:O9"/>
    <mergeCell ref="P8:R8"/>
    <mergeCell ref="B9:C9"/>
    <mergeCell ref="D9:E9"/>
    <mergeCell ref="F9:G9"/>
    <mergeCell ref="H9:I9"/>
    <mergeCell ref="J9:K9"/>
    <mergeCell ref="P9:R9"/>
    <mergeCell ref="F5:G5"/>
    <mergeCell ref="H5:R5"/>
    <mergeCell ref="F6:H6"/>
    <mergeCell ref="I6:R6"/>
    <mergeCell ref="A7:R7"/>
    <mergeCell ref="B8:C8"/>
    <mergeCell ref="D8:E8"/>
    <mergeCell ref="F8:G8"/>
    <mergeCell ref="H8:I8"/>
    <mergeCell ref="J8:K8"/>
    <mergeCell ref="J3:L3"/>
    <mergeCell ref="M3:N3"/>
    <mergeCell ref="O3:P3"/>
    <mergeCell ref="Q3:R3"/>
    <mergeCell ref="F4:H4"/>
    <mergeCell ref="I4:R4"/>
    <mergeCell ref="A1:E6"/>
    <mergeCell ref="F1:P1"/>
    <mergeCell ref="Q1:R1"/>
    <mergeCell ref="F2:I2"/>
    <mergeCell ref="J2:L2"/>
    <mergeCell ref="M2:N2"/>
    <mergeCell ref="O2:P2"/>
    <mergeCell ref="Q2:R2"/>
    <mergeCell ref="F3:G3"/>
    <mergeCell ref="H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C1AFF-3B6F-9A49-A805-76CCD6B513C5}">
  <dimension ref="A1:R55"/>
  <sheetViews>
    <sheetView workbookViewId="0">
      <selection activeCell="S6" sqref="S6"/>
    </sheetView>
  </sheetViews>
  <sheetFormatPr baseColWidth="10" defaultRowHeight="16" x14ac:dyDescent="0.2"/>
  <sheetData>
    <row r="1" spans="1:18" x14ac:dyDescent="0.2">
      <c r="A1" s="73" t="e" vm="2">
        <v>#VALUE!</v>
      </c>
      <c r="B1" s="74"/>
      <c r="C1" s="74"/>
      <c r="D1" s="74"/>
      <c r="E1" s="75"/>
      <c r="F1" s="83" t="s">
        <v>0</v>
      </c>
      <c r="G1" s="82"/>
      <c r="H1" s="82"/>
      <c r="I1" s="82"/>
      <c r="J1" s="82"/>
      <c r="K1" s="82"/>
      <c r="L1" s="82"/>
      <c r="M1" s="82"/>
      <c r="N1" s="82"/>
      <c r="O1" s="82"/>
      <c r="P1" s="84"/>
      <c r="Q1" s="85" t="s">
        <v>1</v>
      </c>
      <c r="R1" s="86"/>
    </row>
    <row r="2" spans="1:18" x14ac:dyDescent="0.2">
      <c r="A2" s="76"/>
      <c r="B2" s="77"/>
      <c r="C2" s="77"/>
      <c r="D2" s="77"/>
      <c r="E2" s="78"/>
      <c r="F2" s="88" t="s">
        <v>2</v>
      </c>
      <c r="G2" s="87"/>
      <c r="H2" s="87"/>
      <c r="I2" s="89"/>
      <c r="J2" s="90" t="s">
        <v>3</v>
      </c>
      <c r="K2" s="87"/>
      <c r="L2" s="89"/>
      <c r="M2" s="90" t="s">
        <v>4</v>
      </c>
      <c r="N2" s="89"/>
      <c r="O2" s="90" t="s">
        <v>5</v>
      </c>
      <c r="P2" s="89"/>
      <c r="Q2" s="90" t="s">
        <v>6</v>
      </c>
      <c r="R2" s="91"/>
    </row>
    <row r="3" spans="1:18" x14ac:dyDescent="0.2">
      <c r="A3" s="76"/>
      <c r="B3" s="77"/>
      <c r="C3" s="77"/>
      <c r="D3" s="77"/>
      <c r="E3" s="78"/>
      <c r="F3" s="88" t="s">
        <v>74</v>
      </c>
      <c r="G3" s="89"/>
      <c r="H3" s="90" t="s">
        <v>75</v>
      </c>
      <c r="I3" s="89"/>
      <c r="J3" s="90" t="s">
        <v>76</v>
      </c>
      <c r="K3" s="87"/>
      <c r="L3" s="89"/>
      <c r="M3" s="90" t="s">
        <v>77</v>
      </c>
      <c r="N3" s="89"/>
      <c r="O3" s="92">
        <v>0.125</v>
      </c>
      <c r="P3" s="93"/>
      <c r="Q3" s="90">
        <v>25</v>
      </c>
      <c r="R3" s="91"/>
    </row>
    <row r="4" spans="1:18" x14ac:dyDescent="0.2">
      <c r="A4" s="76"/>
      <c r="B4" s="77"/>
      <c r="C4" s="77"/>
      <c r="D4" s="77"/>
      <c r="E4" s="78"/>
      <c r="F4" s="95" t="s">
        <v>7</v>
      </c>
      <c r="G4" s="94"/>
      <c r="H4" s="94"/>
      <c r="I4" s="96" t="s">
        <v>78</v>
      </c>
      <c r="J4" s="96"/>
      <c r="K4" s="96"/>
      <c r="L4" s="96"/>
      <c r="M4" s="96"/>
      <c r="N4" s="96"/>
      <c r="O4" s="96"/>
      <c r="P4" s="96"/>
      <c r="Q4" s="96"/>
      <c r="R4" s="97"/>
    </row>
    <row r="5" spans="1:18" x14ac:dyDescent="0.2">
      <c r="A5" s="76"/>
      <c r="B5" s="77"/>
      <c r="C5" s="77"/>
      <c r="D5" s="77"/>
      <c r="E5" s="78"/>
      <c r="F5" s="99" t="s">
        <v>8</v>
      </c>
      <c r="G5" s="98"/>
      <c r="H5" s="96" t="s">
        <v>79</v>
      </c>
      <c r="I5" s="96"/>
      <c r="J5" s="96"/>
      <c r="K5" s="96"/>
      <c r="L5" s="96"/>
      <c r="M5" s="96"/>
      <c r="N5" s="96"/>
      <c r="O5" s="96"/>
      <c r="P5" s="96"/>
      <c r="Q5" s="96"/>
      <c r="R5" s="97"/>
    </row>
    <row r="6" spans="1:18" ht="17" thickBot="1" x14ac:dyDescent="0.25">
      <c r="A6" s="79"/>
      <c r="B6" s="80"/>
      <c r="C6" s="80"/>
      <c r="D6" s="80"/>
      <c r="E6" s="81"/>
      <c r="F6" s="95" t="s">
        <v>9</v>
      </c>
      <c r="G6" s="94"/>
      <c r="H6" s="94"/>
      <c r="I6" s="100" t="s">
        <v>80</v>
      </c>
      <c r="J6" s="100"/>
      <c r="K6" s="100"/>
      <c r="L6" s="100"/>
      <c r="M6" s="100"/>
      <c r="N6" s="100"/>
      <c r="O6" s="100"/>
      <c r="P6" s="100"/>
      <c r="Q6" s="100"/>
      <c r="R6" s="101"/>
    </row>
    <row r="7" spans="1:18" x14ac:dyDescent="0.2">
      <c r="A7" s="102" t="s">
        <v>10</v>
      </c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4"/>
    </row>
    <row r="8" spans="1:18" x14ac:dyDescent="0.2">
      <c r="A8" s="66" t="s">
        <v>11</v>
      </c>
      <c r="B8" s="90">
        <v>51.1</v>
      </c>
      <c r="C8" s="105"/>
      <c r="D8" s="106">
        <v>50.1</v>
      </c>
      <c r="E8" s="105"/>
      <c r="F8" s="106">
        <v>46.6</v>
      </c>
      <c r="G8" s="105"/>
      <c r="H8" s="106">
        <v>45.1</v>
      </c>
      <c r="I8" s="105"/>
      <c r="J8" s="106">
        <v>43.8</v>
      </c>
      <c r="K8" s="89"/>
      <c r="L8" s="107"/>
      <c r="M8" s="107"/>
      <c r="N8" s="107"/>
      <c r="O8" s="108"/>
      <c r="P8" s="90" t="s">
        <v>12</v>
      </c>
      <c r="Q8" s="87"/>
      <c r="R8" s="91"/>
    </row>
    <row r="9" spans="1:18" x14ac:dyDescent="0.2">
      <c r="A9" s="67" t="s">
        <v>13</v>
      </c>
      <c r="B9" s="90" t="s">
        <v>81</v>
      </c>
      <c r="C9" s="105"/>
      <c r="D9" s="106" t="s">
        <v>82</v>
      </c>
      <c r="E9" s="105"/>
      <c r="F9" s="106">
        <v>100</v>
      </c>
      <c r="G9" s="105"/>
      <c r="H9" s="106">
        <v>150</v>
      </c>
      <c r="I9" s="105"/>
      <c r="J9" s="106">
        <v>200</v>
      </c>
      <c r="K9" s="105"/>
      <c r="L9" s="109"/>
      <c r="M9" s="109"/>
      <c r="N9" s="109"/>
      <c r="O9" s="110"/>
      <c r="P9" s="90">
        <v>76.650000000000006</v>
      </c>
      <c r="Q9" s="87"/>
      <c r="R9" s="91"/>
    </row>
    <row r="10" spans="1:18" x14ac:dyDescent="0.2">
      <c r="A10" s="111" t="s">
        <v>14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3"/>
    </row>
    <row r="11" spans="1:18" x14ac:dyDescent="0.2">
      <c r="A11" s="68" t="s">
        <v>15</v>
      </c>
      <c r="B11" s="115" t="s">
        <v>16</v>
      </c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6"/>
    </row>
    <row r="12" spans="1:18" x14ac:dyDescent="0.2">
      <c r="A12" s="69" t="s">
        <v>17</v>
      </c>
      <c r="B12" s="70">
        <v>0.5</v>
      </c>
      <c r="C12" s="70">
        <v>0.75</v>
      </c>
      <c r="D12" s="70">
        <v>1</v>
      </c>
      <c r="E12" s="70">
        <v>1.5</v>
      </c>
      <c r="F12" s="70">
        <v>2</v>
      </c>
      <c r="G12" s="70">
        <v>3</v>
      </c>
      <c r="H12" s="70">
        <v>4</v>
      </c>
      <c r="I12" s="70">
        <v>6</v>
      </c>
      <c r="J12" s="70">
        <v>8</v>
      </c>
      <c r="K12" s="70">
        <v>10</v>
      </c>
      <c r="L12" s="70">
        <v>12</v>
      </c>
      <c r="M12" s="70">
        <v>14</v>
      </c>
      <c r="N12" s="70">
        <v>16</v>
      </c>
      <c r="O12" s="70">
        <v>18</v>
      </c>
      <c r="P12" s="70">
        <v>20</v>
      </c>
      <c r="Q12" s="70">
        <v>22</v>
      </c>
      <c r="R12" s="71">
        <v>24</v>
      </c>
    </row>
    <row r="13" spans="1:18" x14ac:dyDescent="0.2">
      <c r="A13" s="69" t="s">
        <v>18</v>
      </c>
      <c r="B13" s="70">
        <v>21.3</v>
      </c>
      <c r="C13" s="70">
        <v>26.7</v>
      </c>
      <c r="D13" s="70">
        <v>33.4</v>
      </c>
      <c r="E13" s="70">
        <v>48.3</v>
      </c>
      <c r="F13" s="70">
        <v>60.3</v>
      </c>
      <c r="G13" s="70">
        <v>88.9</v>
      </c>
      <c r="H13" s="70">
        <v>114.3</v>
      </c>
      <c r="I13" s="70">
        <v>168.3</v>
      </c>
      <c r="J13" s="70">
        <v>219.1</v>
      </c>
      <c r="K13" s="70">
        <v>273.10000000000002</v>
      </c>
      <c r="L13" s="70">
        <v>323.89999999999998</v>
      </c>
      <c r="M13" s="70">
        <v>355.6</v>
      </c>
      <c r="N13" s="70">
        <v>406.4</v>
      </c>
      <c r="O13" s="70">
        <v>457</v>
      </c>
      <c r="P13" s="70">
        <v>508</v>
      </c>
      <c r="Q13" s="70">
        <v>559</v>
      </c>
      <c r="R13" s="71">
        <v>610</v>
      </c>
    </row>
    <row r="14" spans="1:18" x14ac:dyDescent="0.2">
      <c r="A14" s="69" t="s">
        <v>19</v>
      </c>
      <c r="B14" s="70">
        <v>160</v>
      </c>
      <c r="C14" s="70">
        <v>160</v>
      </c>
      <c r="D14" s="70">
        <v>160</v>
      </c>
      <c r="E14" s="70">
        <v>160</v>
      </c>
      <c r="F14" s="70">
        <v>80</v>
      </c>
      <c r="G14" s="70">
        <v>80</v>
      </c>
      <c r="H14" s="70">
        <v>80</v>
      </c>
      <c r="I14" s="70">
        <v>80</v>
      </c>
      <c r="J14" s="70">
        <v>40</v>
      </c>
      <c r="K14" s="70">
        <v>40</v>
      </c>
      <c r="L14" s="70">
        <v>40</v>
      </c>
      <c r="M14" s="70">
        <v>40</v>
      </c>
      <c r="N14" s="70">
        <v>40</v>
      </c>
      <c r="O14" s="70">
        <v>40</v>
      </c>
      <c r="P14" s="70">
        <v>40</v>
      </c>
      <c r="Q14" s="70" t="s">
        <v>20</v>
      </c>
      <c r="R14" s="71">
        <v>40</v>
      </c>
    </row>
    <row r="15" spans="1:18" x14ac:dyDescent="0.2">
      <c r="A15" s="69" t="s">
        <v>21</v>
      </c>
      <c r="B15" s="70">
        <v>7.47</v>
      </c>
      <c r="C15" s="70">
        <v>5.56</v>
      </c>
      <c r="D15" s="70">
        <v>6.35</v>
      </c>
      <c r="E15" s="70">
        <v>7.14</v>
      </c>
      <c r="F15" s="70">
        <v>5.54</v>
      </c>
      <c r="G15" s="70">
        <v>7.62</v>
      </c>
      <c r="H15" s="70">
        <v>8.56</v>
      </c>
      <c r="I15" s="70">
        <v>10.97</v>
      </c>
      <c r="J15" s="70">
        <v>8.18</v>
      </c>
      <c r="K15" s="70">
        <v>9.27</v>
      </c>
      <c r="L15" s="70">
        <v>10.31</v>
      </c>
      <c r="M15" s="70">
        <v>11.1</v>
      </c>
      <c r="N15" s="70">
        <v>12.7</v>
      </c>
      <c r="O15" s="70">
        <v>14.27</v>
      </c>
      <c r="P15" s="70">
        <v>15.1</v>
      </c>
      <c r="Q15" s="70">
        <v>15.88</v>
      </c>
      <c r="R15" s="71">
        <v>17.47</v>
      </c>
    </row>
    <row r="16" spans="1:18" x14ac:dyDescent="0.2">
      <c r="A16" s="72" t="s">
        <v>22</v>
      </c>
      <c r="B16" s="115" t="s">
        <v>23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7"/>
      <c r="O16" s="115" t="s">
        <v>24</v>
      </c>
      <c r="P16" s="114"/>
      <c r="Q16" s="114"/>
      <c r="R16" s="116"/>
    </row>
    <row r="17" spans="1:18" x14ac:dyDescent="0.2">
      <c r="A17" s="72" t="s">
        <v>25</v>
      </c>
      <c r="B17" s="115" t="s">
        <v>26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7"/>
      <c r="O17" s="90" t="s">
        <v>27</v>
      </c>
      <c r="P17" s="87"/>
      <c r="Q17" s="87"/>
      <c r="R17" s="91"/>
    </row>
    <row r="18" spans="1:18" x14ac:dyDescent="0.2">
      <c r="A18" s="72" t="s">
        <v>28</v>
      </c>
      <c r="B18" s="115" t="s">
        <v>29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6"/>
    </row>
    <row r="19" spans="1:18" x14ac:dyDescent="0.2">
      <c r="A19" s="118" t="s">
        <v>30</v>
      </c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20"/>
    </row>
    <row r="20" spans="1:18" x14ac:dyDescent="0.2">
      <c r="A20" s="72" t="s">
        <v>22</v>
      </c>
      <c r="B20" s="115" t="s">
        <v>31</v>
      </c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7"/>
      <c r="O20" s="115" t="s">
        <v>32</v>
      </c>
      <c r="P20" s="114"/>
      <c r="Q20" s="114"/>
      <c r="R20" s="116"/>
    </row>
    <row r="21" spans="1:18" x14ac:dyDescent="0.2">
      <c r="A21" s="72" t="s">
        <v>25</v>
      </c>
      <c r="B21" s="115" t="s">
        <v>33</v>
      </c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7"/>
      <c r="O21" s="115" t="s">
        <v>34</v>
      </c>
      <c r="P21" s="114"/>
      <c r="Q21" s="114"/>
      <c r="R21" s="116"/>
    </row>
    <row r="22" spans="1:18" x14ac:dyDescent="0.2">
      <c r="A22" s="72" t="s">
        <v>35</v>
      </c>
      <c r="B22" s="115" t="s">
        <v>36</v>
      </c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6"/>
    </row>
    <row r="23" spans="1:18" x14ac:dyDescent="0.2">
      <c r="A23" s="72" t="s">
        <v>37</v>
      </c>
      <c r="B23" s="115" t="s">
        <v>36</v>
      </c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6"/>
    </row>
    <row r="24" spans="1:18" x14ac:dyDescent="0.2">
      <c r="A24" s="72" t="s">
        <v>38</v>
      </c>
      <c r="B24" s="115" t="s">
        <v>36</v>
      </c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6"/>
    </row>
    <row r="25" spans="1:18" x14ac:dyDescent="0.2">
      <c r="A25" s="72" t="s">
        <v>39</v>
      </c>
      <c r="B25" s="115" t="s">
        <v>36</v>
      </c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6"/>
    </row>
    <row r="26" spans="1:18" x14ac:dyDescent="0.2">
      <c r="A26" s="72" t="s">
        <v>40</v>
      </c>
      <c r="B26" s="90" t="s">
        <v>41</v>
      </c>
      <c r="C26" s="87"/>
      <c r="D26" s="87"/>
      <c r="E26" s="89"/>
      <c r="F26" s="115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6"/>
    </row>
    <row r="27" spans="1:18" x14ac:dyDescent="0.2">
      <c r="A27" s="72" t="s">
        <v>42</v>
      </c>
      <c r="B27" s="115" t="s">
        <v>43</v>
      </c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6"/>
    </row>
    <row r="28" spans="1:18" x14ac:dyDescent="0.2">
      <c r="A28" s="118" t="s">
        <v>44</v>
      </c>
      <c r="B28" s="119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20"/>
    </row>
    <row r="29" spans="1:18" x14ac:dyDescent="0.2">
      <c r="A29" s="72" t="s">
        <v>25</v>
      </c>
      <c r="B29" s="115" t="s">
        <v>45</v>
      </c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6"/>
    </row>
    <row r="30" spans="1:18" x14ac:dyDescent="0.2">
      <c r="A30" s="72" t="s">
        <v>46</v>
      </c>
      <c r="B30" s="115" t="s">
        <v>47</v>
      </c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R30" s="116"/>
    </row>
    <row r="31" spans="1:18" x14ac:dyDescent="0.2">
      <c r="A31" s="72" t="s">
        <v>22</v>
      </c>
      <c r="B31" s="115" t="s">
        <v>48</v>
      </c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6"/>
    </row>
    <row r="32" spans="1:18" x14ac:dyDescent="0.2">
      <c r="A32" s="118" t="s">
        <v>49</v>
      </c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20"/>
    </row>
    <row r="33" spans="1:18" x14ac:dyDescent="0.2">
      <c r="A33" s="72" t="s">
        <v>25</v>
      </c>
      <c r="B33" s="115" t="s">
        <v>45</v>
      </c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6"/>
    </row>
    <row r="34" spans="1:18" x14ac:dyDescent="0.2">
      <c r="A34" s="72" t="s">
        <v>50</v>
      </c>
      <c r="B34" s="115" t="s">
        <v>51</v>
      </c>
      <c r="C34" s="114"/>
      <c r="D34" s="114"/>
      <c r="E34" s="114"/>
      <c r="F34" s="114"/>
      <c r="G34" s="114"/>
      <c r="H34" s="114"/>
      <c r="I34" s="114"/>
      <c r="J34" s="114"/>
      <c r="K34" s="114"/>
      <c r="L34" s="117"/>
      <c r="M34" s="90" t="s">
        <v>52</v>
      </c>
      <c r="N34" s="87"/>
      <c r="O34" s="87"/>
      <c r="P34" s="87"/>
      <c r="Q34" s="87"/>
      <c r="R34" s="91"/>
    </row>
    <row r="35" spans="1:18" x14ac:dyDescent="0.2">
      <c r="A35" s="118" t="s">
        <v>53</v>
      </c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20"/>
    </row>
    <row r="36" spans="1:18" x14ac:dyDescent="0.2">
      <c r="A36" s="68" t="s">
        <v>54</v>
      </c>
      <c r="B36" s="115" t="s">
        <v>55</v>
      </c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6"/>
    </row>
    <row r="37" spans="1:18" x14ac:dyDescent="0.2">
      <c r="A37" s="72" t="s">
        <v>56</v>
      </c>
      <c r="B37" s="115" t="s">
        <v>57</v>
      </c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6"/>
    </row>
    <row r="38" spans="1:18" x14ac:dyDescent="0.2">
      <c r="A38" s="72" t="s">
        <v>58</v>
      </c>
      <c r="B38" s="115" t="s">
        <v>59</v>
      </c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6"/>
    </row>
    <row r="39" spans="1:18" x14ac:dyDescent="0.2">
      <c r="A39" s="118" t="s">
        <v>60</v>
      </c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20"/>
    </row>
    <row r="40" spans="1:18" x14ac:dyDescent="0.2">
      <c r="A40" s="68" t="s">
        <v>61</v>
      </c>
      <c r="B40" s="115" t="s">
        <v>83</v>
      </c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6"/>
    </row>
    <row r="41" spans="1:18" x14ac:dyDescent="0.2">
      <c r="A41" s="72" t="s">
        <v>62</v>
      </c>
      <c r="B41" s="115" t="s">
        <v>84</v>
      </c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6"/>
    </row>
    <row r="42" spans="1:18" x14ac:dyDescent="0.2">
      <c r="A42" s="72" t="s">
        <v>63</v>
      </c>
      <c r="B42" s="115" t="s">
        <v>85</v>
      </c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6"/>
    </row>
    <row r="43" spans="1:18" x14ac:dyDescent="0.2">
      <c r="A43" s="72" t="s">
        <v>64</v>
      </c>
      <c r="B43" s="115" t="s">
        <v>86</v>
      </c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6"/>
    </row>
    <row r="44" spans="1:18" x14ac:dyDescent="0.2">
      <c r="A44" s="72" t="s">
        <v>65</v>
      </c>
      <c r="B44" s="115" t="s">
        <v>87</v>
      </c>
      <c r="C44" s="114"/>
      <c r="D44" s="114"/>
      <c r="E44" s="121"/>
      <c r="F44" s="122" t="s">
        <v>88</v>
      </c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6"/>
    </row>
    <row r="45" spans="1:18" x14ac:dyDescent="0.2">
      <c r="A45" s="72"/>
      <c r="B45" s="115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6"/>
    </row>
    <row r="46" spans="1:18" x14ac:dyDescent="0.2">
      <c r="A46" s="72"/>
      <c r="B46" s="115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6"/>
    </row>
    <row r="47" spans="1:18" x14ac:dyDescent="0.2">
      <c r="A47" s="118" t="s">
        <v>66</v>
      </c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20"/>
    </row>
    <row r="48" spans="1:18" x14ac:dyDescent="0.2">
      <c r="A48" s="124" t="s">
        <v>67</v>
      </c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6"/>
    </row>
    <row r="49" spans="1:18" x14ac:dyDescent="0.2">
      <c r="A49" s="123" t="s">
        <v>68</v>
      </c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8"/>
    </row>
    <row r="50" spans="1:18" x14ac:dyDescent="0.2">
      <c r="A50" s="123" t="s">
        <v>69</v>
      </c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8"/>
    </row>
    <row r="51" spans="1:18" x14ac:dyDescent="0.2">
      <c r="A51" s="123" t="s">
        <v>70</v>
      </c>
      <c r="B51" s="127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8"/>
    </row>
    <row r="52" spans="1:18" x14ac:dyDescent="0.2">
      <c r="A52" s="123" t="s">
        <v>71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8"/>
    </row>
    <row r="53" spans="1:18" x14ac:dyDescent="0.2">
      <c r="A53" s="123" t="s">
        <v>72</v>
      </c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8"/>
    </row>
    <row r="54" spans="1:18" x14ac:dyDescent="0.2">
      <c r="A54" s="123" t="s">
        <v>73</v>
      </c>
      <c r="B54" s="127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8"/>
    </row>
    <row r="55" spans="1:18" ht="17" thickBot="1" x14ac:dyDescent="0.25">
      <c r="A55" s="129"/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1"/>
    </row>
  </sheetData>
  <mergeCells count="83">
    <mergeCell ref="A55:R55"/>
    <mergeCell ref="A49:R49"/>
    <mergeCell ref="A50:R50"/>
    <mergeCell ref="A51:R51"/>
    <mergeCell ref="A52:R52"/>
    <mergeCell ref="A53:R53"/>
    <mergeCell ref="A54:R54"/>
    <mergeCell ref="B44:E44"/>
    <mergeCell ref="F44:R44"/>
    <mergeCell ref="B45:R45"/>
    <mergeCell ref="B46:R46"/>
    <mergeCell ref="A47:R47"/>
    <mergeCell ref="A48:R48"/>
    <mergeCell ref="B38:R38"/>
    <mergeCell ref="A39:R39"/>
    <mergeCell ref="B40:R40"/>
    <mergeCell ref="B41:R41"/>
    <mergeCell ref="B42:R42"/>
    <mergeCell ref="B43:R43"/>
    <mergeCell ref="B33:R33"/>
    <mergeCell ref="B34:L34"/>
    <mergeCell ref="M34:R34"/>
    <mergeCell ref="A35:R35"/>
    <mergeCell ref="B36:R36"/>
    <mergeCell ref="B37:R37"/>
    <mergeCell ref="B27:R27"/>
    <mergeCell ref="A28:R28"/>
    <mergeCell ref="B29:R29"/>
    <mergeCell ref="B30:R30"/>
    <mergeCell ref="B31:R31"/>
    <mergeCell ref="A32:R32"/>
    <mergeCell ref="B22:R22"/>
    <mergeCell ref="B23:R23"/>
    <mergeCell ref="B24:R24"/>
    <mergeCell ref="B25:R25"/>
    <mergeCell ref="B26:E26"/>
    <mergeCell ref="F26:R26"/>
    <mergeCell ref="B18:R18"/>
    <mergeCell ref="A19:R19"/>
    <mergeCell ref="B20:N20"/>
    <mergeCell ref="O20:R20"/>
    <mergeCell ref="B21:N21"/>
    <mergeCell ref="O21:R21"/>
    <mergeCell ref="A10:R10"/>
    <mergeCell ref="B11:R11"/>
    <mergeCell ref="B16:N16"/>
    <mergeCell ref="O16:R16"/>
    <mergeCell ref="B17:N17"/>
    <mergeCell ref="O17:R17"/>
    <mergeCell ref="L8:O9"/>
    <mergeCell ref="P8:R8"/>
    <mergeCell ref="B9:C9"/>
    <mergeCell ref="D9:E9"/>
    <mergeCell ref="F9:G9"/>
    <mergeCell ref="H9:I9"/>
    <mergeCell ref="J9:K9"/>
    <mergeCell ref="P9:R9"/>
    <mergeCell ref="F5:G5"/>
    <mergeCell ref="H5:R5"/>
    <mergeCell ref="F6:H6"/>
    <mergeCell ref="I6:R6"/>
    <mergeCell ref="A7:R7"/>
    <mergeCell ref="B8:C8"/>
    <mergeCell ref="D8:E8"/>
    <mergeCell ref="F8:G8"/>
    <mergeCell ref="H8:I8"/>
    <mergeCell ref="J8:K8"/>
    <mergeCell ref="J3:L3"/>
    <mergeCell ref="M3:N3"/>
    <mergeCell ref="O3:P3"/>
    <mergeCell ref="Q3:R3"/>
    <mergeCell ref="F4:H4"/>
    <mergeCell ref="I4:R4"/>
    <mergeCell ref="A1:E6"/>
    <mergeCell ref="F1:P1"/>
    <mergeCell ref="Q1:R1"/>
    <mergeCell ref="F2:I2"/>
    <mergeCell ref="J2:L2"/>
    <mergeCell ref="M2:N2"/>
    <mergeCell ref="O2:P2"/>
    <mergeCell ref="Q2:R2"/>
    <mergeCell ref="F3:G3"/>
    <mergeCell ref="H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AACFB-8674-5E4D-84B3-646A8B7694FB}">
  <dimension ref="A1:R44"/>
  <sheetViews>
    <sheetView workbookViewId="0">
      <selection activeCell="T5" sqref="T5"/>
    </sheetView>
  </sheetViews>
  <sheetFormatPr baseColWidth="10" defaultRowHeight="16" x14ac:dyDescent="0.2"/>
  <sheetData>
    <row r="1" spans="1:18" x14ac:dyDescent="0.2">
      <c r="A1" s="73" t="e" vm="2">
        <v>#VALUE!</v>
      </c>
      <c r="B1" s="74"/>
      <c r="C1" s="74"/>
      <c r="D1" s="74"/>
      <c r="E1" s="75"/>
      <c r="F1" s="83" t="s">
        <v>0</v>
      </c>
      <c r="G1" s="82"/>
      <c r="H1" s="82"/>
      <c r="I1" s="82"/>
      <c r="J1" s="82"/>
      <c r="K1" s="82"/>
      <c r="L1" s="82"/>
      <c r="M1" s="82"/>
      <c r="N1" s="82"/>
      <c r="O1" s="82"/>
      <c r="P1" s="84"/>
      <c r="Q1" s="85" t="s">
        <v>1</v>
      </c>
      <c r="R1" s="86"/>
    </row>
    <row r="2" spans="1:18" x14ac:dyDescent="0.2">
      <c r="A2" s="76"/>
      <c r="B2" s="77"/>
      <c r="C2" s="77"/>
      <c r="D2" s="77"/>
      <c r="E2" s="78"/>
      <c r="F2" s="88" t="s">
        <v>2</v>
      </c>
      <c r="G2" s="87"/>
      <c r="H2" s="87"/>
      <c r="I2" s="89"/>
      <c r="J2" s="90" t="s">
        <v>3</v>
      </c>
      <c r="K2" s="87"/>
      <c r="L2" s="89"/>
      <c r="M2" s="90" t="s">
        <v>4</v>
      </c>
      <c r="N2" s="89"/>
      <c r="O2" s="90" t="s">
        <v>5</v>
      </c>
      <c r="P2" s="89"/>
      <c r="Q2" s="90" t="s">
        <v>89</v>
      </c>
      <c r="R2" s="91"/>
    </row>
    <row r="3" spans="1:18" x14ac:dyDescent="0.2">
      <c r="A3" s="76"/>
      <c r="B3" s="77"/>
      <c r="C3" s="77"/>
      <c r="D3" s="77"/>
      <c r="E3" s="78"/>
      <c r="F3" s="88" t="s">
        <v>90</v>
      </c>
      <c r="G3" s="89"/>
      <c r="H3" s="90" t="s">
        <v>91</v>
      </c>
      <c r="I3" s="89"/>
      <c r="J3" s="90" t="s">
        <v>76</v>
      </c>
      <c r="K3" s="87"/>
      <c r="L3" s="89"/>
      <c r="M3" s="90" t="s">
        <v>77</v>
      </c>
      <c r="N3" s="89"/>
      <c r="O3" s="92">
        <v>0.125</v>
      </c>
      <c r="P3" s="93"/>
      <c r="Q3" s="90">
        <v>26</v>
      </c>
      <c r="R3" s="91"/>
    </row>
    <row r="4" spans="1:18" x14ac:dyDescent="0.2">
      <c r="A4" s="76"/>
      <c r="B4" s="77"/>
      <c r="C4" s="77"/>
      <c r="D4" s="77"/>
      <c r="E4" s="78"/>
      <c r="F4" s="95" t="s">
        <v>7</v>
      </c>
      <c r="G4" s="94"/>
      <c r="H4" s="94"/>
      <c r="I4" s="96" t="s">
        <v>78</v>
      </c>
      <c r="J4" s="96"/>
      <c r="K4" s="96"/>
      <c r="L4" s="96"/>
      <c r="M4" s="96"/>
      <c r="N4" s="96"/>
      <c r="O4" s="96"/>
      <c r="P4" s="96"/>
      <c r="Q4" s="96"/>
      <c r="R4" s="97"/>
    </row>
    <row r="5" spans="1:18" x14ac:dyDescent="0.2">
      <c r="A5" s="76"/>
      <c r="B5" s="77"/>
      <c r="C5" s="77"/>
      <c r="D5" s="77"/>
      <c r="E5" s="78"/>
      <c r="F5" s="99" t="s">
        <v>8</v>
      </c>
      <c r="G5" s="98"/>
      <c r="H5" s="96" t="s">
        <v>79</v>
      </c>
      <c r="I5" s="96"/>
      <c r="J5" s="96"/>
      <c r="K5" s="96"/>
      <c r="L5" s="96"/>
      <c r="M5" s="96"/>
      <c r="N5" s="96"/>
      <c r="O5" s="96"/>
      <c r="P5" s="96"/>
      <c r="Q5" s="96"/>
      <c r="R5" s="97"/>
    </row>
    <row r="6" spans="1:18" ht="17" thickBot="1" x14ac:dyDescent="0.25">
      <c r="A6" s="79"/>
      <c r="B6" s="80"/>
      <c r="C6" s="80"/>
      <c r="D6" s="80"/>
      <c r="E6" s="81"/>
      <c r="F6" s="95" t="s">
        <v>9</v>
      </c>
      <c r="G6" s="94"/>
      <c r="H6" s="94"/>
      <c r="I6" s="100" t="s">
        <v>80</v>
      </c>
      <c r="J6" s="100"/>
      <c r="K6" s="100"/>
      <c r="L6" s="100"/>
      <c r="M6" s="100"/>
      <c r="N6" s="100"/>
      <c r="O6" s="100"/>
      <c r="P6" s="100"/>
      <c r="Q6" s="100"/>
      <c r="R6" s="101"/>
    </row>
    <row r="7" spans="1:18" x14ac:dyDescent="0.2">
      <c r="A7" s="102" t="s">
        <v>10</v>
      </c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4"/>
    </row>
    <row r="8" spans="1:18" x14ac:dyDescent="0.2">
      <c r="A8" s="66" t="s">
        <v>11</v>
      </c>
      <c r="B8" s="90">
        <v>102.1</v>
      </c>
      <c r="C8" s="105"/>
      <c r="D8" s="106">
        <v>100.2</v>
      </c>
      <c r="E8" s="105"/>
      <c r="F8" s="106">
        <v>93.2</v>
      </c>
      <c r="G8" s="105"/>
      <c r="H8" s="106">
        <v>90.2</v>
      </c>
      <c r="I8" s="105"/>
      <c r="J8" s="106">
        <v>87.6</v>
      </c>
      <c r="K8" s="89"/>
      <c r="L8" s="107"/>
      <c r="M8" s="107"/>
      <c r="N8" s="107"/>
      <c r="O8" s="108"/>
      <c r="P8" s="90" t="s">
        <v>12</v>
      </c>
      <c r="Q8" s="87"/>
      <c r="R8" s="91"/>
    </row>
    <row r="9" spans="1:18" x14ac:dyDescent="0.2">
      <c r="A9" s="67" t="s">
        <v>13</v>
      </c>
      <c r="B9" s="90" t="s">
        <v>81</v>
      </c>
      <c r="C9" s="105"/>
      <c r="D9" s="106" t="s">
        <v>82</v>
      </c>
      <c r="E9" s="105"/>
      <c r="F9" s="106">
        <v>100</v>
      </c>
      <c r="G9" s="105"/>
      <c r="H9" s="106">
        <v>150</v>
      </c>
      <c r="I9" s="105"/>
      <c r="J9" s="106">
        <v>200</v>
      </c>
      <c r="K9" s="105"/>
      <c r="L9" s="109"/>
      <c r="M9" s="109"/>
      <c r="N9" s="109"/>
      <c r="O9" s="110"/>
      <c r="P9" s="90">
        <v>153.15</v>
      </c>
      <c r="Q9" s="87"/>
      <c r="R9" s="91"/>
    </row>
    <row r="10" spans="1:18" x14ac:dyDescent="0.2">
      <c r="A10" s="111" t="s">
        <v>14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3"/>
    </row>
    <row r="11" spans="1:18" x14ac:dyDescent="0.2">
      <c r="A11" s="68" t="s">
        <v>15</v>
      </c>
      <c r="B11" s="115" t="s">
        <v>16</v>
      </c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6"/>
    </row>
    <row r="12" spans="1:18" x14ac:dyDescent="0.2">
      <c r="A12" s="69" t="s">
        <v>17</v>
      </c>
      <c r="B12" s="70">
        <v>0.5</v>
      </c>
      <c r="C12" s="70">
        <v>0.75</v>
      </c>
      <c r="D12" s="70">
        <v>1</v>
      </c>
      <c r="E12" s="70">
        <v>1.5</v>
      </c>
      <c r="F12" s="70">
        <v>2</v>
      </c>
      <c r="G12" s="70">
        <v>3</v>
      </c>
      <c r="H12" s="70">
        <v>4</v>
      </c>
      <c r="I12" s="70">
        <v>6</v>
      </c>
      <c r="J12" s="70">
        <v>8</v>
      </c>
      <c r="K12" s="70">
        <v>10</v>
      </c>
      <c r="L12" s="70">
        <v>12</v>
      </c>
      <c r="M12" s="70">
        <v>14</v>
      </c>
      <c r="N12" s="70">
        <v>16</v>
      </c>
      <c r="O12" s="70">
        <v>18</v>
      </c>
      <c r="P12" s="70">
        <v>20</v>
      </c>
      <c r="Q12" s="70">
        <v>22</v>
      </c>
      <c r="R12" s="71">
        <v>24</v>
      </c>
    </row>
    <row r="13" spans="1:18" x14ac:dyDescent="0.2">
      <c r="A13" s="69" t="s">
        <v>18</v>
      </c>
      <c r="B13" s="70">
        <v>21.3</v>
      </c>
      <c r="C13" s="70">
        <v>26.7</v>
      </c>
      <c r="D13" s="70">
        <v>33.4</v>
      </c>
      <c r="E13" s="70">
        <v>48.3</v>
      </c>
      <c r="F13" s="70">
        <v>60.3</v>
      </c>
      <c r="G13" s="70">
        <v>88.9</v>
      </c>
      <c r="H13" s="70">
        <v>114.3</v>
      </c>
      <c r="I13" s="70">
        <v>168.3</v>
      </c>
      <c r="J13" s="70">
        <v>219.1</v>
      </c>
      <c r="K13" s="70">
        <v>273.10000000000002</v>
      </c>
      <c r="L13" s="70">
        <v>323.89999999999998</v>
      </c>
      <c r="M13" s="70">
        <v>355.6</v>
      </c>
      <c r="N13" s="70">
        <v>406.4</v>
      </c>
      <c r="O13" s="70">
        <v>457</v>
      </c>
      <c r="P13" s="70">
        <v>508</v>
      </c>
      <c r="Q13" s="70">
        <v>559</v>
      </c>
      <c r="R13" s="71">
        <v>610</v>
      </c>
    </row>
    <row r="14" spans="1:18" x14ac:dyDescent="0.2">
      <c r="A14" s="69" t="s">
        <v>19</v>
      </c>
      <c r="B14" s="70">
        <v>160</v>
      </c>
      <c r="C14" s="70">
        <v>160</v>
      </c>
      <c r="D14" s="70">
        <v>160</v>
      </c>
      <c r="E14" s="70">
        <v>160</v>
      </c>
      <c r="F14" s="70">
        <v>160</v>
      </c>
      <c r="G14" s="70">
        <v>80</v>
      </c>
      <c r="H14" s="70">
        <v>80</v>
      </c>
      <c r="I14" s="70">
        <v>80</v>
      </c>
      <c r="J14" s="70">
        <v>80</v>
      </c>
      <c r="K14" s="70">
        <v>80</v>
      </c>
      <c r="L14" s="70">
        <v>80</v>
      </c>
      <c r="M14" s="70">
        <v>80</v>
      </c>
      <c r="N14" s="70">
        <v>80</v>
      </c>
      <c r="O14" s="70">
        <v>80</v>
      </c>
      <c r="P14" s="70">
        <v>80</v>
      </c>
      <c r="Q14" s="70">
        <v>80</v>
      </c>
      <c r="R14" s="71">
        <v>80</v>
      </c>
    </row>
    <row r="15" spans="1:18" x14ac:dyDescent="0.2">
      <c r="A15" s="69" t="s">
        <v>21</v>
      </c>
      <c r="B15" s="70">
        <v>7.47</v>
      </c>
      <c r="C15" s="70">
        <v>5.56</v>
      </c>
      <c r="D15" s="70">
        <v>6.35</v>
      </c>
      <c r="E15" s="70">
        <v>7.14</v>
      </c>
      <c r="F15" s="70">
        <v>8.74</v>
      </c>
      <c r="G15" s="70">
        <v>7.62</v>
      </c>
      <c r="H15" s="70">
        <v>8.56</v>
      </c>
      <c r="I15" s="70">
        <v>10.97</v>
      </c>
      <c r="J15" s="70">
        <v>12.7</v>
      </c>
      <c r="K15" s="70">
        <v>15.08</v>
      </c>
      <c r="L15" s="70">
        <v>17.47</v>
      </c>
      <c r="M15" s="70">
        <v>19.05</v>
      </c>
      <c r="N15" s="70">
        <v>21.44</v>
      </c>
      <c r="O15" s="70">
        <v>23.82</v>
      </c>
      <c r="P15" s="70">
        <v>26.19</v>
      </c>
      <c r="Q15" s="70">
        <v>28.57</v>
      </c>
      <c r="R15" s="71">
        <v>30.96</v>
      </c>
    </row>
    <row r="16" spans="1:18" x14ac:dyDescent="0.2">
      <c r="A16" s="72" t="s">
        <v>22</v>
      </c>
      <c r="B16" s="115" t="s">
        <v>23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7"/>
      <c r="O16" s="115" t="s">
        <v>24</v>
      </c>
      <c r="P16" s="114"/>
      <c r="Q16" s="114"/>
      <c r="R16" s="116"/>
    </row>
    <row r="17" spans="1:18" x14ac:dyDescent="0.2">
      <c r="A17" s="72" t="s">
        <v>25</v>
      </c>
      <c r="B17" s="115" t="s">
        <v>26</v>
      </c>
      <c r="C17" s="114"/>
      <c r="D17" s="114"/>
      <c r="E17" s="114"/>
      <c r="F17" s="114"/>
      <c r="G17" s="114"/>
      <c r="H17" s="114"/>
      <c r="I17" s="114"/>
      <c r="J17" s="114"/>
      <c r="K17" s="121"/>
      <c r="L17" s="122" t="s">
        <v>92</v>
      </c>
      <c r="M17" s="114"/>
      <c r="N17" s="121"/>
      <c r="O17" s="106" t="s">
        <v>27</v>
      </c>
      <c r="P17" s="87"/>
      <c r="Q17" s="87"/>
      <c r="R17" s="91"/>
    </row>
    <row r="18" spans="1:18" x14ac:dyDescent="0.2">
      <c r="A18" s="72" t="s">
        <v>28</v>
      </c>
      <c r="B18" s="115" t="s">
        <v>29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6"/>
    </row>
    <row r="19" spans="1:18" x14ac:dyDescent="0.2">
      <c r="A19" s="118" t="s">
        <v>30</v>
      </c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20"/>
    </row>
    <row r="20" spans="1:18" x14ac:dyDescent="0.2">
      <c r="A20" s="72" t="s">
        <v>22</v>
      </c>
      <c r="B20" s="115" t="s">
        <v>31</v>
      </c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7"/>
      <c r="O20" s="115" t="s">
        <v>32</v>
      </c>
      <c r="P20" s="114"/>
      <c r="Q20" s="114"/>
      <c r="R20" s="116"/>
    </row>
    <row r="21" spans="1:18" x14ac:dyDescent="0.2">
      <c r="A21" s="72" t="s">
        <v>25</v>
      </c>
      <c r="B21" s="115" t="s">
        <v>93</v>
      </c>
      <c r="C21" s="114"/>
      <c r="D21" s="114"/>
      <c r="E21" s="114"/>
      <c r="F21" s="114"/>
      <c r="G21" s="114"/>
      <c r="H21" s="114"/>
      <c r="I21" s="114"/>
      <c r="J21" s="114"/>
      <c r="K21" s="121"/>
      <c r="L21" s="122" t="s">
        <v>94</v>
      </c>
      <c r="M21" s="114"/>
      <c r="N21" s="114"/>
      <c r="O21" s="114"/>
      <c r="P21" s="114"/>
      <c r="Q21" s="114"/>
      <c r="R21" s="116"/>
    </row>
    <row r="22" spans="1:18" x14ac:dyDescent="0.2">
      <c r="A22" s="72" t="s">
        <v>35</v>
      </c>
      <c r="B22" s="115" t="s">
        <v>36</v>
      </c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6"/>
    </row>
    <row r="23" spans="1:18" x14ac:dyDescent="0.2">
      <c r="A23" s="72" t="s">
        <v>37</v>
      </c>
      <c r="B23" s="115" t="s">
        <v>36</v>
      </c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6"/>
    </row>
    <row r="24" spans="1:18" x14ac:dyDescent="0.2">
      <c r="A24" s="72" t="s">
        <v>38</v>
      </c>
      <c r="B24" s="115" t="s">
        <v>36</v>
      </c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6"/>
    </row>
    <row r="25" spans="1:18" x14ac:dyDescent="0.2">
      <c r="A25" s="72" t="s">
        <v>39</v>
      </c>
      <c r="B25" s="115" t="s">
        <v>36</v>
      </c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6"/>
    </row>
    <row r="26" spans="1:18" x14ac:dyDescent="0.2">
      <c r="A26" s="72" t="s">
        <v>40</v>
      </c>
      <c r="B26" s="90" t="s">
        <v>41</v>
      </c>
      <c r="C26" s="87"/>
      <c r="D26" s="87"/>
      <c r="E26" s="89"/>
      <c r="F26" s="115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6"/>
    </row>
    <row r="27" spans="1:18" x14ac:dyDescent="0.2">
      <c r="A27" s="72" t="s">
        <v>42</v>
      </c>
      <c r="B27" s="115" t="s">
        <v>43</v>
      </c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6"/>
    </row>
    <row r="28" spans="1:18" x14ac:dyDescent="0.2">
      <c r="A28" s="118" t="s">
        <v>44</v>
      </c>
      <c r="B28" s="119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20"/>
    </row>
    <row r="29" spans="1:18" x14ac:dyDescent="0.2">
      <c r="A29" s="72" t="s">
        <v>25</v>
      </c>
      <c r="B29" s="115" t="s">
        <v>45</v>
      </c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6"/>
    </row>
    <row r="30" spans="1:18" x14ac:dyDescent="0.2">
      <c r="A30" s="72" t="s">
        <v>46</v>
      </c>
      <c r="B30" s="115" t="s">
        <v>95</v>
      </c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R30" s="116"/>
    </row>
    <row r="31" spans="1:18" x14ac:dyDescent="0.2">
      <c r="A31" s="72" t="s">
        <v>22</v>
      </c>
      <c r="B31" s="115" t="s">
        <v>48</v>
      </c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6"/>
    </row>
    <row r="32" spans="1:18" x14ac:dyDescent="0.2">
      <c r="A32" s="118" t="s">
        <v>49</v>
      </c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20"/>
    </row>
    <row r="33" spans="1:18" x14ac:dyDescent="0.2">
      <c r="A33" s="72" t="s">
        <v>25</v>
      </c>
      <c r="B33" s="115" t="s">
        <v>45</v>
      </c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6"/>
    </row>
    <row r="34" spans="1:18" x14ac:dyDescent="0.2">
      <c r="A34" s="72" t="s">
        <v>50</v>
      </c>
      <c r="B34" s="115" t="s">
        <v>51</v>
      </c>
      <c r="C34" s="114"/>
      <c r="D34" s="114"/>
      <c r="E34" s="114"/>
      <c r="F34" s="114"/>
      <c r="G34" s="114"/>
      <c r="H34" s="114"/>
      <c r="I34" s="114"/>
      <c r="J34" s="114"/>
      <c r="K34" s="114"/>
      <c r="L34" s="117"/>
      <c r="M34" s="90" t="s">
        <v>52</v>
      </c>
      <c r="N34" s="87"/>
      <c r="O34" s="87"/>
      <c r="P34" s="87"/>
      <c r="Q34" s="87"/>
      <c r="R34" s="91"/>
    </row>
    <row r="35" spans="1:18" x14ac:dyDescent="0.2">
      <c r="A35" s="118" t="s">
        <v>53</v>
      </c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20"/>
    </row>
    <row r="36" spans="1:18" x14ac:dyDescent="0.2">
      <c r="A36" s="68" t="s">
        <v>54</v>
      </c>
      <c r="B36" s="115" t="s">
        <v>55</v>
      </c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6"/>
    </row>
    <row r="37" spans="1:18" x14ac:dyDescent="0.2">
      <c r="A37" s="72" t="s">
        <v>56</v>
      </c>
      <c r="B37" s="115" t="s">
        <v>57</v>
      </c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6"/>
    </row>
    <row r="38" spans="1:18" x14ac:dyDescent="0.2">
      <c r="A38" s="72" t="s">
        <v>58</v>
      </c>
      <c r="B38" s="115" t="s">
        <v>59</v>
      </c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6"/>
    </row>
    <row r="39" spans="1:18" x14ac:dyDescent="0.2">
      <c r="A39" s="118" t="s">
        <v>60</v>
      </c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20"/>
    </row>
    <row r="40" spans="1:18" x14ac:dyDescent="0.2">
      <c r="A40" s="68" t="s">
        <v>61</v>
      </c>
      <c r="B40" s="115" t="s">
        <v>96</v>
      </c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6"/>
    </row>
    <row r="41" spans="1:18" x14ac:dyDescent="0.2">
      <c r="A41" s="72" t="s">
        <v>62</v>
      </c>
      <c r="B41" s="115" t="s">
        <v>97</v>
      </c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6"/>
    </row>
    <row r="42" spans="1:18" x14ac:dyDescent="0.2">
      <c r="A42" s="72" t="s">
        <v>63</v>
      </c>
      <c r="B42" s="115" t="s">
        <v>98</v>
      </c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6"/>
    </row>
    <row r="43" spans="1:18" x14ac:dyDescent="0.2">
      <c r="A43" s="72" t="s">
        <v>64</v>
      </c>
      <c r="B43" s="115" t="s">
        <v>99</v>
      </c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6"/>
    </row>
    <row r="44" spans="1:18" x14ac:dyDescent="0.2">
      <c r="A44" s="72" t="s">
        <v>65</v>
      </c>
      <c r="B44" s="115" t="s">
        <v>100</v>
      </c>
      <c r="C44" s="114"/>
      <c r="D44" s="114"/>
      <c r="E44" s="121"/>
      <c r="F44" s="122" t="s">
        <v>101</v>
      </c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6"/>
    </row>
  </sheetData>
  <mergeCells count="73">
    <mergeCell ref="B44:E44"/>
    <mergeCell ref="F44:R44"/>
    <mergeCell ref="B38:R38"/>
    <mergeCell ref="A39:R39"/>
    <mergeCell ref="B40:R40"/>
    <mergeCell ref="B41:R41"/>
    <mergeCell ref="B42:R42"/>
    <mergeCell ref="B43:R43"/>
    <mergeCell ref="B33:R33"/>
    <mergeCell ref="B34:L34"/>
    <mergeCell ref="M34:R34"/>
    <mergeCell ref="A35:R35"/>
    <mergeCell ref="B36:R36"/>
    <mergeCell ref="B37:R37"/>
    <mergeCell ref="B27:R27"/>
    <mergeCell ref="A28:R28"/>
    <mergeCell ref="B29:R29"/>
    <mergeCell ref="B30:R30"/>
    <mergeCell ref="B31:R31"/>
    <mergeCell ref="A32:R32"/>
    <mergeCell ref="B22:R22"/>
    <mergeCell ref="B23:R23"/>
    <mergeCell ref="B24:R24"/>
    <mergeCell ref="B25:R25"/>
    <mergeCell ref="B26:E26"/>
    <mergeCell ref="F26:R26"/>
    <mergeCell ref="B18:R18"/>
    <mergeCell ref="A19:R19"/>
    <mergeCell ref="B20:N20"/>
    <mergeCell ref="O20:R20"/>
    <mergeCell ref="B21:K21"/>
    <mergeCell ref="L21:R21"/>
    <mergeCell ref="A10:R10"/>
    <mergeCell ref="B11:R11"/>
    <mergeCell ref="B16:N16"/>
    <mergeCell ref="O16:R16"/>
    <mergeCell ref="B17:K17"/>
    <mergeCell ref="L17:N17"/>
    <mergeCell ref="O17:R17"/>
    <mergeCell ref="L8:O9"/>
    <mergeCell ref="P8:R8"/>
    <mergeCell ref="B9:C9"/>
    <mergeCell ref="D9:E9"/>
    <mergeCell ref="F9:G9"/>
    <mergeCell ref="H9:I9"/>
    <mergeCell ref="J9:K9"/>
    <mergeCell ref="P9:R9"/>
    <mergeCell ref="F5:G5"/>
    <mergeCell ref="H5:R5"/>
    <mergeCell ref="F6:H6"/>
    <mergeCell ref="I6:R6"/>
    <mergeCell ref="A7:R7"/>
    <mergeCell ref="B8:C8"/>
    <mergeCell ref="D8:E8"/>
    <mergeCell ref="F8:G8"/>
    <mergeCell ref="H8:I8"/>
    <mergeCell ref="J8:K8"/>
    <mergeCell ref="J3:L3"/>
    <mergeCell ref="M3:N3"/>
    <mergeCell ref="O3:P3"/>
    <mergeCell ref="Q3:R3"/>
    <mergeCell ref="F4:H4"/>
    <mergeCell ref="I4:R4"/>
    <mergeCell ref="A1:E6"/>
    <mergeCell ref="F1:P1"/>
    <mergeCell ref="Q1:R1"/>
    <mergeCell ref="F2:I2"/>
    <mergeCell ref="J2:L2"/>
    <mergeCell ref="M2:N2"/>
    <mergeCell ref="O2:P2"/>
    <mergeCell ref="Q2:R2"/>
    <mergeCell ref="F3:G3"/>
    <mergeCell ref="H3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6E0C-BB6E-3D44-BEE4-36E3A8BF1E6D}">
  <dimension ref="A1:V57"/>
  <sheetViews>
    <sheetView tabSelected="1" workbookViewId="0">
      <selection activeCell="Y9" sqref="Y9"/>
    </sheetView>
  </sheetViews>
  <sheetFormatPr baseColWidth="10" defaultColWidth="9.1640625" defaultRowHeight="15" x14ac:dyDescent="0.2"/>
  <cols>
    <col min="1" max="1" width="10.6640625" style="132" customWidth="1"/>
    <col min="2" max="22" width="5.33203125" style="132" customWidth="1"/>
    <col min="23" max="16384" width="9.1640625" style="132"/>
  </cols>
  <sheetData>
    <row r="1" spans="1:22" x14ac:dyDescent="0.2">
      <c r="A1" s="1" t="e" vm="1">
        <v>#VALUE!</v>
      </c>
      <c r="B1" s="2"/>
      <c r="C1" s="2"/>
      <c r="D1" s="2"/>
      <c r="E1" s="3"/>
      <c r="F1" s="4" t="s">
        <v>0</v>
      </c>
      <c r="G1" s="5"/>
      <c r="H1" s="5"/>
      <c r="I1" s="5"/>
      <c r="J1" s="5"/>
      <c r="K1" s="5"/>
      <c r="L1" s="5"/>
      <c r="M1" s="5"/>
      <c r="N1" s="5"/>
      <c r="O1" s="5"/>
      <c r="P1" s="5"/>
      <c r="Q1" s="6" t="s">
        <v>1</v>
      </c>
      <c r="R1" s="7"/>
    </row>
    <row r="2" spans="1:22" s="8" customFormat="1" ht="15.75" customHeight="1" x14ac:dyDescent="0.2">
      <c r="A2" s="9"/>
      <c r="B2" s="10"/>
      <c r="C2" s="10"/>
      <c r="D2" s="10"/>
      <c r="E2" s="11"/>
      <c r="F2" s="12" t="s">
        <v>2</v>
      </c>
      <c r="G2" s="13"/>
      <c r="H2" s="13"/>
      <c r="I2" s="13"/>
      <c r="J2" s="14" t="s">
        <v>3</v>
      </c>
      <c r="K2" s="15"/>
      <c r="L2" s="12"/>
      <c r="M2" s="13" t="s">
        <v>4</v>
      </c>
      <c r="N2" s="13"/>
      <c r="O2" s="13" t="s">
        <v>5</v>
      </c>
      <c r="P2" s="13"/>
      <c r="Q2" s="13" t="s">
        <v>6</v>
      </c>
      <c r="R2" s="16"/>
      <c r="S2" s="132"/>
      <c r="T2" s="132"/>
      <c r="U2" s="132"/>
      <c r="V2" s="132"/>
    </row>
    <row r="3" spans="1:22" s="8" customFormat="1" x14ac:dyDescent="0.2">
      <c r="A3" s="9"/>
      <c r="B3" s="10"/>
      <c r="C3" s="10"/>
      <c r="D3" s="10"/>
      <c r="E3" s="11"/>
      <c r="F3" s="12" t="str">
        <f ca="1">MID(CELL("filename",A4),FIND("]",CELL("filename",A4))+1,255)</f>
        <v>E1</v>
      </c>
      <c r="G3" s="13"/>
      <c r="H3" s="13" t="str">
        <f ca="1">VLOOKUP(F3,[1]INDEX!B:J,2,0)</f>
        <v>900#</v>
      </c>
      <c r="I3" s="13"/>
      <c r="J3" s="14" t="str">
        <f ca="1">VLOOKUP(F3,[1]INDEX!B:J,4,0)</f>
        <v>CS</v>
      </c>
      <c r="K3" s="15"/>
      <c r="L3" s="12"/>
      <c r="M3" s="13" t="str">
        <f ca="1">VLOOKUP(F3,[1]INDEX!B:J,5,0)</f>
        <v>3 mm</v>
      </c>
      <c r="N3" s="13"/>
      <c r="O3" s="17">
        <f ca="1">VLOOKUP(F3,[1]INDEX!B:AF,17,0)</f>
        <v>0.125</v>
      </c>
      <c r="P3" s="17"/>
      <c r="Q3" s="13">
        <f ca="1">VLOOKUP(F3,[1]INDEX!B:J,9,0)</f>
        <v>27</v>
      </c>
      <c r="R3" s="16"/>
    </row>
    <row r="4" spans="1:22" s="8" customFormat="1" ht="15" customHeight="1" x14ac:dyDescent="0.2">
      <c r="A4" s="9"/>
      <c r="B4" s="10"/>
      <c r="C4" s="10"/>
      <c r="D4" s="10"/>
      <c r="E4" s="11"/>
      <c r="F4" s="18" t="s">
        <v>7</v>
      </c>
      <c r="G4" s="18"/>
      <c r="H4" s="18"/>
      <c r="I4" s="19" t="str">
        <f ca="1">VLOOKUP(F3,[1]INDEX!B:AF,18,0)</f>
        <v>ASME B 31.3</v>
      </c>
      <c r="J4" s="19"/>
      <c r="K4" s="19"/>
      <c r="L4" s="19"/>
      <c r="M4" s="19"/>
      <c r="N4" s="19"/>
      <c r="O4" s="19"/>
      <c r="P4" s="19"/>
      <c r="Q4" s="19"/>
      <c r="R4" s="20"/>
    </row>
    <row r="5" spans="1:22" s="8" customFormat="1" ht="14" customHeight="1" x14ac:dyDescent="0.2">
      <c r="A5" s="9"/>
      <c r="B5" s="10"/>
      <c r="C5" s="10"/>
      <c r="D5" s="10"/>
      <c r="E5" s="11"/>
      <c r="F5" s="21" t="s">
        <v>8</v>
      </c>
      <c r="G5" s="21"/>
      <c r="H5" s="19" t="str">
        <f ca="1">VLOOKUP(F3,[1]INDEX!B:J,6,0)</f>
        <v>Diesel, WI, HC with low CO2 and H2S, Steam, Hydraulic</v>
      </c>
      <c r="I5" s="19"/>
      <c r="J5" s="19"/>
      <c r="K5" s="19"/>
      <c r="L5" s="19"/>
      <c r="M5" s="19"/>
      <c r="N5" s="19"/>
      <c r="O5" s="19"/>
      <c r="P5" s="19"/>
      <c r="Q5" s="19"/>
      <c r="R5" s="20"/>
    </row>
    <row r="6" spans="1:22" s="8" customFormat="1" ht="14.5" customHeight="1" thickBot="1" x14ac:dyDescent="0.25">
      <c r="A6" s="22"/>
      <c r="B6" s="23"/>
      <c r="C6" s="23"/>
      <c r="D6" s="23"/>
      <c r="E6" s="24"/>
      <c r="F6" s="18" t="s">
        <v>9</v>
      </c>
      <c r="G6" s="18"/>
      <c r="H6" s="18"/>
      <c r="I6" s="25" t="str">
        <f ca="1">VLOOKUP(F3,[1]INDEX!B:AF,16,0)</f>
        <v>Ref. APPENDIX-1, Chart 1</v>
      </c>
      <c r="J6" s="25"/>
      <c r="K6" s="25"/>
      <c r="L6" s="25"/>
      <c r="M6" s="25"/>
      <c r="N6" s="25"/>
      <c r="O6" s="25"/>
      <c r="P6" s="25"/>
      <c r="Q6" s="25"/>
      <c r="R6" s="26"/>
    </row>
    <row r="7" spans="1:22" s="8" customFormat="1" ht="14.5" customHeight="1" x14ac:dyDescent="0.2">
      <c r="A7" s="27" t="s">
        <v>10</v>
      </c>
      <c r="B7" s="28"/>
      <c r="C7" s="28"/>
      <c r="D7" s="28"/>
      <c r="E7" s="28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30"/>
    </row>
    <row r="8" spans="1:22" s="36" customFormat="1" x14ac:dyDescent="0.2">
      <c r="A8" s="31" t="s">
        <v>11</v>
      </c>
      <c r="B8" s="14">
        <f ca="1">VLOOKUP(F3,[1]INDEX!B:AF,20,0)</f>
        <v>153.19999999999999</v>
      </c>
      <c r="C8" s="12"/>
      <c r="D8" s="14">
        <f ca="1">VLOOKUP(F3,[1]INDEX!B:AF,21,0)</f>
        <v>150.4</v>
      </c>
      <c r="E8" s="12"/>
      <c r="F8" s="14">
        <f ca="1">VLOOKUP(F3,[1]INDEX!B:AF,22,0)</f>
        <v>139.80000000000001</v>
      </c>
      <c r="G8" s="12"/>
      <c r="H8" s="14">
        <f ca="1">VLOOKUP(F3,[1]INDEX!B:AF,23,0)</f>
        <v>135.19999999999999</v>
      </c>
      <c r="I8" s="12"/>
      <c r="J8" s="14">
        <f ca="1">VLOOKUP(F3,[1]INDEX!B:AF,24,0)</f>
        <v>131.4</v>
      </c>
      <c r="K8" s="12"/>
      <c r="L8" s="32"/>
      <c r="M8" s="33"/>
      <c r="N8" s="33"/>
      <c r="O8" s="34"/>
      <c r="P8" s="14" t="s">
        <v>12</v>
      </c>
      <c r="Q8" s="15"/>
      <c r="R8" s="35"/>
    </row>
    <row r="9" spans="1:22" s="36" customFormat="1" x14ac:dyDescent="0.2">
      <c r="A9" s="31" t="s">
        <v>13</v>
      </c>
      <c r="B9" s="14" t="str">
        <f ca="1">VLOOKUP(F3,[1]INDEX!B:Z,19,0)&amp;" to 38"</f>
        <v>-29 to 38</v>
      </c>
      <c r="C9" s="12"/>
      <c r="D9" s="14">
        <v>50</v>
      </c>
      <c r="E9" s="12"/>
      <c r="F9" s="14">
        <v>100</v>
      </c>
      <c r="G9" s="12"/>
      <c r="H9" s="14">
        <v>150</v>
      </c>
      <c r="I9" s="12"/>
      <c r="J9" s="14">
        <v>200</v>
      </c>
      <c r="K9" s="12"/>
      <c r="L9" s="37"/>
      <c r="M9" s="38"/>
      <c r="N9" s="38"/>
      <c r="O9" s="39"/>
      <c r="P9" s="14">
        <f ca="1">B8*1.5</f>
        <v>229.79999999999998</v>
      </c>
      <c r="Q9" s="15"/>
      <c r="R9" s="35"/>
    </row>
    <row r="10" spans="1:22" s="36" customFormat="1" x14ac:dyDescent="0.2">
      <c r="A10" s="40" t="s">
        <v>14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2"/>
    </row>
    <row r="11" spans="1:22" ht="16" x14ac:dyDescent="0.2">
      <c r="A11" s="43" t="s">
        <v>15</v>
      </c>
      <c r="B11" s="44" t="s">
        <v>16</v>
      </c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5"/>
    </row>
    <row r="12" spans="1:22" s="133" customFormat="1" x14ac:dyDescent="0.2">
      <c r="A12" s="46" t="s">
        <v>17</v>
      </c>
      <c r="B12" s="47">
        <v>0.5</v>
      </c>
      <c r="C12" s="47">
        <v>0.75</v>
      </c>
      <c r="D12" s="47">
        <v>1</v>
      </c>
      <c r="E12" s="47">
        <v>1.5</v>
      </c>
      <c r="F12" s="47">
        <v>2</v>
      </c>
      <c r="G12" s="47">
        <v>3</v>
      </c>
      <c r="H12" s="47">
        <v>4</v>
      </c>
      <c r="I12" s="47">
        <v>6</v>
      </c>
      <c r="J12" s="47">
        <v>8</v>
      </c>
      <c r="K12" s="47">
        <v>10</v>
      </c>
      <c r="L12" s="47">
        <v>12</v>
      </c>
      <c r="M12" s="47">
        <v>14</v>
      </c>
      <c r="N12" s="47">
        <v>16</v>
      </c>
      <c r="O12" s="47">
        <v>18</v>
      </c>
      <c r="P12" s="47">
        <v>20</v>
      </c>
      <c r="Q12" s="47">
        <v>22</v>
      </c>
      <c r="R12" s="48">
        <v>24</v>
      </c>
    </row>
    <row r="13" spans="1:22" s="133" customFormat="1" x14ac:dyDescent="0.2">
      <c r="A13" s="46" t="s">
        <v>18</v>
      </c>
      <c r="B13" s="47">
        <v>21.3</v>
      </c>
      <c r="C13" s="47">
        <v>26.7</v>
      </c>
      <c r="D13" s="47">
        <v>33.4</v>
      </c>
      <c r="E13" s="47">
        <v>48.3</v>
      </c>
      <c r="F13" s="47">
        <v>60.3</v>
      </c>
      <c r="G13" s="47">
        <v>88.9</v>
      </c>
      <c r="H13" s="47">
        <v>114</v>
      </c>
      <c r="I13" s="47">
        <v>168.3</v>
      </c>
      <c r="J13" s="47">
        <v>219</v>
      </c>
      <c r="K13" s="47">
        <v>273.10000000000002</v>
      </c>
      <c r="L13" s="47">
        <v>323.89999999999998</v>
      </c>
      <c r="M13" s="47">
        <v>355.6</v>
      </c>
      <c r="N13" s="47">
        <v>406.4</v>
      </c>
      <c r="O13" s="47">
        <v>457</v>
      </c>
      <c r="P13" s="47">
        <v>508</v>
      </c>
      <c r="Q13" s="47">
        <v>559</v>
      </c>
      <c r="R13" s="48">
        <v>610</v>
      </c>
    </row>
    <row r="14" spans="1:22" s="133" customFormat="1" x14ac:dyDescent="0.2">
      <c r="A14" s="46" t="s">
        <v>19</v>
      </c>
      <c r="B14" s="47">
        <v>160</v>
      </c>
      <c r="C14" s="47">
        <v>160</v>
      </c>
      <c r="D14" s="47">
        <v>160</v>
      </c>
      <c r="E14" s="47">
        <v>160</v>
      </c>
      <c r="F14" s="47">
        <v>160</v>
      </c>
      <c r="G14" s="47">
        <v>160</v>
      </c>
      <c r="H14" s="47">
        <v>120</v>
      </c>
      <c r="I14" s="47">
        <v>120</v>
      </c>
      <c r="J14" s="47">
        <v>120</v>
      </c>
      <c r="K14" s="47">
        <v>120</v>
      </c>
      <c r="L14" s="47">
        <v>120</v>
      </c>
      <c r="M14" s="47">
        <v>120</v>
      </c>
      <c r="N14" s="47">
        <v>120</v>
      </c>
      <c r="O14" s="47">
        <v>120</v>
      </c>
      <c r="P14" s="47">
        <v>120</v>
      </c>
      <c r="Q14" s="47">
        <v>120</v>
      </c>
      <c r="R14" s="48">
        <v>120</v>
      </c>
    </row>
    <row r="15" spans="1:22" s="133" customFormat="1" x14ac:dyDescent="0.2">
      <c r="A15" s="46" t="s">
        <v>21</v>
      </c>
      <c r="B15" s="47">
        <v>7.47</v>
      </c>
      <c r="C15" s="47">
        <v>5.56</v>
      </c>
      <c r="D15" s="47">
        <v>6.35</v>
      </c>
      <c r="E15" s="47">
        <v>7.14</v>
      </c>
      <c r="F15" s="47">
        <v>8.6999999999999993</v>
      </c>
      <c r="G15" s="47">
        <v>11.12</v>
      </c>
      <c r="H15" s="47">
        <v>11.1</v>
      </c>
      <c r="I15" s="47">
        <v>14.27</v>
      </c>
      <c r="J15" s="47">
        <v>18.3</v>
      </c>
      <c r="K15" s="47">
        <v>21.44</v>
      </c>
      <c r="L15" s="47">
        <v>25.4</v>
      </c>
      <c r="M15" s="47">
        <v>27.79</v>
      </c>
      <c r="N15" s="47">
        <v>30.96</v>
      </c>
      <c r="O15" s="47">
        <v>34.92</v>
      </c>
      <c r="P15" s="47">
        <v>38.1</v>
      </c>
      <c r="Q15" s="47">
        <v>41.27</v>
      </c>
      <c r="R15" s="48">
        <v>46.02</v>
      </c>
    </row>
    <row r="16" spans="1:22" ht="16" x14ac:dyDescent="0.2">
      <c r="A16" s="43" t="s">
        <v>22</v>
      </c>
      <c r="B16" s="44" t="s">
        <v>23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 t="s">
        <v>24</v>
      </c>
      <c r="P16" s="44"/>
      <c r="Q16" s="44"/>
      <c r="R16" s="45"/>
    </row>
    <row r="17" spans="1:21" ht="14" customHeight="1" x14ac:dyDescent="0.2">
      <c r="A17" s="43" t="s">
        <v>25</v>
      </c>
      <c r="B17" s="51" t="s">
        <v>26</v>
      </c>
      <c r="C17" s="49"/>
      <c r="D17" s="49"/>
      <c r="E17" s="49"/>
      <c r="F17" s="49"/>
      <c r="G17" s="49"/>
      <c r="H17" s="49"/>
      <c r="I17" s="53"/>
      <c r="J17" s="49" t="s">
        <v>92</v>
      </c>
      <c r="K17" s="49"/>
      <c r="L17" s="49"/>
      <c r="M17" s="49"/>
      <c r="N17" s="53"/>
      <c r="O17" s="14" t="s">
        <v>27</v>
      </c>
      <c r="P17" s="15"/>
      <c r="Q17" s="15"/>
      <c r="R17" s="35"/>
    </row>
    <row r="18" spans="1:21" ht="16" x14ac:dyDescent="0.2">
      <c r="A18" s="43" t="s">
        <v>28</v>
      </c>
      <c r="B18" s="51" t="s">
        <v>29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50"/>
    </row>
    <row r="19" spans="1:21" x14ac:dyDescent="0.2">
      <c r="A19" s="52" t="s">
        <v>30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5"/>
    </row>
    <row r="20" spans="1:21" ht="29.5" customHeight="1" x14ac:dyDescent="0.2">
      <c r="A20" s="43" t="s">
        <v>22</v>
      </c>
      <c r="B20" s="51" t="s">
        <v>31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51" t="s">
        <v>32</v>
      </c>
      <c r="P20" s="49"/>
      <c r="Q20" s="49"/>
      <c r="R20" s="50"/>
      <c r="U20" s="134"/>
    </row>
    <row r="21" spans="1:21" ht="16" x14ac:dyDescent="0.2">
      <c r="A21" s="43" t="s">
        <v>25</v>
      </c>
      <c r="B21" s="51" t="s">
        <v>33</v>
      </c>
      <c r="C21" s="49"/>
      <c r="D21" s="49"/>
      <c r="E21" s="49"/>
      <c r="F21" s="49"/>
      <c r="G21" s="49"/>
      <c r="H21" s="49"/>
      <c r="I21" s="53"/>
      <c r="J21" s="51" t="s">
        <v>94</v>
      </c>
      <c r="K21" s="49"/>
      <c r="L21" s="49"/>
      <c r="M21" s="49"/>
      <c r="N21" s="49"/>
      <c r="O21" s="49"/>
      <c r="P21" s="49"/>
      <c r="Q21" s="49"/>
      <c r="R21" s="50"/>
    </row>
    <row r="22" spans="1:21" ht="15" customHeight="1" x14ac:dyDescent="0.2">
      <c r="A22" s="43" t="s">
        <v>35</v>
      </c>
      <c r="B22" s="51" t="s">
        <v>36</v>
      </c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50"/>
    </row>
    <row r="23" spans="1:21" ht="15" customHeight="1" x14ac:dyDescent="0.2">
      <c r="A23" s="43" t="s">
        <v>37</v>
      </c>
      <c r="B23" s="51" t="s">
        <v>36</v>
      </c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50"/>
    </row>
    <row r="24" spans="1:21" ht="15" customHeight="1" x14ac:dyDescent="0.2">
      <c r="A24" s="43" t="s">
        <v>38</v>
      </c>
      <c r="B24" s="51" t="s">
        <v>36</v>
      </c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50"/>
    </row>
    <row r="25" spans="1:21" ht="15" customHeight="1" x14ac:dyDescent="0.2">
      <c r="A25" s="43" t="s">
        <v>39</v>
      </c>
      <c r="B25" s="51" t="s">
        <v>36</v>
      </c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50"/>
    </row>
    <row r="26" spans="1:21" ht="15" customHeight="1" x14ac:dyDescent="0.2">
      <c r="A26" s="43" t="s">
        <v>40</v>
      </c>
      <c r="B26" s="14" t="s">
        <v>41</v>
      </c>
      <c r="C26" s="15"/>
      <c r="D26" s="15"/>
      <c r="E26" s="15"/>
      <c r="F26" s="51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50"/>
    </row>
    <row r="27" spans="1:21" ht="15" customHeight="1" x14ac:dyDescent="0.2">
      <c r="A27" s="43" t="s">
        <v>42</v>
      </c>
      <c r="B27" s="51" t="s">
        <v>43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50"/>
    </row>
    <row r="28" spans="1:21" x14ac:dyDescent="0.2">
      <c r="A28" s="52" t="s">
        <v>44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5"/>
    </row>
    <row r="29" spans="1:21" s="8" customFormat="1" ht="14" customHeight="1" x14ac:dyDescent="0.2">
      <c r="A29" s="43" t="s">
        <v>25</v>
      </c>
      <c r="B29" s="51" t="s">
        <v>45</v>
      </c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50"/>
    </row>
    <row r="30" spans="1:21" s="8" customFormat="1" ht="14" customHeight="1" x14ac:dyDescent="0.2">
      <c r="A30" s="43" t="s">
        <v>46</v>
      </c>
      <c r="B30" s="51" t="s">
        <v>102</v>
      </c>
      <c r="C30" s="49"/>
      <c r="D30" s="49"/>
      <c r="E30" s="53"/>
      <c r="F30" s="51" t="s">
        <v>103</v>
      </c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50"/>
    </row>
    <row r="31" spans="1:21" s="8" customFormat="1" ht="14" customHeight="1" x14ac:dyDescent="0.2">
      <c r="A31" s="43" t="s">
        <v>22</v>
      </c>
      <c r="B31" s="51" t="s">
        <v>104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50"/>
    </row>
    <row r="32" spans="1:21" x14ac:dyDescent="0.2">
      <c r="A32" s="52" t="s">
        <v>49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5"/>
    </row>
    <row r="33" spans="1:18" ht="16" x14ac:dyDescent="0.2">
      <c r="A33" s="43" t="s">
        <v>25</v>
      </c>
      <c r="B33" s="44" t="s">
        <v>45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5"/>
    </row>
    <row r="34" spans="1:18" ht="14" customHeight="1" x14ac:dyDescent="0.2">
      <c r="A34" s="43" t="s">
        <v>50</v>
      </c>
      <c r="B34" s="51" t="s">
        <v>51</v>
      </c>
      <c r="C34" s="49"/>
      <c r="D34" s="49"/>
      <c r="E34" s="49"/>
      <c r="F34" s="49"/>
      <c r="G34" s="49"/>
      <c r="H34" s="49"/>
      <c r="I34" s="49"/>
      <c r="J34" s="49"/>
      <c r="K34" s="49"/>
      <c r="L34" s="53"/>
      <c r="M34" s="13" t="s">
        <v>52</v>
      </c>
      <c r="N34" s="13"/>
      <c r="O34" s="13"/>
      <c r="P34" s="13"/>
      <c r="Q34" s="13"/>
      <c r="R34" s="16"/>
    </row>
    <row r="35" spans="1:18" s="8" customFormat="1" ht="14" customHeight="1" x14ac:dyDescent="0.2">
      <c r="A35" s="54" t="s">
        <v>53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6"/>
    </row>
    <row r="36" spans="1:18" s="8" customFormat="1" ht="14" customHeight="1" x14ac:dyDescent="0.2">
      <c r="A36" s="43" t="s">
        <v>54</v>
      </c>
      <c r="B36" s="44" t="s">
        <v>55</v>
      </c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5"/>
    </row>
    <row r="37" spans="1:18" s="8" customFormat="1" ht="14" customHeight="1" x14ac:dyDescent="0.2">
      <c r="A37" s="43" t="s">
        <v>56</v>
      </c>
      <c r="B37" s="44" t="s">
        <v>57</v>
      </c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5"/>
    </row>
    <row r="38" spans="1:18" s="8" customFormat="1" ht="14" customHeight="1" x14ac:dyDescent="0.2">
      <c r="A38" s="43" t="s">
        <v>58</v>
      </c>
      <c r="B38" s="51" t="s">
        <v>105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50"/>
    </row>
    <row r="39" spans="1:18" s="8" customFormat="1" ht="14" customHeight="1" x14ac:dyDescent="0.2">
      <c r="A39" s="54" t="s">
        <v>60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6"/>
    </row>
    <row r="40" spans="1:18" s="8" customFormat="1" ht="14" customHeight="1" x14ac:dyDescent="0.2">
      <c r="A40" s="43" t="s">
        <v>61</v>
      </c>
      <c r="B40" s="44" t="str">
        <f ca="1">VLOOKUP(F3,[1]INDEX!B:J,2,0)&amp;", RTJ"</f>
        <v>900#, RTJ</v>
      </c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5"/>
    </row>
    <row r="41" spans="1:18" s="8" customFormat="1" ht="14" customHeight="1" x14ac:dyDescent="0.2">
      <c r="A41" s="43" t="s">
        <v>62</v>
      </c>
      <c r="B41" s="51" t="s">
        <v>106</v>
      </c>
      <c r="C41" s="49"/>
      <c r="D41" s="49"/>
      <c r="E41" s="53"/>
      <c r="F41" s="51" t="str">
        <f ca="1">"BSR"&amp;VLOOKUP(F3,[1]INDEX!B:AH,33,0)&amp;"J"&amp;", BSF"&amp;VLOOKUP(F3,[1]INDEX!B:AH,33,0)&amp;"J"</f>
        <v>BSRE1J, BSFE1J</v>
      </c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50"/>
    </row>
    <row r="42" spans="1:18" s="8" customFormat="1" ht="14" customHeight="1" x14ac:dyDescent="0.2">
      <c r="A42" s="43" t="s">
        <v>63</v>
      </c>
      <c r="B42" s="44" t="str">
        <f ca="1">"GAW"&amp;VLOOKUP(F3,[1]INDEX!B:AH,33,0)&amp;"J"</f>
        <v>GAWE1J</v>
      </c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5"/>
    </row>
    <row r="43" spans="1:18" s="8" customFormat="1" ht="14" customHeight="1" x14ac:dyDescent="0.2">
      <c r="A43" s="43" t="s">
        <v>64</v>
      </c>
      <c r="B43" s="44" t="str">
        <f ca="1">"GLS"&amp;VLOOKUP(F3,[1]INDEX!B:AH,33,0)&amp;"J"</f>
        <v>GLSE1J</v>
      </c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5"/>
    </row>
    <row r="44" spans="1:18" s="8" customFormat="1" ht="14" customHeight="1" x14ac:dyDescent="0.2">
      <c r="A44" s="43" t="s">
        <v>65</v>
      </c>
      <c r="B44" s="51" t="str">
        <f ca="1">"CHP"&amp;VLOOKUP(F3,[1]INDEX!B:AH,33,0)&amp;"J"</f>
        <v>CHPE1J</v>
      </c>
      <c r="C44" s="49"/>
      <c r="D44" s="49"/>
      <c r="E44" s="53"/>
      <c r="F44" s="51" t="str">
        <f ca="1">"CSW"&amp;VLOOKUP(F3,[1]INDEX!B:AH,33,0)&amp;"J"&amp;", CDP"&amp;VLOOKUP(F3,[1]INDEX!B:AH,33,0)&amp;"J"</f>
        <v>CSWE1J, CDPE1J</v>
      </c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50"/>
    </row>
    <row r="45" spans="1:18" s="8" customFormat="1" ht="14" customHeight="1" x14ac:dyDescent="0.2">
      <c r="A45" s="43" t="s">
        <v>107</v>
      </c>
      <c r="B45" s="51" t="str">
        <f ca="1">"DSR"&amp;VLOOKUP(F3,[1]INDEX!B:AH,33,0)&amp;"JT"</f>
        <v>DSRE1JT</v>
      </c>
      <c r="C45" s="49"/>
      <c r="D45" s="49"/>
      <c r="E45" s="49"/>
      <c r="F45" s="49"/>
      <c r="G45" s="51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50"/>
    </row>
    <row r="46" spans="1:18" s="8" customFormat="1" ht="14" customHeight="1" x14ac:dyDescent="0.2">
      <c r="A46" s="43" t="s">
        <v>108</v>
      </c>
      <c r="B46" s="51" t="str">
        <f ca="1">"DSR"&amp;VLOOKUP(F3,[1]INDEX!B:AH,33,0)&amp;"J"&amp;", DSF"&amp;VLOOKUP(F3,[1]INDEX!B:AH,33,0)&amp;"J"</f>
        <v>DSRE1J, DSFE1J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50"/>
    </row>
    <row r="47" spans="1:18" s="8" customFormat="1" x14ac:dyDescent="0.2">
      <c r="A47" s="57" t="s">
        <v>66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9"/>
    </row>
    <row r="48" spans="1:18" s="8" customFormat="1" ht="28.25" customHeight="1" x14ac:dyDescent="0.2">
      <c r="A48" s="60" t="s">
        <v>67</v>
      </c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2"/>
    </row>
    <row r="49" spans="1:18" s="8" customFormat="1" x14ac:dyDescent="0.2">
      <c r="A49" s="60" t="s">
        <v>68</v>
      </c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2"/>
    </row>
    <row r="50" spans="1:18" s="8" customFormat="1" x14ac:dyDescent="0.2">
      <c r="A50" s="60" t="s">
        <v>69</v>
      </c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2"/>
    </row>
    <row r="51" spans="1:18" s="8" customFormat="1" ht="29" customHeight="1" x14ac:dyDescent="0.2">
      <c r="A51" s="60" t="s">
        <v>70</v>
      </c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2"/>
    </row>
    <row r="52" spans="1:18" s="8" customFormat="1" ht="26.5" customHeight="1" x14ac:dyDescent="0.2">
      <c r="A52" s="60" t="s">
        <v>71</v>
      </c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2"/>
    </row>
    <row r="53" spans="1:18" s="8" customFormat="1" x14ac:dyDescent="0.2">
      <c r="A53" s="60" t="s">
        <v>72</v>
      </c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2"/>
    </row>
    <row r="54" spans="1:18" s="8" customFormat="1" x14ac:dyDescent="0.2">
      <c r="A54" s="60" t="s">
        <v>73</v>
      </c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2"/>
    </row>
    <row r="55" spans="1:18" s="8" customFormat="1" x14ac:dyDescent="0.2">
      <c r="A55" s="60" t="s">
        <v>109</v>
      </c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2"/>
    </row>
    <row r="56" spans="1:18" s="8" customFormat="1" x14ac:dyDescent="0.2">
      <c r="A56" s="60" t="s">
        <v>110</v>
      </c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2"/>
    </row>
    <row r="57" spans="1:18" s="8" customFormat="1" ht="16" thickBot="1" x14ac:dyDescent="0.25">
      <c r="A57" s="63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5"/>
    </row>
  </sheetData>
  <mergeCells count="89">
    <mergeCell ref="A52:R52"/>
    <mergeCell ref="A53:R53"/>
    <mergeCell ref="A54:R54"/>
    <mergeCell ref="A55:R55"/>
    <mergeCell ref="A56:R56"/>
    <mergeCell ref="A57:R57"/>
    <mergeCell ref="B46:R46"/>
    <mergeCell ref="A47:R47"/>
    <mergeCell ref="A48:R48"/>
    <mergeCell ref="A49:R49"/>
    <mergeCell ref="A50:R50"/>
    <mergeCell ref="A51:R51"/>
    <mergeCell ref="B42:R42"/>
    <mergeCell ref="B43:R43"/>
    <mergeCell ref="B44:E44"/>
    <mergeCell ref="F44:R44"/>
    <mergeCell ref="B45:F45"/>
    <mergeCell ref="G45:R45"/>
    <mergeCell ref="B37:R37"/>
    <mergeCell ref="B38:R38"/>
    <mergeCell ref="A39:R39"/>
    <mergeCell ref="B40:R40"/>
    <mergeCell ref="B41:E41"/>
    <mergeCell ref="F41:R41"/>
    <mergeCell ref="A32:R32"/>
    <mergeCell ref="B33:R33"/>
    <mergeCell ref="B34:L34"/>
    <mergeCell ref="M34:R34"/>
    <mergeCell ref="A35:R35"/>
    <mergeCell ref="B36:R36"/>
    <mergeCell ref="B27:R27"/>
    <mergeCell ref="A28:R28"/>
    <mergeCell ref="B29:R29"/>
    <mergeCell ref="B30:E30"/>
    <mergeCell ref="F30:R30"/>
    <mergeCell ref="B31:R31"/>
    <mergeCell ref="B22:R22"/>
    <mergeCell ref="B23:R23"/>
    <mergeCell ref="B24:R24"/>
    <mergeCell ref="B25:R25"/>
    <mergeCell ref="B26:E26"/>
    <mergeCell ref="F26:R26"/>
    <mergeCell ref="B18:R18"/>
    <mergeCell ref="A19:R19"/>
    <mergeCell ref="B20:N20"/>
    <mergeCell ref="O20:R20"/>
    <mergeCell ref="B21:I21"/>
    <mergeCell ref="J21:R21"/>
    <mergeCell ref="A10:R10"/>
    <mergeCell ref="B11:R11"/>
    <mergeCell ref="B16:N16"/>
    <mergeCell ref="O16:R16"/>
    <mergeCell ref="B17:I17"/>
    <mergeCell ref="J17:N17"/>
    <mergeCell ref="O17:R17"/>
    <mergeCell ref="L8:O9"/>
    <mergeCell ref="P8:R8"/>
    <mergeCell ref="B9:C9"/>
    <mergeCell ref="D9:E9"/>
    <mergeCell ref="F9:G9"/>
    <mergeCell ref="H9:I9"/>
    <mergeCell ref="J9:K9"/>
    <mergeCell ref="P9:R9"/>
    <mergeCell ref="F5:G5"/>
    <mergeCell ref="H5:R5"/>
    <mergeCell ref="F6:H6"/>
    <mergeCell ref="I6:R6"/>
    <mergeCell ref="A7:R7"/>
    <mergeCell ref="B8:C8"/>
    <mergeCell ref="D8:E8"/>
    <mergeCell ref="F8:G8"/>
    <mergeCell ref="H8:I8"/>
    <mergeCell ref="J8:K8"/>
    <mergeCell ref="J3:L3"/>
    <mergeCell ref="M3:N3"/>
    <mergeCell ref="O3:P3"/>
    <mergeCell ref="Q3:R3"/>
    <mergeCell ref="F4:H4"/>
    <mergeCell ref="I4:R4"/>
    <mergeCell ref="A1:E6"/>
    <mergeCell ref="F1:P1"/>
    <mergeCell ref="Q1:R1"/>
    <mergeCell ref="F2:I2"/>
    <mergeCell ref="J2:L2"/>
    <mergeCell ref="M2:N2"/>
    <mergeCell ref="O2:P2"/>
    <mergeCell ref="Q2:R2"/>
    <mergeCell ref="F3:G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A1</vt:lpstr>
      <vt:lpstr>B1</vt:lpstr>
      <vt:lpstr>D1</vt:lpstr>
      <vt:lpstr>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e68579</dc:creator>
  <cp:lastModifiedBy>e68579</cp:lastModifiedBy>
  <dcterms:created xsi:type="dcterms:W3CDTF">2026-01-09T07:04:01Z</dcterms:created>
  <dcterms:modified xsi:type="dcterms:W3CDTF">2026-01-09T07:06:47Z</dcterms:modified>
</cp:coreProperties>
</file>