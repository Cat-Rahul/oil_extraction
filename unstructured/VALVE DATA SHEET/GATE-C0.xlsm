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426" codeName="{0730EB3F-75F1-03CD-C966-41DC9FD4AD36}"/>
  <workbookPr codeName="ThisWorkbook"/>
  <mc:AlternateContent xmlns:mc="http://schemas.openxmlformats.org/markup-compatibility/2006">
    <mc:Choice Requires="x15">
      <x15ac:absPath xmlns:x15ac="http://schemas.microsoft.com/office/spreadsheetml/2010/11/ac" url="N:\Piping\Sonangol UM 6-7 FPSO\07. Piping Spec\03. Valve Material Specification\IFR\Native\"/>
    </mc:Choice>
  </mc:AlternateContent>
  <xr:revisionPtr revIDLastSave="0" documentId="13_ncr:1_{06C46192-99EE-4473-8808-C779A28078BD}" xr6:coauthVersionLast="47" xr6:coauthVersionMax="47" xr10:uidLastSave="{00000000-0000-0000-0000-000000000000}"/>
  <bookViews>
    <workbookView xWindow="-28920" yWindow="-120" windowWidth="29040" windowHeight="15720" tabRatio="714" xr2:uid="{00000000-000D-0000-FFFF-FFFF00000000}"/>
  </bookViews>
  <sheets>
    <sheet name="Index" sheetId="90" r:id="rId1"/>
    <sheet name="GAWA1R" sheetId="29" r:id="rId2"/>
    <sheet name="GAWB1R" sheetId="30" r:id="rId3"/>
    <sheet name="GAWD1R" sheetId="31" r:id="rId4"/>
    <sheet name="GAWE1J" sheetId="32" r:id="rId5"/>
    <sheet name="GAWF1J" sheetId="33" r:id="rId6"/>
    <sheet name="GAWG1J" sheetId="34" r:id="rId7"/>
    <sheet name="GAWA2NR" sheetId="35" r:id="rId8"/>
    <sheet name="GAWB2NR" sheetId="36" r:id="rId9"/>
    <sheet name="GAWD2NR" sheetId="37" r:id="rId10"/>
    <sheet name="GAWE2NJ" sheetId="38" r:id="rId11"/>
    <sheet name="GAWF2NJ" sheetId="39" r:id="rId12"/>
    <sheet name="GAWG2NJ" sheetId="40" r:id="rId13"/>
    <sheet name="GAWA1LNR" sheetId="41" r:id="rId14"/>
    <sheet name="GAWB1LNR" sheetId="42" r:id="rId15"/>
    <sheet name="GAWD1LNR" sheetId="43" r:id="rId16"/>
    <sheet name="GAWE1LNJ" sheetId="44" r:id="rId17"/>
    <sheet name="GAWF1LNJ" sheetId="45" r:id="rId18"/>
    <sheet name="GAWG1LNJ" sheetId="46" r:id="rId19"/>
    <sheet name="GAWA1NR" sheetId="47" r:id="rId20"/>
    <sheet name="GAWB1NR" sheetId="48" r:id="rId21"/>
    <sheet name="GAWD1NR" sheetId="49" r:id="rId22"/>
    <sheet name="GAWE1NJ" sheetId="50" r:id="rId23"/>
    <sheet name="GAWF1NJ" sheetId="51" r:id="rId24"/>
    <sheet name="GAWG1NJ" sheetId="52" r:id="rId25"/>
    <sheet name="GAWA2LNR" sheetId="54" r:id="rId26"/>
    <sheet name="GAWB2LNR" sheetId="55" r:id="rId27"/>
    <sheet name="GAWD2LNR" sheetId="56" r:id="rId28"/>
    <sheet name="GAWE2LNJ" sheetId="57" r:id="rId29"/>
    <sheet name="GAWF2LNJ" sheetId="58" r:id="rId30"/>
    <sheet name="GAWG2LNJ" sheetId="59" r:id="rId31"/>
    <sheet name="GAWA10R" sheetId="60" r:id="rId32"/>
    <sheet name="GAWB10R" sheetId="61" r:id="rId33"/>
    <sheet name="GAWD10R" sheetId="62" r:id="rId34"/>
    <sheet name="GAWE10J" sheetId="63" r:id="rId35"/>
    <sheet name="GAWF10J" sheetId="64" r:id="rId36"/>
    <sheet name="GAWG10J" sheetId="65" r:id="rId37"/>
    <sheet name="GAWA10NR" sheetId="66" r:id="rId38"/>
    <sheet name="GAWB10NR" sheetId="67" r:id="rId39"/>
    <sheet name="GAWD10NR" sheetId="68" r:id="rId40"/>
    <sheet name="GAWE10NJ" sheetId="69" r:id="rId41"/>
    <sheet name="GAWF10NJ" sheetId="70" r:id="rId42"/>
    <sheet name="GAWG10NJ" sheetId="71" r:id="rId43"/>
    <sheet name="GAWA20NR" sheetId="72" r:id="rId44"/>
    <sheet name="GAWB20NR" sheetId="73" r:id="rId45"/>
    <sheet name="GAWD20NR" sheetId="74" r:id="rId46"/>
    <sheet name="GAWE20NJ" sheetId="75" r:id="rId47"/>
    <sheet name="GAWF20NJ" sheetId="76" r:id="rId48"/>
    <sheet name="GAWG20NJ" sheetId="77" r:id="rId49"/>
    <sheet name="GAWA25R" sheetId="84" r:id="rId50"/>
    <sheet name="GAWG25R" sheetId="85" r:id="rId51"/>
    <sheet name="GAWA25NR" sheetId="78" r:id="rId52"/>
    <sheet name="GAWB25NR" sheetId="79" r:id="rId53"/>
    <sheet name="GAWD25NR" sheetId="80" r:id="rId54"/>
    <sheet name="GAWE25NR" sheetId="81" r:id="rId55"/>
    <sheet name="GAWF25NR" sheetId="82" r:id="rId56"/>
    <sheet name="GAWG25NR" sheetId="83" r:id="rId57"/>
    <sheet name="GAWA30F" sheetId="53" r:id="rId58"/>
    <sheet name="GAWA31F" sheetId="87" r:id="rId59"/>
  </sheets>
  <definedNames>
    <definedName name="ListNames">REPLACE(GET.WORKBOOK(1),1,FIND("]",GET.WORKBOOK(1)),"")</definedName>
    <definedName name="_xlnm.Print_Area" localSheetId="0">Index!$A$1:$I$61</definedName>
    <definedName name="_xlnm.Print_Titles" localSheetId="0">Index!$1:$3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2" i="30" l="1"/>
  <c r="E2" i="31"/>
  <c r="E2" i="32"/>
  <c r="E2" i="33"/>
  <c r="E2" i="34"/>
  <c r="E2" i="35"/>
  <c r="E2" i="36"/>
  <c r="E2" i="37"/>
  <c r="E2" i="38"/>
  <c r="E2" i="39"/>
  <c r="E2" i="40"/>
  <c r="E2" i="41"/>
  <c r="E2" i="42"/>
  <c r="E2" i="43"/>
  <c r="E2" i="44"/>
  <c r="E2" i="45"/>
  <c r="E2" i="46"/>
  <c r="E2" i="47"/>
  <c r="E2" i="48"/>
  <c r="E2" i="49"/>
  <c r="E2" i="50"/>
  <c r="E2" i="51"/>
  <c r="E2" i="52"/>
  <c r="E2" i="54"/>
  <c r="E2" i="55"/>
  <c r="E2" i="56"/>
  <c r="E2" i="57"/>
  <c r="E2" i="58"/>
  <c r="E2" i="59"/>
  <c r="E2" i="60"/>
  <c r="E2" i="61"/>
  <c r="E2" i="62"/>
  <c r="E2" i="63"/>
  <c r="E2" i="64"/>
  <c r="E2" i="65"/>
  <c r="E2" i="66"/>
  <c r="E2" i="67"/>
  <c r="E2" i="68"/>
  <c r="E2" i="69"/>
  <c r="E2" i="70"/>
  <c r="E2" i="71"/>
  <c r="E2" i="72"/>
  <c r="E2" i="73"/>
  <c r="E2" i="74"/>
  <c r="E2" i="75"/>
  <c r="E2" i="76"/>
  <c r="E2" i="77"/>
  <c r="E2" i="84"/>
  <c r="E2" i="85"/>
  <c r="E2" i="78"/>
  <c r="E2" i="79"/>
  <c r="E2" i="80"/>
  <c r="E2" i="81"/>
  <c r="E2" i="82"/>
  <c r="E2" i="83"/>
  <c r="E2" i="53"/>
  <c r="E2" i="87"/>
  <c r="E2" i="29"/>
  <c r="C12" i="30"/>
  <c r="C12" i="31"/>
  <c r="C12" i="32"/>
  <c r="C12" i="33"/>
  <c r="C12" i="34"/>
  <c r="C12" i="35"/>
  <c r="C12" i="36"/>
  <c r="C12" i="37"/>
  <c r="C12" i="38"/>
  <c r="C12" i="39"/>
  <c r="C12" i="40"/>
  <c r="C12" i="41"/>
  <c r="C12" i="42"/>
  <c r="C12" i="43"/>
  <c r="C12" i="44"/>
  <c r="C12" i="45"/>
  <c r="C12" i="46"/>
  <c r="C12" i="47"/>
  <c r="C12" i="48"/>
  <c r="C12" i="49"/>
  <c r="C12" i="50"/>
  <c r="C12" i="51"/>
  <c r="C12" i="52"/>
  <c r="C12" i="54"/>
  <c r="C12" i="55"/>
  <c r="C12" i="56"/>
  <c r="C12" i="57"/>
  <c r="C12" i="58"/>
  <c r="C12" i="59"/>
  <c r="C12" i="60"/>
  <c r="C12" i="61"/>
  <c r="C12" i="62"/>
  <c r="C12" i="63"/>
  <c r="C12" i="64"/>
  <c r="C12" i="65"/>
  <c r="C12" i="66"/>
  <c r="C12" i="67"/>
  <c r="C12" i="68"/>
  <c r="C12" i="69"/>
  <c r="C12" i="70"/>
  <c r="C12" i="71"/>
  <c r="C12" i="72"/>
  <c r="C12" i="73"/>
  <c r="C12" i="74"/>
  <c r="C12" i="75"/>
  <c r="C12" i="76"/>
  <c r="C12" i="77"/>
  <c r="C12" i="84"/>
  <c r="C12" i="85"/>
  <c r="C12" i="78"/>
  <c r="C12" i="79"/>
  <c r="C12" i="80"/>
  <c r="C12" i="81"/>
  <c r="C12" i="82"/>
  <c r="C12" i="83"/>
  <c r="C12" i="53"/>
  <c r="C12" i="87"/>
  <c r="C12" i="29"/>
  <c r="C8" i="30"/>
  <c r="C8" i="31"/>
  <c r="C8" i="32"/>
  <c r="C8" i="33"/>
  <c r="C8" i="34"/>
  <c r="C8" i="35"/>
  <c r="C8" i="36"/>
  <c r="C8" i="37"/>
  <c r="C8" i="38"/>
  <c r="C8" i="39"/>
  <c r="C8" i="40"/>
  <c r="C8" i="41"/>
  <c r="C8" i="42"/>
  <c r="C8" i="43"/>
  <c r="C8" i="44"/>
  <c r="C8" i="45"/>
  <c r="C8" i="46"/>
  <c r="C8" i="47"/>
  <c r="C8" i="48"/>
  <c r="C8" i="49"/>
  <c r="C8" i="50"/>
  <c r="C8" i="51"/>
  <c r="C8" i="52"/>
  <c r="C8" i="54"/>
  <c r="C8" i="55"/>
  <c r="C8" i="56"/>
  <c r="C8" i="57"/>
  <c r="C8" i="58"/>
  <c r="C8" i="59"/>
  <c r="C8" i="60"/>
  <c r="C8" i="61"/>
  <c r="C8" i="62"/>
  <c r="C8" i="63"/>
  <c r="C8" i="64"/>
  <c r="C8" i="65"/>
  <c r="C8" i="66"/>
  <c r="C8" i="67"/>
  <c r="C8" i="68"/>
  <c r="C8" i="69"/>
  <c r="C8" i="70"/>
  <c r="C8" i="71"/>
  <c r="C8" i="72"/>
  <c r="C8" i="73"/>
  <c r="C8" i="74"/>
  <c r="C8" i="75"/>
  <c r="C8" i="76"/>
  <c r="C8" i="77"/>
  <c r="C8" i="84"/>
  <c r="C8" i="85"/>
  <c r="C8" i="78"/>
  <c r="C8" i="79"/>
  <c r="C8" i="80"/>
  <c r="C8" i="81"/>
  <c r="C8" i="82"/>
  <c r="C8" i="83"/>
  <c r="C8" i="53"/>
  <c r="C8" i="87"/>
  <c r="C8" i="29"/>
  <c r="T73" i="90"/>
  <c r="W70" i="90"/>
  <c r="W69" i="90"/>
  <c r="W68" i="90"/>
  <c r="W67" i="90"/>
  <c r="C11" i="87"/>
  <c r="W66" i="90"/>
  <c r="C11" i="53"/>
  <c r="W65" i="90"/>
  <c r="C11" i="83"/>
  <c r="W64" i="90"/>
  <c r="C11" i="82"/>
  <c r="W63" i="90"/>
  <c r="C11" i="81"/>
  <c r="W62" i="90"/>
  <c r="C11" i="80"/>
  <c r="W61" i="90"/>
  <c r="C11" i="79"/>
  <c r="W60" i="90"/>
  <c r="C11" i="78"/>
  <c r="W59" i="90"/>
  <c r="C11" i="85"/>
  <c r="W58" i="90"/>
  <c r="C11" i="84"/>
  <c r="W57" i="90"/>
  <c r="C11" i="77"/>
  <c r="W56" i="90"/>
  <c r="C11" i="76"/>
  <c r="W55" i="90"/>
  <c r="C11" i="75"/>
  <c r="W54" i="90"/>
  <c r="C11" i="74"/>
  <c r="W53" i="90"/>
  <c r="C11" i="73"/>
  <c r="W52" i="90"/>
  <c r="C11" i="72"/>
  <c r="W51" i="90"/>
  <c r="C11" i="71"/>
  <c r="W50" i="90"/>
  <c r="C11" i="70"/>
  <c r="W49" i="90"/>
  <c r="C11" i="69"/>
  <c r="W48" i="90"/>
  <c r="C11" i="68"/>
  <c r="W47" i="90"/>
  <c r="C11" i="67"/>
  <c r="W46" i="90"/>
  <c r="C11" i="66"/>
  <c r="W45" i="90"/>
  <c r="C11" i="65"/>
  <c r="W44" i="90"/>
  <c r="C11" i="64"/>
  <c r="W43" i="90"/>
  <c r="C11" i="63"/>
  <c r="W42" i="90"/>
  <c r="C11" i="62"/>
  <c r="W41" i="90"/>
  <c r="C11" i="61"/>
  <c r="W40" i="90"/>
  <c r="C11" i="60"/>
  <c r="W39" i="90"/>
  <c r="W38" i="90"/>
  <c r="W37" i="90"/>
  <c r="W36" i="90"/>
  <c r="W35" i="90"/>
  <c r="W34" i="90"/>
  <c r="W33" i="90"/>
  <c r="C11" i="59"/>
  <c r="W32" i="90"/>
  <c r="C11" i="58"/>
  <c r="W31" i="90"/>
  <c r="C11" i="57"/>
  <c r="W30" i="90"/>
  <c r="C11" i="56"/>
  <c r="W29" i="90"/>
  <c r="C11" i="55"/>
  <c r="W28" i="90"/>
  <c r="C11" i="54"/>
  <c r="W27" i="90"/>
  <c r="C11" i="46"/>
  <c r="W26" i="90"/>
  <c r="C11" i="45"/>
  <c r="W25" i="90"/>
  <c r="C11" i="44"/>
  <c r="W24" i="90"/>
  <c r="C11" i="43"/>
  <c r="W23" i="90"/>
  <c r="C11" i="42"/>
  <c r="W22" i="90"/>
  <c r="C11" i="41"/>
  <c r="W21" i="90"/>
  <c r="C11" i="40"/>
  <c r="W20" i="90"/>
  <c r="C11" i="39"/>
  <c r="W19" i="90"/>
  <c r="C11" i="38"/>
  <c r="W18" i="90"/>
  <c r="C11" i="37"/>
  <c r="W17" i="90"/>
  <c r="C11" i="36"/>
  <c r="W16" i="90"/>
  <c r="C11" i="35"/>
  <c r="W15" i="90"/>
  <c r="W14" i="90"/>
  <c r="C11" i="52"/>
  <c r="W13" i="90"/>
  <c r="C11" i="51"/>
  <c r="W12" i="90"/>
  <c r="C11" i="50"/>
  <c r="W11" i="90"/>
  <c r="C11" i="49"/>
  <c r="W10" i="90"/>
  <c r="C11" i="48"/>
  <c r="W9" i="90"/>
  <c r="C11" i="47"/>
  <c r="W8" i="90"/>
  <c r="C11" i="34"/>
  <c r="W7" i="90"/>
  <c r="C11" i="33"/>
  <c r="W6" i="90"/>
  <c r="C11" i="32"/>
  <c r="W5" i="90"/>
  <c r="C11" i="31"/>
  <c r="W4" i="90"/>
  <c r="C11" i="30"/>
  <c r="W3" i="90"/>
  <c r="C11" i="29"/>
  <c r="E3" i="30"/>
  <c r="E3" i="31"/>
  <c r="E3" i="32"/>
  <c r="E3" i="33"/>
  <c r="E3" i="34"/>
  <c r="E3" i="35"/>
  <c r="E3" i="36"/>
  <c r="E3" i="37"/>
  <c r="E3" i="38"/>
  <c r="E3" i="39"/>
  <c r="E3" i="40"/>
  <c r="E3" i="41"/>
  <c r="E3" i="42"/>
  <c r="E3" i="43"/>
  <c r="E3" i="44"/>
  <c r="E3" i="45"/>
  <c r="E3" i="46"/>
  <c r="E3" i="47"/>
  <c r="E3" i="48"/>
  <c r="E3" i="49"/>
  <c r="E3" i="50"/>
  <c r="E3" i="51"/>
  <c r="E3" i="52"/>
  <c r="E3" i="54"/>
  <c r="E3" i="55"/>
  <c r="E3" i="56"/>
  <c r="E3" i="57"/>
  <c r="E3" i="58"/>
  <c r="E3" i="59"/>
  <c r="E3" i="60"/>
  <c r="E3" i="61"/>
  <c r="E3" i="62"/>
  <c r="E3" i="63"/>
  <c r="E3" i="64"/>
  <c r="E3" i="65"/>
  <c r="E3" i="66"/>
  <c r="E3" i="67"/>
  <c r="E3" i="68"/>
  <c r="E3" i="69"/>
  <c r="E3" i="70"/>
  <c r="E3" i="71"/>
  <c r="E3" i="72"/>
  <c r="E3" i="73"/>
  <c r="E3" i="74"/>
  <c r="E3" i="75"/>
  <c r="E3" i="76"/>
  <c r="E3" i="77"/>
  <c r="E3" i="78"/>
  <c r="E3" i="79"/>
  <c r="E3" i="80"/>
  <c r="E3" i="81"/>
  <c r="E3" i="82"/>
  <c r="E3" i="83"/>
  <c r="E3" i="84"/>
  <c r="E3" i="85"/>
  <c r="E3" i="53"/>
  <c r="E3" i="87"/>
  <c r="E3" i="29"/>
  <c r="E8" i="90"/>
  <c r="G44" i="90"/>
  <c r="E56" i="90"/>
  <c r="C38" i="90"/>
  <c r="F27" i="90"/>
  <c r="H37" i="90"/>
  <c r="H15" i="90"/>
  <c r="C47" i="90"/>
  <c r="G56" i="90"/>
  <c r="H20" i="90"/>
  <c r="C14" i="90"/>
  <c r="C9" i="90"/>
  <c r="D53" i="90"/>
  <c r="H39" i="90"/>
  <c r="D17" i="90"/>
  <c r="F58" i="90"/>
  <c r="G23" i="90"/>
  <c r="E41" i="90"/>
  <c r="C35" i="90"/>
  <c r="E4" i="90"/>
  <c r="F54" i="90"/>
  <c r="H31" i="90"/>
  <c r="G54" i="90"/>
  <c r="H32" i="90"/>
  <c r="E23" i="90"/>
  <c r="H57" i="90"/>
  <c r="F23" i="90"/>
  <c r="F25" i="90"/>
  <c r="C5" i="90"/>
  <c r="G52" i="90"/>
  <c r="D20" i="90"/>
  <c r="D46" i="90"/>
  <c r="H40" i="90"/>
  <c r="G46" i="90"/>
  <c r="D10" i="90"/>
  <c r="F44" i="90"/>
  <c r="D48" i="90"/>
  <c r="E29" i="90"/>
  <c r="D50" i="90"/>
  <c r="E45" i="90"/>
  <c r="E11" i="90"/>
  <c r="F9" i="90"/>
  <c r="E39" i="90"/>
  <c r="G8" i="90"/>
  <c r="H33" i="90"/>
  <c r="G57" i="90"/>
  <c r="G12" i="90"/>
  <c r="G11" i="90"/>
  <c r="C56" i="90"/>
  <c r="E16" i="90"/>
  <c r="F46" i="90"/>
  <c r="F57" i="90"/>
  <c r="E55" i="90"/>
  <c r="G15" i="90"/>
  <c r="G28" i="90"/>
  <c r="E25" i="90"/>
  <c r="G14" i="90"/>
  <c r="C43" i="90"/>
  <c r="E53" i="90"/>
  <c r="G35" i="90"/>
  <c r="G53" i="90"/>
  <c r="F7" i="90"/>
  <c r="F29" i="90"/>
  <c r="H28" i="90"/>
  <c r="G49" i="90"/>
  <c r="H47" i="90"/>
  <c r="H12" i="90"/>
  <c r="F8" i="90"/>
  <c r="E12" i="90"/>
  <c r="C8" i="90"/>
  <c r="H14" i="90"/>
  <c r="D43" i="90"/>
  <c r="G4" i="90"/>
  <c r="D27" i="90"/>
  <c r="E15" i="90"/>
  <c r="F56" i="90"/>
  <c r="G18" i="90"/>
  <c r="C60" i="90"/>
  <c r="G45" i="90"/>
  <c r="H43" i="90"/>
  <c r="E43" i="90"/>
  <c r="H21" i="90"/>
  <c r="D21" i="90"/>
  <c r="D59" i="90"/>
  <c r="E18" i="90"/>
  <c r="C11" i="90"/>
  <c r="C48" i="90"/>
  <c r="H17" i="90"/>
  <c r="H9" i="90"/>
  <c r="G60" i="90"/>
  <c r="H53" i="90"/>
  <c r="F5" i="90"/>
  <c r="E60" i="90"/>
  <c r="E42" i="90"/>
  <c r="F22" i="90"/>
  <c r="E51" i="90"/>
  <c r="G10" i="90"/>
  <c r="G37" i="90"/>
  <c r="F48" i="90"/>
  <c r="E33" i="90"/>
  <c r="G17" i="90"/>
  <c r="H59" i="90"/>
  <c r="C6" i="90"/>
  <c r="H49" i="90"/>
  <c r="D38" i="90"/>
  <c r="D19" i="90"/>
  <c r="H16" i="90"/>
  <c r="D29" i="90"/>
  <c r="F55" i="90"/>
  <c r="C59" i="90"/>
  <c r="H61" i="90"/>
  <c r="C41" i="90"/>
  <c r="E58" i="90"/>
  <c r="C16" i="90"/>
  <c r="C46" i="90"/>
  <c r="G7" i="90"/>
  <c r="H55" i="90"/>
  <c r="E35" i="90"/>
  <c r="C27" i="90"/>
  <c r="G20" i="90"/>
  <c r="C12" i="90"/>
  <c r="F13" i="90"/>
  <c r="G5" i="90"/>
  <c r="G58" i="90"/>
  <c r="H18" i="90"/>
  <c r="E26" i="90"/>
  <c r="C26" i="90"/>
  <c r="E28" i="90"/>
  <c r="C28" i="90"/>
  <c r="H13" i="90"/>
  <c r="C7" i="90"/>
  <c r="F31" i="90"/>
  <c r="G34" i="90"/>
  <c r="E6" i="90"/>
  <c r="F24" i="90"/>
  <c r="D12" i="90"/>
  <c r="F37" i="90"/>
  <c r="E50" i="90"/>
  <c r="E7" i="90"/>
  <c r="D18" i="90"/>
  <c r="D51" i="90"/>
  <c r="H24" i="90"/>
  <c r="F10" i="90"/>
  <c r="G31" i="90"/>
  <c r="C25" i="90"/>
  <c r="H34" i="90"/>
  <c r="F18" i="90"/>
  <c r="C45" i="90"/>
  <c r="E54" i="90"/>
  <c r="F4" i="90"/>
  <c r="H41" i="90"/>
  <c r="E57" i="90"/>
  <c r="C4" i="90"/>
  <c r="F36" i="90"/>
  <c r="G6" i="90"/>
  <c r="H19" i="90"/>
  <c r="F21" i="90"/>
  <c r="H45" i="90"/>
  <c r="E49" i="90"/>
  <c r="F39" i="90"/>
  <c r="D11" i="90"/>
  <c r="D23" i="90"/>
  <c r="C44" i="90"/>
  <c r="D8" i="90"/>
  <c r="F61" i="90"/>
  <c r="F41" i="90"/>
  <c r="E48" i="90"/>
  <c r="E17" i="90"/>
  <c r="D58" i="90"/>
  <c r="D44" i="90"/>
  <c r="H51" i="90"/>
  <c r="G16" i="90"/>
  <c r="C37" i="90"/>
  <c r="D49" i="90"/>
  <c r="F14" i="90"/>
  <c r="C52" i="90"/>
  <c r="G22" i="90"/>
  <c r="C34" i="90"/>
  <c r="E10" i="90"/>
  <c r="D55" i="90"/>
  <c r="C24" i="90"/>
  <c r="D42" i="90"/>
  <c r="G13" i="90"/>
  <c r="H8" i="90"/>
  <c r="C15" i="90"/>
  <c r="E24" i="90"/>
  <c r="E59" i="90"/>
  <c r="H6" i="90"/>
  <c r="H29" i="90"/>
  <c r="C30" i="90"/>
  <c r="D14" i="90"/>
  <c r="G59" i="90"/>
  <c r="F40" i="90"/>
  <c r="H44" i="90"/>
  <c r="E61" i="90"/>
  <c r="H60" i="90"/>
  <c r="G39" i="90"/>
  <c r="H26" i="90"/>
  <c r="H54" i="90"/>
  <c r="D9" i="90"/>
  <c r="G40" i="90"/>
  <c r="F60" i="90"/>
  <c r="E47" i="90"/>
  <c r="D4" i="90"/>
  <c r="E30" i="90"/>
  <c r="F16" i="90"/>
  <c r="F20" i="90"/>
  <c r="C22" i="90"/>
  <c r="C50" i="90"/>
  <c r="C54" i="90"/>
  <c r="F19" i="90"/>
  <c r="D31" i="90"/>
  <c r="E14" i="90"/>
  <c r="C18" i="90"/>
  <c r="D34" i="90"/>
  <c r="D24" i="90"/>
  <c r="G38" i="90"/>
  <c r="E52" i="90"/>
  <c r="C36" i="90"/>
  <c r="H38" i="90"/>
  <c r="G61" i="90"/>
  <c r="E38" i="90"/>
  <c r="C31" i="90"/>
  <c r="D6" i="90"/>
  <c r="H56" i="90"/>
  <c r="H58" i="90"/>
  <c r="C13" i="90"/>
  <c r="H7" i="90"/>
  <c r="G36" i="90"/>
  <c r="D30" i="90"/>
  <c r="G32" i="90"/>
  <c r="G50" i="90"/>
  <c r="F12" i="90"/>
  <c r="D35" i="90"/>
  <c r="G9" i="90"/>
  <c r="H27" i="90"/>
  <c r="C40" i="90"/>
  <c r="F51" i="90"/>
  <c r="C17" i="90"/>
  <c r="C39" i="90"/>
  <c r="G55" i="90"/>
  <c r="F38" i="90"/>
  <c r="E21" i="90"/>
  <c r="C49" i="90"/>
  <c r="F59" i="90"/>
  <c r="D25" i="90"/>
  <c r="G42" i="90"/>
  <c r="D40" i="90"/>
  <c r="F53" i="90"/>
  <c r="G33" i="90"/>
  <c r="H46" i="90"/>
  <c r="F45" i="90"/>
  <c r="D7" i="90"/>
  <c r="E19" i="90"/>
  <c r="E32" i="90"/>
  <c r="F6" i="90"/>
  <c r="C58" i="90"/>
  <c r="D5" i="90"/>
  <c r="H30" i="90"/>
  <c r="D33" i="90"/>
  <c r="D52" i="90"/>
  <c r="C57" i="90"/>
  <c r="C21" i="90"/>
  <c r="F50" i="90"/>
  <c r="G51" i="90"/>
  <c r="D39" i="90"/>
  <c r="D15" i="90"/>
  <c r="D45" i="90"/>
  <c r="H35" i="90"/>
  <c r="D26" i="90"/>
  <c r="H52" i="90"/>
  <c r="D54" i="90"/>
  <c r="E27" i="90"/>
  <c r="C55" i="90"/>
  <c r="C33" i="90"/>
  <c r="D28" i="90"/>
  <c r="D47" i="90"/>
  <c r="F49" i="90"/>
  <c r="F30" i="90"/>
  <c r="F15" i="90"/>
  <c r="E40" i="90"/>
  <c r="H5" i="90"/>
  <c r="F11" i="90"/>
  <c r="G25" i="90"/>
  <c r="E31" i="90"/>
  <c r="G19" i="90"/>
  <c r="G48" i="90"/>
  <c r="G47" i="90"/>
  <c r="E20" i="90"/>
  <c r="H11" i="90"/>
  <c r="C32" i="90"/>
  <c r="F32" i="90"/>
  <c r="F34" i="90"/>
  <c r="H10" i="90"/>
  <c r="D61" i="90"/>
  <c r="D36" i="90"/>
  <c r="H23" i="90"/>
  <c r="H48" i="90"/>
  <c r="C61" i="90"/>
  <c r="H42" i="90"/>
  <c r="D13" i="90"/>
  <c r="D37" i="90"/>
  <c r="F26" i="90"/>
  <c r="E46" i="90"/>
  <c r="H22" i="90"/>
  <c r="C42" i="90"/>
  <c r="G29" i="90"/>
  <c r="F47" i="90"/>
  <c r="E5" i="90"/>
  <c r="E9" i="90"/>
  <c r="E22" i="90"/>
  <c r="G43" i="90"/>
  <c r="E34" i="90"/>
  <c r="C23" i="90"/>
  <c r="F43" i="90"/>
  <c r="D56" i="90"/>
  <c r="D57" i="90"/>
  <c r="D32" i="90"/>
  <c r="H50" i="90"/>
  <c r="E37" i="90"/>
  <c r="E36" i="90"/>
  <c r="E44" i="90"/>
  <c r="F28" i="90"/>
  <c r="F52" i="90"/>
  <c r="D41" i="90"/>
  <c r="H36" i="90"/>
  <c r="H4" i="90"/>
  <c r="C19" i="90"/>
  <c r="G27" i="90"/>
  <c r="F35" i="90"/>
  <c r="G24" i="90"/>
  <c r="D16" i="90"/>
  <c r="H25" i="90"/>
  <c r="F33" i="90"/>
  <c r="C53" i="90"/>
  <c r="C51" i="90"/>
  <c r="C10" i="90"/>
  <c r="D22" i="90"/>
  <c r="G41" i="90"/>
  <c r="D60" i="90"/>
  <c r="C29" i="90"/>
  <c r="F17" i="90"/>
  <c r="E13" i="90"/>
  <c r="G21" i="90"/>
  <c r="C20" i="90"/>
  <c r="F42" i="90"/>
  <c r="G30" i="90"/>
  <c r="G26" i="90"/>
</calcChain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1">
    <bk>
      <extLst>
        <ext uri="{3e2802c4-a4d2-4d8b-9148-e3be6c30e623}">
          <xlrd:rvb i="0"/>
        </ext>
      </extLst>
    </bk>
  </futureMetadata>
  <valueMetadata count="1">
    <bk>
      <rc t="1" v="0"/>
    </bk>
  </valueMetadata>
</metadata>
</file>

<file path=xl/sharedStrings.xml><?xml version="1.0" encoding="utf-8"?>
<sst xmlns="http://schemas.openxmlformats.org/spreadsheetml/2006/main" count="6187" uniqueCount="439">
  <si>
    <t>A1</t>
  </si>
  <si>
    <t>Monel K500</t>
  </si>
  <si>
    <t>A1LN</t>
  </si>
  <si>
    <t>A1N</t>
  </si>
  <si>
    <t>A25N</t>
  </si>
  <si>
    <t>B1</t>
  </si>
  <si>
    <t>B10</t>
  </si>
  <si>
    <t>B1LN</t>
  </si>
  <si>
    <t>B1N</t>
  </si>
  <si>
    <t>D1N</t>
  </si>
  <si>
    <t>E1N</t>
  </si>
  <si>
    <t>F1N</t>
  </si>
  <si>
    <t>G1N</t>
  </si>
  <si>
    <t>D10</t>
  </si>
  <si>
    <t>D1LN</t>
  </si>
  <si>
    <t>E1</t>
  </si>
  <si>
    <t>E10</t>
  </si>
  <si>
    <t>E1LN</t>
  </si>
  <si>
    <t>F10</t>
  </si>
  <si>
    <t>F1LN</t>
  </si>
  <si>
    <t>G10</t>
  </si>
  <si>
    <t>G1LN</t>
  </si>
  <si>
    <t>F1</t>
  </si>
  <si>
    <t>D1</t>
  </si>
  <si>
    <t>B25N</t>
  </si>
  <si>
    <t>D25N</t>
  </si>
  <si>
    <t>Piping Class</t>
  </si>
  <si>
    <t>Size Range</t>
  </si>
  <si>
    <t>Valve type</t>
  </si>
  <si>
    <t>Service</t>
  </si>
  <si>
    <t>Valve Standard</t>
  </si>
  <si>
    <t>Pressure Class</t>
  </si>
  <si>
    <t>Corrosion Allowance</t>
  </si>
  <si>
    <t>Sour Service Requirements</t>
  </si>
  <si>
    <t>-</t>
  </si>
  <si>
    <t>End Connections</t>
  </si>
  <si>
    <t>Face to Face Dimension</t>
  </si>
  <si>
    <t>Construction</t>
  </si>
  <si>
    <t>Body</t>
  </si>
  <si>
    <t>Stem</t>
  </si>
  <si>
    <t>Locks</t>
  </si>
  <si>
    <t>Operation</t>
  </si>
  <si>
    <t xml:space="preserve">Material </t>
  </si>
  <si>
    <t>Gaskets</t>
  </si>
  <si>
    <t>Bolts</t>
  </si>
  <si>
    <t>Nuts</t>
  </si>
  <si>
    <t>Marking - Purchaser’s Specification</t>
  </si>
  <si>
    <t>Hard marked with Valve Type on a stainless steel label, attached using tamper resistant stainless steel fastener, and with Unique Valve Tag Number</t>
  </si>
  <si>
    <t>Marking – Manufacturer</t>
  </si>
  <si>
    <t>MSS-SP-25</t>
  </si>
  <si>
    <t>ASME B16.34, API 598</t>
  </si>
  <si>
    <t>Material Certification</t>
  </si>
  <si>
    <t>Pressure Retaining Parts EN 10204 3.2, Other parts EN 10204 3.1</t>
  </si>
  <si>
    <t>Fire Rating</t>
  </si>
  <si>
    <t>Finish</t>
  </si>
  <si>
    <t>Vendor Offer</t>
  </si>
  <si>
    <t>ASME B16.34 Class 150</t>
  </si>
  <si>
    <t>Flanged ASME B16.5 FF</t>
  </si>
  <si>
    <t>Note.</t>
  </si>
  <si>
    <t>ASME B16.34 Class 300</t>
  </si>
  <si>
    <t>ASME B16.34 Class 600</t>
  </si>
  <si>
    <t>ASME B16.34 Class 900</t>
  </si>
  <si>
    <t>Flanged ASME B16.5 RTJ</t>
  </si>
  <si>
    <t>ASME B16.34 Class 1500</t>
  </si>
  <si>
    <t>ASME B16.34 Class 2500</t>
  </si>
  <si>
    <t>Class 150</t>
  </si>
  <si>
    <t>Manufacturer Standard</t>
  </si>
  <si>
    <t>ASME B16.10</t>
  </si>
  <si>
    <t>Seat</t>
  </si>
  <si>
    <t>Packing</t>
  </si>
  <si>
    <t>1. This data sheet shall be completed and returned with the quotation. Failure to return the completed data sheet will deem the offer technically not acceptable.</t>
  </si>
  <si>
    <t>Forged - ASTM A182 F53</t>
  </si>
  <si>
    <t>Gland packing</t>
  </si>
  <si>
    <t>Bolted bonnet, Integral Flanged End</t>
  </si>
  <si>
    <t>VDS No</t>
  </si>
  <si>
    <t>Wedge</t>
  </si>
  <si>
    <t>Solid Wedge (1.5” and below), Flexible wedge (Above 2”)</t>
  </si>
  <si>
    <t>Solid wedge (1 ½” &amp; Below),  flexible wedge (2” &amp; above)</t>
  </si>
  <si>
    <t>1/2" - 24"</t>
  </si>
  <si>
    <t>ASTM A350 LF2 (1.5” &amp; below), ASTM A352 LCC (2” &amp; Above)</t>
  </si>
  <si>
    <t>ASTM A182 F316L (1.5” and below), A351 CF3M (2” and above)</t>
  </si>
  <si>
    <t>A2N</t>
  </si>
  <si>
    <t>Gate valve, Outside Screw and Yoke</t>
  </si>
  <si>
    <t>3 mm</t>
  </si>
  <si>
    <t>6 mm</t>
  </si>
  <si>
    <t>NIL</t>
  </si>
  <si>
    <t>Valve lockable using padlock - Full Open, Fully Closed</t>
  </si>
  <si>
    <t>Rising stem, outside screw and yoke, Back Seated</t>
  </si>
  <si>
    <t>ASTM A105N (1.5” and below), ASTM A216 WCB (2” &amp; Above)</t>
  </si>
  <si>
    <t>ASTM A 193 GR B7M, XYLAR 2 + XYLAN 1070</t>
  </si>
  <si>
    <t>ASTM A 194 GR 2HM, XYLAR 2 + XYLAN 1070</t>
  </si>
  <si>
    <r>
      <t>Body</t>
    </r>
    <r>
      <rPr>
        <sz val="9"/>
        <color theme="0"/>
        <rFont val="Arial"/>
        <family val="2"/>
      </rPr>
      <t xml:space="preserve"> Material</t>
    </r>
  </si>
  <si>
    <r>
      <t xml:space="preserve">Stem </t>
    </r>
    <r>
      <rPr>
        <sz val="9"/>
        <color theme="0"/>
        <rFont val="Arial"/>
        <family val="2"/>
      </rPr>
      <t>Material</t>
    </r>
  </si>
  <si>
    <r>
      <t>Wedge</t>
    </r>
    <r>
      <rPr>
        <sz val="9"/>
        <color theme="0"/>
        <rFont val="Arial"/>
        <family val="2"/>
      </rPr>
      <t xml:space="preserve"> Material</t>
    </r>
  </si>
  <si>
    <r>
      <t xml:space="preserve">Trim </t>
    </r>
    <r>
      <rPr>
        <sz val="9"/>
        <color theme="0"/>
        <rFont val="Arial"/>
        <family val="2"/>
      </rPr>
      <t>Material</t>
    </r>
  </si>
  <si>
    <r>
      <t xml:space="preserve">Seat </t>
    </r>
    <r>
      <rPr>
        <sz val="9"/>
        <color theme="0"/>
        <rFont val="Arial"/>
        <family val="2"/>
      </rPr>
      <t>Material</t>
    </r>
  </si>
  <si>
    <r>
      <t xml:space="preserve">Gland </t>
    </r>
    <r>
      <rPr>
        <sz val="9"/>
        <color theme="0"/>
        <rFont val="Arial"/>
        <family val="2"/>
      </rPr>
      <t>Material</t>
    </r>
  </si>
  <si>
    <t>3. Hydrostatic shell test pressure shall be 1.5 times of Max. design pressure, and hydraulic seat test shall be 1.1 times of Max. design pressure for seats.</t>
  </si>
  <si>
    <t>NACE MR0175 /ISO 15156-1/2/3, SSC Region 3, Non-exposed, internal only</t>
  </si>
  <si>
    <t>Solid ASTM A47 HDG/ ASTM A220 HDG/ SS316</t>
  </si>
  <si>
    <t>ASTM B148 C95800</t>
  </si>
  <si>
    <t>Forged - ASTM A182 F60</t>
  </si>
  <si>
    <t>Forged - ASTM A182 F316L</t>
  </si>
  <si>
    <t>Forged - ASTM A182 F316</t>
  </si>
  <si>
    <t>6. Valve shall be in accordance with NACE MR0175 /ISO 15156-1/2/3.</t>
  </si>
  <si>
    <t>Forged - ASTM A182 F316L, Stellite Hard Faced</t>
  </si>
  <si>
    <t>Stem Seal renewable with valve open on stream</t>
  </si>
  <si>
    <t xml:space="preserve">  </t>
  </si>
  <si>
    <t>SDSS - UNS S32750, Forged - ASTM A182 F53 (1.5” and below), Cast - ASTM A995 5A UNS J93404 (2” and above)</t>
  </si>
  <si>
    <t xml:space="preserve">Rev No : </t>
  </si>
  <si>
    <t xml:space="preserve">Doc. No : </t>
  </si>
  <si>
    <t>Page No.:</t>
  </si>
  <si>
    <t>GATE VALVE DATASHEET</t>
  </si>
  <si>
    <t>B2N</t>
  </si>
  <si>
    <t>D2N</t>
  </si>
  <si>
    <t>E2N</t>
  </si>
  <si>
    <t>F2N</t>
  </si>
  <si>
    <t>G2N</t>
  </si>
  <si>
    <t>DSS - UNS S32205,  Forged - ASTM A182 F60 (1.5” and below), Cast - A995 4A UNS J92205 (2” &amp; Above)</t>
  </si>
  <si>
    <t>Design Pressure</t>
  </si>
  <si>
    <t>Hand wheel, Non-rising (Gear for 12” and above, Fully enclosed, dust proof ), with Position Indicator</t>
  </si>
  <si>
    <t>Hand wheel, Non-rising (Gear for 14” and above, Fully enclosed, dust proof ), with Position Indicator</t>
  </si>
  <si>
    <t>Hand wheel, non-rising (Gear for 3” and above, Fully enclosed, dust proof ), with Position Indicator</t>
  </si>
  <si>
    <t>Hand wheel, non-rising (Gear for 6” and above, Fully enclosed, dust proof ), with Position Indicator</t>
  </si>
  <si>
    <t>Hydrotest Shell Test Pressure</t>
  </si>
  <si>
    <t>Hydrotest Closure Test Pressure</t>
  </si>
  <si>
    <t>Pneumatic LP Test Pressure</t>
  </si>
  <si>
    <t>As per API 598</t>
  </si>
  <si>
    <t>Leakage Rate</t>
  </si>
  <si>
    <t>Inspection – Testing</t>
  </si>
  <si>
    <t>Forged - ASTM A182 F53, Stellite Hard faced</t>
  </si>
  <si>
    <t>Forged - ASTM A182 F60, Stellite Hard faced</t>
  </si>
  <si>
    <t>Forged ASTM A182 F316L, Stellite Hard faced</t>
  </si>
  <si>
    <t>Forged - ASTM A182 F316, Stellite Hard Faced</t>
  </si>
  <si>
    <t>Forged - ASTM A350 LF2</t>
  </si>
  <si>
    <t>Forged - ASTM A182 F53, Stellite Hard Faced</t>
  </si>
  <si>
    <t>Forged - ASTM A182 F60, Stellite Hard Faced</t>
  </si>
  <si>
    <t>Forged - ASTM A182 F6A CL 2</t>
  </si>
  <si>
    <t>Flexible graphite Braided (Non asbestos, corrosion inhibitor), Renewable</t>
  </si>
  <si>
    <t>Flexible graphite with Braided (Non asbestos, yarn reinforced with Inconel, corrosion inhibitor), Renewable</t>
  </si>
  <si>
    <r>
      <rPr>
        <strike/>
        <sz val="9"/>
        <rFont val="Arial"/>
        <family val="2"/>
      </rPr>
      <t xml:space="preserve">Lever / </t>
    </r>
    <r>
      <rPr>
        <sz val="9"/>
        <rFont val="Arial"/>
        <family val="2"/>
      </rPr>
      <t>Handwheel</t>
    </r>
  </si>
  <si>
    <t>Back Seat</t>
  </si>
  <si>
    <t xml:space="preserve">Integral </t>
  </si>
  <si>
    <t>Renewable Seat Ring, Hard Faced</t>
  </si>
  <si>
    <r>
      <t xml:space="preserve">Back Seat </t>
    </r>
    <r>
      <rPr>
        <sz val="9"/>
        <color theme="0"/>
        <rFont val="Arial"/>
        <family val="2"/>
      </rPr>
      <t>Mat.</t>
    </r>
  </si>
  <si>
    <t>Body Integral</t>
  </si>
  <si>
    <t>Renewable/ Integral Seat, Stellite hard faced</t>
  </si>
  <si>
    <t>Monel K500, hard faced</t>
  </si>
  <si>
    <t>API 600, 602 or API 603</t>
  </si>
  <si>
    <t>API 607 / API 6FA / BS EN ISO 10497</t>
  </si>
  <si>
    <t>4. Wedge, Stem and Gland material shall be forged, Castings are not acceptable.</t>
  </si>
  <si>
    <t>5. All stud bolts and nuts shall be XYLAR 2 + XYLAN 1070 coated with minimum combined thickness of 50μm.</t>
  </si>
  <si>
    <t>Body Integral, Stellite Hard Faced</t>
  </si>
  <si>
    <t>G1</t>
  </si>
  <si>
    <t>Glycol, FG, HC service</t>
  </si>
  <si>
    <t>Corrosive HC service</t>
  </si>
  <si>
    <t>Flare, Corrosive HC service (Low Temp)</t>
  </si>
  <si>
    <t>Corrosive HC service (Low Temp)</t>
  </si>
  <si>
    <t>Gas Lift, Corrosive HC service (Low Temp)</t>
  </si>
  <si>
    <t>A2LN</t>
  </si>
  <si>
    <t>B2LN</t>
  </si>
  <si>
    <t>D2LN</t>
  </si>
  <si>
    <t>E2LN</t>
  </si>
  <si>
    <t>F2LN</t>
  </si>
  <si>
    <t>G2LN</t>
  </si>
  <si>
    <t>A10N</t>
  </si>
  <si>
    <t>Glycol, Corrosive HC service</t>
  </si>
  <si>
    <t>B10N</t>
  </si>
  <si>
    <t>D10N</t>
  </si>
  <si>
    <t>E10N</t>
  </si>
  <si>
    <t>F10N</t>
  </si>
  <si>
    <t>G10N</t>
  </si>
  <si>
    <t>A20N</t>
  </si>
  <si>
    <t>B20N</t>
  </si>
  <si>
    <t>D20N</t>
  </si>
  <si>
    <t>E20N</t>
  </si>
  <si>
    <t>F20N</t>
  </si>
  <si>
    <t>G20N</t>
  </si>
  <si>
    <t>E25N</t>
  </si>
  <si>
    <t>F25N</t>
  </si>
  <si>
    <t>G25N</t>
  </si>
  <si>
    <t>ASTM A 194 Gr. 2HM, XYLAR 2 + XYLAN 1070 coated with minimum combined thickness of 50μm</t>
  </si>
  <si>
    <t>ASME B 16.20, 4.5mm, SS316/SS316L Spiral Wound with Flexible Graphite (F.G.) filler</t>
  </si>
  <si>
    <t>ASME B 16.20, OCT ring of Soft Iron with Max. Hardness of 90 BHN, HDG</t>
  </si>
  <si>
    <t>ASTM A 194 Gr. 7ML, XYLAR 2 + XYLAN 1070 coated with minimum combined thickness of 50μm</t>
  </si>
  <si>
    <t>ASME B 16.20, 4.5 mm, SS316/SS316L Spiral Wound with Flexible Graphite (F.G.) filler</t>
  </si>
  <si>
    <t>ASME B 16.20, OCT Ring of Soft Iron with Max. Hardness 90 BHN</t>
  </si>
  <si>
    <t>ASME B 16.20, OCT ring of SS316L with Max. Hardness of 160 BHN</t>
  </si>
  <si>
    <t>ASME B 16.20, 4.5mm, DSS UNS S31803 Spiral Wound with Flexible Graphite (F.G.) filler</t>
  </si>
  <si>
    <t>ASME B 16.20, OCT ring of UNS S 31803 with Max. Hardness of 22 HRC</t>
  </si>
  <si>
    <t>ASME B 16.20, 4.5mm, DSS UNS S32750 Spiral Wound with Flexible Graphite (F.G.) filler</t>
  </si>
  <si>
    <t>ASME B 16.20, OCT ring of UNS S 332750 with Max. Hardness of 22 HRC</t>
  </si>
  <si>
    <t>ASTM A 193 Gr. B7M, XYLAR 2 + XYLAN 1070 coated with minimum combined thickness of 50μm</t>
  </si>
  <si>
    <t>EPDM Rubber Full Face Gasket with SS insert Shore A Hardness 70 ± 5, #150 (e.g. Kroll &amp; Ziller G-ST/PS )</t>
  </si>
  <si>
    <t>ASTM A 320 Gr. L7M, XYLAR 2 + XYLAN 1070 coated with minimum combined thickness of 50μm</t>
  </si>
  <si>
    <t>5.5 barg</t>
  </si>
  <si>
    <t>GAWA1R</t>
  </si>
  <si>
    <t>GAWB1R</t>
  </si>
  <si>
    <t>GAWD1R</t>
  </si>
  <si>
    <t>GAWE1J</t>
  </si>
  <si>
    <t>GAWF1J</t>
  </si>
  <si>
    <t>GAWA2NR</t>
  </si>
  <si>
    <t>GAWB2NR</t>
  </si>
  <si>
    <t>GAWD2NR</t>
  </si>
  <si>
    <t>GAWE2NJ</t>
  </si>
  <si>
    <t>GAWF2NJ</t>
  </si>
  <si>
    <t>GAWG2NJ</t>
  </si>
  <si>
    <t>GAWA1LNR</t>
  </si>
  <si>
    <t>GAWB1LNR</t>
  </si>
  <si>
    <t>GAWD1LNR</t>
  </si>
  <si>
    <t>GAWE1LNJ</t>
  </si>
  <si>
    <t>GAWF1LNJ</t>
  </si>
  <si>
    <t>GAWG1LNJ</t>
  </si>
  <si>
    <t>GAWA1NR</t>
  </si>
  <si>
    <t>GAWB1NR</t>
  </si>
  <si>
    <t>GAWD1NR</t>
  </si>
  <si>
    <t>GAWE1NJ</t>
  </si>
  <si>
    <t>GAWF1NJ</t>
  </si>
  <si>
    <t>GAWG1NJ</t>
  </si>
  <si>
    <t>GAWA2LNR</t>
  </si>
  <si>
    <t>GAWB2LNR</t>
  </si>
  <si>
    <t>GAWD2LNR</t>
  </si>
  <si>
    <t>GAWE2LNJ</t>
  </si>
  <si>
    <t>GAWF2LNJ</t>
  </si>
  <si>
    <t>GAWG2LNJ</t>
  </si>
  <si>
    <t>GAWA10NR</t>
  </si>
  <si>
    <t>GAWB10NR</t>
  </si>
  <si>
    <t>GAWD10NR</t>
  </si>
  <si>
    <t>GAWE10NJ</t>
  </si>
  <si>
    <t>GAWF10NJ</t>
  </si>
  <si>
    <t>GAWG10NJ</t>
  </si>
  <si>
    <t>GAWB10R</t>
  </si>
  <si>
    <t>GAWD10R</t>
  </si>
  <si>
    <t>GAWE10J</t>
  </si>
  <si>
    <t>GAWA20NR</t>
  </si>
  <si>
    <t>GAWB20NR</t>
  </si>
  <si>
    <t>GAWD20NR</t>
  </si>
  <si>
    <t>GAWE20NJ</t>
  </si>
  <si>
    <t>GAWF20NJ</t>
  </si>
  <si>
    <t>GAWG20NJ</t>
  </si>
  <si>
    <t>GAWA25NR</t>
  </si>
  <si>
    <t>GAWB25NR</t>
  </si>
  <si>
    <t>GAWD25NR</t>
  </si>
  <si>
    <t>ASTM A105N (1.5” and below), ASTM A105N/ASTM A216 WCB (2” &amp; Above)</t>
  </si>
  <si>
    <t>Forged ASTM A182 F316, Stellite Hard faced</t>
  </si>
  <si>
    <t>Flanged ASME B16.5 RF</t>
  </si>
  <si>
    <t>GAWG1J</t>
  </si>
  <si>
    <t>GAWF10J</t>
  </si>
  <si>
    <t>GAWG10J</t>
  </si>
  <si>
    <t>GAWE25NR</t>
  </si>
  <si>
    <t>GAWF25NR</t>
  </si>
  <si>
    <t>GAWG25NR</t>
  </si>
  <si>
    <t>GAWA10R</t>
  </si>
  <si>
    <t>Forged - ASTM A182 F317</t>
  </si>
  <si>
    <t>Forged - ASTM A182 F318</t>
  </si>
  <si>
    <t>Forged - ASTM A182 F319</t>
  </si>
  <si>
    <t>Forged - ASTM A182 F320</t>
  </si>
  <si>
    <t>Forged - ASTM A182 F321</t>
  </si>
  <si>
    <t>646.35 barg</t>
  </si>
  <si>
    <t>473.99 barg</t>
  </si>
  <si>
    <t>387.9 barg</t>
  </si>
  <si>
    <t>284.46 barg</t>
  </si>
  <si>
    <t>232.65 barg</t>
  </si>
  <si>
    <t>170.61 barg</t>
  </si>
  <si>
    <t>155.1 barg</t>
  </si>
  <si>
    <t>113.74 barg</t>
  </si>
  <si>
    <t>77.55 barg</t>
  </si>
  <si>
    <t>56.87 barg</t>
  </si>
  <si>
    <t>30 barg</t>
  </si>
  <si>
    <t>22 barg</t>
  </si>
  <si>
    <t>517.05 barg</t>
  </si>
  <si>
    <t>379.17 barg</t>
  </si>
  <si>
    <t>310.2 barg</t>
  </si>
  <si>
    <t>227.48 barg</t>
  </si>
  <si>
    <t>186.15 barg</t>
  </si>
  <si>
    <t>136.51 barg</t>
  </si>
  <si>
    <t>124.05 barg</t>
  </si>
  <si>
    <t>90.97 barg</t>
  </si>
  <si>
    <t>62.1 barg</t>
  </si>
  <si>
    <t>45.54 barg</t>
  </si>
  <si>
    <t>23.85 barg</t>
  </si>
  <si>
    <t>17.49 barg</t>
  </si>
  <si>
    <t>638.25 barg</t>
  </si>
  <si>
    <t>468.05 barg</t>
  </si>
  <si>
    <t>382.95 barg</t>
  </si>
  <si>
    <t>280.83 barg</t>
  </si>
  <si>
    <t>229.8 barg</t>
  </si>
  <si>
    <t>168.52 barg</t>
  </si>
  <si>
    <t>153.15 barg</t>
  </si>
  <si>
    <t>112.31 barg</t>
  </si>
  <si>
    <t>76.65 barg</t>
  </si>
  <si>
    <t>56.21 barg</t>
  </si>
  <si>
    <t>29.4 barg</t>
  </si>
  <si>
    <t>21.56 barg</t>
  </si>
  <si>
    <t>ASTM A 453 Gr. 660</t>
  </si>
  <si>
    <t>GAWA25R</t>
  </si>
  <si>
    <t>A25</t>
  </si>
  <si>
    <t>GAWG25R</t>
  </si>
  <si>
    <t>A3, A4, A5, A6, A10</t>
  </si>
  <si>
    <t>GAWA30F</t>
  </si>
  <si>
    <t>A30, A40, A41, A42</t>
  </si>
  <si>
    <t>GAWA31F</t>
  </si>
  <si>
    <t>A31</t>
  </si>
  <si>
    <t>1/2" - 4"</t>
  </si>
  <si>
    <t>ASTM B61 UNS C92200</t>
  </si>
  <si>
    <t>Forged - ASTM B124 UNS NO C 37700</t>
  </si>
  <si>
    <t>ASTM B124 UNS NO C 37700</t>
  </si>
  <si>
    <t>Forged - ASTM B124 UNS NO C 37700, hard faced</t>
  </si>
  <si>
    <t>VDS</t>
  </si>
  <si>
    <t>Seat Material</t>
  </si>
  <si>
    <t>Sheet Index</t>
  </si>
  <si>
    <t>S. No</t>
  </si>
  <si>
    <t>Page No</t>
  </si>
  <si>
    <t>Trim Material</t>
  </si>
  <si>
    <t>G25</t>
  </si>
  <si>
    <t>GATE VALVE</t>
  </si>
  <si>
    <t>Flanged ASME B16.5 RTJ / Compact Flange / Hub Connector (As per PMS)</t>
  </si>
  <si>
    <t>Brazed with 100mm Nipples on both sides (for 1 1/2" and below) / Flanged ASME B16.5 FF (for 2" and above)</t>
  </si>
  <si>
    <t>Bolted bonnet, Brazed End (1 1/2" and below) Integral Flanged End ( for 2" and above)</t>
  </si>
  <si>
    <t>23.5 barg</t>
  </si>
  <si>
    <t>17.3 barg</t>
  </si>
  <si>
    <t>SL No.</t>
  </si>
  <si>
    <t>SPEC</t>
  </si>
  <si>
    <t>RATING</t>
  </si>
  <si>
    <t>ASME MATERIAL GROUP</t>
  </si>
  <si>
    <t>PIPE MATERIAL</t>
  </si>
  <si>
    <t>CORROSION ALLOWANCE</t>
  </si>
  <si>
    <t>SERVICE</t>
  </si>
  <si>
    <t>MaxPressure @ Min Temp (barg)</t>
  </si>
  <si>
    <t>MaxPressure @ Max Temp (barg)</t>
  </si>
  <si>
    <t>Sheet No.</t>
  </si>
  <si>
    <t>150#</t>
  </si>
  <si>
    <t>CS</t>
  </si>
  <si>
    <r>
      <t>Cooling Water, Diesel, Steam, WI, HC with low CO</t>
    </r>
    <r>
      <rPr>
        <vertAlign val="subscript"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 xml:space="preserve"> and H</t>
    </r>
    <r>
      <rPr>
        <vertAlign val="subscript"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>S, Fresh Water, Hydraulic, Nitrogen, Exhaust, Fuel Oil, Tank Air Vent</t>
    </r>
  </si>
  <si>
    <t>19.6 @ -29°C</t>
  </si>
  <si>
    <t>13.8 @ 200°C</t>
  </si>
  <si>
    <t>300#</t>
  </si>
  <si>
    <r>
      <t>Cooling Water, Diesel, WI, HC with low CO</t>
    </r>
    <r>
      <rPr>
        <vertAlign val="subscript"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 xml:space="preserve"> and H</t>
    </r>
    <r>
      <rPr>
        <vertAlign val="subscript"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>S, Steam, Hydraulic</t>
    </r>
  </si>
  <si>
    <t>51.1 @ -29°C</t>
  </si>
  <si>
    <t>43.8 @ 200°C</t>
  </si>
  <si>
    <t>600#</t>
  </si>
  <si>
    <t>102.1 @ -29°C</t>
  </si>
  <si>
    <t>87.6 @ 200°C</t>
  </si>
  <si>
    <t>900#</t>
  </si>
  <si>
    <r>
      <t>Diesel, WI, HC with low CO</t>
    </r>
    <r>
      <rPr>
        <vertAlign val="subscript"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 xml:space="preserve"> and H</t>
    </r>
    <r>
      <rPr>
        <vertAlign val="subscript"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>S, Steam, Hydraulic</t>
    </r>
  </si>
  <si>
    <t>153.2 @ -29°C</t>
  </si>
  <si>
    <t>131.4 @ 200°C</t>
  </si>
  <si>
    <t>1500#</t>
  </si>
  <si>
    <t>255.3 @ -29°C</t>
  </si>
  <si>
    <t>219 @ 200°C</t>
  </si>
  <si>
    <t>2500#</t>
  </si>
  <si>
    <t>HC with low CO2 and H2S, Steam, Hydraulic</t>
  </si>
  <si>
    <t>399.8 @ -29°C</t>
  </si>
  <si>
    <t>342.9 @ 200°C</t>
  </si>
  <si>
    <t>CS NACE</t>
  </si>
  <si>
    <t>13.8 @ 250°C</t>
  </si>
  <si>
    <t>43.8 @ 250°C</t>
  </si>
  <si>
    <t>87.6 @ 250°C</t>
  </si>
  <si>
    <t>131.4 @ 250°C</t>
  </si>
  <si>
    <t>A2</t>
  </si>
  <si>
    <t>Crude Oil</t>
  </si>
  <si>
    <t>LTCS NACE</t>
  </si>
  <si>
    <t>19.6 @ -45°C</t>
  </si>
  <si>
    <t>51.1 @ -45°C</t>
  </si>
  <si>
    <t>102.1 @ -45°C</t>
  </si>
  <si>
    <t>153.2 @ -45°C</t>
  </si>
  <si>
    <t>255.3 @ -45°C</t>
  </si>
  <si>
    <t>A3</t>
  </si>
  <si>
    <t>CS GALV (Valve: SS)</t>
  </si>
  <si>
    <t>Utility Water</t>
  </si>
  <si>
    <t>19 @ -29°C</t>
  </si>
  <si>
    <t xml:space="preserve"> 16.2 @ 100°C</t>
  </si>
  <si>
    <t>A4</t>
  </si>
  <si>
    <t>1.5 mm</t>
  </si>
  <si>
    <t>Bilge, drain, sewage, produced water, C02 Gas</t>
  </si>
  <si>
    <t>B4</t>
  </si>
  <si>
    <t>D4</t>
  </si>
  <si>
    <t>A5</t>
  </si>
  <si>
    <t>CS GALV</t>
  </si>
  <si>
    <t>Chemical (penetration), Firewater (penetration), Seawater (penetration), Ballast, Inert Gas, COW/Tank Cleaning, Slop, Stripping, Seawater</t>
  </si>
  <si>
    <t>A6</t>
  </si>
  <si>
    <t>CS - Epoxy Lined</t>
  </si>
  <si>
    <t>Ballast, Inert Gas, COW/Tank Cleaning, Slop, Seawater, Firewater</t>
  </si>
  <si>
    <t>SS316L</t>
  </si>
  <si>
    <t>Air, Nitrogen, Lube oil, Chemical, Foam, hydraulic, IA, Diesel Fuel, UW, Bilge, Drain, Sewage, PW, CO2 Gas, Ballast, IG, COW/Tank Cleaning, Slop, Fire Water</t>
  </si>
  <si>
    <t>15.9 @ -100°C</t>
  </si>
  <si>
    <t>11.2 @ 200°C</t>
  </si>
  <si>
    <t>Air, Nitrogen, Lube oil, Chemical, Foam, Hydraulic, Instrument Air, Diesel Fuel</t>
  </si>
  <si>
    <t>41.4 @ -100°C</t>
  </si>
  <si>
    <t>29.2 @ 200°C</t>
  </si>
  <si>
    <t>Air, Nitrogen, Lube oil, Chemical, Hydraulic</t>
  </si>
  <si>
    <t>82.7 @ -100°C</t>
  </si>
  <si>
    <t>58.3 @ 200°C</t>
  </si>
  <si>
    <t>124.1 @ -100°C</t>
  </si>
  <si>
    <t>87.5 @ 200°C</t>
  </si>
  <si>
    <t>206.8 @ -100°C</t>
  </si>
  <si>
    <t>145.8 @ 200°C</t>
  </si>
  <si>
    <t>344.7 @ -100°C</t>
  </si>
  <si>
    <t>243 @ 200°C</t>
  </si>
  <si>
    <t>SS316L NACE</t>
  </si>
  <si>
    <t>DSS NACE</t>
  </si>
  <si>
    <t>20 @ -46°C</t>
  </si>
  <si>
    <t>51.7 @ -46°C</t>
  </si>
  <si>
    <t>42.7 @ 200°C</t>
  </si>
  <si>
    <t>103.4 @ -46°C</t>
  </si>
  <si>
    <t>85.3 @ 200°C</t>
  </si>
  <si>
    <t>155.1 @ -46°C</t>
  </si>
  <si>
    <t>128 @ 200°C</t>
  </si>
  <si>
    <t>258.6 @ -46°C</t>
  </si>
  <si>
    <t>213.3 @ 200°C</t>
  </si>
  <si>
    <t>430.9 @ -46°C</t>
  </si>
  <si>
    <t>355.4 @ 200°C</t>
  </si>
  <si>
    <t>SDSS</t>
  </si>
  <si>
    <t>Firewater, Raw Seawater and Topsides Seawater</t>
  </si>
  <si>
    <t>Topside Seawater and Water Injection</t>
  </si>
  <si>
    <t>SDSS NACE</t>
  </si>
  <si>
    <t>EEMUA 20 bar</t>
  </si>
  <si>
    <t>CuNi (Valve: NAB)</t>
  </si>
  <si>
    <t>Raw Sea Water, Fire Water, Hypochlorite, Sewage</t>
  </si>
  <si>
    <t>20 @ 0°C</t>
  </si>
  <si>
    <t>17.3 @ 100°C</t>
  </si>
  <si>
    <t>Copper</t>
  </si>
  <si>
    <t>Potable Water</t>
  </si>
  <si>
    <t>A40</t>
  </si>
  <si>
    <t>GRE (Valve: NAB)</t>
  </si>
  <si>
    <t>Raw Sea Water</t>
  </si>
  <si>
    <t>20 @ 90°C</t>
  </si>
  <si>
    <t>A41</t>
  </si>
  <si>
    <t>Hypochlorite</t>
  </si>
  <si>
    <t>16.32 @ 0°C</t>
  </si>
  <si>
    <t>16.32 @ 82°C</t>
  </si>
  <si>
    <t>A42</t>
  </si>
  <si>
    <t>CPVC (Valve: NAB)</t>
  </si>
  <si>
    <t>Sewage, Hypochlorite</t>
  </si>
  <si>
    <t>Rev</t>
  </si>
  <si>
    <t>50502-SPE-80000-PP-SP-0002</t>
  </si>
  <si>
    <t>General Specification for Paint and Protective Coating doc : 50502-SPE-80000-ME-SP-XXXX</t>
  </si>
  <si>
    <t>2. Data sheet shall be read in conjunction with Piping Material Specification, Doc No. 50502-SPE-80000-PP-SP-0001.</t>
  </si>
  <si>
    <t>C0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</si>
</sst>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8"/>
      <color theme="1"/>
      <name val="Arial"/>
      <family val="2"/>
    </font>
    <font>
      <b/>
      <sz val="9"/>
      <color rgb="FF000000"/>
      <name val="Arial"/>
      <family val="2"/>
    </font>
    <font>
      <sz val="9"/>
      <color rgb="FF000000"/>
      <name val="Arial"/>
      <family val="2"/>
    </font>
    <font>
      <sz val="9"/>
      <color theme="1"/>
      <name val="Arial"/>
      <family val="2"/>
    </font>
    <font>
      <sz val="9"/>
      <name val="Arial"/>
      <family val="2"/>
    </font>
    <font>
      <sz val="9"/>
      <color theme="0"/>
      <name val="Arial"/>
      <family val="2"/>
    </font>
    <font>
      <strike/>
      <sz val="9"/>
      <name val="Arial"/>
      <family val="2"/>
    </font>
    <font>
      <sz val="10"/>
      <name val="Arial"/>
      <family val="2"/>
    </font>
    <font>
      <b/>
      <sz val="14"/>
      <color indexed="8"/>
      <name val="Arial"/>
      <family val="2"/>
    </font>
    <font>
      <u/>
      <sz val="11"/>
      <color theme="1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name val="Calibri"/>
      <family val="2"/>
      <scheme val="minor"/>
    </font>
    <font>
      <u/>
      <sz val="11"/>
      <name val="Calibri"/>
      <family val="2"/>
      <scheme val="minor"/>
    </font>
    <font>
      <b/>
      <sz val="16"/>
      <name val="Calibri"/>
      <family val="2"/>
      <scheme val="minor"/>
    </font>
    <font>
      <vertAlign val="subscript"/>
      <sz val="1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</borders>
  <cellStyleXfs count="3">
    <xf numFmtId="0" fontId="0" fillId="0" borderId="0"/>
    <xf numFmtId="0" fontId="8" fillId="0" borderId="0"/>
    <xf numFmtId="0" fontId="10" fillId="0" borderId="0" applyNumberFormat="0" applyFill="0" applyBorder="0" applyAlignment="0" applyProtection="0"/>
  </cellStyleXfs>
  <cellXfs count="87">
    <xf numFmtId="0" fontId="0" fillId="0" borderId="0" xfId="0"/>
    <xf numFmtId="0" fontId="4" fillId="0" borderId="0" xfId="0" applyFont="1"/>
    <xf numFmtId="0" fontId="2" fillId="0" borderId="1" xfId="0" applyFont="1" applyBorder="1" applyAlignment="1" applyProtection="1">
      <alignment horizontal="center" vertical="center" wrapText="1"/>
      <protection locked="0"/>
    </xf>
    <xf numFmtId="0" fontId="3" fillId="0" borderId="1" xfId="0" applyFont="1" applyBorder="1" applyAlignment="1" applyProtection="1">
      <alignment horizontal="left" vertical="center" wrapText="1" indent="1"/>
      <protection locked="0"/>
    </xf>
    <xf numFmtId="0" fontId="3" fillId="0" borderId="1" xfId="0" applyFont="1" applyBorder="1" applyAlignment="1" applyProtection="1">
      <alignment horizontal="left" vertical="center" wrapText="1"/>
      <protection locked="0"/>
    </xf>
    <xf numFmtId="0" fontId="3" fillId="0" borderId="1" xfId="0" applyFont="1" applyBorder="1" applyAlignment="1" applyProtection="1">
      <alignment horizontal="left" vertical="top" wrapText="1" indent="1"/>
      <protection locked="0"/>
    </xf>
    <xf numFmtId="0" fontId="5" fillId="0" borderId="1" xfId="0" applyFont="1" applyBorder="1" applyAlignment="1" applyProtection="1">
      <alignment horizontal="left" vertical="center" wrapText="1"/>
      <protection locked="0"/>
    </xf>
    <xf numFmtId="0" fontId="4" fillId="0" borderId="2" xfId="0" applyFont="1" applyBorder="1"/>
    <xf numFmtId="0" fontId="4" fillId="0" borderId="14" xfId="0" applyFont="1" applyBorder="1"/>
    <xf numFmtId="0" fontId="4" fillId="0" borderId="3" xfId="0" applyFont="1" applyBorder="1"/>
    <xf numFmtId="0" fontId="4" fillId="0" borderId="11" xfId="0" applyFont="1" applyBorder="1"/>
    <xf numFmtId="0" fontId="4" fillId="0" borderId="12" xfId="0" applyFont="1" applyBorder="1"/>
    <xf numFmtId="0" fontId="3" fillId="0" borderId="6" xfId="0" applyFont="1" applyBorder="1" applyAlignment="1" applyProtection="1">
      <alignment horizontal="left" vertical="top" wrapText="1" indent="1"/>
      <protection locked="0"/>
    </xf>
    <xf numFmtId="0" fontId="1" fillId="0" borderId="1" xfId="0" applyFont="1" applyBorder="1" applyAlignment="1">
      <alignment horizontal="left" vertical="center" wrapText="1"/>
    </xf>
    <xf numFmtId="0" fontId="4" fillId="0" borderId="0" xfId="0" applyFont="1" applyAlignment="1">
      <alignment vertical="center"/>
    </xf>
    <xf numFmtId="0" fontId="1" fillId="0" borderId="1" xfId="0" applyFont="1" applyBorder="1" applyAlignment="1">
      <alignment vertical="center"/>
    </xf>
    <xf numFmtId="0" fontId="1" fillId="0" borderId="1" xfId="0" quotePrefix="1" applyFont="1" applyBorder="1" applyAlignment="1">
      <alignment horizontal="left" vertical="center"/>
    </xf>
    <xf numFmtId="0" fontId="4" fillId="0" borderId="1" xfId="0" applyFont="1" applyBorder="1" applyAlignment="1">
      <alignment horizontal="left" vertical="center"/>
    </xf>
    <xf numFmtId="0" fontId="0" fillId="0" borderId="16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11" fillId="0" borderId="22" xfId="0" applyFont="1" applyBorder="1" applyAlignment="1">
      <alignment horizontal="center" vertical="center"/>
    </xf>
    <xf numFmtId="0" fontId="11" fillId="0" borderId="23" xfId="0" applyFont="1" applyBorder="1" applyAlignment="1">
      <alignment horizontal="center" vertical="center"/>
    </xf>
    <xf numFmtId="0" fontId="12" fillId="0" borderId="18" xfId="0" applyFont="1" applyBorder="1" applyAlignment="1">
      <alignment horizontal="center" vertical="center"/>
    </xf>
    <xf numFmtId="0" fontId="11" fillId="0" borderId="24" xfId="0" applyFont="1" applyBorder="1" applyAlignment="1">
      <alignment horizontal="center" vertical="center"/>
    </xf>
    <xf numFmtId="0" fontId="11" fillId="0" borderId="25" xfId="0" applyFont="1" applyBorder="1" applyAlignment="1">
      <alignment horizontal="center" vertical="center"/>
    </xf>
    <xf numFmtId="0" fontId="11" fillId="0" borderId="26" xfId="0" applyFont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2" fillId="0" borderId="21" xfId="0" applyFon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11" fillId="0" borderId="2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2" fillId="0" borderId="18" xfId="0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 wrapText="1"/>
    </xf>
    <xf numFmtId="0" fontId="12" fillId="0" borderId="21" xfId="0" applyFont="1" applyBorder="1" applyAlignment="1">
      <alignment horizontal="center" vertical="center" wrapText="1"/>
    </xf>
    <xf numFmtId="0" fontId="14" fillId="0" borderId="18" xfId="2" applyFont="1" applyBorder="1" applyAlignment="1">
      <alignment horizontal="center" vertical="center"/>
    </xf>
    <xf numFmtId="0" fontId="14" fillId="0" borderId="1" xfId="2" applyFont="1" applyBorder="1" applyAlignment="1">
      <alignment horizontal="center" vertical="center"/>
    </xf>
    <xf numFmtId="0" fontId="14" fillId="0" borderId="21" xfId="2" applyFont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5" fillId="0" borderId="24" xfId="0" applyFont="1" applyBorder="1" applyAlignment="1">
      <alignment vertical="center"/>
    </xf>
    <xf numFmtId="0" fontId="15" fillId="0" borderId="25" xfId="0" applyFont="1" applyBorder="1" applyAlignment="1">
      <alignment vertical="center"/>
    </xf>
    <xf numFmtId="0" fontId="15" fillId="0" borderId="26" xfId="0" applyFont="1" applyBorder="1" applyAlignment="1">
      <alignment vertical="center"/>
    </xf>
    <xf numFmtId="0" fontId="11" fillId="0" borderId="28" xfId="0" applyFont="1" applyBorder="1" applyAlignment="1">
      <alignment horizontal="center" vertical="center" wrapText="1"/>
    </xf>
    <xf numFmtId="0" fontId="11" fillId="0" borderId="29" xfId="0" applyFont="1" applyBorder="1" applyAlignment="1">
      <alignment horizontal="center" vertical="center" wrapText="1"/>
    </xf>
    <xf numFmtId="0" fontId="11" fillId="0" borderId="30" xfId="0" applyFont="1" applyBorder="1" applyAlignment="1">
      <alignment horizontal="center" vertical="center" wrapText="1"/>
    </xf>
    <xf numFmtId="0" fontId="12" fillId="0" borderId="17" xfId="0" applyFont="1" applyBorder="1" applyAlignment="1">
      <alignment horizontal="center" vertical="center"/>
    </xf>
    <xf numFmtId="0" fontId="12" fillId="0" borderId="19" xfId="0" applyFont="1" applyBorder="1" applyAlignment="1">
      <alignment horizontal="center" vertical="center"/>
    </xf>
    <xf numFmtId="0" fontId="12" fillId="0" borderId="15" xfId="0" applyFont="1" applyBorder="1" applyAlignment="1">
      <alignment horizontal="center" vertical="center"/>
    </xf>
    <xf numFmtId="0" fontId="12" fillId="0" borderId="16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 shrinkToFit="1"/>
    </xf>
    <xf numFmtId="0" fontId="12" fillId="0" borderId="1" xfId="0" quotePrefix="1" applyFont="1" applyBorder="1" applyAlignment="1">
      <alignment horizontal="center" vertical="center"/>
    </xf>
    <xf numFmtId="0" fontId="12" fillId="0" borderId="20" xfId="0" applyFont="1" applyBorder="1" applyAlignment="1">
      <alignment horizontal="center" vertical="center"/>
    </xf>
    <xf numFmtId="0" fontId="12" fillId="0" borderId="27" xfId="0" applyFont="1" applyBorder="1" applyAlignment="1">
      <alignment horizontal="center" vertical="center"/>
    </xf>
    <xf numFmtId="0" fontId="12" fillId="0" borderId="0" xfId="0" applyFont="1" applyAlignment="1">
      <alignment horizontal="center" vertical="center" wrapText="1"/>
    </xf>
    <xf numFmtId="0" fontId="12" fillId="0" borderId="0" xfId="0" applyFont="1" applyAlignment="1">
      <alignment horizontal="left" vertical="center"/>
    </xf>
    <xf numFmtId="0" fontId="11" fillId="0" borderId="11" xfId="0" applyFont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 wrapText="1"/>
    </xf>
    <xf numFmtId="0" fontId="13" fillId="0" borderId="0" xfId="0" applyFont="1" applyAlignment="1">
      <alignment horizontal="center" vertical="center"/>
    </xf>
    <xf numFmtId="0" fontId="3" fillId="0" borderId="8" xfId="0" applyFont="1" applyBorder="1" applyAlignment="1" applyProtection="1">
      <alignment horizontal="left" vertical="center" wrapText="1"/>
      <protection locked="0"/>
    </xf>
    <xf numFmtId="0" fontId="3" fillId="0" borderId="9" xfId="0" applyFont="1" applyBorder="1" applyAlignment="1" applyProtection="1">
      <alignment horizontal="left" vertical="center" wrapText="1"/>
      <protection locked="0"/>
    </xf>
    <xf numFmtId="0" fontId="4" fillId="0" borderId="4" xfId="0" applyFont="1" applyBorder="1" applyAlignment="1">
      <alignment horizontal="left"/>
    </xf>
    <xf numFmtId="0" fontId="4" fillId="0" borderId="10" xfId="0" applyFont="1" applyBorder="1" applyAlignment="1">
      <alignment horizontal="left"/>
    </xf>
    <xf numFmtId="0" fontId="4" fillId="0" borderId="5" xfId="0" applyFont="1" applyBorder="1" applyAlignment="1">
      <alignment horizontal="left"/>
    </xf>
    <xf numFmtId="0" fontId="3" fillId="0" borderId="1" xfId="0" applyFont="1" applyBorder="1" applyAlignment="1" applyProtection="1">
      <alignment horizontal="left" vertical="center" wrapText="1"/>
      <protection locked="0"/>
    </xf>
    <xf numFmtId="0" fontId="4" fillId="0" borderId="11" xfId="0" applyFont="1" applyBorder="1" applyAlignment="1">
      <alignment horizontal="left" vertical="top" wrapText="1"/>
    </xf>
    <xf numFmtId="0" fontId="4" fillId="0" borderId="0" xfId="0" applyFont="1" applyAlignment="1">
      <alignment horizontal="left" vertical="top" wrapText="1"/>
    </xf>
    <xf numFmtId="0" fontId="4" fillId="0" borderId="12" xfId="0" applyFont="1" applyBorder="1" applyAlignment="1">
      <alignment horizontal="left" vertical="top" wrapText="1"/>
    </xf>
    <xf numFmtId="0" fontId="3" fillId="0" borderId="2" xfId="0" applyFont="1" applyBorder="1" applyAlignment="1" applyProtection="1">
      <alignment horizontal="left" vertical="top" wrapText="1"/>
      <protection locked="0"/>
    </xf>
    <xf numFmtId="0" fontId="3" fillId="0" borderId="3" xfId="0" applyFont="1" applyBorder="1" applyAlignment="1" applyProtection="1">
      <alignment horizontal="left" vertical="top" wrapText="1"/>
      <protection locked="0"/>
    </xf>
    <xf numFmtId="0" fontId="3" fillId="0" borderId="2" xfId="0" applyFont="1" applyBorder="1" applyAlignment="1" applyProtection="1">
      <alignment horizontal="left" vertical="center" wrapText="1"/>
      <protection locked="0"/>
    </xf>
    <xf numFmtId="0" fontId="3" fillId="0" borderId="3" xfId="0" applyFont="1" applyBorder="1" applyAlignment="1" applyProtection="1">
      <alignment horizontal="left" vertical="center" wrapText="1"/>
      <protection locked="0"/>
    </xf>
    <xf numFmtId="0" fontId="4" fillId="0" borderId="2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9" fillId="0" borderId="6" xfId="0" applyFont="1" applyBorder="1" applyAlignment="1">
      <alignment horizontal="center" vertical="center"/>
    </xf>
    <xf numFmtId="0" fontId="9" fillId="0" borderId="13" xfId="0" applyFont="1" applyBorder="1" applyAlignment="1">
      <alignment horizontal="center" vertical="center"/>
    </xf>
    <xf numFmtId="0" fontId="9" fillId="0" borderId="7" xfId="0" applyFont="1" applyBorder="1" applyAlignment="1">
      <alignment horizontal="center" vertical="center"/>
    </xf>
    <xf numFmtId="0" fontId="2" fillId="0" borderId="1" xfId="0" applyFont="1" applyBorder="1" applyAlignment="1" applyProtection="1">
      <alignment horizontal="center" vertical="center" wrapText="1"/>
      <protection locked="0"/>
    </xf>
  </cellXfs>
  <cellStyles count="3">
    <cellStyle name="Hyperlink" xfId="2" builtinId="8"/>
    <cellStyle name="Normal" xfId="0" builtinId="0"/>
    <cellStyle name="Normal 2 2" xfId="1" xr:uid="{5AF5B683-F745-4AA8-B0F4-A1AB6FF701B5}"/>
  </cellStyles>
  <dxfs count="75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1C0DE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sheetMetadata" Target="metadata.xml"/><Relationship Id="rId68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microsoft.com/office/2017/06/relationships/rdRichValueStructure" Target="richData/rdrichvaluestructure.xml"/><Relationship Id="rId5" Type="http://schemas.openxmlformats.org/officeDocument/2006/relationships/worksheet" Target="worksheets/sheet5.xml"/><Relationship Id="rId61" Type="http://schemas.openxmlformats.org/officeDocument/2006/relationships/styles" Target="style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microsoft.com/office/2022/10/relationships/richValueRel" Target="richData/richValueRel.xml"/><Relationship Id="rId69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microsoft.com/office/2017/06/relationships/rdRichValueTypes" Target="richData/rdRichValueTyp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theme" Target="theme/theme1.xml"/><Relationship Id="rId65" Type="http://schemas.microsoft.com/office/2017/06/relationships/rdRichValue" Target="richData/rdrichvalue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8C14B6-969A-4473-BCFE-A727B1F38B6E}">
  <sheetPr codeName="Sheet6">
    <pageSetUpPr fitToPage="1"/>
  </sheetPr>
  <dimension ref="A1:W73"/>
  <sheetViews>
    <sheetView tabSelected="1" view="pageBreakPreview" topLeftCell="D1" zoomScale="115" zoomScaleNormal="40" zoomScaleSheetLayoutView="115" workbookViewId="0">
      <selection activeCell="L8" sqref="L8"/>
    </sheetView>
  </sheetViews>
  <sheetFormatPr defaultRowHeight="15" x14ac:dyDescent="0.25"/>
  <cols>
    <col min="1" max="1" width="8.42578125" style="20" bestFit="1" customWidth="1"/>
    <col min="2" max="2" width="17.85546875" style="43" bestFit="1" customWidth="1"/>
    <col min="3" max="3" width="15" style="20" bestFit="1" customWidth="1"/>
    <col min="4" max="4" width="36.85546875" style="20" bestFit="1" customWidth="1"/>
    <col min="5" max="5" width="57" style="36" customWidth="1"/>
    <col min="6" max="6" width="31" style="20" bestFit="1" customWidth="1"/>
    <col min="7" max="7" width="49.140625" style="20" customWidth="1"/>
    <col min="8" max="8" width="20" style="20" customWidth="1"/>
    <col min="9" max="9" width="12.28515625" style="20" bestFit="1" customWidth="1"/>
    <col min="13" max="13" width="6.28515625" style="43" bestFit="1" customWidth="1"/>
    <col min="14" max="14" width="20" style="43" bestFit="1" customWidth="1"/>
    <col min="15" max="15" width="12.7109375" style="43" bestFit="1" customWidth="1"/>
    <col min="16" max="16" width="22.28515625" style="43" bestFit="1" customWidth="1"/>
    <col min="17" max="17" width="17.85546875" style="43" bestFit="1" customWidth="1"/>
    <col min="18" max="18" width="23.28515625" style="43" bestFit="1" customWidth="1"/>
    <col min="19" max="19" width="160.42578125" style="58" customWidth="1"/>
    <col min="20" max="20" width="29" style="43" bestFit="1" customWidth="1"/>
    <col min="21" max="21" width="29.28515625" style="43" bestFit="1" customWidth="1"/>
    <col min="22" max="22" width="9.42578125" style="43" customWidth="1"/>
    <col min="23" max="23" width="30.42578125" bestFit="1" customWidth="1"/>
  </cols>
  <sheetData>
    <row r="1" spans="1:23" ht="21.75" thickBot="1" x14ac:dyDescent="0.3">
      <c r="A1" s="27" t="s">
        <v>311</v>
      </c>
      <c r="B1" s="28" t="s">
        <v>308</v>
      </c>
      <c r="C1" s="28" t="s">
        <v>27</v>
      </c>
      <c r="D1" s="28" t="s">
        <v>28</v>
      </c>
      <c r="E1" s="35" t="s">
        <v>35</v>
      </c>
      <c r="F1" s="28" t="s">
        <v>313</v>
      </c>
      <c r="G1" s="28" t="s">
        <v>309</v>
      </c>
      <c r="H1" s="28" t="s">
        <v>26</v>
      </c>
      <c r="I1" s="29" t="s">
        <v>312</v>
      </c>
      <c r="J1" s="60" t="s">
        <v>434</v>
      </c>
      <c r="M1" s="44"/>
      <c r="N1" s="45"/>
      <c r="O1" s="45"/>
      <c r="P1" s="45"/>
      <c r="Q1" s="45"/>
      <c r="R1" s="45"/>
      <c r="S1" s="45"/>
      <c r="T1" s="45"/>
      <c r="U1" s="45"/>
      <c r="V1" s="46"/>
    </row>
    <row r="2" spans="1:23" ht="19.899999999999999" customHeight="1" thickBot="1" x14ac:dyDescent="0.3">
      <c r="A2" s="24"/>
      <c r="B2" s="61" t="s">
        <v>315</v>
      </c>
      <c r="C2" s="61"/>
      <c r="D2" s="61"/>
      <c r="E2" s="62"/>
      <c r="F2" s="61"/>
      <c r="G2" s="61"/>
      <c r="H2" s="61"/>
      <c r="I2" s="25"/>
      <c r="M2" s="47" t="s">
        <v>321</v>
      </c>
      <c r="N2" s="48" t="s">
        <v>322</v>
      </c>
      <c r="O2" s="48" t="s">
        <v>323</v>
      </c>
      <c r="P2" s="48" t="s">
        <v>324</v>
      </c>
      <c r="Q2" s="48" t="s">
        <v>325</v>
      </c>
      <c r="R2" s="48" t="s">
        <v>326</v>
      </c>
      <c r="S2" s="48" t="s">
        <v>327</v>
      </c>
      <c r="T2" s="48" t="s">
        <v>328</v>
      </c>
      <c r="U2" s="48" t="s">
        <v>329</v>
      </c>
      <c r="V2" s="49" t="s">
        <v>330</v>
      </c>
    </row>
    <row r="3" spans="1:23" ht="18.75" thickBot="1" x14ac:dyDescent="0.3">
      <c r="A3" s="30"/>
      <c r="B3" s="63" t="s">
        <v>310</v>
      </c>
      <c r="I3" s="31"/>
      <c r="M3" s="50">
        <v>1</v>
      </c>
      <c r="N3" s="26" t="s">
        <v>0</v>
      </c>
      <c r="O3" s="26" t="s">
        <v>331</v>
      </c>
      <c r="P3" s="26">
        <v>1.1000000000000001</v>
      </c>
      <c r="Q3" s="26" t="s">
        <v>332</v>
      </c>
      <c r="R3" s="26" t="s">
        <v>83</v>
      </c>
      <c r="S3" s="37" t="s">
        <v>333</v>
      </c>
      <c r="T3" s="26" t="s">
        <v>334</v>
      </c>
      <c r="U3" s="26" t="s">
        <v>335</v>
      </c>
      <c r="V3" s="51">
        <v>23</v>
      </c>
      <c r="W3" t="str">
        <f>T3&amp;"' "&amp;U3</f>
        <v>19.6 @ -29°C' 13.8 @ 200°C</v>
      </c>
    </row>
    <row r="4" spans="1:23" ht="18" x14ac:dyDescent="0.25">
      <c r="A4" s="21">
        <v>1</v>
      </c>
      <c r="B4" s="40" t="s">
        <v>196</v>
      </c>
      <c r="C4" s="26" t="str">
        <f ca="1">VLOOKUP($C$1,INDIRECT(""&amp;B4&amp;"!$A$5:$C$15"),3,FALSE)</f>
        <v>1/2" - 24"</v>
      </c>
      <c r="D4" s="26" t="str">
        <f ca="1">VLOOKUP($D$1,INDIRECT(""&amp;B4&amp;"!$A$5:$C$15"),3,FALSE)</f>
        <v>Gate valve, Outside Screw and Yoke</v>
      </c>
      <c r="E4" s="37" t="str">
        <f ca="1">VLOOKUP($E$1,INDIRECT(""&amp;B4&amp;"!$A$5:$C$15"),3,FALSE)</f>
        <v>Flanged ASME B16.5 RF</v>
      </c>
      <c r="F4" s="26" t="str">
        <f ca="1">VLOOKUP($F$1,INDIRECT(""&amp;B4&amp;"!$B$5:$C$35"),2,FALSE)</f>
        <v>Forged - ASTM A182 F316</v>
      </c>
      <c r="G4" s="26" t="str">
        <f ca="1">VLOOKUP($G$1,INDIRECT(""&amp;B4&amp;"!$B$5:$C$35"),2,FALSE)</f>
        <v>Forged - ASTM A182 F316, Stellite Hard Faced</v>
      </c>
      <c r="H4" s="26" t="str">
        <f ca="1">VLOOKUP($H$1,INDIRECT(""&amp;B4&amp;"!$A$5:$C$15"),3,FALSE)</f>
        <v>A1</v>
      </c>
      <c r="I4" s="22">
        <v>321</v>
      </c>
      <c r="J4" t="s">
        <v>438</v>
      </c>
      <c r="M4" s="52">
        <v>2</v>
      </c>
      <c r="N4" s="32" t="s">
        <v>5</v>
      </c>
      <c r="O4" s="32" t="s">
        <v>336</v>
      </c>
      <c r="P4" s="32">
        <v>1.1000000000000001</v>
      </c>
      <c r="Q4" s="32" t="s">
        <v>332</v>
      </c>
      <c r="R4" s="32" t="s">
        <v>83</v>
      </c>
      <c r="S4" s="38" t="s">
        <v>337</v>
      </c>
      <c r="T4" s="32" t="s">
        <v>338</v>
      </c>
      <c r="U4" s="32" t="s">
        <v>339</v>
      </c>
      <c r="V4" s="53">
        <v>24</v>
      </c>
      <c r="W4" t="str">
        <f t="shared" ref="W4:W67" si="0">T4&amp;"' "&amp;U4</f>
        <v>51.1 @ -29°C' 43.8 @ 200°C</v>
      </c>
    </row>
    <row r="5" spans="1:23" ht="18" x14ac:dyDescent="0.25">
      <c r="A5" s="19">
        <v>2</v>
      </c>
      <c r="B5" s="41" t="s">
        <v>197</v>
      </c>
      <c r="C5" s="32" t="str">
        <f t="shared" ref="C5:C61" ca="1" si="1">VLOOKUP($C$1,INDIRECT(""&amp;B5&amp;"!$A$5:$C$15"),3,FALSE)</f>
        <v>1/2" - 24"</v>
      </c>
      <c r="D5" s="32" t="str">
        <f t="shared" ref="D5:D61" ca="1" si="2">VLOOKUP($D$1,INDIRECT(""&amp;B5&amp;"!$A$5:$C$15"),3,FALSE)</f>
        <v>Gate valve, Outside Screw and Yoke</v>
      </c>
      <c r="E5" s="38" t="str">
        <f t="shared" ref="E5:E61" ca="1" si="3">VLOOKUP($E$1,INDIRECT(""&amp;B5&amp;"!$A$5:$C$15"),3,FALSE)</f>
        <v>Flanged ASME B16.5 RF</v>
      </c>
      <c r="F5" s="32" t="str">
        <f t="shared" ref="F5:F61" ca="1" si="4">VLOOKUP($F$1,INDIRECT(""&amp;B5&amp;"!$B$5:$C$35"),2,FALSE)</f>
        <v>Forged - ASTM A182 F317</v>
      </c>
      <c r="G5" s="32" t="str">
        <f t="shared" ref="G5:G61" ca="1" si="5">VLOOKUP($G$1,INDIRECT(""&amp;B5&amp;"!$B$5:$C$35"),2,FALSE)</f>
        <v>Forged - ASTM A182 F316, Stellite Hard Faced</v>
      </c>
      <c r="H5" s="32" t="str">
        <f t="shared" ref="H5:H61" ca="1" si="6">VLOOKUP($H$1,INDIRECT(""&amp;B5&amp;"!$A$5:$C$15"),3,FALSE)</f>
        <v>B1</v>
      </c>
      <c r="I5" s="18">
        <v>322</v>
      </c>
      <c r="J5" t="s">
        <v>438</v>
      </c>
      <c r="M5" s="52">
        <v>3</v>
      </c>
      <c r="N5" s="32" t="s">
        <v>23</v>
      </c>
      <c r="O5" s="32" t="s">
        <v>340</v>
      </c>
      <c r="P5" s="32">
        <v>1.1000000000000001</v>
      </c>
      <c r="Q5" s="32" t="s">
        <v>332</v>
      </c>
      <c r="R5" s="32" t="s">
        <v>83</v>
      </c>
      <c r="S5" s="38" t="s">
        <v>337</v>
      </c>
      <c r="T5" s="32" t="s">
        <v>341</v>
      </c>
      <c r="U5" s="32" t="s">
        <v>342</v>
      </c>
      <c r="V5" s="53">
        <v>25</v>
      </c>
      <c r="W5" t="str">
        <f t="shared" si="0"/>
        <v>102.1 @ -29°C' 87.6 @ 200°C</v>
      </c>
    </row>
    <row r="6" spans="1:23" ht="18" x14ac:dyDescent="0.25">
      <c r="A6" s="19">
        <v>3</v>
      </c>
      <c r="B6" s="41" t="s">
        <v>198</v>
      </c>
      <c r="C6" s="32" t="str">
        <f t="shared" ca="1" si="1"/>
        <v>1/2" - 24"</v>
      </c>
      <c r="D6" s="32" t="str">
        <f t="shared" ca="1" si="2"/>
        <v>Gate valve, Outside Screw and Yoke</v>
      </c>
      <c r="E6" s="38" t="str">
        <f t="shared" ca="1" si="3"/>
        <v>Flanged ASME B16.5 RF</v>
      </c>
      <c r="F6" s="32" t="str">
        <f t="shared" ca="1" si="4"/>
        <v>Forged - ASTM A182 F318</v>
      </c>
      <c r="G6" s="32" t="str">
        <f t="shared" ca="1" si="5"/>
        <v>Forged - ASTM A182 F316, Stellite Hard Faced</v>
      </c>
      <c r="H6" s="32" t="str">
        <f t="shared" ca="1" si="6"/>
        <v>D1</v>
      </c>
      <c r="I6" s="18">
        <v>323</v>
      </c>
      <c r="J6" t="s">
        <v>438</v>
      </c>
      <c r="M6" s="52">
        <v>4</v>
      </c>
      <c r="N6" s="32" t="s">
        <v>15</v>
      </c>
      <c r="O6" s="32" t="s">
        <v>343</v>
      </c>
      <c r="P6" s="32">
        <v>1.1000000000000001</v>
      </c>
      <c r="Q6" s="32" t="s">
        <v>332</v>
      </c>
      <c r="R6" s="32" t="s">
        <v>83</v>
      </c>
      <c r="S6" s="38" t="s">
        <v>344</v>
      </c>
      <c r="T6" s="32" t="s">
        <v>345</v>
      </c>
      <c r="U6" s="32" t="s">
        <v>346</v>
      </c>
      <c r="V6" s="53">
        <v>26</v>
      </c>
      <c r="W6" t="str">
        <f t="shared" si="0"/>
        <v>153.2 @ -29°C' 131.4 @ 200°C</v>
      </c>
    </row>
    <row r="7" spans="1:23" ht="18" x14ac:dyDescent="0.25">
      <c r="A7" s="19">
        <v>4</v>
      </c>
      <c r="B7" s="41" t="s">
        <v>199</v>
      </c>
      <c r="C7" s="32" t="str">
        <f t="shared" ca="1" si="1"/>
        <v>1/2" - 24"</v>
      </c>
      <c r="D7" s="32" t="str">
        <f t="shared" ca="1" si="2"/>
        <v>Gate valve, Outside Screw and Yoke</v>
      </c>
      <c r="E7" s="38" t="str">
        <f t="shared" ca="1" si="3"/>
        <v>Flanged ASME B16.5 RTJ</v>
      </c>
      <c r="F7" s="32" t="str">
        <f t="shared" ca="1" si="4"/>
        <v>Forged - ASTM A182 F319</v>
      </c>
      <c r="G7" s="32" t="str">
        <f t="shared" ca="1" si="5"/>
        <v>Forged - ASTM A182 F316, Stellite Hard Faced</v>
      </c>
      <c r="H7" s="32" t="str">
        <f t="shared" ca="1" si="6"/>
        <v>E1</v>
      </c>
      <c r="I7" s="18">
        <v>324</v>
      </c>
      <c r="J7" t="s">
        <v>438</v>
      </c>
      <c r="M7" s="52">
        <v>5</v>
      </c>
      <c r="N7" s="32" t="s">
        <v>22</v>
      </c>
      <c r="O7" s="32" t="s">
        <v>347</v>
      </c>
      <c r="P7" s="32">
        <v>1.1000000000000001</v>
      </c>
      <c r="Q7" s="32" t="s">
        <v>332</v>
      </c>
      <c r="R7" s="32" t="s">
        <v>83</v>
      </c>
      <c r="S7" s="38" t="s">
        <v>344</v>
      </c>
      <c r="T7" s="32" t="s">
        <v>348</v>
      </c>
      <c r="U7" s="32" t="s">
        <v>349</v>
      </c>
      <c r="V7" s="53">
        <v>27</v>
      </c>
      <c r="W7" t="str">
        <f t="shared" si="0"/>
        <v>255.3 @ -29°C' 219 @ 200°C</v>
      </c>
    </row>
    <row r="8" spans="1:23" ht="27" customHeight="1" x14ac:dyDescent="0.25">
      <c r="A8" s="19">
        <v>5</v>
      </c>
      <c r="B8" s="41" t="s">
        <v>200</v>
      </c>
      <c r="C8" s="32" t="str">
        <f t="shared" ca="1" si="1"/>
        <v>1/2" - 24"</v>
      </c>
      <c r="D8" s="32" t="str">
        <f t="shared" ca="1" si="2"/>
        <v>Gate valve, Outside Screw and Yoke</v>
      </c>
      <c r="E8" s="38" t="str">
        <f t="shared" ca="1" si="3"/>
        <v>Flanged ASME B16.5 RTJ / Compact Flange / Hub Connector (As per PMS)</v>
      </c>
      <c r="F8" s="32" t="str">
        <f t="shared" ca="1" si="4"/>
        <v>Forged - ASTM A182 F320</v>
      </c>
      <c r="G8" s="32" t="str">
        <f t="shared" ca="1" si="5"/>
        <v>Forged - ASTM A182 F316, Stellite Hard Faced</v>
      </c>
      <c r="H8" s="32" t="str">
        <f t="shared" ca="1" si="6"/>
        <v>F1</v>
      </c>
      <c r="I8" s="18">
        <v>325</v>
      </c>
      <c r="J8" t="s">
        <v>438</v>
      </c>
      <c r="M8" s="52">
        <v>6</v>
      </c>
      <c r="N8" s="32" t="s">
        <v>153</v>
      </c>
      <c r="O8" s="32" t="s">
        <v>350</v>
      </c>
      <c r="P8" s="32">
        <v>1.1000000000000001</v>
      </c>
      <c r="Q8" s="32" t="s">
        <v>332</v>
      </c>
      <c r="R8" s="32" t="s">
        <v>83</v>
      </c>
      <c r="S8" s="38" t="s">
        <v>351</v>
      </c>
      <c r="T8" s="32" t="s">
        <v>352</v>
      </c>
      <c r="U8" s="32" t="s">
        <v>353</v>
      </c>
      <c r="V8" s="53">
        <v>28</v>
      </c>
      <c r="W8" t="str">
        <f t="shared" si="0"/>
        <v>399.8 @ -29°C' 342.9 @ 200°C</v>
      </c>
    </row>
    <row r="9" spans="1:23" ht="28.9" customHeight="1" x14ac:dyDescent="0.25">
      <c r="A9" s="19">
        <v>6</v>
      </c>
      <c r="B9" s="41" t="s">
        <v>246</v>
      </c>
      <c r="C9" s="32" t="str">
        <f t="shared" ca="1" si="1"/>
        <v>1/2" - 24"</v>
      </c>
      <c r="D9" s="32" t="str">
        <f t="shared" ca="1" si="2"/>
        <v>Gate valve, Outside Screw and Yoke</v>
      </c>
      <c r="E9" s="38" t="str">
        <f t="shared" ca="1" si="3"/>
        <v>Flanged ASME B16.5 RTJ / Compact Flange / Hub Connector (As per PMS)</v>
      </c>
      <c r="F9" s="32" t="str">
        <f t="shared" ca="1" si="4"/>
        <v>Forged - ASTM A182 F321</v>
      </c>
      <c r="G9" s="32" t="str">
        <f t="shared" ca="1" si="5"/>
        <v>Forged - ASTM A182 F316, Stellite Hard Faced</v>
      </c>
      <c r="H9" s="32" t="str">
        <f t="shared" ca="1" si="6"/>
        <v>G1</v>
      </c>
      <c r="I9" s="18">
        <v>326</v>
      </c>
      <c r="J9" t="s">
        <v>438</v>
      </c>
      <c r="M9" s="52">
        <v>7</v>
      </c>
      <c r="N9" s="32" t="s">
        <v>3</v>
      </c>
      <c r="O9" s="32" t="s">
        <v>331</v>
      </c>
      <c r="P9" s="32">
        <v>1.1000000000000001</v>
      </c>
      <c r="Q9" s="32" t="s">
        <v>354</v>
      </c>
      <c r="R9" s="32" t="s">
        <v>83</v>
      </c>
      <c r="S9" s="38" t="s">
        <v>154</v>
      </c>
      <c r="T9" s="32" t="s">
        <v>334</v>
      </c>
      <c r="U9" s="32" t="s">
        <v>355</v>
      </c>
      <c r="V9" s="53">
        <v>29</v>
      </c>
      <c r="W9" t="str">
        <f t="shared" si="0"/>
        <v>19.6 @ -29°C' 13.8 @ 250°C</v>
      </c>
    </row>
    <row r="10" spans="1:23" x14ac:dyDescent="0.25">
      <c r="A10" s="19">
        <v>7</v>
      </c>
      <c r="B10" s="41" t="s">
        <v>201</v>
      </c>
      <c r="C10" s="32" t="str">
        <f t="shared" ca="1" si="1"/>
        <v>1/2" - 24"</v>
      </c>
      <c r="D10" s="32" t="str">
        <f t="shared" ca="1" si="2"/>
        <v>Gate valve, Outside Screw and Yoke</v>
      </c>
      <c r="E10" s="38" t="str">
        <f t="shared" ca="1" si="3"/>
        <v>Flanged ASME B16.5 RF</v>
      </c>
      <c r="F10" s="32" t="str">
        <f t="shared" ca="1" si="4"/>
        <v>Forged - ASTM A182 F316L</v>
      </c>
      <c r="G10" s="32" t="str">
        <f t="shared" ca="1" si="5"/>
        <v>Forged - ASTM A182 F316L, Stellite Hard Faced</v>
      </c>
      <c r="H10" s="32" t="str">
        <f t="shared" ca="1" si="6"/>
        <v>A2N</v>
      </c>
      <c r="I10" s="18">
        <v>327</v>
      </c>
      <c r="J10" t="s">
        <v>438</v>
      </c>
      <c r="M10" s="52">
        <v>8</v>
      </c>
      <c r="N10" s="32" t="s">
        <v>8</v>
      </c>
      <c r="O10" s="32" t="s">
        <v>336</v>
      </c>
      <c r="P10" s="32">
        <v>1.1000000000000001</v>
      </c>
      <c r="Q10" s="32" t="s">
        <v>354</v>
      </c>
      <c r="R10" s="32" t="s">
        <v>83</v>
      </c>
      <c r="S10" s="38" t="s">
        <v>154</v>
      </c>
      <c r="T10" s="32" t="s">
        <v>338</v>
      </c>
      <c r="U10" s="32" t="s">
        <v>356</v>
      </c>
      <c r="V10" s="53">
        <v>30</v>
      </c>
      <c r="W10" t="str">
        <f t="shared" si="0"/>
        <v>51.1 @ -29°C' 43.8 @ 250°C</v>
      </c>
    </row>
    <row r="11" spans="1:23" x14ac:dyDescent="0.25">
      <c r="A11" s="19">
        <v>8</v>
      </c>
      <c r="B11" s="41" t="s">
        <v>202</v>
      </c>
      <c r="C11" s="32" t="str">
        <f t="shared" ca="1" si="1"/>
        <v>1/2" - 24"</v>
      </c>
      <c r="D11" s="32" t="str">
        <f t="shared" ca="1" si="2"/>
        <v>Gate valve, Outside Screw and Yoke</v>
      </c>
      <c r="E11" s="38" t="str">
        <f t="shared" ca="1" si="3"/>
        <v>Flanged ASME B16.5 RF</v>
      </c>
      <c r="F11" s="32" t="str">
        <f t="shared" ca="1" si="4"/>
        <v>Forged - ASTM A182 F316L</v>
      </c>
      <c r="G11" s="32" t="str">
        <f t="shared" ca="1" si="5"/>
        <v>Forged - ASTM A182 F316L, Stellite Hard Faced</v>
      </c>
      <c r="H11" s="32" t="str">
        <f t="shared" ca="1" si="6"/>
        <v>B2N</v>
      </c>
      <c r="I11" s="18">
        <v>328</v>
      </c>
      <c r="J11" t="s">
        <v>438</v>
      </c>
      <c r="M11" s="52">
        <v>9</v>
      </c>
      <c r="N11" s="32" t="s">
        <v>9</v>
      </c>
      <c r="O11" s="32" t="s">
        <v>340</v>
      </c>
      <c r="P11" s="32">
        <v>1.1000000000000001</v>
      </c>
      <c r="Q11" s="32" t="s">
        <v>354</v>
      </c>
      <c r="R11" s="32" t="s">
        <v>83</v>
      </c>
      <c r="S11" s="38" t="s">
        <v>154</v>
      </c>
      <c r="T11" s="32" t="s">
        <v>341</v>
      </c>
      <c r="U11" s="32" t="s">
        <v>357</v>
      </c>
      <c r="V11" s="53">
        <v>31</v>
      </c>
      <c r="W11" t="str">
        <f t="shared" si="0"/>
        <v>102.1 @ -29°C' 87.6 @ 250°C</v>
      </c>
    </row>
    <row r="12" spans="1:23" x14ac:dyDescent="0.25">
      <c r="A12" s="19">
        <v>9</v>
      </c>
      <c r="B12" s="41" t="s">
        <v>203</v>
      </c>
      <c r="C12" s="32" t="str">
        <f t="shared" ca="1" si="1"/>
        <v>1/2" - 24"</v>
      </c>
      <c r="D12" s="32" t="str">
        <f t="shared" ca="1" si="2"/>
        <v>Gate valve, Outside Screw and Yoke</v>
      </c>
      <c r="E12" s="38" t="str">
        <f t="shared" ca="1" si="3"/>
        <v>Flanged ASME B16.5 RF</v>
      </c>
      <c r="F12" s="32" t="str">
        <f t="shared" ca="1" si="4"/>
        <v>Forged - ASTM A182 F316L</v>
      </c>
      <c r="G12" s="32" t="str">
        <f t="shared" ca="1" si="5"/>
        <v>Forged - ASTM A182 F316L, Stellite Hard Faced</v>
      </c>
      <c r="H12" s="32" t="str">
        <f t="shared" ca="1" si="6"/>
        <v>D2N</v>
      </c>
      <c r="I12" s="18">
        <v>329</v>
      </c>
      <c r="J12" t="s">
        <v>438</v>
      </c>
      <c r="M12" s="52">
        <v>10</v>
      </c>
      <c r="N12" s="32" t="s">
        <v>10</v>
      </c>
      <c r="O12" s="32" t="s">
        <v>343</v>
      </c>
      <c r="P12" s="32">
        <v>1.1000000000000001</v>
      </c>
      <c r="Q12" s="32" t="s">
        <v>354</v>
      </c>
      <c r="R12" s="32" t="s">
        <v>83</v>
      </c>
      <c r="S12" s="38" t="s">
        <v>154</v>
      </c>
      <c r="T12" s="32" t="s">
        <v>345</v>
      </c>
      <c r="U12" s="32" t="s">
        <v>358</v>
      </c>
      <c r="V12" s="53">
        <v>32</v>
      </c>
      <c r="W12" t="str">
        <f t="shared" si="0"/>
        <v>153.2 @ -29°C' 131.4 @ 250°C</v>
      </c>
    </row>
    <row r="13" spans="1:23" x14ac:dyDescent="0.25">
      <c r="A13" s="19">
        <v>10</v>
      </c>
      <c r="B13" s="41" t="s">
        <v>204</v>
      </c>
      <c r="C13" s="32" t="str">
        <f t="shared" ca="1" si="1"/>
        <v>1/2" - 24"</v>
      </c>
      <c r="D13" s="32" t="str">
        <f t="shared" ca="1" si="2"/>
        <v>Gate valve, Outside Screw and Yoke</v>
      </c>
      <c r="E13" s="38" t="str">
        <f t="shared" ca="1" si="3"/>
        <v>Flanged ASME B16.5 RTJ</v>
      </c>
      <c r="F13" s="32" t="str">
        <f t="shared" ca="1" si="4"/>
        <v>Forged - ASTM A182 F316L</v>
      </c>
      <c r="G13" s="32" t="str">
        <f t="shared" ca="1" si="5"/>
        <v>Forged - ASTM A182 F316L, Stellite Hard Faced</v>
      </c>
      <c r="H13" s="32" t="str">
        <f t="shared" ca="1" si="6"/>
        <v>E2N</v>
      </c>
      <c r="I13" s="18">
        <v>330</v>
      </c>
      <c r="J13" t="s">
        <v>438</v>
      </c>
      <c r="M13" s="52">
        <v>11</v>
      </c>
      <c r="N13" s="32" t="s">
        <v>11</v>
      </c>
      <c r="O13" s="32" t="s">
        <v>347</v>
      </c>
      <c r="P13" s="32">
        <v>1.1000000000000001</v>
      </c>
      <c r="Q13" s="32" t="s">
        <v>354</v>
      </c>
      <c r="R13" s="32" t="s">
        <v>83</v>
      </c>
      <c r="S13" s="38" t="s">
        <v>154</v>
      </c>
      <c r="T13" s="32" t="s">
        <v>348</v>
      </c>
      <c r="U13" s="32" t="s">
        <v>349</v>
      </c>
      <c r="V13" s="53">
        <v>33</v>
      </c>
      <c r="W13" t="str">
        <f t="shared" si="0"/>
        <v>255.3 @ -29°C' 219 @ 200°C</v>
      </c>
    </row>
    <row r="14" spans="1:23" ht="30" x14ac:dyDescent="0.25">
      <c r="A14" s="19">
        <v>11</v>
      </c>
      <c r="B14" s="41" t="s">
        <v>205</v>
      </c>
      <c r="C14" s="32" t="str">
        <f t="shared" ca="1" si="1"/>
        <v>1/2" - 24"</v>
      </c>
      <c r="D14" s="32" t="str">
        <f t="shared" ca="1" si="2"/>
        <v>Gate valve, Outside Screw and Yoke</v>
      </c>
      <c r="E14" s="38" t="str">
        <f t="shared" ca="1" si="3"/>
        <v>Flanged ASME B16.5 RTJ / Compact Flange / Hub Connector (As per PMS)</v>
      </c>
      <c r="F14" s="32" t="str">
        <f t="shared" ca="1" si="4"/>
        <v>Forged - ASTM A182 F316L</v>
      </c>
      <c r="G14" s="32" t="str">
        <f t="shared" ca="1" si="5"/>
        <v>Forged - ASTM A182 F316L, Stellite Hard Faced</v>
      </c>
      <c r="H14" s="32" t="str">
        <f t="shared" ca="1" si="6"/>
        <v>F2N</v>
      </c>
      <c r="I14" s="18">
        <v>331</v>
      </c>
      <c r="J14" t="s">
        <v>438</v>
      </c>
      <c r="M14" s="52">
        <v>12</v>
      </c>
      <c r="N14" s="32" t="s">
        <v>12</v>
      </c>
      <c r="O14" s="32" t="s">
        <v>350</v>
      </c>
      <c r="P14" s="32">
        <v>1.1000000000000001</v>
      </c>
      <c r="Q14" s="32" t="s">
        <v>354</v>
      </c>
      <c r="R14" s="32" t="s">
        <v>83</v>
      </c>
      <c r="S14" s="38" t="s">
        <v>154</v>
      </c>
      <c r="T14" s="32" t="s">
        <v>352</v>
      </c>
      <c r="U14" s="32" t="s">
        <v>353</v>
      </c>
      <c r="V14" s="53">
        <v>34</v>
      </c>
      <c r="W14" t="str">
        <f t="shared" si="0"/>
        <v>399.8 @ -29°C' 342.9 @ 200°C</v>
      </c>
    </row>
    <row r="15" spans="1:23" ht="30" x14ac:dyDescent="0.25">
      <c r="A15" s="19">
        <v>12</v>
      </c>
      <c r="B15" s="41" t="s">
        <v>206</v>
      </c>
      <c r="C15" s="32" t="str">
        <f t="shared" ca="1" si="1"/>
        <v>1/2" - 24"</v>
      </c>
      <c r="D15" s="32" t="str">
        <f t="shared" ca="1" si="2"/>
        <v>Gate valve, Outside Screw and Yoke</v>
      </c>
      <c r="E15" s="38" t="str">
        <f t="shared" ca="1" si="3"/>
        <v>Flanged ASME B16.5 RTJ / Compact Flange / Hub Connector (As per PMS)</v>
      </c>
      <c r="F15" s="32" t="str">
        <f t="shared" ca="1" si="4"/>
        <v>Forged - ASTM A182 F316L</v>
      </c>
      <c r="G15" s="32" t="str">
        <f t="shared" ca="1" si="5"/>
        <v>Forged - ASTM A182 F316L, Stellite Hard Faced</v>
      </c>
      <c r="H15" s="32" t="str">
        <f t="shared" ca="1" si="6"/>
        <v>G2N</v>
      </c>
      <c r="I15" s="18">
        <v>332</v>
      </c>
      <c r="J15" t="s">
        <v>438</v>
      </c>
      <c r="M15" s="52">
        <v>13</v>
      </c>
      <c r="N15" s="32" t="s">
        <v>359</v>
      </c>
      <c r="O15" s="32" t="s">
        <v>331</v>
      </c>
      <c r="P15" s="32">
        <v>1.1000000000000001</v>
      </c>
      <c r="Q15" s="32" t="s">
        <v>332</v>
      </c>
      <c r="R15" s="32" t="s">
        <v>84</v>
      </c>
      <c r="S15" s="38" t="s">
        <v>360</v>
      </c>
      <c r="T15" s="32" t="s">
        <v>334</v>
      </c>
      <c r="U15" s="32" t="s">
        <v>335</v>
      </c>
      <c r="V15" s="53">
        <v>35</v>
      </c>
      <c r="W15" t="str">
        <f t="shared" si="0"/>
        <v>19.6 @ -29°C' 13.8 @ 200°C</v>
      </c>
    </row>
    <row r="16" spans="1:23" x14ac:dyDescent="0.25">
      <c r="A16" s="19">
        <v>13</v>
      </c>
      <c r="B16" s="41" t="s">
        <v>207</v>
      </c>
      <c r="C16" s="32" t="str">
        <f t="shared" ca="1" si="1"/>
        <v>1/2" - 24"</v>
      </c>
      <c r="D16" s="32" t="str">
        <f t="shared" ca="1" si="2"/>
        <v>Gate valve, Outside Screw and Yoke</v>
      </c>
      <c r="E16" s="38" t="str">
        <f t="shared" ca="1" si="3"/>
        <v>Flanged ASME B16.5 RF</v>
      </c>
      <c r="F16" s="32" t="str">
        <f t="shared" ca="1" si="4"/>
        <v>Forged - ASTM A182 F316L</v>
      </c>
      <c r="G16" s="32" t="str">
        <f t="shared" ca="1" si="5"/>
        <v>Forged - ASTM A182 F316L, Stellite Hard Faced</v>
      </c>
      <c r="H16" s="32" t="str">
        <f t="shared" ca="1" si="6"/>
        <v>A1LN</v>
      </c>
      <c r="I16" s="18">
        <v>333</v>
      </c>
      <c r="J16" t="s">
        <v>438</v>
      </c>
      <c r="M16" s="52">
        <v>14</v>
      </c>
      <c r="N16" s="32" t="s">
        <v>81</v>
      </c>
      <c r="O16" s="32" t="s">
        <v>331</v>
      </c>
      <c r="P16" s="32">
        <v>1.1000000000000001</v>
      </c>
      <c r="Q16" s="32" t="s">
        <v>354</v>
      </c>
      <c r="R16" s="32" t="s">
        <v>84</v>
      </c>
      <c r="S16" s="38" t="s">
        <v>155</v>
      </c>
      <c r="T16" s="32" t="s">
        <v>334</v>
      </c>
      <c r="U16" s="32" t="s">
        <v>335</v>
      </c>
      <c r="V16" s="53">
        <v>36</v>
      </c>
      <c r="W16" t="str">
        <f t="shared" si="0"/>
        <v>19.6 @ -29°C' 13.8 @ 200°C</v>
      </c>
    </row>
    <row r="17" spans="1:23" x14ac:dyDescent="0.25">
      <c r="A17" s="19">
        <v>14</v>
      </c>
      <c r="B17" s="41" t="s">
        <v>208</v>
      </c>
      <c r="C17" s="32" t="str">
        <f t="shared" ca="1" si="1"/>
        <v>1/2" - 24"</v>
      </c>
      <c r="D17" s="32" t="str">
        <f t="shared" ca="1" si="2"/>
        <v>Gate valve, Outside Screw and Yoke</v>
      </c>
      <c r="E17" s="38" t="str">
        <f t="shared" ca="1" si="3"/>
        <v>Flanged ASME B16.5 RF</v>
      </c>
      <c r="F17" s="32" t="str">
        <f t="shared" ca="1" si="4"/>
        <v>Forged - ASTM A182 F316L</v>
      </c>
      <c r="G17" s="32" t="str">
        <f t="shared" ca="1" si="5"/>
        <v>Forged - ASTM A182 F316L, Stellite Hard Faced</v>
      </c>
      <c r="H17" s="32" t="str">
        <f t="shared" ca="1" si="6"/>
        <v>B1LN</v>
      </c>
      <c r="I17" s="18">
        <v>334</v>
      </c>
      <c r="J17" t="s">
        <v>438</v>
      </c>
      <c r="M17" s="52">
        <v>15</v>
      </c>
      <c r="N17" s="32" t="s">
        <v>113</v>
      </c>
      <c r="O17" s="32" t="s">
        <v>336</v>
      </c>
      <c r="P17" s="32">
        <v>1.1000000000000001</v>
      </c>
      <c r="Q17" s="32" t="s">
        <v>354</v>
      </c>
      <c r="R17" s="32" t="s">
        <v>84</v>
      </c>
      <c r="S17" s="38" t="s">
        <v>155</v>
      </c>
      <c r="T17" s="32" t="s">
        <v>338</v>
      </c>
      <c r="U17" s="32" t="s">
        <v>339</v>
      </c>
      <c r="V17" s="53">
        <v>37</v>
      </c>
      <c r="W17" t="str">
        <f t="shared" si="0"/>
        <v>51.1 @ -29°C' 43.8 @ 200°C</v>
      </c>
    </row>
    <row r="18" spans="1:23" x14ac:dyDescent="0.25">
      <c r="A18" s="19">
        <v>15</v>
      </c>
      <c r="B18" s="41" t="s">
        <v>209</v>
      </c>
      <c r="C18" s="32" t="str">
        <f t="shared" ca="1" si="1"/>
        <v>1/2" - 24"</v>
      </c>
      <c r="D18" s="32" t="str">
        <f t="shared" ca="1" si="2"/>
        <v>Gate valve, Outside Screw and Yoke</v>
      </c>
      <c r="E18" s="38" t="str">
        <f t="shared" ca="1" si="3"/>
        <v>Flanged ASME B16.5 RF</v>
      </c>
      <c r="F18" s="32" t="str">
        <f t="shared" ca="1" si="4"/>
        <v>Forged - ASTM A182 F316L</v>
      </c>
      <c r="G18" s="32" t="str">
        <f t="shared" ca="1" si="5"/>
        <v>Forged - ASTM A182 F316L, Stellite Hard Faced</v>
      </c>
      <c r="H18" s="32" t="str">
        <f t="shared" ca="1" si="6"/>
        <v>D1LN</v>
      </c>
      <c r="I18" s="18">
        <v>335</v>
      </c>
      <c r="J18" t="s">
        <v>438</v>
      </c>
      <c r="M18" s="52">
        <v>16</v>
      </c>
      <c r="N18" s="32" t="s">
        <v>114</v>
      </c>
      <c r="O18" s="32" t="s">
        <v>340</v>
      </c>
      <c r="P18" s="32">
        <v>1.1000000000000001</v>
      </c>
      <c r="Q18" s="32" t="s">
        <v>354</v>
      </c>
      <c r="R18" s="32" t="s">
        <v>84</v>
      </c>
      <c r="S18" s="38" t="s">
        <v>155</v>
      </c>
      <c r="T18" s="32" t="s">
        <v>341</v>
      </c>
      <c r="U18" s="32" t="s">
        <v>342</v>
      </c>
      <c r="V18" s="53">
        <v>38</v>
      </c>
      <c r="W18" t="str">
        <f t="shared" si="0"/>
        <v>102.1 @ -29°C' 87.6 @ 200°C</v>
      </c>
    </row>
    <row r="19" spans="1:23" x14ac:dyDescent="0.25">
      <c r="A19" s="19">
        <v>16</v>
      </c>
      <c r="B19" s="41" t="s">
        <v>210</v>
      </c>
      <c r="C19" s="32" t="str">
        <f t="shared" ca="1" si="1"/>
        <v>1/2" - 24"</v>
      </c>
      <c r="D19" s="32" t="str">
        <f t="shared" ca="1" si="2"/>
        <v>Gate valve, Outside Screw and Yoke</v>
      </c>
      <c r="E19" s="38" t="str">
        <f t="shared" ca="1" si="3"/>
        <v>Flanged ASME B16.5 RTJ</v>
      </c>
      <c r="F19" s="32" t="str">
        <f t="shared" ca="1" si="4"/>
        <v>Forged - ASTM A182 F316L</v>
      </c>
      <c r="G19" s="32" t="str">
        <f t="shared" ca="1" si="5"/>
        <v>Forged - ASTM A182 F316L, Stellite Hard Faced</v>
      </c>
      <c r="H19" s="32" t="str">
        <f t="shared" ca="1" si="6"/>
        <v>E1LN</v>
      </c>
      <c r="I19" s="18">
        <v>336</v>
      </c>
      <c r="J19" t="s">
        <v>438</v>
      </c>
      <c r="M19" s="52">
        <v>17</v>
      </c>
      <c r="N19" s="32" t="s">
        <v>115</v>
      </c>
      <c r="O19" s="32" t="s">
        <v>343</v>
      </c>
      <c r="P19" s="32">
        <v>1.1000000000000001</v>
      </c>
      <c r="Q19" s="32" t="s">
        <v>354</v>
      </c>
      <c r="R19" s="32" t="s">
        <v>84</v>
      </c>
      <c r="S19" s="38" t="s">
        <v>155</v>
      </c>
      <c r="T19" s="32" t="s">
        <v>345</v>
      </c>
      <c r="U19" s="32" t="s">
        <v>346</v>
      </c>
      <c r="V19" s="53">
        <v>39</v>
      </c>
      <c r="W19" t="str">
        <f t="shared" si="0"/>
        <v>153.2 @ -29°C' 131.4 @ 200°C</v>
      </c>
    </row>
    <row r="20" spans="1:23" ht="30" x14ac:dyDescent="0.25">
      <c r="A20" s="19">
        <v>17</v>
      </c>
      <c r="B20" s="41" t="s">
        <v>211</v>
      </c>
      <c r="C20" s="32" t="str">
        <f t="shared" ca="1" si="1"/>
        <v>1/2" - 24"</v>
      </c>
      <c r="D20" s="32" t="str">
        <f t="shared" ca="1" si="2"/>
        <v>Gate valve, Outside Screw and Yoke</v>
      </c>
      <c r="E20" s="38" t="str">
        <f t="shared" ca="1" si="3"/>
        <v>Flanged ASME B16.5 RTJ / Compact Flange / Hub Connector (As per PMS)</v>
      </c>
      <c r="F20" s="32" t="str">
        <f t="shared" ca="1" si="4"/>
        <v>Forged - ASTM A182 F316L</v>
      </c>
      <c r="G20" s="32" t="str">
        <f t="shared" ca="1" si="5"/>
        <v>Forged - ASTM A182 F316L, Stellite Hard Faced</v>
      </c>
      <c r="H20" s="32" t="str">
        <f t="shared" ca="1" si="6"/>
        <v>F1LN</v>
      </c>
      <c r="I20" s="18">
        <v>337</v>
      </c>
      <c r="J20" t="s">
        <v>438</v>
      </c>
      <c r="M20" s="52">
        <v>18</v>
      </c>
      <c r="N20" s="32" t="s">
        <v>116</v>
      </c>
      <c r="O20" s="32" t="s">
        <v>347</v>
      </c>
      <c r="P20" s="32">
        <v>1.1000000000000001</v>
      </c>
      <c r="Q20" s="32" t="s">
        <v>354</v>
      </c>
      <c r="R20" s="32" t="s">
        <v>84</v>
      </c>
      <c r="S20" s="38" t="s">
        <v>155</v>
      </c>
      <c r="T20" s="32" t="s">
        <v>348</v>
      </c>
      <c r="U20" s="32" t="s">
        <v>349</v>
      </c>
      <c r="V20" s="53">
        <v>40</v>
      </c>
      <c r="W20" t="str">
        <f t="shared" si="0"/>
        <v>255.3 @ -29°C' 219 @ 200°C</v>
      </c>
    </row>
    <row r="21" spans="1:23" ht="30" x14ac:dyDescent="0.25">
      <c r="A21" s="19">
        <v>18</v>
      </c>
      <c r="B21" s="41" t="s">
        <v>212</v>
      </c>
      <c r="C21" s="32" t="str">
        <f t="shared" ca="1" si="1"/>
        <v>1/2" - 24"</v>
      </c>
      <c r="D21" s="32" t="str">
        <f t="shared" ca="1" si="2"/>
        <v>Gate valve, Outside Screw and Yoke</v>
      </c>
      <c r="E21" s="38" t="str">
        <f t="shared" ca="1" si="3"/>
        <v>Flanged ASME B16.5 RTJ / Compact Flange / Hub Connector (As per PMS)</v>
      </c>
      <c r="F21" s="32" t="str">
        <f t="shared" ca="1" si="4"/>
        <v>Forged - ASTM A182 F316L</v>
      </c>
      <c r="G21" s="32" t="str">
        <f t="shared" ca="1" si="5"/>
        <v>Forged - ASTM A182 F316L, Stellite Hard Faced</v>
      </c>
      <c r="H21" s="32" t="str">
        <f t="shared" ca="1" si="6"/>
        <v>G1LN</v>
      </c>
      <c r="I21" s="18">
        <v>338</v>
      </c>
      <c r="J21" t="s">
        <v>438</v>
      </c>
      <c r="M21" s="52">
        <v>19</v>
      </c>
      <c r="N21" s="32" t="s">
        <v>117</v>
      </c>
      <c r="O21" s="32" t="s">
        <v>350</v>
      </c>
      <c r="P21" s="32">
        <v>1.1000000000000001</v>
      </c>
      <c r="Q21" s="32" t="s">
        <v>354</v>
      </c>
      <c r="R21" s="32" t="s">
        <v>84</v>
      </c>
      <c r="S21" s="38" t="s">
        <v>155</v>
      </c>
      <c r="T21" s="32" t="s">
        <v>352</v>
      </c>
      <c r="U21" s="32" t="s">
        <v>353</v>
      </c>
      <c r="V21" s="53">
        <v>41</v>
      </c>
      <c r="W21" t="str">
        <f t="shared" si="0"/>
        <v>399.8 @ -29°C' 342.9 @ 200°C</v>
      </c>
    </row>
    <row r="22" spans="1:23" x14ac:dyDescent="0.25">
      <c r="A22" s="19">
        <v>19</v>
      </c>
      <c r="B22" s="41" t="s">
        <v>213</v>
      </c>
      <c r="C22" s="32" t="str">
        <f t="shared" ca="1" si="1"/>
        <v>1/2" - 24"</v>
      </c>
      <c r="D22" s="32" t="str">
        <f t="shared" ca="1" si="2"/>
        <v>Gate valve, Outside Screw and Yoke</v>
      </c>
      <c r="E22" s="38" t="str">
        <f t="shared" ca="1" si="3"/>
        <v>Flanged ASME B16.5 RF</v>
      </c>
      <c r="F22" s="32" t="str">
        <f t="shared" ca="1" si="4"/>
        <v>Forged - ASTM A182 F316L</v>
      </c>
      <c r="G22" s="32" t="str">
        <f t="shared" ca="1" si="5"/>
        <v>Forged - ASTM A182 F316L, Stellite Hard Faced</v>
      </c>
      <c r="H22" s="32" t="str">
        <f t="shared" ca="1" si="6"/>
        <v>A1N</v>
      </c>
      <c r="I22" s="18">
        <v>339</v>
      </c>
      <c r="J22" t="s">
        <v>438</v>
      </c>
      <c r="M22" s="52">
        <v>20</v>
      </c>
      <c r="N22" s="32" t="s">
        <v>2</v>
      </c>
      <c r="O22" s="32" t="s">
        <v>331</v>
      </c>
      <c r="P22" s="32">
        <v>1.1000000000000001</v>
      </c>
      <c r="Q22" s="32" t="s">
        <v>361</v>
      </c>
      <c r="R22" s="32" t="s">
        <v>83</v>
      </c>
      <c r="S22" s="54" t="s">
        <v>156</v>
      </c>
      <c r="T22" s="32" t="s">
        <v>362</v>
      </c>
      <c r="U22" s="32" t="s">
        <v>335</v>
      </c>
      <c r="V22" s="53">
        <v>42</v>
      </c>
      <c r="W22" t="str">
        <f t="shared" si="0"/>
        <v>19.6 @ -45°C' 13.8 @ 200°C</v>
      </c>
    </row>
    <row r="23" spans="1:23" x14ac:dyDescent="0.25">
      <c r="A23" s="19">
        <v>20</v>
      </c>
      <c r="B23" s="41" t="s">
        <v>214</v>
      </c>
      <c r="C23" s="32" t="str">
        <f t="shared" ca="1" si="1"/>
        <v>1/2" - 24"</v>
      </c>
      <c r="D23" s="32" t="str">
        <f t="shared" ca="1" si="2"/>
        <v>Gate valve, Outside Screw and Yoke</v>
      </c>
      <c r="E23" s="38" t="str">
        <f t="shared" ca="1" si="3"/>
        <v>Flanged ASME B16.5 RF</v>
      </c>
      <c r="F23" s="32" t="str">
        <f t="shared" ca="1" si="4"/>
        <v>Forged - ASTM A182 F316L</v>
      </c>
      <c r="G23" s="32" t="str">
        <f t="shared" ca="1" si="5"/>
        <v>Forged - ASTM A182 F316L, Stellite Hard Faced</v>
      </c>
      <c r="H23" s="32" t="str">
        <f t="shared" ca="1" si="6"/>
        <v>B1N</v>
      </c>
      <c r="I23" s="18">
        <v>340</v>
      </c>
      <c r="J23" t="s">
        <v>438</v>
      </c>
      <c r="M23" s="52">
        <v>21</v>
      </c>
      <c r="N23" s="32" t="s">
        <v>7</v>
      </c>
      <c r="O23" s="32" t="s">
        <v>336</v>
      </c>
      <c r="P23" s="32">
        <v>1.1000000000000001</v>
      </c>
      <c r="Q23" s="32" t="s">
        <v>361</v>
      </c>
      <c r="R23" s="32" t="s">
        <v>83</v>
      </c>
      <c r="S23" s="54" t="s">
        <v>156</v>
      </c>
      <c r="T23" s="32" t="s">
        <v>363</v>
      </c>
      <c r="U23" s="32" t="s">
        <v>339</v>
      </c>
      <c r="V23" s="53">
        <v>43</v>
      </c>
      <c r="W23" t="str">
        <f t="shared" si="0"/>
        <v>51.1 @ -45°C' 43.8 @ 200°C</v>
      </c>
    </row>
    <row r="24" spans="1:23" x14ac:dyDescent="0.25">
      <c r="A24" s="19">
        <v>21</v>
      </c>
      <c r="B24" s="41" t="s">
        <v>215</v>
      </c>
      <c r="C24" s="32" t="str">
        <f t="shared" ca="1" si="1"/>
        <v>1/2" - 24"</v>
      </c>
      <c r="D24" s="32" t="str">
        <f t="shared" ca="1" si="2"/>
        <v>Gate valve, Outside Screw and Yoke</v>
      </c>
      <c r="E24" s="38" t="str">
        <f t="shared" ca="1" si="3"/>
        <v>Flanged ASME B16.5 RF</v>
      </c>
      <c r="F24" s="32" t="str">
        <f t="shared" ca="1" si="4"/>
        <v>Forged - ASTM A182 F316L</v>
      </c>
      <c r="G24" s="32" t="str">
        <f t="shared" ca="1" si="5"/>
        <v>Forged - ASTM A182 F316L, Stellite Hard Faced</v>
      </c>
      <c r="H24" s="32" t="str">
        <f t="shared" ca="1" si="6"/>
        <v>D1N</v>
      </c>
      <c r="I24" s="18">
        <v>341</v>
      </c>
      <c r="J24" t="s">
        <v>438</v>
      </c>
      <c r="M24" s="52">
        <v>22</v>
      </c>
      <c r="N24" s="32" t="s">
        <v>14</v>
      </c>
      <c r="O24" s="32" t="s">
        <v>340</v>
      </c>
      <c r="P24" s="32">
        <v>1.1000000000000001</v>
      </c>
      <c r="Q24" s="32" t="s">
        <v>361</v>
      </c>
      <c r="R24" s="32" t="s">
        <v>83</v>
      </c>
      <c r="S24" s="54" t="s">
        <v>157</v>
      </c>
      <c r="T24" s="32" t="s">
        <v>364</v>
      </c>
      <c r="U24" s="32" t="s">
        <v>342</v>
      </c>
      <c r="V24" s="53">
        <v>44</v>
      </c>
      <c r="W24" t="str">
        <f t="shared" si="0"/>
        <v>102.1 @ -45°C' 87.6 @ 200°C</v>
      </c>
    </row>
    <row r="25" spans="1:23" x14ac:dyDescent="0.25">
      <c r="A25" s="19">
        <v>22</v>
      </c>
      <c r="B25" s="41" t="s">
        <v>216</v>
      </c>
      <c r="C25" s="32" t="str">
        <f t="shared" ca="1" si="1"/>
        <v>1/2" - 24"</v>
      </c>
      <c r="D25" s="32" t="str">
        <f t="shared" ca="1" si="2"/>
        <v>Gate valve, Outside Screw and Yoke</v>
      </c>
      <c r="E25" s="38" t="str">
        <f t="shared" ca="1" si="3"/>
        <v>Flanged ASME B16.5 RTJ</v>
      </c>
      <c r="F25" s="32" t="str">
        <f t="shared" ca="1" si="4"/>
        <v>Forged - ASTM A182 F316L</v>
      </c>
      <c r="G25" s="32" t="str">
        <f t="shared" ca="1" si="5"/>
        <v>Forged - ASTM A182 F316L, Stellite Hard Faced</v>
      </c>
      <c r="H25" s="32" t="str">
        <f t="shared" ca="1" si="6"/>
        <v>E1N</v>
      </c>
      <c r="I25" s="18">
        <v>342</v>
      </c>
      <c r="J25" t="s">
        <v>438</v>
      </c>
      <c r="M25" s="52">
        <v>23</v>
      </c>
      <c r="N25" s="32" t="s">
        <v>17</v>
      </c>
      <c r="O25" s="32" t="s">
        <v>343</v>
      </c>
      <c r="P25" s="32">
        <v>1.1000000000000001</v>
      </c>
      <c r="Q25" s="32" t="s">
        <v>361</v>
      </c>
      <c r="R25" s="32" t="s">
        <v>83</v>
      </c>
      <c r="S25" s="54" t="s">
        <v>157</v>
      </c>
      <c r="T25" s="32" t="s">
        <v>365</v>
      </c>
      <c r="U25" s="32" t="s">
        <v>346</v>
      </c>
      <c r="V25" s="53">
        <v>45</v>
      </c>
      <c r="W25" t="str">
        <f t="shared" si="0"/>
        <v>153.2 @ -45°C' 131.4 @ 200°C</v>
      </c>
    </row>
    <row r="26" spans="1:23" ht="30" x14ac:dyDescent="0.25">
      <c r="A26" s="19">
        <v>23</v>
      </c>
      <c r="B26" s="41" t="s">
        <v>217</v>
      </c>
      <c r="C26" s="32" t="str">
        <f t="shared" ca="1" si="1"/>
        <v>1/2" - 24"</v>
      </c>
      <c r="D26" s="32" t="str">
        <f t="shared" ca="1" si="2"/>
        <v>Gate valve, Outside Screw and Yoke</v>
      </c>
      <c r="E26" s="38" t="str">
        <f t="shared" ca="1" si="3"/>
        <v>Flanged ASME B16.5 RTJ / Compact Flange / Hub Connector (As per PMS)</v>
      </c>
      <c r="F26" s="32" t="str">
        <f t="shared" ca="1" si="4"/>
        <v>Forged - ASTM A182 F316L</v>
      </c>
      <c r="G26" s="32" t="str">
        <f t="shared" ca="1" si="5"/>
        <v>Forged - ASTM A182 F316L, Stellite Hard Faced</v>
      </c>
      <c r="H26" s="32" t="str">
        <f t="shared" ca="1" si="6"/>
        <v>F1N</v>
      </c>
      <c r="I26" s="18">
        <v>343</v>
      </c>
      <c r="J26" t="s">
        <v>438</v>
      </c>
      <c r="M26" s="52">
        <v>24</v>
      </c>
      <c r="N26" s="32" t="s">
        <v>19</v>
      </c>
      <c r="O26" s="32" t="s">
        <v>347</v>
      </c>
      <c r="P26" s="32">
        <v>1.1000000000000001</v>
      </c>
      <c r="Q26" s="32" t="s">
        <v>361</v>
      </c>
      <c r="R26" s="32" t="s">
        <v>83</v>
      </c>
      <c r="S26" s="54" t="s">
        <v>157</v>
      </c>
      <c r="T26" s="32" t="s">
        <v>366</v>
      </c>
      <c r="U26" s="32" t="s">
        <v>349</v>
      </c>
      <c r="V26" s="53">
        <v>46</v>
      </c>
      <c r="W26" t="str">
        <f t="shared" si="0"/>
        <v>255.3 @ -45°C' 219 @ 200°C</v>
      </c>
    </row>
    <row r="27" spans="1:23" ht="30" x14ac:dyDescent="0.25">
      <c r="A27" s="19">
        <v>24</v>
      </c>
      <c r="B27" s="41" t="s">
        <v>218</v>
      </c>
      <c r="C27" s="32" t="str">
        <f t="shared" ca="1" si="1"/>
        <v>1/2" - 24"</v>
      </c>
      <c r="D27" s="32" t="str">
        <f t="shared" ca="1" si="2"/>
        <v>Gate valve, Outside Screw and Yoke</v>
      </c>
      <c r="E27" s="38" t="str">
        <f t="shared" ca="1" si="3"/>
        <v>Flanged ASME B16.5 RTJ / Compact Flange / Hub Connector (As per PMS)</v>
      </c>
      <c r="F27" s="32" t="str">
        <f t="shared" ca="1" si="4"/>
        <v>Forged - ASTM A182 F316L</v>
      </c>
      <c r="G27" s="32" t="str">
        <f t="shared" ca="1" si="5"/>
        <v>Forged - ASTM A182 F316L, Stellite Hard Faced</v>
      </c>
      <c r="H27" s="32" t="str">
        <f t="shared" ca="1" si="6"/>
        <v>G1N</v>
      </c>
      <c r="I27" s="18">
        <v>344</v>
      </c>
      <c r="J27" t="s">
        <v>438</v>
      </c>
      <c r="M27" s="52">
        <v>25</v>
      </c>
      <c r="N27" s="32" t="s">
        <v>21</v>
      </c>
      <c r="O27" s="32" t="s">
        <v>350</v>
      </c>
      <c r="P27" s="32">
        <v>1.1000000000000001</v>
      </c>
      <c r="Q27" s="32" t="s">
        <v>361</v>
      </c>
      <c r="R27" s="32" t="s">
        <v>83</v>
      </c>
      <c r="S27" s="54" t="s">
        <v>158</v>
      </c>
      <c r="T27" s="32" t="s">
        <v>352</v>
      </c>
      <c r="U27" s="32" t="s">
        <v>353</v>
      </c>
      <c r="V27" s="53">
        <v>47</v>
      </c>
      <c r="W27" t="str">
        <f t="shared" si="0"/>
        <v>399.8 @ -29°C' 342.9 @ 200°C</v>
      </c>
    </row>
    <row r="28" spans="1:23" x14ac:dyDescent="0.25">
      <c r="A28" s="19">
        <v>25</v>
      </c>
      <c r="B28" s="41" t="s">
        <v>219</v>
      </c>
      <c r="C28" s="32" t="str">
        <f t="shared" ca="1" si="1"/>
        <v>1/2" - 24"</v>
      </c>
      <c r="D28" s="32" t="str">
        <f t="shared" ca="1" si="2"/>
        <v>Gate valve, Outside Screw and Yoke</v>
      </c>
      <c r="E28" s="38" t="str">
        <f t="shared" ca="1" si="3"/>
        <v>Flanged ASME B16.5 RF</v>
      </c>
      <c r="F28" s="32" t="str">
        <f t="shared" ca="1" si="4"/>
        <v>Forged - ASTM A182 F316L</v>
      </c>
      <c r="G28" s="32" t="str">
        <f t="shared" ca="1" si="5"/>
        <v>Forged - ASTM A182 F316L, Stellite Hard Faced</v>
      </c>
      <c r="H28" s="32" t="str">
        <f t="shared" ca="1" si="6"/>
        <v>A2LN</v>
      </c>
      <c r="I28" s="18">
        <v>345</v>
      </c>
      <c r="J28" t="s">
        <v>438</v>
      </c>
      <c r="M28" s="52">
        <v>26</v>
      </c>
      <c r="N28" s="32" t="s">
        <v>159</v>
      </c>
      <c r="O28" s="32" t="s">
        <v>331</v>
      </c>
      <c r="P28" s="32">
        <v>1.1000000000000001</v>
      </c>
      <c r="Q28" s="32" t="s">
        <v>361</v>
      </c>
      <c r="R28" s="32" t="s">
        <v>84</v>
      </c>
      <c r="S28" s="54" t="s">
        <v>157</v>
      </c>
      <c r="T28" s="32" t="s">
        <v>362</v>
      </c>
      <c r="U28" s="32" t="s">
        <v>335</v>
      </c>
      <c r="V28" s="53">
        <v>48</v>
      </c>
      <c r="W28" t="str">
        <f t="shared" si="0"/>
        <v>19.6 @ -45°C' 13.8 @ 200°C</v>
      </c>
    </row>
    <row r="29" spans="1:23" x14ac:dyDescent="0.25">
      <c r="A29" s="19">
        <v>26</v>
      </c>
      <c r="B29" s="41" t="s">
        <v>220</v>
      </c>
      <c r="C29" s="32" t="str">
        <f t="shared" ca="1" si="1"/>
        <v>1/2" - 24"</v>
      </c>
      <c r="D29" s="32" t="str">
        <f t="shared" ca="1" si="2"/>
        <v>Gate valve, Outside Screw and Yoke</v>
      </c>
      <c r="E29" s="38" t="str">
        <f t="shared" ca="1" si="3"/>
        <v>Flanged ASME B16.5 RF</v>
      </c>
      <c r="F29" s="32" t="str">
        <f t="shared" ca="1" si="4"/>
        <v>Forged - ASTM A182 F316L</v>
      </c>
      <c r="G29" s="32" t="str">
        <f t="shared" ca="1" si="5"/>
        <v>Forged - ASTM A182 F316L, Stellite Hard Faced</v>
      </c>
      <c r="H29" s="32" t="str">
        <f t="shared" ca="1" si="6"/>
        <v>B2LN</v>
      </c>
      <c r="I29" s="18">
        <v>346</v>
      </c>
      <c r="J29" t="s">
        <v>438</v>
      </c>
      <c r="M29" s="52">
        <v>27</v>
      </c>
      <c r="N29" s="32" t="s">
        <v>160</v>
      </c>
      <c r="O29" s="32" t="s">
        <v>336</v>
      </c>
      <c r="P29" s="32">
        <v>1.1000000000000001</v>
      </c>
      <c r="Q29" s="32" t="s">
        <v>361</v>
      </c>
      <c r="R29" s="32" t="s">
        <v>84</v>
      </c>
      <c r="S29" s="54" t="s">
        <v>157</v>
      </c>
      <c r="T29" s="32" t="s">
        <v>363</v>
      </c>
      <c r="U29" s="32" t="s">
        <v>339</v>
      </c>
      <c r="V29" s="53">
        <v>49</v>
      </c>
      <c r="W29" t="str">
        <f t="shared" si="0"/>
        <v>51.1 @ -45°C' 43.8 @ 200°C</v>
      </c>
    </row>
    <row r="30" spans="1:23" x14ac:dyDescent="0.25">
      <c r="A30" s="19">
        <v>27</v>
      </c>
      <c r="B30" s="41" t="s">
        <v>221</v>
      </c>
      <c r="C30" s="32" t="str">
        <f t="shared" ca="1" si="1"/>
        <v>1/2" - 24"</v>
      </c>
      <c r="D30" s="32" t="str">
        <f t="shared" ca="1" si="2"/>
        <v>Gate valve, Outside Screw and Yoke</v>
      </c>
      <c r="E30" s="38" t="str">
        <f t="shared" ca="1" si="3"/>
        <v>Flanged ASME B16.5 RF</v>
      </c>
      <c r="F30" s="32" t="str">
        <f t="shared" ca="1" si="4"/>
        <v>Forged - ASTM A182 F316L</v>
      </c>
      <c r="G30" s="32" t="str">
        <f t="shared" ca="1" si="5"/>
        <v>Forged - ASTM A182 F316L, Stellite Hard Faced</v>
      </c>
      <c r="H30" s="32" t="str">
        <f t="shared" ca="1" si="6"/>
        <v>D2LN</v>
      </c>
      <c r="I30" s="18">
        <v>347</v>
      </c>
      <c r="J30" t="s">
        <v>438</v>
      </c>
      <c r="M30" s="52">
        <v>28</v>
      </c>
      <c r="N30" s="32" t="s">
        <v>161</v>
      </c>
      <c r="O30" s="32" t="s">
        <v>340</v>
      </c>
      <c r="P30" s="32">
        <v>1.1000000000000001</v>
      </c>
      <c r="Q30" s="32" t="s">
        <v>361</v>
      </c>
      <c r="R30" s="32" t="s">
        <v>84</v>
      </c>
      <c r="S30" s="54" t="s">
        <v>157</v>
      </c>
      <c r="T30" s="32" t="s">
        <v>364</v>
      </c>
      <c r="U30" s="32" t="s">
        <v>342</v>
      </c>
      <c r="V30" s="53">
        <v>50</v>
      </c>
      <c r="W30" t="str">
        <f t="shared" si="0"/>
        <v>102.1 @ -45°C' 87.6 @ 200°C</v>
      </c>
    </row>
    <row r="31" spans="1:23" x14ac:dyDescent="0.25">
      <c r="A31" s="19">
        <v>28</v>
      </c>
      <c r="B31" s="41" t="s">
        <v>222</v>
      </c>
      <c r="C31" s="32" t="str">
        <f t="shared" ca="1" si="1"/>
        <v>1/2" - 24"</v>
      </c>
      <c r="D31" s="32" t="str">
        <f t="shared" ca="1" si="2"/>
        <v>Gate valve, Outside Screw and Yoke</v>
      </c>
      <c r="E31" s="38" t="str">
        <f t="shared" ca="1" si="3"/>
        <v>Flanged ASME B16.5 RTJ</v>
      </c>
      <c r="F31" s="32" t="str">
        <f t="shared" ca="1" si="4"/>
        <v>Forged - ASTM A182 F316L</v>
      </c>
      <c r="G31" s="32" t="str">
        <f t="shared" ca="1" si="5"/>
        <v>Forged - ASTM A182 F316L, Stellite Hard Faced</v>
      </c>
      <c r="H31" s="32" t="str">
        <f t="shared" ca="1" si="6"/>
        <v>E2LN</v>
      </c>
      <c r="I31" s="18">
        <v>348</v>
      </c>
      <c r="J31" t="s">
        <v>438</v>
      </c>
      <c r="M31" s="52">
        <v>29</v>
      </c>
      <c r="N31" s="32" t="s">
        <v>162</v>
      </c>
      <c r="O31" s="32" t="s">
        <v>343</v>
      </c>
      <c r="P31" s="32">
        <v>1.1000000000000001</v>
      </c>
      <c r="Q31" s="32" t="s">
        <v>361</v>
      </c>
      <c r="R31" s="32" t="s">
        <v>84</v>
      </c>
      <c r="S31" s="54" t="s">
        <v>157</v>
      </c>
      <c r="T31" s="32" t="s">
        <v>365</v>
      </c>
      <c r="U31" s="32" t="s">
        <v>346</v>
      </c>
      <c r="V31" s="53">
        <v>51</v>
      </c>
      <c r="W31" t="str">
        <f t="shared" si="0"/>
        <v>153.2 @ -45°C' 131.4 @ 200°C</v>
      </c>
    </row>
    <row r="32" spans="1:23" ht="30" x14ac:dyDescent="0.25">
      <c r="A32" s="19">
        <v>29</v>
      </c>
      <c r="B32" s="41" t="s">
        <v>223</v>
      </c>
      <c r="C32" s="32" t="str">
        <f t="shared" ca="1" si="1"/>
        <v>1/2" - 24"</v>
      </c>
      <c r="D32" s="32" t="str">
        <f t="shared" ca="1" si="2"/>
        <v>Gate valve, Outside Screw and Yoke</v>
      </c>
      <c r="E32" s="38" t="str">
        <f t="shared" ca="1" si="3"/>
        <v>Flanged ASME B16.5 RTJ / Compact Flange / Hub Connector (As per PMS)</v>
      </c>
      <c r="F32" s="32" t="str">
        <f t="shared" ca="1" si="4"/>
        <v>Forged - ASTM A182 F316L</v>
      </c>
      <c r="G32" s="32" t="str">
        <f t="shared" ca="1" si="5"/>
        <v>Forged - ASTM A182 F316L, Stellite Hard Faced</v>
      </c>
      <c r="H32" s="32" t="str">
        <f t="shared" ca="1" si="6"/>
        <v>F2LN</v>
      </c>
      <c r="I32" s="18">
        <v>349</v>
      </c>
      <c r="J32" t="s">
        <v>438</v>
      </c>
      <c r="M32" s="52">
        <v>30</v>
      </c>
      <c r="N32" s="32" t="s">
        <v>163</v>
      </c>
      <c r="O32" s="32" t="s">
        <v>347</v>
      </c>
      <c r="P32" s="32">
        <v>1.1000000000000001</v>
      </c>
      <c r="Q32" s="32" t="s">
        <v>361</v>
      </c>
      <c r="R32" s="32" t="s">
        <v>84</v>
      </c>
      <c r="S32" s="54" t="s">
        <v>157</v>
      </c>
      <c r="T32" s="32" t="s">
        <v>366</v>
      </c>
      <c r="U32" s="32" t="s">
        <v>349</v>
      </c>
      <c r="V32" s="53">
        <v>52</v>
      </c>
      <c r="W32" t="str">
        <f t="shared" si="0"/>
        <v>255.3 @ -45°C' 219 @ 200°C</v>
      </c>
    </row>
    <row r="33" spans="1:23" ht="30" x14ac:dyDescent="0.25">
      <c r="A33" s="19">
        <v>30</v>
      </c>
      <c r="B33" s="41" t="s">
        <v>224</v>
      </c>
      <c r="C33" s="32" t="str">
        <f t="shared" ca="1" si="1"/>
        <v>1/2" - 24"</v>
      </c>
      <c r="D33" s="32" t="str">
        <f t="shared" ca="1" si="2"/>
        <v>Gate valve, Outside Screw and Yoke</v>
      </c>
      <c r="E33" s="38" t="str">
        <f t="shared" ca="1" si="3"/>
        <v>Flanged ASME B16.5 RTJ / Compact Flange / Hub Connector (As per PMS)</v>
      </c>
      <c r="F33" s="32" t="str">
        <f t="shared" ca="1" si="4"/>
        <v>Forged - ASTM A182 F316L</v>
      </c>
      <c r="G33" s="32" t="str">
        <f t="shared" ca="1" si="5"/>
        <v>Forged - ASTM A182 F316L, Stellite Hard Faced</v>
      </c>
      <c r="H33" s="32" t="str">
        <f t="shared" ca="1" si="6"/>
        <v>G2LN</v>
      </c>
      <c r="I33" s="18">
        <v>350</v>
      </c>
      <c r="J33" t="s">
        <v>438</v>
      </c>
      <c r="M33" s="52">
        <v>31</v>
      </c>
      <c r="N33" s="32" t="s">
        <v>164</v>
      </c>
      <c r="O33" s="32" t="s">
        <v>350</v>
      </c>
      <c r="P33" s="32">
        <v>1.1000000000000001</v>
      </c>
      <c r="Q33" s="32" t="s">
        <v>361</v>
      </c>
      <c r="R33" s="32" t="s">
        <v>84</v>
      </c>
      <c r="S33" s="54" t="s">
        <v>157</v>
      </c>
      <c r="T33" s="32" t="s">
        <v>352</v>
      </c>
      <c r="U33" s="32" t="s">
        <v>353</v>
      </c>
      <c r="V33" s="53">
        <v>53</v>
      </c>
      <c r="W33" t="str">
        <f t="shared" si="0"/>
        <v>399.8 @ -29°C' 342.9 @ 200°C</v>
      </c>
    </row>
    <row r="34" spans="1:23" x14ac:dyDescent="0.25">
      <c r="A34" s="19">
        <v>31</v>
      </c>
      <c r="B34" s="41" t="s">
        <v>252</v>
      </c>
      <c r="C34" s="32" t="str">
        <f t="shared" ca="1" si="1"/>
        <v>1/2" - 24"</v>
      </c>
      <c r="D34" s="32" t="str">
        <f t="shared" ca="1" si="2"/>
        <v>Gate valve, Outside Screw and Yoke</v>
      </c>
      <c r="E34" s="38" t="str">
        <f t="shared" ca="1" si="3"/>
        <v>Flanged ASME B16.5 RF</v>
      </c>
      <c r="F34" s="32" t="str">
        <f t="shared" ca="1" si="4"/>
        <v>Forged - ASTM A182 F316L</v>
      </c>
      <c r="G34" s="32" t="str">
        <f t="shared" ca="1" si="5"/>
        <v>Forged - ASTM A182 F316L, Stellite Hard Faced</v>
      </c>
      <c r="H34" s="32" t="str">
        <f t="shared" ca="1" si="6"/>
        <v>A3, A4, A5, A6, A10</v>
      </c>
      <c r="I34" s="18">
        <v>351</v>
      </c>
      <c r="J34" t="s">
        <v>438</v>
      </c>
      <c r="M34" s="52">
        <v>32</v>
      </c>
      <c r="N34" s="32" t="s">
        <v>367</v>
      </c>
      <c r="O34" s="32" t="s">
        <v>331</v>
      </c>
      <c r="P34" s="32">
        <v>1.1000000000000001</v>
      </c>
      <c r="Q34" s="32" t="s">
        <v>368</v>
      </c>
      <c r="R34" s="32" t="s">
        <v>83</v>
      </c>
      <c r="S34" s="38" t="s">
        <v>369</v>
      </c>
      <c r="T34" s="32" t="s">
        <v>370</v>
      </c>
      <c r="U34" s="32" t="s">
        <v>371</v>
      </c>
      <c r="V34" s="53">
        <v>54</v>
      </c>
      <c r="W34" t="str">
        <f t="shared" si="0"/>
        <v>19 @ -29°C'  16.2 @ 100°C</v>
      </c>
    </row>
    <row r="35" spans="1:23" x14ac:dyDescent="0.25">
      <c r="A35" s="19">
        <v>32</v>
      </c>
      <c r="B35" s="41" t="s">
        <v>231</v>
      </c>
      <c r="C35" s="32" t="str">
        <f t="shared" ca="1" si="1"/>
        <v>1/2" - 24"</v>
      </c>
      <c r="D35" s="32" t="str">
        <f t="shared" ca="1" si="2"/>
        <v>Gate valve, Outside Screw and Yoke</v>
      </c>
      <c r="E35" s="38" t="str">
        <f t="shared" ca="1" si="3"/>
        <v>Flanged ASME B16.5 RF</v>
      </c>
      <c r="F35" s="32" t="str">
        <f t="shared" ca="1" si="4"/>
        <v>Forged - ASTM A182 F316L</v>
      </c>
      <c r="G35" s="32" t="str">
        <f t="shared" ca="1" si="5"/>
        <v>Forged - ASTM A182 F316L, Stellite Hard Faced</v>
      </c>
      <c r="H35" s="32" t="str">
        <f t="shared" ca="1" si="6"/>
        <v>B10</v>
      </c>
      <c r="I35" s="18">
        <v>352</v>
      </c>
      <c r="J35" t="s">
        <v>438</v>
      </c>
      <c r="M35" s="52">
        <v>33</v>
      </c>
      <c r="N35" s="32" t="s">
        <v>372</v>
      </c>
      <c r="O35" s="32" t="s">
        <v>331</v>
      </c>
      <c r="P35" s="32">
        <v>1.1000000000000001</v>
      </c>
      <c r="Q35" s="32" t="s">
        <v>368</v>
      </c>
      <c r="R35" s="32" t="s">
        <v>373</v>
      </c>
      <c r="S35" s="54" t="s">
        <v>374</v>
      </c>
      <c r="T35" s="32" t="s">
        <v>370</v>
      </c>
      <c r="U35" s="32" t="s">
        <v>371</v>
      </c>
      <c r="V35" s="53">
        <v>55</v>
      </c>
      <c r="W35" t="str">
        <f t="shared" si="0"/>
        <v>19 @ -29°C'  16.2 @ 100°C</v>
      </c>
    </row>
    <row r="36" spans="1:23" x14ac:dyDescent="0.25">
      <c r="A36" s="19">
        <v>33</v>
      </c>
      <c r="B36" s="41" t="s">
        <v>232</v>
      </c>
      <c r="C36" s="32" t="str">
        <f t="shared" ca="1" si="1"/>
        <v>1/2" - 24"</v>
      </c>
      <c r="D36" s="32" t="str">
        <f t="shared" ca="1" si="2"/>
        <v>Gate valve, Outside Screw and Yoke</v>
      </c>
      <c r="E36" s="38" t="str">
        <f t="shared" ca="1" si="3"/>
        <v>Flanged ASME B16.5 RF</v>
      </c>
      <c r="F36" s="32" t="str">
        <f t="shared" ca="1" si="4"/>
        <v>Forged - ASTM A182 F316L</v>
      </c>
      <c r="G36" s="32" t="str">
        <f t="shared" ca="1" si="5"/>
        <v>Forged - ASTM A182 F316L, Stellite Hard Faced</v>
      </c>
      <c r="H36" s="32" t="str">
        <f t="shared" ca="1" si="6"/>
        <v>D10</v>
      </c>
      <c r="I36" s="18">
        <v>353</v>
      </c>
      <c r="J36" t="s">
        <v>438</v>
      </c>
      <c r="M36" s="52">
        <v>34</v>
      </c>
      <c r="N36" s="32" t="s">
        <v>375</v>
      </c>
      <c r="O36" s="32" t="s">
        <v>336</v>
      </c>
      <c r="P36" s="32">
        <v>1.1000000000000001</v>
      </c>
      <c r="Q36" s="32" t="s">
        <v>368</v>
      </c>
      <c r="R36" s="32" t="s">
        <v>373</v>
      </c>
      <c r="S36" s="54" t="s">
        <v>374</v>
      </c>
      <c r="T36" s="32" t="s">
        <v>338</v>
      </c>
      <c r="U36" s="32" t="s">
        <v>356</v>
      </c>
      <c r="V36" s="53">
        <v>56</v>
      </c>
      <c r="W36" t="str">
        <f t="shared" si="0"/>
        <v>51.1 @ -29°C' 43.8 @ 250°C</v>
      </c>
    </row>
    <row r="37" spans="1:23" x14ac:dyDescent="0.25">
      <c r="A37" s="19">
        <v>34</v>
      </c>
      <c r="B37" s="41" t="s">
        <v>233</v>
      </c>
      <c r="C37" s="32" t="str">
        <f t="shared" ca="1" si="1"/>
        <v>1/2" - 24"</v>
      </c>
      <c r="D37" s="32" t="str">
        <f t="shared" ca="1" si="2"/>
        <v>Gate valve, Outside Screw and Yoke</v>
      </c>
      <c r="E37" s="38" t="str">
        <f t="shared" ca="1" si="3"/>
        <v>Flanged ASME B16.5 RTJ</v>
      </c>
      <c r="F37" s="32" t="str">
        <f t="shared" ca="1" si="4"/>
        <v>Forged - ASTM A182 F316L</v>
      </c>
      <c r="G37" s="32" t="str">
        <f t="shared" ca="1" si="5"/>
        <v>Forged - ASTM A182 F316L, Stellite Hard Faced</v>
      </c>
      <c r="H37" s="32" t="str">
        <f t="shared" ca="1" si="6"/>
        <v>E10</v>
      </c>
      <c r="I37" s="18">
        <v>354</v>
      </c>
      <c r="J37" t="s">
        <v>438</v>
      </c>
      <c r="M37" s="52">
        <v>35</v>
      </c>
      <c r="N37" s="32" t="s">
        <v>376</v>
      </c>
      <c r="O37" s="32" t="s">
        <v>340</v>
      </c>
      <c r="P37" s="32">
        <v>1.1000000000000001</v>
      </c>
      <c r="Q37" s="32" t="s">
        <v>368</v>
      </c>
      <c r="R37" s="32" t="s">
        <v>373</v>
      </c>
      <c r="S37" s="54" t="s">
        <v>374</v>
      </c>
      <c r="T37" s="32" t="s">
        <v>341</v>
      </c>
      <c r="U37" s="32" t="s">
        <v>357</v>
      </c>
      <c r="V37" s="53">
        <v>57</v>
      </c>
      <c r="W37" t="str">
        <f t="shared" si="0"/>
        <v>102.1 @ -29°C' 87.6 @ 250°C</v>
      </c>
    </row>
    <row r="38" spans="1:23" ht="30" x14ac:dyDescent="0.25">
      <c r="A38" s="19">
        <v>35</v>
      </c>
      <c r="B38" s="41" t="s">
        <v>247</v>
      </c>
      <c r="C38" s="32" t="str">
        <f t="shared" ca="1" si="1"/>
        <v>1/2" - 24"</v>
      </c>
      <c r="D38" s="32" t="str">
        <f t="shared" ca="1" si="2"/>
        <v>Gate valve, Outside Screw and Yoke</v>
      </c>
      <c r="E38" s="38" t="str">
        <f t="shared" ca="1" si="3"/>
        <v>Flanged ASME B16.5 RTJ / Compact Flange / Hub Connector (As per PMS)</v>
      </c>
      <c r="F38" s="32" t="str">
        <f t="shared" ca="1" si="4"/>
        <v>Forged - ASTM A182 F316L</v>
      </c>
      <c r="G38" s="32" t="str">
        <f t="shared" ca="1" si="5"/>
        <v>Forged - ASTM A182 F316L, Stellite Hard Faced</v>
      </c>
      <c r="H38" s="32" t="str">
        <f t="shared" ca="1" si="6"/>
        <v>F10</v>
      </c>
      <c r="I38" s="18">
        <v>355</v>
      </c>
      <c r="J38" t="s">
        <v>438</v>
      </c>
      <c r="M38" s="52">
        <v>36</v>
      </c>
      <c r="N38" s="32" t="s">
        <v>377</v>
      </c>
      <c r="O38" s="32" t="s">
        <v>331</v>
      </c>
      <c r="P38" s="32">
        <v>1.1000000000000001</v>
      </c>
      <c r="Q38" s="32" t="s">
        <v>378</v>
      </c>
      <c r="R38" s="32" t="s">
        <v>84</v>
      </c>
      <c r="S38" s="38" t="s">
        <v>379</v>
      </c>
      <c r="T38" s="32" t="s">
        <v>370</v>
      </c>
      <c r="U38" s="32" t="s">
        <v>371</v>
      </c>
      <c r="V38" s="53">
        <v>58</v>
      </c>
      <c r="W38" t="str">
        <f t="shared" si="0"/>
        <v>19 @ -29°C'  16.2 @ 100°C</v>
      </c>
    </row>
    <row r="39" spans="1:23" ht="30" x14ac:dyDescent="0.25">
      <c r="A39" s="19">
        <v>36</v>
      </c>
      <c r="B39" s="41" t="s">
        <v>248</v>
      </c>
      <c r="C39" s="32" t="str">
        <f t="shared" ca="1" si="1"/>
        <v>1/2" - 24"</v>
      </c>
      <c r="D39" s="32" t="str">
        <f t="shared" ca="1" si="2"/>
        <v>Gate valve, Outside Screw and Yoke</v>
      </c>
      <c r="E39" s="38" t="str">
        <f t="shared" ca="1" si="3"/>
        <v>Flanged ASME B16.5 RTJ / Compact Flange / Hub Connector (As per PMS)</v>
      </c>
      <c r="F39" s="32" t="str">
        <f t="shared" ca="1" si="4"/>
        <v>Forged - ASTM A182 F316L</v>
      </c>
      <c r="G39" s="32" t="str">
        <f t="shared" ca="1" si="5"/>
        <v>Forged - ASTM A182 F316L, Stellite Hard Faced</v>
      </c>
      <c r="H39" s="32" t="str">
        <f t="shared" ca="1" si="6"/>
        <v>G10</v>
      </c>
      <c r="I39" s="18">
        <v>356</v>
      </c>
      <c r="J39" t="s">
        <v>438</v>
      </c>
      <c r="M39" s="52">
        <v>37</v>
      </c>
      <c r="N39" s="32" t="s">
        <v>380</v>
      </c>
      <c r="O39" s="32" t="s">
        <v>331</v>
      </c>
      <c r="P39" s="32">
        <v>1.1000000000000001</v>
      </c>
      <c r="Q39" s="32" t="s">
        <v>381</v>
      </c>
      <c r="R39" s="32" t="s">
        <v>84</v>
      </c>
      <c r="S39" s="38" t="s">
        <v>382</v>
      </c>
      <c r="T39" s="32" t="s">
        <v>370</v>
      </c>
      <c r="U39" s="32" t="s">
        <v>371</v>
      </c>
      <c r="V39" s="53">
        <v>59</v>
      </c>
      <c r="W39" t="str">
        <f t="shared" si="0"/>
        <v>19 @ -29°C'  16.2 @ 100°C</v>
      </c>
    </row>
    <row r="40" spans="1:23" x14ac:dyDescent="0.25">
      <c r="A40" s="19">
        <v>37</v>
      </c>
      <c r="B40" s="41" t="s">
        <v>225</v>
      </c>
      <c r="C40" s="32" t="str">
        <f t="shared" ca="1" si="1"/>
        <v>1/2" - 24"</v>
      </c>
      <c r="D40" s="32" t="str">
        <f t="shared" ca="1" si="2"/>
        <v>Gate valve, Outside Screw and Yoke</v>
      </c>
      <c r="E40" s="38" t="str">
        <f t="shared" ca="1" si="3"/>
        <v>Flanged ASME B16.5 RF</v>
      </c>
      <c r="F40" s="32" t="str">
        <f t="shared" ca="1" si="4"/>
        <v>Forged - ASTM A182 F316L</v>
      </c>
      <c r="G40" s="32" t="str">
        <f t="shared" ca="1" si="5"/>
        <v>Forged - ASTM A182 F316L, Stellite Hard Faced</v>
      </c>
      <c r="H40" s="32" t="str">
        <f t="shared" ca="1" si="6"/>
        <v>A10N</v>
      </c>
      <c r="I40" s="18">
        <v>357</v>
      </c>
      <c r="J40" t="s">
        <v>438</v>
      </c>
      <c r="M40" s="52">
        <v>38</v>
      </c>
      <c r="N40" s="32" t="s">
        <v>298</v>
      </c>
      <c r="O40" s="32" t="s">
        <v>331</v>
      </c>
      <c r="P40" s="32">
        <v>2.2999999999999998</v>
      </c>
      <c r="Q40" s="32" t="s">
        <v>383</v>
      </c>
      <c r="R40" s="32" t="s">
        <v>85</v>
      </c>
      <c r="S40" s="38" t="s">
        <v>384</v>
      </c>
      <c r="T40" s="32" t="s">
        <v>385</v>
      </c>
      <c r="U40" s="32" t="s">
        <v>386</v>
      </c>
      <c r="V40" s="53">
        <v>60</v>
      </c>
      <c r="W40" t="str">
        <f t="shared" si="0"/>
        <v>15.9 @ -100°C' 11.2 @ 200°C</v>
      </c>
    </row>
    <row r="41" spans="1:23" x14ac:dyDescent="0.25">
      <c r="A41" s="19">
        <v>38</v>
      </c>
      <c r="B41" s="41" t="s">
        <v>226</v>
      </c>
      <c r="C41" s="32" t="str">
        <f t="shared" ca="1" si="1"/>
        <v>1/2" - 24"</v>
      </c>
      <c r="D41" s="32" t="str">
        <f t="shared" ca="1" si="2"/>
        <v>Gate valve, Outside Screw and Yoke</v>
      </c>
      <c r="E41" s="38" t="str">
        <f t="shared" ca="1" si="3"/>
        <v>Flanged ASME B16.5 RF</v>
      </c>
      <c r="F41" s="32" t="str">
        <f t="shared" ca="1" si="4"/>
        <v>Forged - ASTM A182 F316L</v>
      </c>
      <c r="G41" s="32" t="str">
        <f t="shared" ca="1" si="5"/>
        <v>Forged - ASTM A182 F316L, Stellite Hard Faced</v>
      </c>
      <c r="H41" s="32" t="str">
        <f t="shared" ca="1" si="6"/>
        <v>B10N</v>
      </c>
      <c r="I41" s="18">
        <v>358</v>
      </c>
      <c r="J41" t="s">
        <v>438</v>
      </c>
      <c r="M41" s="52">
        <v>39</v>
      </c>
      <c r="N41" s="32" t="s">
        <v>6</v>
      </c>
      <c r="O41" s="32" t="s">
        <v>336</v>
      </c>
      <c r="P41" s="32">
        <v>2.2999999999999998</v>
      </c>
      <c r="Q41" s="32" t="s">
        <v>383</v>
      </c>
      <c r="R41" s="32" t="s">
        <v>85</v>
      </c>
      <c r="S41" s="38" t="s">
        <v>387</v>
      </c>
      <c r="T41" s="32" t="s">
        <v>388</v>
      </c>
      <c r="U41" s="32" t="s">
        <v>389</v>
      </c>
      <c r="V41" s="53">
        <v>61</v>
      </c>
      <c r="W41" t="str">
        <f t="shared" si="0"/>
        <v>41.4 @ -100°C' 29.2 @ 200°C</v>
      </c>
    </row>
    <row r="42" spans="1:23" x14ac:dyDescent="0.25">
      <c r="A42" s="19">
        <v>39</v>
      </c>
      <c r="B42" s="41" t="s">
        <v>227</v>
      </c>
      <c r="C42" s="32" t="str">
        <f t="shared" ca="1" si="1"/>
        <v>1/2" - 24"</v>
      </c>
      <c r="D42" s="32" t="str">
        <f t="shared" ca="1" si="2"/>
        <v>Gate valve, Outside Screw and Yoke</v>
      </c>
      <c r="E42" s="38" t="str">
        <f t="shared" ca="1" si="3"/>
        <v>Flanged ASME B16.5 RF</v>
      </c>
      <c r="F42" s="32" t="str">
        <f t="shared" ca="1" si="4"/>
        <v>Forged - ASTM A182 F316L</v>
      </c>
      <c r="G42" s="32" t="str">
        <f t="shared" ca="1" si="5"/>
        <v>Forged - ASTM A182 F316L, Stellite Hard Faced</v>
      </c>
      <c r="H42" s="32" t="str">
        <f t="shared" ca="1" si="6"/>
        <v>D10N</v>
      </c>
      <c r="I42" s="18">
        <v>359</v>
      </c>
      <c r="J42" t="s">
        <v>438</v>
      </c>
      <c r="M42" s="52">
        <v>40</v>
      </c>
      <c r="N42" s="32" t="s">
        <v>13</v>
      </c>
      <c r="O42" s="32" t="s">
        <v>340</v>
      </c>
      <c r="P42" s="32">
        <v>2.2999999999999998</v>
      </c>
      <c r="Q42" s="32" t="s">
        <v>383</v>
      </c>
      <c r="R42" s="32" t="s">
        <v>85</v>
      </c>
      <c r="S42" s="54" t="s">
        <v>390</v>
      </c>
      <c r="T42" s="32" t="s">
        <v>391</v>
      </c>
      <c r="U42" s="32" t="s">
        <v>392</v>
      </c>
      <c r="V42" s="53">
        <v>62</v>
      </c>
      <c r="W42" t="str">
        <f t="shared" si="0"/>
        <v>82.7 @ -100°C' 58.3 @ 200°C</v>
      </c>
    </row>
    <row r="43" spans="1:23" x14ac:dyDescent="0.25">
      <c r="A43" s="19">
        <v>40</v>
      </c>
      <c r="B43" s="41" t="s">
        <v>228</v>
      </c>
      <c r="C43" s="32" t="str">
        <f t="shared" ca="1" si="1"/>
        <v>1/2" - 24"</v>
      </c>
      <c r="D43" s="32" t="str">
        <f t="shared" ca="1" si="2"/>
        <v>Gate valve, Outside Screw and Yoke</v>
      </c>
      <c r="E43" s="38" t="str">
        <f t="shared" ca="1" si="3"/>
        <v>Flanged ASME B16.5 RTJ</v>
      </c>
      <c r="F43" s="32" t="str">
        <f t="shared" ca="1" si="4"/>
        <v>Forged - ASTM A182 F316L</v>
      </c>
      <c r="G43" s="32" t="str">
        <f t="shared" ca="1" si="5"/>
        <v>Forged - ASTM A182 F316L, Stellite Hard Faced</v>
      </c>
      <c r="H43" s="32" t="str">
        <f t="shared" ca="1" si="6"/>
        <v>E10N</v>
      </c>
      <c r="I43" s="18">
        <v>360</v>
      </c>
      <c r="J43" t="s">
        <v>438</v>
      </c>
      <c r="M43" s="52">
        <v>41</v>
      </c>
      <c r="N43" s="32" t="s">
        <v>16</v>
      </c>
      <c r="O43" s="32" t="s">
        <v>343</v>
      </c>
      <c r="P43" s="32">
        <v>2.2999999999999998</v>
      </c>
      <c r="Q43" s="32" t="s">
        <v>383</v>
      </c>
      <c r="R43" s="32" t="s">
        <v>85</v>
      </c>
      <c r="S43" s="54" t="s">
        <v>390</v>
      </c>
      <c r="T43" s="32" t="s">
        <v>393</v>
      </c>
      <c r="U43" s="32" t="s">
        <v>394</v>
      </c>
      <c r="V43" s="53">
        <v>63</v>
      </c>
      <c r="W43" t="str">
        <f t="shared" si="0"/>
        <v>124.1 @ -100°C' 87.5 @ 200°C</v>
      </c>
    </row>
    <row r="44" spans="1:23" ht="30" x14ac:dyDescent="0.25">
      <c r="A44" s="19">
        <v>41</v>
      </c>
      <c r="B44" s="41" t="s">
        <v>229</v>
      </c>
      <c r="C44" s="32" t="str">
        <f t="shared" ca="1" si="1"/>
        <v>1/2" - 24"</v>
      </c>
      <c r="D44" s="32" t="str">
        <f t="shared" ca="1" si="2"/>
        <v>Gate valve, Outside Screw and Yoke</v>
      </c>
      <c r="E44" s="38" t="str">
        <f t="shared" ca="1" si="3"/>
        <v>Flanged ASME B16.5 RTJ / Compact Flange / Hub Connector (As per PMS)</v>
      </c>
      <c r="F44" s="32" t="str">
        <f t="shared" ca="1" si="4"/>
        <v>Forged - ASTM A182 F316L</v>
      </c>
      <c r="G44" s="32" t="str">
        <f t="shared" ca="1" si="5"/>
        <v>Forged - ASTM A182 F316L, Stellite Hard Faced</v>
      </c>
      <c r="H44" s="32" t="str">
        <f t="shared" ca="1" si="6"/>
        <v>F10N</v>
      </c>
      <c r="I44" s="18">
        <v>361</v>
      </c>
      <c r="J44" t="s">
        <v>438</v>
      </c>
      <c r="M44" s="52">
        <v>42</v>
      </c>
      <c r="N44" s="32" t="s">
        <v>18</v>
      </c>
      <c r="O44" s="32" t="s">
        <v>347</v>
      </c>
      <c r="P44" s="32">
        <v>2.2999999999999998</v>
      </c>
      <c r="Q44" s="32" t="s">
        <v>383</v>
      </c>
      <c r="R44" s="32" t="s">
        <v>85</v>
      </c>
      <c r="S44" s="54" t="s">
        <v>390</v>
      </c>
      <c r="T44" s="32" t="s">
        <v>395</v>
      </c>
      <c r="U44" s="32" t="s">
        <v>396</v>
      </c>
      <c r="V44" s="53">
        <v>64</v>
      </c>
      <c r="W44" t="str">
        <f t="shared" si="0"/>
        <v>206.8 @ -100°C' 145.8 @ 200°C</v>
      </c>
    </row>
    <row r="45" spans="1:23" ht="30" x14ac:dyDescent="0.25">
      <c r="A45" s="19">
        <v>42</v>
      </c>
      <c r="B45" s="41" t="s">
        <v>230</v>
      </c>
      <c r="C45" s="32" t="str">
        <f t="shared" ca="1" si="1"/>
        <v>1/2" - 24"</v>
      </c>
      <c r="D45" s="32" t="str">
        <f t="shared" ca="1" si="2"/>
        <v>Gate valve, Outside Screw and Yoke</v>
      </c>
      <c r="E45" s="38" t="str">
        <f t="shared" ca="1" si="3"/>
        <v>Flanged ASME B16.5 RTJ / Compact Flange / Hub Connector (As per PMS)</v>
      </c>
      <c r="F45" s="32" t="str">
        <f t="shared" ca="1" si="4"/>
        <v>Forged - ASTM A182 F316L</v>
      </c>
      <c r="G45" s="32" t="str">
        <f t="shared" ca="1" si="5"/>
        <v>Forged - ASTM A182 F316L, Stellite Hard Faced</v>
      </c>
      <c r="H45" s="32" t="str">
        <f t="shared" ca="1" si="6"/>
        <v>G10N</v>
      </c>
      <c r="I45" s="18">
        <v>362</v>
      </c>
      <c r="J45" t="s">
        <v>438</v>
      </c>
      <c r="M45" s="52">
        <v>43</v>
      </c>
      <c r="N45" s="32" t="s">
        <v>20</v>
      </c>
      <c r="O45" s="32" t="s">
        <v>350</v>
      </c>
      <c r="P45" s="32">
        <v>2.2999999999999998</v>
      </c>
      <c r="Q45" s="32" t="s">
        <v>383</v>
      </c>
      <c r="R45" s="32" t="s">
        <v>85</v>
      </c>
      <c r="S45" s="54" t="s">
        <v>390</v>
      </c>
      <c r="T45" s="32" t="s">
        <v>397</v>
      </c>
      <c r="U45" s="32" t="s">
        <v>398</v>
      </c>
      <c r="V45" s="53">
        <v>65</v>
      </c>
      <c r="W45" t="str">
        <f t="shared" si="0"/>
        <v>344.7 @ -100°C' 243 @ 200°C</v>
      </c>
    </row>
    <row r="46" spans="1:23" x14ac:dyDescent="0.25">
      <c r="A46" s="19">
        <v>43</v>
      </c>
      <c r="B46" s="41" t="s">
        <v>234</v>
      </c>
      <c r="C46" s="32" t="str">
        <f t="shared" ca="1" si="1"/>
        <v>1/2" - 24"</v>
      </c>
      <c r="D46" s="32" t="str">
        <f t="shared" ca="1" si="2"/>
        <v>Gate valve, Outside Screw and Yoke</v>
      </c>
      <c r="E46" s="38" t="str">
        <f t="shared" ca="1" si="3"/>
        <v>Flanged ASME B16.5 RF</v>
      </c>
      <c r="F46" s="32" t="str">
        <f t="shared" ca="1" si="4"/>
        <v>Forged - ASTM A182 F60</v>
      </c>
      <c r="G46" s="32" t="str">
        <f t="shared" ca="1" si="5"/>
        <v>Forged - ASTM A182 F60, Stellite Hard Faced</v>
      </c>
      <c r="H46" s="32" t="str">
        <f t="shared" ca="1" si="6"/>
        <v>A20N</v>
      </c>
      <c r="I46" s="18">
        <v>363</v>
      </c>
      <c r="J46" t="s">
        <v>438</v>
      </c>
      <c r="M46" s="52">
        <v>44</v>
      </c>
      <c r="N46" s="32" t="s">
        <v>165</v>
      </c>
      <c r="O46" s="32" t="s">
        <v>331</v>
      </c>
      <c r="P46" s="32">
        <v>2.2999999999999998</v>
      </c>
      <c r="Q46" s="32" t="s">
        <v>399</v>
      </c>
      <c r="R46" s="32" t="s">
        <v>85</v>
      </c>
      <c r="S46" s="54" t="s">
        <v>166</v>
      </c>
      <c r="T46" s="32" t="s">
        <v>385</v>
      </c>
      <c r="U46" s="32" t="s">
        <v>386</v>
      </c>
      <c r="V46" s="53">
        <v>66</v>
      </c>
      <c r="W46" t="str">
        <f t="shared" si="0"/>
        <v>15.9 @ -100°C' 11.2 @ 200°C</v>
      </c>
    </row>
    <row r="47" spans="1:23" x14ac:dyDescent="0.25">
      <c r="A47" s="19">
        <v>44</v>
      </c>
      <c r="B47" s="41" t="s">
        <v>235</v>
      </c>
      <c r="C47" s="32" t="str">
        <f t="shared" ca="1" si="1"/>
        <v>1/2" - 24"</v>
      </c>
      <c r="D47" s="32" t="str">
        <f t="shared" ca="1" si="2"/>
        <v>Gate valve, Outside Screw and Yoke</v>
      </c>
      <c r="E47" s="38" t="str">
        <f t="shared" ca="1" si="3"/>
        <v>Flanged ASME B16.5 RF</v>
      </c>
      <c r="F47" s="32" t="str">
        <f t="shared" ca="1" si="4"/>
        <v>Forged - ASTM A182 F60</v>
      </c>
      <c r="G47" s="32" t="str">
        <f t="shared" ca="1" si="5"/>
        <v>Forged - ASTM A182 F60, Stellite Hard Faced</v>
      </c>
      <c r="H47" s="32" t="str">
        <f t="shared" ca="1" si="6"/>
        <v>B20N</v>
      </c>
      <c r="I47" s="18">
        <v>364</v>
      </c>
      <c r="J47" t="s">
        <v>438</v>
      </c>
      <c r="M47" s="52">
        <v>45</v>
      </c>
      <c r="N47" s="32" t="s">
        <v>167</v>
      </c>
      <c r="O47" s="32" t="s">
        <v>336</v>
      </c>
      <c r="P47" s="32">
        <v>2.2999999999999998</v>
      </c>
      <c r="Q47" s="32" t="s">
        <v>399</v>
      </c>
      <c r="R47" s="32" t="s">
        <v>85</v>
      </c>
      <c r="S47" s="54" t="s">
        <v>166</v>
      </c>
      <c r="T47" s="32" t="s">
        <v>388</v>
      </c>
      <c r="U47" s="32" t="s">
        <v>389</v>
      </c>
      <c r="V47" s="53">
        <v>67</v>
      </c>
      <c r="W47" t="str">
        <f t="shared" si="0"/>
        <v>41.4 @ -100°C' 29.2 @ 200°C</v>
      </c>
    </row>
    <row r="48" spans="1:23" x14ac:dyDescent="0.25">
      <c r="A48" s="19">
        <v>45</v>
      </c>
      <c r="B48" s="41" t="s">
        <v>236</v>
      </c>
      <c r="C48" s="32" t="str">
        <f t="shared" ca="1" si="1"/>
        <v>1/2" - 24"</v>
      </c>
      <c r="D48" s="32" t="str">
        <f t="shared" ca="1" si="2"/>
        <v>Gate valve, Outside Screw and Yoke</v>
      </c>
      <c r="E48" s="38" t="str">
        <f t="shared" ca="1" si="3"/>
        <v>Flanged ASME B16.5 RF</v>
      </c>
      <c r="F48" s="32" t="str">
        <f t="shared" ca="1" si="4"/>
        <v>Forged - ASTM A182 F60</v>
      </c>
      <c r="G48" s="32" t="str">
        <f t="shared" ca="1" si="5"/>
        <v>Forged - ASTM A182 F60, Stellite Hard Faced</v>
      </c>
      <c r="H48" s="32" t="str">
        <f t="shared" ca="1" si="6"/>
        <v>D20N</v>
      </c>
      <c r="I48" s="18">
        <v>365</v>
      </c>
      <c r="J48" t="s">
        <v>438</v>
      </c>
      <c r="M48" s="52">
        <v>46</v>
      </c>
      <c r="N48" s="32" t="s">
        <v>168</v>
      </c>
      <c r="O48" s="32" t="s">
        <v>340</v>
      </c>
      <c r="P48" s="32">
        <v>2.2999999999999998</v>
      </c>
      <c r="Q48" s="32" t="s">
        <v>399</v>
      </c>
      <c r="R48" s="32" t="s">
        <v>85</v>
      </c>
      <c r="S48" s="54" t="s">
        <v>166</v>
      </c>
      <c r="T48" s="32" t="s">
        <v>391</v>
      </c>
      <c r="U48" s="32" t="s">
        <v>392</v>
      </c>
      <c r="V48" s="53">
        <v>68</v>
      </c>
      <c r="W48" t="str">
        <f t="shared" si="0"/>
        <v>82.7 @ -100°C' 58.3 @ 200°C</v>
      </c>
    </row>
    <row r="49" spans="1:23" x14ac:dyDescent="0.25">
      <c r="A49" s="19">
        <v>46</v>
      </c>
      <c r="B49" s="41" t="s">
        <v>237</v>
      </c>
      <c r="C49" s="32" t="str">
        <f t="shared" ca="1" si="1"/>
        <v>1/2" - 24"</v>
      </c>
      <c r="D49" s="32" t="str">
        <f t="shared" ca="1" si="2"/>
        <v>Gate valve, Outside Screw and Yoke</v>
      </c>
      <c r="E49" s="38" t="str">
        <f t="shared" ca="1" si="3"/>
        <v>Flanged ASME B16.5 RTJ</v>
      </c>
      <c r="F49" s="32" t="str">
        <f t="shared" ca="1" si="4"/>
        <v>Forged - ASTM A182 F60</v>
      </c>
      <c r="G49" s="32" t="str">
        <f t="shared" ca="1" si="5"/>
        <v>Forged - ASTM A182 F60, Stellite Hard Faced</v>
      </c>
      <c r="H49" s="32" t="str">
        <f t="shared" ca="1" si="6"/>
        <v>E20N</v>
      </c>
      <c r="I49" s="18">
        <v>366</v>
      </c>
      <c r="J49" t="s">
        <v>438</v>
      </c>
      <c r="M49" s="52">
        <v>47</v>
      </c>
      <c r="N49" s="32" t="s">
        <v>169</v>
      </c>
      <c r="O49" s="32" t="s">
        <v>343</v>
      </c>
      <c r="P49" s="32">
        <v>2.2999999999999998</v>
      </c>
      <c r="Q49" s="32" t="s">
        <v>399</v>
      </c>
      <c r="R49" s="32" t="s">
        <v>85</v>
      </c>
      <c r="S49" s="54" t="s">
        <v>166</v>
      </c>
      <c r="T49" s="32" t="s">
        <v>393</v>
      </c>
      <c r="U49" s="32" t="s">
        <v>394</v>
      </c>
      <c r="V49" s="53">
        <v>69</v>
      </c>
      <c r="W49" t="str">
        <f t="shared" si="0"/>
        <v>124.1 @ -100°C' 87.5 @ 200°C</v>
      </c>
    </row>
    <row r="50" spans="1:23" ht="30" x14ac:dyDescent="0.25">
      <c r="A50" s="19">
        <v>47</v>
      </c>
      <c r="B50" s="41" t="s">
        <v>238</v>
      </c>
      <c r="C50" s="32" t="str">
        <f t="shared" ca="1" si="1"/>
        <v>1/2" - 24"</v>
      </c>
      <c r="D50" s="32" t="str">
        <f t="shared" ca="1" si="2"/>
        <v>Gate valve, Outside Screw and Yoke</v>
      </c>
      <c r="E50" s="38" t="str">
        <f t="shared" ca="1" si="3"/>
        <v>Flanged ASME B16.5 RTJ / Compact Flange / Hub Connector (As per PMS)</v>
      </c>
      <c r="F50" s="32" t="str">
        <f t="shared" ca="1" si="4"/>
        <v>Forged - ASTM A182 F60</v>
      </c>
      <c r="G50" s="32" t="str">
        <f t="shared" ca="1" si="5"/>
        <v>Forged - ASTM A182 F60, Stellite Hard Faced</v>
      </c>
      <c r="H50" s="32" t="str">
        <f t="shared" ca="1" si="6"/>
        <v>F20N</v>
      </c>
      <c r="I50" s="18">
        <v>367</v>
      </c>
      <c r="J50" t="s">
        <v>438</v>
      </c>
      <c r="M50" s="52">
        <v>48</v>
      </c>
      <c r="N50" s="32" t="s">
        <v>170</v>
      </c>
      <c r="O50" s="32" t="s">
        <v>347</v>
      </c>
      <c r="P50" s="32">
        <v>2.2999999999999998</v>
      </c>
      <c r="Q50" s="32" t="s">
        <v>399</v>
      </c>
      <c r="R50" s="32" t="s">
        <v>85</v>
      </c>
      <c r="S50" s="54" t="s">
        <v>166</v>
      </c>
      <c r="T50" s="32" t="s">
        <v>395</v>
      </c>
      <c r="U50" s="32" t="s">
        <v>396</v>
      </c>
      <c r="V50" s="53">
        <v>70</v>
      </c>
      <c r="W50" t="str">
        <f t="shared" si="0"/>
        <v>206.8 @ -100°C' 145.8 @ 200°C</v>
      </c>
    </row>
    <row r="51" spans="1:23" ht="30" x14ac:dyDescent="0.25">
      <c r="A51" s="19">
        <v>48</v>
      </c>
      <c r="B51" s="41" t="s">
        <v>239</v>
      </c>
      <c r="C51" s="32" t="str">
        <f t="shared" ca="1" si="1"/>
        <v>1/2" - 24"</v>
      </c>
      <c r="D51" s="32" t="str">
        <f t="shared" ca="1" si="2"/>
        <v>Gate valve, Outside Screw and Yoke</v>
      </c>
      <c r="E51" s="38" t="str">
        <f t="shared" ca="1" si="3"/>
        <v>Flanged ASME B16.5 RTJ / Compact Flange / Hub Connector (As per PMS)</v>
      </c>
      <c r="F51" s="32" t="str">
        <f t="shared" ca="1" si="4"/>
        <v>Forged - ASTM A182 F60</v>
      </c>
      <c r="G51" s="32" t="str">
        <f t="shared" ca="1" si="5"/>
        <v>Forged - ASTM A182 F60, Stellite Hard Faced</v>
      </c>
      <c r="H51" s="32" t="str">
        <f t="shared" ca="1" si="6"/>
        <v>G20N</v>
      </c>
      <c r="I51" s="18">
        <v>368</v>
      </c>
      <c r="J51" t="s">
        <v>438</v>
      </c>
      <c r="M51" s="52">
        <v>49</v>
      </c>
      <c r="N51" s="32" t="s">
        <v>171</v>
      </c>
      <c r="O51" s="32" t="s">
        <v>350</v>
      </c>
      <c r="P51" s="32">
        <v>2.2999999999999998</v>
      </c>
      <c r="Q51" s="32" t="s">
        <v>399</v>
      </c>
      <c r="R51" s="32" t="s">
        <v>85</v>
      </c>
      <c r="S51" s="54" t="s">
        <v>166</v>
      </c>
      <c r="T51" s="32" t="s">
        <v>397</v>
      </c>
      <c r="U51" s="32" t="s">
        <v>398</v>
      </c>
      <c r="V51" s="53">
        <v>71</v>
      </c>
      <c r="W51" t="str">
        <f t="shared" si="0"/>
        <v>344.7 @ -100°C' 243 @ 200°C</v>
      </c>
    </row>
    <row r="52" spans="1:23" x14ac:dyDescent="0.25">
      <c r="A52" s="19">
        <v>55</v>
      </c>
      <c r="B52" s="41" t="s">
        <v>295</v>
      </c>
      <c r="C52" s="32" t="str">
        <f ca="1">VLOOKUP($C$1,INDIRECT(""&amp;B52&amp;"!$A$5:$C$15"),3,FALSE)</f>
        <v>1/2" - 24"</v>
      </c>
      <c r="D52" s="32" t="str">
        <f ca="1">VLOOKUP($D$1,INDIRECT(""&amp;B52&amp;"!$A$5:$C$15"),3,FALSE)</f>
        <v>Gate valve, Outside Screw and Yoke</v>
      </c>
      <c r="E52" s="38" t="str">
        <f ca="1">VLOOKUP($E$1,INDIRECT(""&amp;B52&amp;"!$A$5:$C$15"),3,FALSE)</f>
        <v>Flanged ASME B16.5 RF</v>
      </c>
      <c r="F52" s="32" t="str">
        <f ca="1">VLOOKUP($F$1,INDIRECT(""&amp;B52&amp;"!$B$5:$C$35"),2,FALSE)</f>
        <v>Forged - ASTM A182 F53</v>
      </c>
      <c r="G52" s="32" t="str">
        <f ca="1">VLOOKUP($G$1,INDIRECT(""&amp;B52&amp;"!$B$5:$C$35"),2,FALSE)</f>
        <v>Forged - ASTM A182 F53, Stellite Hard Faced</v>
      </c>
      <c r="H52" s="32" t="str">
        <f ca="1">VLOOKUP($H$1,INDIRECT(""&amp;B52&amp;"!$A$5:$C$15"),3,FALSE)</f>
        <v>A25</v>
      </c>
      <c r="I52" s="18">
        <v>369</v>
      </c>
      <c r="J52" t="s">
        <v>438</v>
      </c>
      <c r="M52" s="52">
        <v>50</v>
      </c>
      <c r="N52" s="32" t="s">
        <v>172</v>
      </c>
      <c r="O52" s="32" t="s">
        <v>331</v>
      </c>
      <c r="P52" s="32">
        <v>2.8</v>
      </c>
      <c r="Q52" s="32" t="s">
        <v>400</v>
      </c>
      <c r="R52" s="32" t="s">
        <v>85</v>
      </c>
      <c r="S52" s="38" t="s">
        <v>155</v>
      </c>
      <c r="T52" s="32" t="s">
        <v>401</v>
      </c>
      <c r="U52" s="32" t="s">
        <v>335</v>
      </c>
      <c r="V52" s="53">
        <v>72</v>
      </c>
      <c r="W52" t="str">
        <f t="shared" si="0"/>
        <v>20 @ -46°C' 13.8 @ 200°C</v>
      </c>
    </row>
    <row r="53" spans="1:23" ht="30" x14ac:dyDescent="0.25">
      <c r="A53" s="19">
        <v>56</v>
      </c>
      <c r="B53" s="41" t="s">
        <v>297</v>
      </c>
      <c r="C53" s="32" t="str">
        <f ca="1">VLOOKUP($C$1,INDIRECT(""&amp;B53&amp;"!$A$5:$C$15"),3,FALSE)</f>
        <v>1/2" - 24"</v>
      </c>
      <c r="D53" s="32" t="str">
        <f ca="1">VLOOKUP($D$1,INDIRECT(""&amp;B53&amp;"!$A$5:$C$15"),3,FALSE)</f>
        <v>Gate valve, Outside Screw and Yoke</v>
      </c>
      <c r="E53" s="38" t="str">
        <f ca="1">VLOOKUP($E$1,INDIRECT(""&amp;B53&amp;"!$A$5:$C$15"),3,FALSE)</f>
        <v>Flanged ASME B16.5 RTJ / Compact Flange / Hub Connector (As per PMS)</v>
      </c>
      <c r="F53" s="32" t="str">
        <f ca="1">VLOOKUP($F$1,INDIRECT(""&amp;B53&amp;"!$B$5:$C$35"),2,FALSE)</f>
        <v>Forged - ASTM A182 F53</v>
      </c>
      <c r="G53" s="32" t="str">
        <f ca="1">VLOOKUP($G$1,INDIRECT(""&amp;B53&amp;"!$B$5:$C$35"),2,FALSE)</f>
        <v>Forged - ASTM A182 F53, Stellite Hard Faced</v>
      </c>
      <c r="H53" s="32" t="str">
        <f ca="1">VLOOKUP($H$1,INDIRECT(""&amp;B53&amp;"!$A$5:$C$15"),3,FALSE)</f>
        <v>G25</v>
      </c>
      <c r="I53" s="18">
        <v>370</v>
      </c>
      <c r="J53" t="s">
        <v>438</v>
      </c>
      <c r="M53" s="52">
        <v>51</v>
      </c>
      <c r="N53" s="32" t="s">
        <v>173</v>
      </c>
      <c r="O53" s="32" t="s">
        <v>336</v>
      </c>
      <c r="P53" s="32">
        <v>2.8</v>
      </c>
      <c r="Q53" s="32" t="s">
        <v>400</v>
      </c>
      <c r="R53" s="32" t="s">
        <v>85</v>
      </c>
      <c r="S53" s="38" t="s">
        <v>155</v>
      </c>
      <c r="T53" s="32" t="s">
        <v>402</v>
      </c>
      <c r="U53" s="32" t="s">
        <v>403</v>
      </c>
      <c r="V53" s="53">
        <v>73</v>
      </c>
      <c r="W53" t="str">
        <f t="shared" si="0"/>
        <v>51.7 @ -46°C' 42.7 @ 200°C</v>
      </c>
    </row>
    <row r="54" spans="1:23" x14ac:dyDescent="0.25">
      <c r="A54" s="19">
        <v>49</v>
      </c>
      <c r="B54" s="41" t="s">
        <v>240</v>
      </c>
      <c r="C54" s="32" t="str">
        <f t="shared" ca="1" si="1"/>
        <v>1/2" - 24"</v>
      </c>
      <c r="D54" s="32" t="str">
        <f t="shared" ca="1" si="2"/>
        <v>Gate valve, Outside Screw and Yoke</v>
      </c>
      <c r="E54" s="38" t="str">
        <f t="shared" ca="1" si="3"/>
        <v>Flanged ASME B16.5 RF</v>
      </c>
      <c r="F54" s="32" t="str">
        <f t="shared" ca="1" si="4"/>
        <v>Forged - ASTM A182 F53</v>
      </c>
      <c r="G54" s="32" t="str">
        <f t="shared" ca="1" si="5"/>
        <v>Forged - ASTM A182 F53, Stellite Hard Faced</v>
      </c>
      <c r="H54" s="32" t="str">
        <f t="shared" ca="1" si="6"/>
        <v>A25N</v>
      </c>
      <c r="I54" s="18">
        <v>371</v>
      </c>
      <c r="J54" t="s">
        <v>438</v>
      </c>
      <c r="M54" s="52">
        <v>52</v>
      </c>
      <c r="N54" s="32" t="s">
        <v>174</v>
      </c>
      <c r="O54" s="32" t="s">
        <v>340</v>
      </c>
      <c r="P54" s="32">
        <v>2.8</v>
      </c>
      <c r="Q54" s="32" t="s">
        <v>400</v>
      </c>
      <c r="R54" s="32" t="s">
        <v>85</v>
      </c>
      <c r="S54" s="38" t="s">
        <v>155</v>
      </c>
      <c r="T54" s="32" t="s">
        <v>404</v>
      </c>
      <c r="U54" s="32" t="s">
        <v>405</v>
      </c>
      <c r="V54" s="53">
        <v>74</v>
      </c>
      <c r="W54" t="str">
        <f t="shared" si="0"/>
        <v>103.4 @ -46°C' 85.3 @ 200°C</v>
      </c>
    </row>
    <row r="55" spans="1:23" x14ac:dyDescent="0.25">
      <c r="A55" s="19">
        <v>50</v>
      </c>
      <c r="B55" s="41" t="s">
        <v>241</v>
      </c>
      <c r="C55" s="32" t="str">
        <f t="shared" ca="1" si="1"/>
        <v>1/2" - 24"</v>
      </c>
      <c r="D55" s="32" t="str">
        <f t="shared" ca="1" si="2"/>
        <v>Gate valve, Outside Screw and Yoke</v>
      </c>
      <c r="E55" s="38" t="str">
        <f t="shared" ca="1" si="3"/>
        <v>Flanged ASME B16.5 RF</v>
      </c>
      <c r="F55" s="32" t="str">
        <f t="shared" ca="1" si="4"/>
        <v>Forged - ASTM A182 F53</v>
      </c>
      <c r="G55" s="32" t="str">
        <f t="shared" ca="1" si="5"/>
        <v>Forged - ASTM A182 F53, Stellite Hard Faced</v>
      </c>
      <c r="H55" s="32" t="str">
        <f t="shared" ca="1" si="6"/>
        <v>B25N</v>
      </c>
      <c r="I55" s="18">
        <v>372</v>
      </c>
      <c r="J55" t="s">
        <v>438</v>
      </c>
      <c r="M55" s="52">
        <v>53</v>
      </c>
      <c r="N55" s="32" t="s">
        <v>175</v>
      </c>
      <c r="O55" s="32" t="s">
        <v>343</v>
      </c>
      <c r="P55" s="32">
        <v>2.8</v>
      </c>
      <c r="Q55" s="32" t="s">
        <v>400</v>
      </c>
      <c r="R55" s="32" t="s">
        <v>85</v>
      </c>
      <c r="S55" s="38" t="s">
        <v>155</v>
      </c>
      <c r="T55" s="32" t="s">
        <v>406</v>
      </c>
      <c r="U55" s="32" t="s">
        <v>407</v>
      </c>
      <c r="V55" s="53">
        <v>75</v>
      </c>
      <c r="W55" t="str">
        <f t="shared" si="0"/>
        <v>155.1 @ -46°C' 128 @ 200°C</v>
      </c>
    </row>
    <row r="56" spans="1:23" x14ac:dyDescent="0.25">
      <c r="A56" s="19">
        <v>51</v>
      </c>
      <c r="B56" s="41" t="s">
        <v>242</v>
      </c>
      <c r="C56" s="32" t="str">
        <f t="shared" ca="1" si="1"/>
        <v>1/2" - 24"</v>
      </c>
      <c r="D56" s="32" t="str">
        <f t="shared" ca="1" si="2"/>
        <v>Gate valve, Outside Screw and Yoke</v>
      </c>
      <c r="E56" s="38" t="str">
        <f t="shared" ca="1" si="3"/>
        <v>Flanged ASME B16.5 RF</v>
      </c>
      <c r="F56" s="32" t="str">
        <f t="shared" ca="1" si="4"/>
        <v>Forged - ASTM A182 F53</v>
      </c>
      <c r="G56" s="32" t="str">
        <f t="shared" ca="1" si="5"/>
        <v>Forged - ASTM A182 F53, Stellite Hard Faced</v>
      </c>
      <c r="H56" s="32" t="str">
        <f t="shared" ca="1" si="6"/>
        <v>D25N</v>
      </c>
      <c r="I56" s="18">
        <v>373</v>
      </c>
      <c r="J56" t="s">
        <v>438</v>
      </c>
      <c r="M56" s="52">
        <v>54</v>
      </c>
      <c r="N56" s="32" t="s">
        <v>176</v>
      </c>
      <c r="O56" s="32" t="s">
        <v>347</v>
      </c>
      <c r="P56" s="32">
        <v>2.8</v>
      </c>
      <c r="Q56" s="32" t="s">
        <v>400</v>
      </c>
      <c r="R56" s="32" t="s">
        <v>85</v>
      </c>
      <c r="S56" s="38" t="s">
        <v>155</v>
      </c>
      <c r="T56" s="32" t="s">
        <v>408</v>
      </c>
      <c r="U56" s="32" t="s">
        <v>409</v>
      </c>
      <c r="V56" s="53">
        <v>76</v>
      </c>
      <c r="W56" t="str">
        <f t="shared" si="0"/>
        <v>258.6 @ -46°C' 213.3 @ 200°C</v>
      </c>
    </row>
    <row r="57" spans="1:23" x14ac:dyDescent="0.25">
      <c r="A57" s="19">
        <v>52</v>
      </c>
      <c r="B57" s="41" t="s">
        <v>249</v>
      </c>
      <c r="C57" s="32" t="str">
        <f t="shared" ca="1" si="1"/>
        <v>1/2" - 24"</v>
      </c>
      <c r="D57" s="32" t="str">
        <f t="shared" ca="1" si="2"/>
        <v>Gate valve, Outside Screw and Yoke</v>
      </c>
      <c r="E57" s="38" t="str">
        <f t="shared" ca="1" si="3"/>
        <v>Flanged ASME B16.5 RTJ</v>
      </c>
      <c r="F57" s="32" t="str">
        <f t="shared" ca="1" si="4"/>
        <v>Forged - ASTM A182 F53</v>
      </c>
      <c r="G57" s="32" t="str">
        <f t="shared" ca="1" si="5"/>
        <v>Forged - ASTM A182 F53, Stellite Hard Faced</v>
      </c>
      <c r="H57" s="32" t="str">
        <f t="shared" ca="1" si="6"/>
        <v>E25N</v>
      </c>
      <c r="I57" s="18">
        <v>374</v>
      </c>
      <c r="J57" t="s">
        <v>438</v>
      </c>
      <c r="M57" s="52">
        <v>55</v>
      </c>
      <c r="N57" s="32" t="s">
        <v>177</v>
      </c>
      <c r="O57" s="32" t="s">
        <v>350</v>
      </c>
      <c r="P57" s="32">
        <v>2.8</v>
      </c>
      <c r="Q57" s="32" t="s">
        <v>400</v>
      </c>
      <c r="R57" s="32" t="s">
        <v>85</v>
      </c>
      <c r="S57" s="38" t="s">
        <v>155</v>
      </c>
      <c r="T57" s="32" t="s">
        <v>410</v>
      </c>
      <c r="U57" s="32" t="s">
        <v>411</v>
      </c>
      <c r="V57" s="53">
        <v>77</v>
      </c>
      <c r="W57" t="str">
        <f t="shared" si="0"/>
        <v>430.9 @ -46°C' 355.4 @ 200°C</v>
      </c>
    </row>
    <row r="58" spans="1:23" ht="30" x14ac:dyDescent="0.25">
      <c r="A58" s="19">
        <v>53</v>
      </c>
      <c r="B58" s="41" t="s">
        <v>250</v>
      </c>
      <c r="C58" s="32" t="str">
        <f t="shared" ca="1" si="1"/>
        <v>1/2" - 24"</v>
      </c>
      <c r="D58" s="32" t="str">
        <f t="shared" ca="1" si="2"/>
        <v>Gate valve, Outside Screw and Yoke</v>
      </c>
      <c r="E58" s="38" t="str">
        <f t="shared" ca="1" si="3"/>
        <v>Flanged ASME B16.5 RTJ / Compact Flange / Hub Connector (As per PMS)</v>
      </c>
      <c r="F58" s="32" t="str">
        <f t="shared" ca="1" si="4"/>
        <v>Forged - ASTM A182 F53</v>
      </c>
      <c r="G58" s="32" t="str">
        <f t="shared" ca="1" si="5"/>
        <v>Forged - ASTM A182 F53, Stellite Hard Faced</v>
      </c>
      <c r="H58" s="32" t="str">
        <f t="shared" ca="1" si="6"/>
        <v>F25N</v>
      </c>
      <c r="I58" s="18">
        <v>375</v>
      </c>
      <c r="J58" t="s">
        <v>438</v>
      </c>
      <c r="M58" s="52">
        <v>56</v>
      </c>
      <c r="N58" s="32" t="s">
        <v>296</v>
      </c>
      <c r="O58" s="32" t="s">
        <v>331</v>
      </c>
      <c r="P58" s="32">
        <v>2.8</v>
      </c>
      <c r="Q58" s="32" t="s">
        <v>412</v>
      </c>
      <c r="R58" s="32" t="s">
        <v>85</v>
      </c>
      <c r="S58" s="38" t="s">
        <v>413</v>
      </c>
      <c r="T58" s="32" t="s">
        <v>401</v>
      </c>
      <c r="U58" s="32" t="s">
        <v>335</v>
      </c>
      <c r="V58" s="53">
        <v>78</v>
      </c>
      <c r="W58" t="str">
        <f t="shared" si="0"/>
        <v>20 @ -46°C' 13.8 @ 200°C</v>
      </c>
    </row>
    <row r="59" spans="1:23" ht="30" x14ac:dyDescent="0.25">
      <c r="A59" s="19">
        <v>54</v>
      </c>
      <c r="B59" s="41" t="s">
        <v>251</v>
      </c>
      <c r="C59" s="32" t="str">
        <f t="shared" ca="1" si="1"/>
        <v>1/2" - 24"</v>
      </c>
      <c r="D59" s="32" t="str">
        <f t="shared" ca="1" si="2"/>
        <v>Gate valve, Outside Screw and Yoke</v>
      </c>
      <c r="E59" s="38" t="str">
        <f t="shared" ca="1" si="3"/>
        <v>Flanged ASME B16.5 RTJ / Compact Flange / Hub Connector (As per PMS)</v>
      </c>
      <c r="F59" s="32" t="str">
        <f t="shared" ca="1" si="4"/>
        <v>Forged - ASTM A182 F53</v>
      </c>
      <c r="G59" s="32" t="str">
        <f t="shared" ca="1" si="5"/>
        <v>Forged - ASTM A182 F53, Stellite Hard Faced</v>
      </c>
      <c r="H59" s="32" t="str">
        <f t="shared" ca="1" si="6"/>
        <v>G25N</v>
      </c>
      <c r="I59" s="18">
        <v>376</v>
      </c>
      <c r="J59" t="s">
        <v>438</v>
      </c>
      <c r="M59" s="52">
        <v>62</v>
      </c>
      <c r="N59" s="32" t="s">
        <v>314</v>
      </c>
      <c r="O59" s="32" t="s">
        <v>350</v>
      </c>
      <c r="P59" s="32">
        <v>2.8</v>
      </c>
      <c r="Q59" s="32" t="s">
        <v>412</v>
      </c>
      <c r="R59" s="32" t="s">
        <v>85</v>
      </c>
      <c r="S59" s="38" t="s">
        <v>414</v>
      </c>
      <c r="T59" s="32" t="s">
        <v>410</v>
      </c>
      <c r="U59" s="32" t="s">
        <v>411</v>
      </c>
      <c r="V59" s="53">
        <v>79</v>
      </c>
      <c r="W59" t="str">
        <f t="shared" si="0"/>
        <v>430.9 @ -46°C' 355.4 @ 200°C</v>
      </c>
    </row>
    <row r="60" spans="1:23" x14ac:dyDescent="0.25">
      <c r="A60" s="19">
        <v>57</v>
      </c>
      <c r="B60" s="41" t="s">
        <v>299</v>
      </c>
      <c r="C60" s="32" t="str">
        <f t="shared" ca="1" si="1"/>
        <v>1/2" - 24"</v>
      </c>
      <c r="D60" s="32" t="str">
        <f t="shared" ca="1" si="2"/>
        <v>Gate valve, Outside Screw and Yoke</v>
      </c>
      <c r="E60" s="38" t="str">
        <f t="shared" ca="1" si="3"/>
        <v>Flanged ASME B16.5 FF</v>
      </c>
      <c r="F60" s="32" t="str">
        <f t="shared" ca="1" si="4"/>
        <v>Monel K500</v>
      </c>
      <c r="G60" s="32" t="str">
        <f t="shared" ca="1" si="5"/>
        <v>Monel K500, hard faced</v>
      </c>
      <c r="H60" s="32" t="str">
        <f t="shared" ca="1" si="6"/>
        <v>A30, A40, A41, A42</v>
      </c>
      <c r="I60" s="18">
        <v>377</v>
      </c>
      <c r="J60" t="s">
        <v>438</v>
      </c>
      <c r="M60" s="52">
        <v>57</v>
      </c>
      <c r="N60" s="32" t="s">
        <v>4</v>
      </c>
      <c r="O60" s="32" t="s">
        <v>331</v>
      </c>
      <c r="P60" s="32">
        <v>2.8</v>
      </c>
      <c r="Q60" s="32" t="s">
        <v>415</v>
      </c>
      <c r="R60" s="32" t="s">
        <v>85</v>
      </c>
      <c r="S60" s="38" t="s">
        <v>155</v>
      </c>
      <c r="T60" s="32" t="s">
        <v>401</v>
      </c>
      <c r="U60" s="32" t="s">
        <v>335</v>
      </c>
      <c r="V60" s="53">
        <v>80</v>
      </c>
      <c r="W60" t="str">
        <f t="shared" si="0"/>
        <v>20 @ -46°C' 13.8 @ 200°C</v>
      </c>
    </row>
    <row r="61" spans="1:23" ht="30.75" thickBot="1" x14ac:dyDescent="0.3">
      <c r="A61" s="23">
        <v>58</v>
      </c>
      <c r="B61" s="42" t="s">
        <v>301</v>
      </c>
      <c r="C61" s="33" t="str">
        <f t="shared" ca="1" si="1"/>
        <v>1/2" - 4"</v>
      </c>
      <c r="D61" s="33" t="str">
        <f t="shared" ca="1" si="2"/>
        <v>Gate valve, Outside Screw and Yoke</v>
      </c>
      <c r="E61" s="39" t="str">
        <f t="shared" ca="1" si="3"/>
        <v>Brazed with 100mm Nipples on both sides (for 1 1/2" and below) / Flanged ASME B16.5 FF (for 2" and above)</v>
      </c>
      <c r="F61" s="33" t="str">
        <f t="shared" ca="1" si="4"/>
        <v>ASTM B124 UNS NO C 37700</v>
      </c>
      <c r="G61" s="33" t="str">
        <f t="shared" ca="1" si="5"/>
        <v>Forged - ASTM B124 UNS NO C 37700, hard faced</v>
      </c>
      <c r="H61" s="33" t="str">
        <f t="shared" ca="1" si="6"/>
        <v>A31</v>
      </c>
      <c r="I61" s="34">
        <v>378</v>
      </c>
      <c r="J61" t="s">
        <v>438</v>
      </c>
      <c r="M61" s="52">
        <v>58</v>
      </c>
      <c r="N61" s="32" t="s">
        <v>24</v>
      </c>
      <c r="O61" s="32" t="s">
        <v>336</v>
      </c>
      <c r="P61" s="32">
        <v>2.8</v>
      </c>
      <c r="Q61" s="32" t="s">
        <v>415</v>
      </c>
      <c r="R61" s="32" t="s">
        <v>85</v>
      </c>
      <c r="S61" s="38" t="s">
        <v>155</v>
      </c>
      <c r="T61" s="32" t="s">
        <v>402</v>
      </c>
      <c r="U61" s="32" t="s">
        <v>403</v>
      </c>
      <c r="V61" s="53">
        <v>81</v>
      </c>
      <c r="W61" t="str">
        <f t="shared" si="0"/>
        <v>51.7 @ -46°C' 42.7 @ 200°C</v>
      </c>
    </row>
    <row r="62" spans="1:23" x14ac:dyDescent="0.25">
      <c r="M62" s="52">
        <v>59</v>
      </c>
      <c r="N62" s="32" t="s">
        <v>25</v>
      </c>
      <c r="O62" s="32" t="s">
        <v>340</v>
      </c>
      <c r="P62" s="32">
        <v>2.8</v>
      </c>
      <c r="Q62" s="32" t="s">
        <v>415</v>
      </c>
      <c r="R62" s="32" t="s">
        <v>85</v>
      </c>
      <c r="S62" s="38" t="s">
        <v>155</v>
      </c>
      <c r="T62" s="32" t="s">
        <v>404</v>
      </c>
      <c r="U62" s="32" t="s">
        <v>405</v>
      </c>
      <c r="V62" s="53">
        <v>82</v>
      </c>
      <c r="W62" t="str">
        <f t="shared" si="0"/>
        <v>103.4 @ -46°C' 85.3 @ 200°C</v>
      </c>
    </row>
    <row r="63" spans="1:23" x14ac:dyDescent="0.25">
      <c r="M63" s="52">
        <v>60</v>
      </c>
      <c r="N63" s="32" t="s">
        <v>178</v>
      </c>
      <c r="O63" s="32" t="s">
        <v>343</v>
      </c>
      <c r="P63" s="32">
        <v>2.8</v>
      </c>
      <c r="Q63" s="55" t="s">
        <v>415</v>
      </c>
      <c r="R63" s="32" t="s">
        <v>85</v>
      </c>
      <c r="S63" s="38" t="s">
        <v>155</v>
      </c>
      <c r="T63" s="32" t="s">
        <v>406</v>
      </c>
      <c r="U63" s="32" t="s">
        <v>407</v>
      </c>
      <c r="V63" s="53">
        <v>83</v>
      </c>
      <c r="W63" t="str">
        <f t="shared" si="0"/>
        <v>155.1 @ -46°C' 128 @ 200°C</v>
      </c>
    </row>
    <row r="64" spans="1:23" x14ac:dyDescent="0.25">
      <c r="M64" s="52">
        <v>61</v>
      </c>
      <c r="N64" s="32" t="s">
        <v>179</v>
      </c>
      <c r="O64" s="32" t="s">
        <v>347</v>
      </c>
      <c r="P64" s="32">
        <v>2.8</v>
      </c>
      <c r="Q64" s="32" t="s">
        <v>415</v>
      </c>
      <c r="R64" s="32" t="s">
        <v>85</v>
      </c>
      <c r="S64" s="38" t="s">
        <v>155</v>
      </c>
      <c r="T64" s="32" t="s">
        <v>408</v>
      </c>
      <c r="U64" s="32" t="s">
        <v>409</v>
      </c>
      <c r="V64" s="53">
        <v>84</v>
      </c>
      <c r="W64" t="str">
        <f t="shared" si="0"/>
        <v>258.6 @ -46°C' 213.3 @ 200°C</v>
      </c>
    </row>
    <row r="65" spans="13:23" x14ac:dyDescent="0.25">
      <c r="M65" s="52">
        <v>62</v>
      </c>
      <c r="N65" s="32" t="s">
        <v>180</v>
      </c>
      <c r="O65" s="32" t="s">
        <v>350</v>
      </c>
      <c r="P65" s="32">
        <v>2.8</v>
      </c>
      <c r="Q65" s="32" t="s">
        <v>415</v>
      </c>
      <c r="R65" s="32" t="s">
        <v>85</v>
      </c>
      <c r="S65" s="38" t="s">
        <v>155</v>
      </c>
      <c r="T65" s="32" t="s">
        <v>410</v>
      </c>
      <c r="U65" s="32" t="s">
        <v>411</v>
      </c>
      <c r="V65" s="53">
        <v>85</v>
      </c>
      <c r="W65" t="str">
        <f t="shared" si="0"/>
        <v>430.9 @ -46°C' 355.4 @ 200°C</v>
      </c>
    </row>
    <row r="66" spans="13:23" x14ac:dyDescent="0.25">
      <c r="M66" s="52">
        <v>63</v>
      </c>
      <c r="N66" s="32" t="s">
        <v>300</v>
      </c>
      <c r="O66" s="32" t="s">
        <v>416</v>
      </c>
      <c r="P66" s="32" t="s">
        <v>34</v>
      </c>
      <c r="Q66" s="32" t="s">
        <v>417</v>
      </c>
      <c r="R66" s="32" t="s">
        <v>85</v>
      </c>
      <c r="S66" s="38" t="s">
        <v>418</v>
      </c>
      <c r="T66" s="32" t="s">
        <v>419</v>
      </c>
      <c r="U66" s="32" t="s">
        <v>420</v>
      </c>
      <c r="V66" s="53">
        <v>86</v>
      </c>
      <c r="W66" t="str">
        <f t="shared" si="0"/>
        <v>20 @ 0°C' 17.3 @ 100°C</v>
      </c>
    </row>
    <row r="67" spans="13:23" x14ac:dyDescent="0.25">
      <c r="M67" s="52">
        <v>64</v>
      </c>
      <c r="N67" s="32" t="s">
        <v>302</v>
      </c>
      <c r="O67" s="32" t="s">
        <v>331</v>
      </c>
      <c r="P67" s="32" t="s">
        <v>34</v>
      </c>
      <c r="Q67" s="32" t="s">
        <v>421</v>
      </c>
      <c r="R67" s="32" t="s">
        <v>85</v>
      </c>
      <c r="S67" s="38" t="s">
        <v>422</v>
      </c>
      <c r="T67" s="32" t="s">
        <v>419</v>
      </c>
      <c r="U67" s="32" t="s">
        <v>420</v>
      </c>
      <c r="V67" s="53">
        <v>87</v>
      </c>
      <c r="W67" t="str">
        <f t="shared" si="0"/>
        <v>20 @ 0°C' 17.3 @ 100°C</v>
      </c>
    </row>
    <row r="68" spans="13:23" x14ac:dyDescent="0.25">
      <c r="M68" s="52">
        <v>65</v>
      </c>
      <c r="N68" s="32" t="s">
        <v>423</v>
      </c>
      <c r="O68" s="32" t="s">
        <v>331</v>
      </c>
      <c r="P68" s="32" t="s">
        <v>34</v>
      </c>
      <c r="Q68" s="32" t="s">
        <v>424</v>
      </c>
      <c r="R68" s="32" t="s">
        <v>85</v>
      </c>
      <c r="S68" s="38" t="s">
        <v>425</v>
      </c>
      <c r="T68" s="32" t="s">
        <v>419</v>
      </c>
      <c r="U68" s="32" t="s">
        <v>426</v>
      </c>
      <c r="V68" s="53">
        <v>88</v>
      </c>
      <c r="W68" t="str">
        <f t="shared" ref="W68:W70" si="7">T68&amp;"' "&amp;U68</f>
        <v>20 @ 0°C' 20 @ 90°C</v>
      </c>
    </row>
    <row r="69" spans="13:23" x14ac:dyDescent="0.25">
      <c r="M69" s="52">
        <v>65</v>
      </c>
      <c r="N69" s="32" t="s">
        <v>427</v>
      </c>
      <c r="O69" s="32" t="s">
        <v>331</v>
      </c>
      <c r="P69" s="32" t="s">
        <v>34</v>
      </c>
      <c r="Q69" s="32" t="s">
        <v>424</v>
      </c>
      <c r="R69" s="32" t="s">
        <v>85</v>
      </c>
      <c r="S69" s="38" t="s">
        <v>428</v>
      </c>
      <c r="T69" s="32" t="s">
        <v>429</v>
      </c>
      <c r="U69" s="32" t="s">
        <v>430</v>
      </c>
      <c r="V69" s="53">
        <v>89</v>
      </c>
      <c r="W69" t="str">
        <f t="shared" si="7"/>
        <v>16.32 @ 0°C' 16.32 @ 82°C</v>
      </c>
    </row>
    <row r="70" spans="13:23" ht="15.75" thickBot="1" x14ac:dyDescent="0.3">
      <c r="M70" s="56">
        <v>66</v>
      </c>
      <c r="N70" s="33" t="s">
        <v>431</v>
      </c>
      <c r="O70" s="33" t="s">
        <v>331</v>
      </c>
      <c r="P70" s="33" t="s">
        <v>34</v>
      </c>
      <c r="Q70" s="33" t="s">
        <v>432</v>
      </c>
      <c r="R70" s="33" t="s">
        <v>85</v>
      </c>
      <c r="S70" s="39" t="s">
        <v>433</v>
      </c>
      <c r="T70" s="33" t="s">
        <v>419</v>
      </c>
      <c r="U70" s="33" t="s">
        <v>426</v>
      </c>
      <c r="V70" s="57">
        <v>90</v>
      </c>
      <c r="W70" t="str">
        <f t="shared" si="7"/>
        <v>20 @ 0°C' 20 @ 90°C</v>
      </c>
    </row>
    <row r="71" spans="13:23" x14ac:dyDescent="0.25">
      <c r="T71" s="59"/>
    </row>
    <row r="73" spans="13:23" x14ac:dyDescent="0.25">
      <c r="T73" s="43" t="str">
        <f>T66&amp;", "&amp;U66</f>
        <v>20 @ 0°C, 17.3 @ 100°C</v>
      </c>
    </row>
  </sheetData>
  <phoneticPr fontId="17" type="noConversion"/>
  <hyperlinks>
    <hyperlink ref="B4" location="'GAWA1R'!A1" display="GAWA1R" xr:uid="{14039D42-43E5-4897-B5C2-6F355057EED1}"/>
    <hyperlink ref="B5" location="'GAWB1R'!A1" display="GAWB1R" xr:uid="{9AE8CEB6-23F6-4967-B749-69F87DAF486B}"/>
    <hyperlink ref="B6" location="'GAWD1R'!A1" display="GAWD1R" xr:uid="{F112BE53-24EB-4466-BF1C-32A5C2024C36}"/>
    <hyperlink ref="B7" location="'GAWE1J'!A1" display="GAWE1J" xr:uid="{542D8CC1-BAD8-4FBA-97C6-C32F6F6FC81A}"/>
    <hyperlink ref="B8" location="'GAWF1J'!A1" display="GAWF1J" xr:uid="{BB652322-0819-491E-A800-921BA1FACBE7}"/>
    <hyperlink ref="B9" location="'GAWG1J'!A1" display="GAWG1J" xr:uid="{3588BDC8-89EF-4A43-AD29-DA541A814620}"/>
    <hyperlink ref="B10" location="'GAWA2NR'!A1" display="GAWA2NR" xr:uid="{D98CEC69-C8EF-431E-B314-1F90E63D7AB3}"/>
    <hyperlink ref="B11" location="'GAWB2NR'!A1" display="GAWB2NR" xr:uid="{495D9E0B-B088-4765-B98A-ABF524F55794}"/>
    <hyperlink ref="B12" location="'GAWD2NR'!A1" display="GAWD2NR" xr:uid="{8ECEA7B9-2079-490C-8A93-57AAC0D61DF9}"/>
    <hyperlink ref="B13" location="'GAWE2NJ'!A1" display="GAWE2NJ" xr:uid="{4F5EA361-DD9C-45AC-B277-A4C5737EA087}"/>
    <hyperlink ref="B14" location="'GAWF2NJ'!A1" display="GAWF2NJ" xr:uid="{F6864889-AACD-4A03-A19E-D8560B6E30FE}"/>
    <hyperlink ref="B15" location="'GAWG2NJ'!A1" display="GAWG2NJ" xr:uid="{0E7D095B-168E-47B8-BD38-D8FF2C27F842}"/>
    <hyperlink ref="B16" location="'GAWA1LNR'!A1" display="GAWA1LNR" xr:uid="{AE5C5C86-D19C-40F5-B605-4B7A585A67E8}"/>
    <hyperlink ref="B17" location="'GAWB1LNR'!A1" display="GAWB1LNR" xr:uid="{63B00B4F-9DC3-4B6E-B67B-8A862735E94A}"/>
    <hyperlink ref="B18" location="'GAWD1LNR'!A1" display="GAWD1LNR" xr:uid="{202494DE-9A3C-4650-8887-EA06CB1B79D5}"/>
    <hyperlink ref="B19" location="'GAWE1LNJ'!A1" display="GAWE1LNJ" xr:uid="{068C804A-5E4B-4F46-8DD0-87B63BCB7D39}"/>
    <hyperlink ref="B20" location="'GAWF1LNJ'!A1" display="GAWF1LNJ" xr:uid="{3BD2E50D-8EFD-4E0E-ADB5-ED84DCF512E4}"/>
    <hyperlink ref="B21" location="'GAWG1LNJ'!A1" display="GAWG1LNJ" xr:uid="{8596BCCC-AF6C-442D-8819-D086DCBEA375}"/>
    <hyperlink ref="B22" location="'GAWA1NR'!A1" display="GAWA1NR" xr:uid="{5580BED2-6303-4A43-8F2A-EB533EDEC055}"/>
    <hyperlink ref="B23" location="'GAWB1NR'!A1" display="GAWB1NR" xr:uid="{10256F24-3CBF-48AA-9A27-84AE3BFFB31F}"/>
    <hyperlink ref="B24" location="'GAWD1NR'!A1" display="GAWD1NR" xr:uid="{AC20E35C-D03D-423F-9A5C-C47F0CE772D1}"/>
    <hyperlink ref="B25" location="'GAWE1NJ'!A1" display="GAWE1NJ" xr:uid="{FBBCAE67-3AB7-4F3D-81F3-5043D5D1B367}"/>
    <hyperlink ref="B26" location="'GAWF1NJ'!A1" display="GAWF1NJ" xr:uid="{2FFCA5FD-A8FB-4F9B-8B07-0701C510365A}"/>
    <hyperlink ref="B27" location="'GAWG1NJ'!A1" display="GAWG1NJ" xr:uid="{4AC354B3-4E03-4B72-8BA1-6DE68316135D}"/>
    <hyperlink ref="B28" location="'GAWA2LNR'!A1" display="GAWA2LNR" xr:uid="{BA62A780-7DF5-4F0E-BE41-155B07EA60A3}"/>
    <hyperlink ref="B29" location="'GAWB2LNR'!A1" display="GAWB2LNR" xr:uid="{FF290F9F-649E-41E7-8033-A494BE9CF76A}"/>
    <hyperlink ref="B30" location="'GAWD2LNR'!A1" display="GAWD2LNR" xr:uid="{83CD0090-9D30-4C1B-80AE-A022A7E949DD}"/>
    <hyperlink ref="B31" location="'GAWE2LNJ'!A1" display="GAWE2LNJ" xr:uid="{D930F25C-C35A-4F21-8454-2239F50B9AC1}"/>
    <hyperlink ref="B32" location="'GAWF2LNJ'!A1" display="GAWF2LNJ" xr:uid="{C9ADF073-DC65-4539-9435-468D9D3B617A}"/>
    <hyperlink ref="B33" location="'GAWG2LNJ'!A1" display="GAWG2LNJ" xr:uid="{F2655092-4C8E-4467-BD94-718277341244}"/>
    <hyperlink ref="B34" location="'GAWA10R'!A1" display="GAWA10R" xr:uid="{5E3C988C-4DFF-4013-A386-5E5412A79ABD}"/>
    <hyperlink ref="B35" location="'GAWB10R'!A1" display="GAWB10R" xr:uid="{6BE77DE4-A4CD-4A9A-A973-4064B5BB0FCE}"/>
    <hyperlink ref="B36" location="'GAWD10R'!A1" display="GAWD10R" xr:uid="{B27334DC-4972-43F0-8BC4-4CB21340FDED}"/>
    <hyperlink ref="B37" location="'GAWE10J'!A1" display="GAWE10J" xr:uid="{D0E59168-1369-442A-AE96-50F2DAF94EDE}"/>
    <hyperlink ref="B38" location="'GAWF10J'!A1" display="GAWF10J" xr:uid="{925EBEEE-5390-4B29-A298-B6FFFC77B47A}"/>
    <hyperlink ref="B39" location="'GAWG10J'!A1" display="GAWG10J" xr:uid="{EAABD368-83CF-4FF3-8C4B-F56E6863EF66}"/>
    <hyperlink ref="B40" location="'GAWA10NR'!A1" display="GAWA10NR" xr:uid="{E35CFA9B-60A1-4523-83E2-2D0600C407C9}"/>
    <hyperlink ref="B41" location="'GAWB10NR'!A1" display="GAWB10NR" xr:uid="{BD7B5759-62AF-4070-A644-0CA4EFDBF808}"/>
    <hyperlink ref="B42" location="'GAWD10NR'!A1" display="GAWD10NR" xr:uid="{C7D96FCA-9F30-4F85-A300-FA3174A6257A}"/>
    <hyperlink ref="B43" location="'GAWE10NJ'!A1" display="GAWE10NJ" xr:uid="{F9E79C62-0818-435B-A584-C9DE5ACFED99}"/>
    <hyperlink ref="B44" location="'GAWF10NJ'!A1" display="GAWF10NJ" xr:uid="{E8782F95-2B80-45A9-943A-8417A0CA5040}"/>
    <hyperlink ref="B45" location="'GAWG10NJ'!A1" display="GAWG10NJ" xr:uid="{7053E877-13B8-45BE-822F-D2B07A712B36}"/>
    <hyperlink ref="B46" location="'GAWA20NR'!A1" display="GAWA20NR" xr:uid="{5DB2D400-4525-42D2-B121-1D279A1D104D}"/>
    <hyperlink ref="B47" location="'GAWB20NR'!A1" display="GAWB20NR" xr:uid="{BF2442DB-56EE-43F3-889F-C8712806BF3D}"/>
    <hyperlink ref="B48" location="'GAWD20NR'!A1" display="GAWD20NR" xr:uid="{2915AA4E-30B6-4215-85E5-01285EC8E44D}"/>
    <hyperlink ref="B49" location="'GAWE20NJ'!A1" display="GAWE20NJ" xr:uid="{0A9897F3-54D7-4071-A2BD-C7490BB04DE8}"/>
    <hyperlink ref="B50" location="'GAWF20NJ'!A1" display="GAWF20NJ" xr:uid="{4306331F-D99B-4F3B-9ED3-8372506A05D9}"/>
    <hyperlink ref="B51" location="'GAWG20NJ'!A1" display="GAWG20NJ" xr:uid="{B9570912-8D3C-4CDA-87DF-2E56853AE530}"/>
    <hyperlink ref="B54" location="'GAWA25NR'!A1" display="GAWA25NR" xr:uid="{F71D3054-ACA2-4404-B73B-F29C352A3D9D}"/>
    <hyperlink ref="B55" location="'GAWB25NR'!A1" display="GAWB25NR" xr:uid="{DBE22A31-DD03-42EE-B2CA-223002172BCD}"/>
    <hyperlink ref="B56" location="'GAWD25NR'!A1" display="GAWD25NR" xr:uid="{5A724D3C-6080-4731-B805-4839020789CD}"/>
    <hyperlink ref="B57" location="'GAWE25NR'!A1" display="GAWE25NR" xr:uid="{5A9CD949-9658-46EB-8683-68C1F14161FA}"/>
    <hyperlink ref="B58" location="'GAWF25NR'!A1" display="GAWF25NR" xr:uid="{E8D1F762-157F-42BC-B0FF-2A1DF07626AA}"/>
    <hyperlink ref="B59" location="'GAWG25NR'!A1" display="GAWG25NR" xr:uid="{B7651ADE-9752-43ED-97C2-7367A502840B}"/>
    <hyperlink ref="B52" location="'GAWA25R'!A1" display="GAWA25R" xr:uid="{4ED625DE-14CA-4299-B382-79459C0CE582}"/>
    <hyperlink ref="B53" location="'GAWG25R'!A1" display="GAWG25R" xr:uid="{FA2A2E61-0D85-4F45-9611-80863CAA8774}"/>
    <hyperlink ref="B60" location="'GAWA30F'!A1" display="GAWA30F" xr:uid="{6D9641CD-B440-47A9-9590-7A8580421BE5}"/>
    <hyperlink ref="B61" location="'GAWA31F'!A1" display="GAWA31F" xr:uid="{23BF8E2F-7145-422E-83B3-F3350B8670F3}"/>
  </hyperlinks>
  <pageMargins left="0.70866141732283472" right="0.70866141732283472" top="0.74803149606299213" bottom="0.74803149606299213" header="0.31496062992125984" footer="0.31496062992125984"/>
  <pageSetup paperSize="9" scale="52" fitToHeight="0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F8F699-C7CD-460C-AC8A-821E017F7A9F}">
  <sheetPr codeName="Sheet9">
    <tabColor theme="4" tint="-0.249977111117893"/>
    <pageSetUpPr fitToPage="1"/>
  </sheetPr>
  <dimension ref="A1:E55"/>
  <sheetViews>
    <sheetView zoomScaleNormal="100" workbookViewId="0">
      <selection activeCell="M17" sqref="M17"/>
    </sheetView>
  </sheetViews>
  <sheetFormatPr defaultColWidth="8.85546875" defaultRowHeight="12" x14ac:dyDescent="0.2"/>
  <cols>
    <col min="1" max="1" width="12.5703125" style="1" customWidth="1"/>
    <col min="2" max="2" width="13.42578125" style="1" bestFit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4" customFormat="1" ht="30" customHeight="1" x14ac:dyDescent="0.25">
      <c r="A1" s="77" t="e" vm="1">
        <v>#VALUE!</v>
      </c>
      <c r="B1" s="78"/>
      <c r="C1" s="83" t="s">
        <v>112</v>
      </c>
      <c r="D1" s="13" t="s">
        <v>110</v>
      </c>
      <c r="E1" s="13" t="s">
        <v>435</v>
      </c>
    </row>
    <row r="2" spans="1:5" s="14" customFormat="1" ht="30" customHeight="1" x14ac:dyDescent="0.25">
      <c r="A2" s="79"/>
      <c r="B2" s="80"/>
      <c r="C2" s="84"/>
      <c r="D2" s="15" t="s">
        <v>109</v>
      </c>
      <c r="E2" s="16" t="str">
        <f>VLOOKUP(C4,Index!B:J,9,FALSE)</f>
        <v>C0</v>
      </c>
    </row>
    <row r="3" spans="1:5" s="14" customFormat="1" ht="30" customHeight="1" x14ac:dyDescent="0.25">
      <c r="A3" s="81"/>
      <c r="B3" s="82"/>
      <c r="C3" s="85"/>
      <c r="D3" s="15" t="s">
        <v>111</v>
      </c>
      <c r="E3" s="17">
        <f>VLOOKUP(C4,Index!B:I,8,FALSE)</f>
        <v>321</v>
      </c>
    </row>
    <row r="4" spans="1:5" x14ac:dyDescent="0.2">
      <c r="A4" s="86" t="s">
        <v>74</v>
      </c>
      <c r="B4" s="86"/>
      <c r="C4" s="2" t="s">
        <v>196</v>
      </c>
      <c r="D4" s="86" t="s">
        <v>55</v>
      </c>
      <c r="E4" s="86"/>
    </row>
    <row r="5" spans="1:5" x14ac:dyDescent="0.2">
      <c r="A5" s="69" t="s">
        <v>26</v>
      </c>
      <c r="B5" s="69"/>
      <c r="C5" s="3" t="s">
        <v>0</v>
      </c>
      <c r="D5" s="69"/>
      <c r="E5" s="69"/>
    </row>
    <row r="6" spans="1:5" x14ac:dyDescent="0.2">
      <c r="A6" s="69" t="s">
        <v>27</v>
      </c>
      <c r="B6" s="69"/>
      <c r="C6" s="3" t="s">
        <v>78</v>
      </c>
      <c r="D6" s="69"/>
      <c r="E6" s="69"/>
    </row>
    <row r="7" spans="1:5" x14ac:dyDescent="0.2">
      <c r="A7" s="69" t="s">
        <v>28</v>
      </c>
      <c r="B7" s="69"/>
      <c r="C7" s="3" t="s">
        <v>82</v>
      </c>
      <c r="D7" s="69"/>
      <c r="E7" s="69"/>
    </row>
    <row r="8" spans="1:5" ht="36" x14ac:dyDescent="0.2">
      <c r="A8" s="69" t="s">
        <v>29</v>
      </c>
      <c r="B8" s="69"/>
      <c r="C8" s="3" t="str">
        <f>VLOOKUP(C5,Index!N:W,6,FALSE)</f>
        <v>Cooling Water, Diesel, Steam, WI, HC with low CO2 and H2S, Fresh Water, Hydraulic, Nitrogen, Exhaust, Fuel Oil, Tank Air Vent</v>
      </c>
      <c r="D8" s="69"/>
      <c r="E8" s="69"/>
    </row>
    <row r="9" spans="1:5" x14ac:dyDescent="0.2">
      <c r="A9" s="69" t="s">
        <v>30</v>
      </c>
      <c r="B9" s="69"/>
      <c r="C9" s="3" t="s">
        <v>148</v>
      </c>
      <c r="D9" s="69"/>
      <c r="E9" s="69"/>
    </row>
    <row r="10" spans="1:5" x14ac:dyDescent="0.2">
      <c r="A10" s="69" t="s">
        <v>31</v>
      </c>
      <c r="B10" s="69"/>
      <c r="C10" s="3" t="s">
        <v>56</v>
      </c>
      <c r="D10" s="69"/>
      <c r="E10" s="69"/>
    </row>
    <row r="11" spans="1:5" x14ac:dyDescent="0.2">
      <c r="A11" s="73" t="s">
        <v>119</v>
      </c>
      <c r="B11" s="74"/>
      <c r="C11" s="12" t="str">
        <f>VLOOKUP(C5,Index!N:W,10,FALSE)</f>
        <v>19.6 @ -29°C' 13.8 @ 200°C</v>
      </c>
      <c r="D11" s="75"/>
      <c r="E11" s="76"/>
    </row>
    <row r="12" spans="1:5" x14ac:dyDescent="0.2">
      <c r="A12" s="69" t="s">
        <v>32</v>
      </c>
      <c r="B12" s="69"/>
      <c r="C12" s="3" t="str">
        <f>VLOOKUP(C5,Index!N:W,5,FALSE)</f>
        <v>3 mm</v>
      </c>
      <c r="D12" s="69"/>
      <c r="E12" s="69"/>
    </row>
    <row r="13" spans="1:5" x14ac:dyDescent="0.2">
      <c r="A13" s="69" t="s">
        <v>33</v>
      </c>
      <c r="B13" s="69"/>
      <c r="C13" s="3" t="s">
        <v>34</v>
      </c>
      <c r="D13" s="69"/>
      <c r="E13" s="69"/>
    </row>
    <row r="14" spans="1:5" x14ac:dyDescent="0.2">
      <c r="A14" s="69" t="s">
        <v>35</v>
      </c>
      <c r="B14" s="69"/>
      <c r="C14" s="3" t="s">
        <v>245</v>
      </c>
      <c r="D14" s="69"/>
      <c r="E14" s="69"/>
    </row>
    <row r="15" spans="1:5" x14ac:dyDescent="0.2">
      <c r="A15" s="69" t="s">
        <v>36</v>
      </c>
      <c r="B15" s="69"/>
      <c r="C15" s="3" t="s">
        <v>67</v>
      </c>
      <c r="D15" s="69"/>
      <c r="E15" s="69"/>
    </row>
    <row r="16" spans="1:5" x14ac:dyDescent="0.2">
      <c r="A16" s="69" t="s">
        <v>37</v>
      </c>
      <c r="B16" s="4" t="s">
        <v>38</v>
      </c>
      <c r="C16" s="3" t="s">
        <v>73</v>
      </c>
      <c r="D16" s="69"/>
      <c r="E16" s="69"/>
    </row>
    <row r="17" spans="1:5" ht="24" x14ac:dyDescent="0.2">
      <c r="A17" s="69"/>
      <c r="B17" s="4" t="s">
        <v>75</v>
      </c>
      <c r="C17" s="3" t="s">
        <v>76</v>
      </c>
      <c r="D17" s="69"/>
      <c r="E17" s="69"/>
    </row>
    <row r="18" spans="1:5" ht="24" x14ac:dyDescent="0.2">
      <c r="A18" s="69"/>
      <c r="B18" s="4" t="s">
        <v>39</v>
      </c>
      <c r="C18" s="3" t="s">
        <v>87</v>
      </c>
      <c r="D18" s="69"/>
      <c r="E18" s="69"/>
    </row>
    <row r="19" spans="1:5" x14ac:dyDescent="0.2">
      <c r="A19" s="69"/>
      <c r="B19" s="4" t="s">
        <v>68</v>
      </c>
      <c r="C19" s="3" t="s">
        <v>143</v>
      </c>
      <c r="D19" s="69"/>
      <c r="E19" s="69"/>
    </row>
    <row r="20" spans="1:5" x14ac:dyDescent="0.2">
      <c r="A20" s="69"/>
      <c r="B20" s="4" t="s">
        <v>141</v>
      </c>
      <c r="C20" s="3" t="s">
        <v>142</v>
      </c>
      <c r="D20" s="69"/>
      <c r="E20" s="69"/>
    </row>
    <row r="21" spans="1:5" x14ac:dyDescent="0.2">
      <c r="A21" s="69"/>
      <c r="B21" s="4" t="s">
        <v>69</v>
      </c>
      <c r="C21" s="3" t="s">
        <v>106</v>
      </c>
      <c r="D21" s="69"/>
      <c r="E21" s="69"/>
    </row>
    <row r="22" spans="1:5" ht="24" x14ac:dyDescent="0.2">
      <c r="A22" s="69"/>
      <c r="B22" s="4" t="s">
        <v>40</v>
      </c>
      <c r="C22" s="3" t="s">
        <v>86</v>
      </c>
      <c r="D22" s="69"/>
      <c r="E22" s="69"/>
    </row>
    <row r="23" spans="1:5" ht="24" x14ac:dyDescent="0.2">
      <c r="A23" s="69" t="s">
        <v>41</v>
      </c>
      <c r="B23" s="69"/>
      <c r="C23" s="3" t="s">
        <v>121</v>
      </c>
      <c r="D23" s="69"/>
      <c r="E23" s="69"/>
    </row>
    <row r="24" spans="1:5" ht="24" x14ac:dyDescent="0.2">
      <c r="A24" s="69" t="s">
        <v>42</v>
      </c>
      <c r="B24" s="4" t="s">
        <v>91</v>
      </c>
      <c r="C24" s="3" t="s">
        <v>243</v>
      </c>
      <c r="D24" s="69"/>
      <c r="E24" s="69"/>
    </row>
    <row r="25" spans="1:5" x14ac:dyDescent="0.2">
      <c r="A25" s="69"/>
      <c r="B25" s="4" t="s">
        <v>93</v>
      </c>
      <c r="C25" s="3" t="s">
        <v>244</v>
      </c>
      <c r="D25" s="69"/>
      <c r="E25" s="69"/>
    </row>
    <row r="26" spans="1:5" x14ac:dyDescent="0.2">
      <c r="A26" s="69"/>
      <c r="B26" s="4" t="s">
        <v>94</v>
      </c>
      <c r="C26" s="3" t="s">
        <v>103</v>
      </c>
      <c r="D26" s="69"/>
      <c r="E26" s="69"/>
    </row>
    <row r="27" spans="1:5" x14ac:dyDescent="0.2">
      <c r="A27" s="69"/>
      <c r="B27" s="4" t="s">
        <v>95</v>
      </c>
      <c r="C27" s="3" t="s">
        <v>133</v>
      </c>
      <c r="D27" s="69"/>
      <c r="E27" s="69"/>
    </row>
    <row r="28" spans="1:5" x14ac:dyDescent="0.2">
      <c r="A28" s="69"/>
      <c r="B28" s="4" t="s">
        <v>144</v>
      </c>
      <c r="C28" s="3" t="s">
        <v>133</v>
      </c>
      <c r="D28" s="69"/>
      <c r="E28" s="69"/>
    </row>
    <row r="29" spans="1:5" x14ac:dyDescent="0.2">
      <c r="A29" s="69"/>
      <c r="B29" s="4" t="s">
        <v>92</v>
      </c>
      <c r="C29" s="3" t="s">
        <v>103</v>
      </c>
      <c r="D29" s="69"/>
      <c r="E29" s="69"/>
    </row>
    <row r="30" spans="1:5" x14ac:dyDescent="0.2">
      <c r="A30" s="69"/>
      <c r="B30" s="4" t="s">
        <v>96</v>
      </c>
      <c r="C30" s="3" t="s">
        <v>137</v>
      </c>
      <c r="D30" s="69"/>
      <c r="E30" s="69"/>
    </row>
    <row r="31" spans="1:5" ht="36" x14ac:dyDescent="0.2">
      <c r="A31" s="69"/>
      <c r="B31" s="4" t="s">
        <v>72</v>
      </c>
      <c r="C31" s="3" t="s">
        <v>139</v>
      </c>
      <c r="D31" s="69"/>
      <c r="E31" s="69"/>
    </row>
    <row r="32" spans="1:5" ht="24" x14ac:dyDescent="0.2">
      <c r="A32" s="69"/>
      <c r="B32" s="6" t="s">
        <v>140</v>
      </c>
      <c r="C32" s="5" t="s">
        <v>99</v>
      </c>
      <c r="D32" s="69"/>
      <c r="E32" s="69"/>
    </row>
    <row r="33" spans="1:5" ht="24" x14ac:dyDescent="0.2">
      <c r="A33" s="69"/>
      <c r="B33" s="4" t="s">
        <v>43</v>
      </c>
      <c r="C33" s="3" t="s">
        <v>182</v>
      </c>
      <c r="D33" s="69"/>
      <c r="E33" s="69"/>
    </row>
    <row r="34" spans="1:5" ht="36" x14ac:dyDescent="0.2">
      <c r="A34" s="69"/>
      <c r="B34" s="4" t="s">
        <v>44</v>
      </c>
      <c r="C34" s="3" t="s">
        <v>192</v>
      </c>
      <c r="D34" s="69"/>
      <c r="E34" s="69"/>
    </row>
    <row r="35" spans="1:5" ht="36" x14ac:dyDescent="0.2">
      <c r="A35" s="69"/>
      <c r="B35" s="4" t="s">
        <v>45</v>
      </c>
      <c r="C35" s="3" t="s">
        <v>181</v>
      </c>
      <c r="D35" s="69"/>
      <c r="E35" s="69"/>
    </row>
    <row r="36" spans="1:5" ht="36" x14ac:dyDescent="0.2">
      <c r="A36" s="69" t="s">
        <v>46</v>
      </c>
      <c r="B36" s="69"/>
      <c r="C36" s="3" t="s">
        <v>47</v>
      </c>
      <c r="D36" s="69"/>
      <c r="E36" s="69"/>
    </row>
    <row r="37" spans="1:5" x14ac:dyDescent="0.2">
      <c r="A37" s="69" t="s">
        <v>48</v>
      </c>
      <c r="B37" s="69"/>
      <c r="C37" s="3" t="s">
        <v>49</v>
      </c>
      <c r="D37" s="69"/>
      <c r="E37" s="69"/>
    </row>
    <row r="38" spans="1:5" x14ac:dyDescent="0.2">
      <c r="A38" s="69" t="s">
        <v>129</v>
      </c>
      <c r="B38" s="69"/>
      <c r="C38" s="3" t="s">
        <v>50</v>
      </c>
      <c r="D38" s="69"/>
      <c r="E38" s="69"/>
    </row>
    <row r="39" spans="1:5" x14ac:dyDescent="0.2">
      <c r="A39" s="69" t="s">
        <v>128</v>
      </c>
      <c r="B39" s="69"/>
      <c r="C39" s="3" t="s">
        <v>127</v>
      </c>
      <c r="D39" s="69"/>
      <c r="E39" s="69"/>
    </row>
    <row r="40" spans="1:5" x14ac:dyDescent="0.2">
      <c r="A40" s="64" t="s">
        <v>124</v>
      </c>
      <c r="B40" s="65"/>
      <c r="C40" s="3" t="s">
        <v>292</v>
      </c>
      <c r="D40" s="64"/>
      <c r="E40" s="65"/>
    </row>
    <row r="41" spans="1:5" x14ac:dyDescent="0.2">
      <c r="A41" s="64" t="s">
        <v>125</v>
      </c>
      <c r="B41" s="65"/>
      <c r="C41" s="3" t="s">
        <v>293</v>
      </c>
      <c r="D41" s="64"/>
      <c r="E41" s="65"/>
    </row>
    <row r="42" spans="1:5" x14ac:dyDescent="0.2">
      <c r="A42" s="64" t="s">
        <v>126</v>
      </c>
      <c r="B42" s="65"/>
      <c r="C42" s="3" t="s">
        <v>195</v>
      </c>
      <c r="D42" s="64"/>
      <c r="E42" s="65"/>
    </row>
    <row r="43" spans="1:5" ht="24" x14ac:dyDescent="0.2">
      <c r="A43" s="69" t="s">
        <v>51</v>
      </c>
      <c r="B43" s="69"/>
      <c r="C43" s="3" t="s">
        <v>52</v>
      </c>
      <c r="D43" s="69"/>
      <c r="E43" s="69"/>
    </row>
    <row r="44" spans="1:5" x14ac:dyDescent="0.2">
      <c r="A44" s="69" t="s">
        <v>53</v>
      </c>
      <c r="B44" s="69"/>
      <c r="C44" s="3" t="s">
        <v>149</v>
      </c>
      <c r="D44" s="69"/>
      <c r="E44" s="69"/>
    </row>
    <row r="45" spans="1:5" ht="24" x14ac:dyDescent="0.2">
      <c r="A45" s="69" t="s">
        <v>54</v>
      </c>
      <c r="B45" s="69"/>
      <c r="C45" s="3" t="s">
        <v>436</v>
      </c>
      <c r="D45" s="69"/>
      <c r="E45" s="69"/>
    </row>
    <row r="46" spans="1:5" x14ac:dyDescent="0.2">
      <c r="A46" s="7"/>
      <c r="B46" s="8"/>
      <c r="C46" s="8"/>
      <c r="D46" s="8"/>
      <c r="E46" s="9"/>
    </row>
    <row r="47" spans="1:5" x14ac:dyDescent="0.2">
      <c r="A47" s="10" t="s">
        <v>58</v>
      </c>
      <c r="E47" s="11"/>
    </row>
    <row r="48" spans="1:5" x14ac:dyDescent="0.2">
      <c r="A48" s="70" t="s">
        <v>70</v>
      </c>
      <c r="B48" s="71"/>
      <c r="C48" s="71"/>
      <c r="D48" s="71"/>
      <c r="E48" s="72"/>
    </row>
    <row r="49" spans="1:5" x14ac:dyDescent="0.2">
      <c r="A49" s="70"/>
      <c r="B49" s="71"/>
      <c r="C49" s="71"/>
      <c r="D49" s="71"/>
      <c r="E49" s="72"/>
    </row>
    <row r="50" spans="1:5" x14ac:dyDescent="0.2">
      <c r="A50" s="70" t="s">
        <v>437</v>
      </c>
      <c r="B50" s="71"/>
      <c r="C50" s="71"/>
      <c r="D50" s="71"/>
      <c r="E50" s="72"/>
    </row>
    <row r="51" spans="1:5" x14ac:dyDescent="0.2">
      <c r="A51" s="70" t="s">
        <v>97</v>
      </c>
      <c r="B51" s="71"/>
      <c r="C51" s="71"/>
      <c r="D51" s="71"/>
      <c r="E51" s="72"/>
    </row>
    <row r="52" spans="1:5" x14ac:dyDescent="0.2">
      <c r="A52" s="70"/>
      <c r="B52" s="71"/>
      <c r="C52" s="71"/>
      <c r="D52" s="71"/>
      <c r="E52" s="72"/>
    </row>
    <row r="53" spans="1:5" x14ac:dyDescent="0.2">
      <c r="A53" s="70" t="s">
        <v>150</v>
      </c>
      <c r="B53" s="71"/>
      <c r="C53" s="71"/>
      <c r="D53" s="71"/>
      <c r="E53" s="72"/>
    </row>
    <row r="54" spans="1:5" ht="11.45" customHeight="1" x14ac:dyDescent="0.2">
      <c r="A54" s="70" t="s">
        <v>151</v>
      </c>
      <c r="B54" s="71"/>
      <c r="C54" s="71"/>
      <c r="D54" s="71"/>
      <c r="E54" s="72"/>
    </row>
    <row r="55" spans="1:5" x14ac:dyDescent="0.2">
      <c r="A55" s="66" t="s">
        <v>107</v>
      </c>
      <c r="B55" s="67"/>
      <c r="C55" s="67"/>
      <c r="D55" s="67"/>
      <c r="E55" s="68"/>
    </row>
  </sheetData>
  <mergeCells count="75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2"/>
    <mergeCell ref="D16:E16"/>
    <mergeCell ref="D17:E17"/>
    <mergeCell ref="D18:E18"/>
    <mergeCell ref="D19:E19"/>
    <mergeCell ref="D20:E20"/>
    <mergeCell ref="D21:E21"/>
    <mergeCell ref="D22:E22"/>
    <mergeCell ref="A23:B23"/>
    <mergeCell ref="D23:E23"/>
    <mergeCell ref="A24:A35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D35:E35"/>
    <mergeCell ref="A37:B37"/>
    <mergeCell ref="D37:E37"/>
    <mergeCell ref="A38:B38"/>
    <mergeCell ref="D38:E38"/>
    <mergeCell ref="A36:B36"/>
    <mergeCell ref="D36:E36"/>
    <mergeCell ref="A39:B39"/>
    <mergeCell ref="D39:E39"/>
    <mergeCell ref="A40:B40"/>
    <mergeCell ref="D40:E40"/>
    <mergeCell ref="A41:B41"/>
    <mergeCell ref="D41:E41"/>
    <mergeCell ref="A42:B42"/>
    <mergeCell ref="D42:E42"/>
    <mergeCell ref="A55:E55"/>
    <mergeCell ref="A43:B43"/>
    <mergeCell ref="D43:E43"/>
    <mergeCell ref="A44:B44"/>
    <mergeCell ref="D44:E44"/>
    <mergeCell ref="A45:B45"/>
    <mergeCell ref="D45:E45"/>
    <mergeCell ref="A48:E49"/>
    <mergeCell ref="A50:E50"/>
    <mergeCell ref="A51:E52"/>
    <mergeCell ref="A53:E53"/>
    <mergeCell ref="A54:E54"/>
  </mergeCells>
  <conditionalFormatting sqref="B17">
    <cfRule type="duplicateValues" dxfId="753" priority="4"/>
  </conditionalFormatting>
  <conditionalFormatting sqref="B18">
    <cfRule type="duplicateValues" dxfId="752" priority="3"/>
  </conditionalFormatting>
  <conditionalFormatting sqref="B20">
    <cfRule type="duplicateValues" dxfId="751" priority="2"/>
  </conditionalFormatting>
  <conditionalFormatting sqref="B21">
    <cfRule type="duplicateValues" dxfId="750" priority="10"/>
  </conditionalFormatting>
  <conditionalFormatting sqref="B25">
    <cfRule type="duplicateValues" dxfId="749" priority="12"/>
  </conditionalFormatting>
  <conditionalFormatting sqref="B28">
    <cfRule type="duplicateValues" dxfId="748" priority="1"/>
  </conditionalFormatting>
  <conditionalFormatting sqref="B32">
    <cfRule type="duplicateValues" dxfId="747" priority="11"/>
  </conditionalFormatting>
  <conditionalFormatting sqref="B38">
    <cfRule type="duplicateValues" dxfId="746" priority="6"/>
  </conditionalFormatting>
  <conditionalFormatting sqref="B39">
    <cfRule type="duplicateValues" dxfId="745" priority="5"/>
  </conditionalFormatting>
  <conditionalFormatting sqref="B40">
    <cfRule type="duplicateValues" dxfId="744" priority="9"/>
  </conditionalFormatting>
  <conditionalFormatting sqref="B41">
    <cfRule type="duplicateValues" dxfId="743" priority="8"/>
  </conditionalFormatting>
  <conditionalFormatting sqref="B42">
    <cfRule type="duplicateValues" dxfId="742" priority="7"/>
  </conditionalFormatting>
  <conditionalFormatting sqref="B56:B1048576 B4:B10 B26:B27 B12:B16 B33:B37 B22:B24 B43:B47 B19 B29:B31">
    <cfRule type="duplicateValues" dxfId="741" priority="13"/>
  </conditionalFormatting>
  <pageMargins left="0.7" right="0.7" top="0.75" bottom="0.75" header="0.3" footer="0.3"/>
  <pageSetup paperSize="9" scale="88" orientation="portrait" horizontalDpi="4294967295" verticalDpi="4294967295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A13B7A-3114-4740-B14B-0EB5831E4154}">
  <sheetPr codeName="Sheet11">
    <tabColor theme="4" tint="-0.249977111117893"/>
    <pageSetUpPr fitToPage="1"/>
  </sheetPr>
  <dimension ref="A1:E55"/>
  <sheetViews>
    <sheetView zoomScaleNormal="100" workbookViewId="0">
      <selection activeCell="R17" sqref="R17"/>
    </sheetView>
  </sheetViews>
  <sheetFormatPr defaultColWidth="8.85546875" defaultRowHeight="12" x14ac:dyDescent="0.2"/>
  <cols>
    <col min="1" max="1" width="12.5703125" style="1" customWidth="1"/>
    <col min="2" max="2" width="13.42578125" style="1" bestFit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4" customFormat="1" ht="30" customHeight="1" x14ac:dyDescent="0.25">
      <c r="A1" s="77" t="e" vm="1">
        <v>#VALUE!</v>
      </c>
      <c r="B1" s="78"/>
      <c r="C1" s="83" t="s">
        <v>112</v>
      </c>
      <c r="D1" s="13" t="s">
        <v>110</v>
      </c>
      <c r="E1" s="13" t="s">
        <v>435</v>
      </c>
    </row>
    <row r="2" spans="1:5" s="14" customFormat="1" ht="30" customHeight="1" x14ac:dyDescent="0.25">
      <c r="A2" s="79"/>
      <c r="B2" s="80"/>
      <c r="C2" s="84"/>
      <c r="D2" s="15" t="s">
        <v>109</v>
      </c>
      <c r="E2" s="16" t="str">
        <f>VLOOKUP(C4,Index!B:J,9,FALSE)</f>
        <v>C0</v>
      </c>
    </row>
    <row r="3" spans="1:5" s="14" customFormat="1" ht="30" customHeight="1" x14ac:dyDescent="0.25">
      <c r="A3" s="81"/>
      <c r="B3" s="82"/>
      <c r="C3" s="85"/>
      <c r="D3" s="15" t="s">
        <v>111</v>
      </c>
      <c r="E3" s="17">
        <f>VLOOKUP(C4,Index!B:I,8,FALSE)</f>
        <v>322</v>
      </c>
    </row>
    <row r="4" spans="1:5" x14ac:dyDescent="0.2">
      <c r="A4" s="86" t="s">
        <v>74</v>
      </c>
      <c r="B4" s="86"/>
      <c r="C4" s="2" t="s">
        <v>197</v>
      </c>
      <c r="D4" s="86" t="s">
        <v>55</v>
      </c>
      <c r="E4" s="86"/>
    </row>
    <row r="5" spans="1:5" x14ac:dyDescent="0.2">
      <c r="A5" s="69" t="s">
        <v>26</v>
      </c>
      <c r="B5" s="69"/>
      <c r="C5" s="3" t="s">
        <v>5</v>
      </c>
      <c r="D5" s="69"/>
      <c r="E5" s="69"/>
    </row>
    <row r="6" spans="1:5" x14ac:dyDescent="0.2">
      <c r="A6" s="69" t="s">
        <v>27</v>
      </c>
      <c r="B6" s="69"/>
      <c r="C6" s="3" t="s">
        <v>78</v>
      </c>
      <c r="D6" s="69"/>
      <c r="E6" s="69"/>
    </row>
    <row r="7" spans="1:5" x14ac:dyDescent="0.2">
      <c r="A7" s="69" t="s">
        <v>28</v>
      </c>
      <c r="B7" s="69"/>
      <c r="C7" s="3" t="s">
        <v>82</v>
      </c>
      <c r="D7" s="69"/>
      <c r="E7" s="69"/>
    </row>
    <row r="8" spans="1:5" ht="24" x14ac:dyDescent="0.2">
      <c r="A8" s="69" t="s">
        <v>29</v>
      </c>
      <c r="B8" s="69"/>
      <c r="C8" s="3" t="str">
        <f>VLOOKUP(C5,Index!N:W,6,FALSE)</f>
        <v>Cooling Water, Diesel, WI, HC with low CO2 and H2S, Steam, Hydraulic</v>
      </c>
      <c r="D8" s="69"/>
      <c r="E8" s="69"/>
    </row>
    <row r="9" spans="1:5" x14ac:dyDescent="0.2">
      <c r="A9" s="69" t="s">
        <v>30</v>
      </c>
      <c r="B9" s="69"/>
      <c r="C9" s="3" t="s">
        <v>148</v>
      </c>
      <c r="D9" s="69"/>
      <c r="E9" s="69"/>
    </row>
    <row r="10" spans="1:5" x14ac:dyDescent="0.2">
      <c r="A10" s="69" t="s">
        <v>31</v>
      </c>
      <c r="B10" s="69"/>
      <c r="C10" s="3" t="s">
        <v>59</v>
      </c>
      <c r="D10" s="69"/>
      <c r="E10" s="69"/>
    </row>
    <row r="11" spans="1:5" x14ac:dyDescent="0.2">
      <c r="A11" s="73" t="s">
        <v>119</v>
      </c>
      <c r="B11" s="74"/>
      <c r="C11" s="12" t="str">
        <f>VLOOKUP(C5,Index!N:W,10,FALSE)</f>
        <v>51.1 @ -29°C' 43.8 @ 200°C</v>
      </c>
      <c r="D11" s="75"/>
      <c r="E11" s="76"/>
    </row>
    <row r="12" spans="1:5" x14ac:dyDescent="0.2">
      <c r="A12" s="69" t="s">
        <v>32</v>
      </c>
      <c r="B12" s="69"/>
      <c r="C12" s="3" t="str">
        <f>VLOOKUP(C5,Index!N:W,5,FALSE)</f>
        <v>3 mm</v>
      </c>
      <c r="D12" s="69"/>
      <c r="E12" s="69"/>
    </row>
    <row r="13" spans="1:5" x14ac:dyDescent="0.2">
      <c r="A13" s="69" t="s">
        <v>33</v>
      </c>
      <c r="B13" s="69"/>
      <c r="C13" s="3" t="s">
        <v>34</v>
      </c>
      <c r="D13" s="69"/>
      <c r="E13" s="69"/>
    </row>
    <row r="14" spans="1:5" x14ac:dyDescent="0.2">
      <c r="A14" s="69" t="s">
        <v>35</v>
      </c>
      <c r="B14" s="69"/>
      <c r="C14" s="3" t="s">
        <v>245</v>
      </c>
      <c r="D14" s="69"/>
      <c r="E14" s="69"/>
    </row>
    <row r="15" spans="1:5" x14ac:dyDescent="0.2">
      <c r="A15" s="69" t="s">
        <v>36</v>
      </c>
      <c r="B15" s="69"/>
      <c r="C15" s="3" t="s">
        <v>67</v>
      </c>
      <c r="D15" s="69"/>
      <c r="E15" s="69"/>
    </row>
    <row r="16" spans="1:5" x14ac:dyDescent="0.2">
      <c r="A16" s="69" t="s">
        <v>37</v>
      </c>
      <c r="B16" s="4" t="s">
        <v>38</v>
      </c>
      <c r="C16" s="3" t="s">
        <v>73</v>
      </c>
      <c r="D16" s="69"/>
      <c r="E16" s="69"/>
    </row>
    <row r="17" spans="1:5" ht="24" x14ac:dyDescent="0.2">
      <c r="A17" s="69"/>
      <c r="B17" s="4" t="s">
        <v>75</v>
      </c>
      <c r="C17" s="3" t="s">
        <v>76</v>
      </c>
      <c r="D17" s="69"/>
      <c r="E17" s="69"/>
    </row>
    <row r="18" spans="1:5" ht="24" x14ac:dyDescent="0.2">
      <c r="A18" s="69"/>
      <c r="B18" s="4" t="s">
        <v>39</v>
      </c>
      <c r="C18" s="3" t="s">
        <v>87</v>
      </c>
      <c r="D18" s="69"/>
      <c r="E18" s="69"/>
    </row>
    <row r="19" spans="1:5" x14ac:dyDescent="0.2">
      <c r="A19" s="69"/>
      <c r="B19" s="4" t="s">
        <v>68</v>
      </c>
      <c r="C19" s="3" t="s">
        <v>143</v>
      </c>
      <c r="D19" s="69"/>
      <c r="E19" s="69"/>
    </row>
    <row r="20" spans="1:5" x14ac:dyDescent="0.2">
      <c r="A20" s="69"/>
      <c r="B20" s="4" t="s">
        <v>141</v>
      </c>
      <c r="C20" s="3" t="s">
        <v>142</v>
      </c>
      <c r="D20" s="69"/>
      <c r="E20" s="69"/>
    </row>
    <row r="21" spans="1:5" x14ac:dyDescent="0.2">
      <c r="A21" s="69"/>
      <c r="B21" s="4" t="s">
        <v>69</v>
      </c>
      <c r="C21" s="3" t="s">
        <v>106</v>
      </c>
      <c r="D21" s="69"/>
      <c r="E21" s="69"/>
    </row>
    <row r="22" spans="1:5" ht="24" x14ac:dyDescent="0.2">
      <c r="A22" s="69"/>
      <c r="B22" s="4" t="s">
        <v>40</v>
      </c>
      <c r="C22" s="3" t="s">
        <v>86</v>
      </c>
      <c r="D22" s="69"/>
      <c r="E22" s="69"/>
    </row>
    <row r="23" spans="1:5" ht="24" x14ac:dyDescent="0.2">
      <c r="A23" s="69" t="s">
        <v>41</v>
      </c>
      <c r="B23" s="69"/>
      <c r="C23" s="3" t="s">
        <v>121</v>
      </c>
      <c r="D23" s="69"/>
      <c r="E23" s="69"/>
    </row>
    <row r="24" spans="1:5" ht="24" x14ac:dyDescent="0.2">
      <c r="A24" s="69" t="s">
        <v>42</v>
      </c>
      <c r="B24" s="4" t="s">
        <v>91</v>
      </c>
      <c r="C24" s="3" t="s">
        <v>243</v>
      </c>
      <c r="D24" s="69"/>
      <c r="E24" s="69"/>
    </row>
    <row r="25" spans="1:5" x14ac:dyDescent="0.2">
      <c r="A25" s="69"/>
      <c r="B25" s="4" t="s">
        <v>93</v>
      </c>
      <c r="C25" s="3" t="s">
        <v>244</v>
      </c>
      <c r="D25" s="69"/>
      <c r="E25" s="69"/>
    </row>
    <row r="26" spans="1:5" x14ac:dyDescent="0.2">
      <c r="A26" s="69"/>
      <c r="B26" s="4" t="s">
        <v>94</v>
      </c>
      <c r="C26" s="3" t="s">
        <v>253</v>
      </c>
      <c r="D26" s="69"/>
      <c r="E26" s="69"/>
    </row>
    <row r="27" spans="1:5" x14ac:dyDescent="0.2">
      <c r="A27" s="69"/>
      <c r="B27" s="4" t="s">
        <v>95</v>
      </c>
      <c r="C27" s="3" t="s">
        <v>133</v>
      </c>
      <c r="D27" s="69"/>
      <c r="E27" s="69"/>
    </row>
    <row r="28" spans="1:5" x14ac:dyDescent="0.2">
      <c r="A28" s="69"/>
      <c r="B28" s="4" t="s">
        <v>144</v>
      </c>
      <c r="C28" s="3" t="s">
        <v>133</v>
      </c>
      <c r="D28" s="69"/>
      <c r="E28" s="69"/>
    </row>
    <row r="29" spans="1:5" x14ac:dyDescent="0.2">
      <c r="A29" s="69"/>
      <c r="B29" s="4" t="s">
        <v>92</v>
      </c>
      <c r="C29" s="3" t="s">
        <v>253</v>
      </c>
      <c r="D29" s="69"/>
      <c r="E29" s="69"/>
    </row>
    <row r="30" spans="1:5" x14ac:dyDescent="0.2">
      <c r="A30" s="69"/>
      <c r="B30" s="4" t="s">
        <v>96</v>
      </c>
      <c r="C30" s="3" t="s">
        <v>137</v>
      </c>
      <c r="D30" s="69"/>
      <c r="E30" s="69"/>
    </row>
    <row r="31" spans="1:5" ht="36" x14ac:dyDescent="0.2">
      <c r="A31" s="69"/>
      <c r="B31" s="4" t="s">
        <v>72</v>
      </c>
      <c r="C31" s="3" t="s">
        <v>139</v>
      </c>
      <c r="D31" s="69"/>
      <c r="E31" s="69"/>
    </row>
    <row r="32" spans="1:5" ht="24" x14ac:dyDescent="0.2">
      <c r="A32" s="69"/>
      <c r="B32" s="6" t="s">
        <v>140</v>
      </c>
      <c r="C32" s="5" t="s">
        <v>99</v>
      </c>
      <c r="D32" s="69"/>
      <c r="E32" s="69"/>
    </row>
    <row r="33" spans="1:5" ht="24" x14ac:dyDescent="0.2">
      <c r="A33" s="69"/>
      <c r="B33" s="4" t="s">
        <v>43</v>
      </c>
      <c r="C33" s="3" t="s">
        <v>182</v>
      </c>
      <c r="D33" s="69"/>
      <c r="E33" s="69"/>
    </row>
    <row r="34" spans="1:5" ht="36" x14ac:dyDescent="0.2">
      <c r="A34" s="69"/>
      <c r="B34" s="4" t="s">
        <v>44</v>
      </c>
      <c r="C34" s="3" t="s">
        <v>192</v>
      </c>
      <c r="D34" s="69"/>
      <c r="E34" s="69"/>
    </row>
    <row r="35" spans="1:5" ht="36" x14ac:dyDescent="0.2">
      <c r="A35" s="69"/>
      <c r="B35" s="4" t="s">
        <v>45</v>
      </c>
      <c r="C35" s="3" t="s">
        <v>181</v>
      </c>
      <c r="D35" s="69"/>
      <c r="E35" s="69"/>
    </row>
    <row r="36" spans="1:5" ht="36" x14ac:dyDescent="0.2">
      <c r="A36" s="69" t="s">
        <v>46</v>
      </c>
      <c r="B36" s="69"/>
      <c r="C36" s="3" t="s">
        <v>47</v>
      </c>
      <c r="D36" s="69"/>
      <c r="E36" s="69"/>
    </row>
    <row r="37" spans="1:5" x14ac:dyDescent="0.2">
      <c r="A37" s="69" t="s">
        <v>48</v>
      </c>
      <c r="B37" s="69"/>
      <c r="C37" s="3" t="s">
        <v>49</v>
      </c>
      <c r="D37" s="69"/>
      <c r="E37" s="69"/>
    </row>
    <row r="38" spans="1:5" x14ac:dyDescent="0.2">
      <c r="A38" s="69" t="s">
        <v>129</v>
      </c>
      <c r="B38" s="69"/>
      <c r="C38" s="3" t="s">
        <v>50</v>
      </c>
      <c r="D38" s="69"/>
      <c r="E38" s="69"/>
    </row>
    <row r="39" spans="1:5" x14ac:dyDescent="0.2">
      <c r="A39" s="69" t="s">
        <v>128</v>
      </c>
      <c r="B39" s="69"/>
      <c r="C39" s="3" t="s">
        <v>127</v>
      </c>
      <c r="D39" s="69"/>
      <c r="E39" s="69"/>
    </row>
    <row r="40" spans="1:5" x14ac:dyDescent="0.2">
      <c r="A40" s="64" t="s">
        <v>124</v>
      </c>
      <c r="B40" s="65"/>
      <c r="C40" s="3" t="s">
        <v>290</v>
      </c>
      <c r="D40" s="64"/>
      <c r="E40" s="65"/>
    </row>
    <row r="41" spans="1:5" x14ac:dyDescent="0.2">
      <c r="A41" s="64" t="s">
        <v>125</v>
      </c>
      <c r="B41" s="65"/>
      <c r="C41" s="3" t="s">
        <v>291</v>
      </c>
      <c r="D41" s="64"/>
      <c r="E41" s="65"/>
    </row>
    <row r="42" spans="1:5" x14ac:dyDescent="0.2">
      <c r="A42" s="64" t="s">
        <v>126</v>
      </c>
      <c r="B42" s="65"/>
      <c r="C42" s="3" t="s">
        <v>195</v>
      </c>
      <c r="D42" s="64"/>
      <c r="E42" s="65"/>
    </row>
    <row r="43" spans="1:5" ht="24" x14ac:dyDescent="0.2">
      <c r="A43" s="69" t="s">
        <v>51</v>
      </c>
      <c r="B43" s="69"/>
      <c r="C43" s="3" t="s">
        <v>52</v>
      </c>
      <c r="D43" s="69"/>
      <c r="E43" s="69"/>
    </row>
    <row r="44" spans="1:5" x14ac:dyDescent="0.2">
      <c r="A44" s="69" t="s">
        <v>53</v>
      </c>
      <c r="B44" s="69"/>
      <c r="C44" s="3" t="s">
        <v>149</v>
      </c>
      <c r="D44" s="69"/>
      <c r="E44" s="69"/>
    </row>
    <row r="45" spans="1:5" ht="24" x14ac:dyDescent="0.2">
      <c r="A45" s="69" t="s">
        <v>54</v>
      </c>
      <c r="B45" s="69"/>
      <c r="C45" s="3" t="s">
        <v>436</v>
      </c>
      <c r="D45" s="69"/>
      <c r="E45" s="69"/>
    </row>
    <row r="46" spans="1:5" x14ac:dyDescent="0.2">
      <c r="A46" s="7"/>
      <c r="B46" s="8"/>
      <c r="C46" s="8"/>
      <c r="D46" s="8"/>
      <c r="E46" s="9"/>
    </row>
    <row r="47" spans="1:5" x14ac:dyDescent="0.2">
      <c r="A47" s="10" t="s">
        <v>58</v>
      </c>
      <c r="E47" s="11"/>
    </row>
    <row r="48" spans="1:5" x14ac:dyDescent="0.2">
      <c r="A48" s="70" t="s">
        <v>70</v>
      </c>
      <c r="B48" s="71"/>
      <c r="C48" s="71"/>
      <c r="D48" s="71"/>
      <c r="E48" s="72"/>
    </row>
    <row r="49" spans="1:5" x14ac:dyDescent="0.2">
      <c r="A49" s="70"/>
      <c r="B49" s="71"/>
      <c r="C49" s="71"/>
      <c r="D49" s="71"/>
      <c r="E49" s="72"/>
    </row>
    <row r="50" spans="1:5" x14ac:dyDescent="0.2">
      <c r="A50" s="70" t="s">
        <v>437</v>
      </c>
      <c r="B50" s="71"/>
      <c r="C50" s="71"/>
      <c r="D50" s="71"/>
      <c r="E50" s="72"/>
    </row>
    <row r="51" spans="1:5" x14ac:dyDescent="0.2">
      <c r="A51" s="70" t="s">
        <v>97</v>
      </c>
      <c r="B51" s="71"/>
      <c r="C51" s="71"/>
      <c r="D51" s="71"/>
      <c r="E51" s="72"/>
    </row>
    <row r="52" spans="1:5" x14ac:dyDescent="0.2">
      <c r="A52" s="70"/>
      <c r="B52" s="71"/>
      <c r="C52" s="71"/>
      <c r="D52" s="71"/>
      <c r="E52" s="72"/>
    </row>
    <row r="53" spans="1:5" x14ac:dyDescent="0.2">
      <c r="A53" s="70" t="s">
        <v>150</v>
      </c>
      <c r="B53" s="71"/>
      <c r="C53" s="71"/>
      <c r="D53" s="71"/>
      <c r="E53" s="72"/>
    </row>
    <row r="54" spans="1:5" ht="11.45" customHeight="1" x14ac:dyDescent="0.2">
      <c r="A54" s="70" t="s">
        <v>151</v>
      </c>
      <c r="B54" s="71"/>
      <c r="C54" s="71"/>
      <c r="D54" s="71"/>
      <c r="E54" s="72"/>
    </row>
    <row r="55" spans="1:5" x14ac:dyDescent="0.2">
      <c r="A55" s="66" t="s">
        <v>107</v>
      </c>
      <c r="B55" s="67"/>
      <c r="C55" s="67"/>
      <c r="D55" s="67"/>
      <c r="E55" s="68"/>
    </row>
  </sheetData>
  <mergeCells count="75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2"/>
    <mergeCell ref="D16:E16"/>
    <mergeCell ref="D17:E17"/>
    <mergeCell ref="D18:E18"/>
    <mergeCell ref="D19:E19"/>
    <mergeCell ref="D20:E20"/>
    <mergeCell ref="D21:E21"/>
    <mergeCell ref="D22:E22"/>
    <mergeCell ref="A23:B23"/>
    <mergeCell ref="D23:E23"/>
    <mergeCell ref="A24:A35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D35:E35"/>
    <mergeCell ref="A37:B37"/>
    <mergeCell ref="D37:E37"/>
    <mergeCell ref="A38:B38"/>
    <mergeCell ref="D38:E38"/>
    <mergeCell ref="A36:B36"/>
    <mergeCell ref="D36:E36"/>
    <mergeCell ref="A39:B39"/>
    <mergeCell ref="D39:E39"/>
    <mergeCell ref="A40:B40"/>
    <mergeCell ref="D40:E40"/>
    <mergeCell ref="A41:B41"/>
    <mergeCell ref="D41:E41"/>
    <mergeCell ref="A42:B42"/>
    <mergeCell ref="D42:E42"/>
    <mergeCell ref="A55:E55"/>
    <mergeCell ref="A43:B43"/>
    <mergeCell ref="D43:E43"/>
    <mergeCell ref="A44:B44"/>
    <mergeCell ref="D44:E44"/>
    <mergeCell ref="A45:B45"/>
    <mergeCell ref="D45:E45"/>
    <mergeCell ref="A48:E49"/>
    <mergeCell ref="A50:E50"/>
    <mergeCell ref="A51:E52"/>
    <mergeCell ref="A53:E53"/>
    <mergeCell ref="A54:E54"/>
  </mergeCells>
  <conditionalFormatting sqref="B17">
    <cfRule type="duplicateValues" dxfId="740" priority="4"/>
  </conditionalFormatting>
  <conditionalFormatting sqref="B18">
    <cfRule type="duplicateValues" dxfId="739" priority="3"/>
  </conditionalFormatting>
  <conditionalFormatting sqref="B20">
    <cfRule type="duplicateValues" dxfId="738" priority="2"/>
  </conditionalFormatting>
  <conditionalFormatting sqref="B21">
    <cfRule type="duplicateValues" dxfId="737" priority="10"/>
  </conditionalFormatting>
  <conditionalFormatting sqref="B25">
    <cfRule type="duplicateValues" dxfId="736" priority="12"/>
  </conditionalFormatting>
  <conditionalFormatting sqref="B28">
    <cfRule type="duplicateValues" dxfId="735" priority="1"/>
  </conditionalFormatting>
  <conditionalFormatting sqref="B32">
    <cfRule type="duplicateValues" dxfId="734" priority="11"/>
  </conditionalFormatting>
  <conditionalFormatting sqref="B38">
    <cfRule type="duplicateValues" dxfId="733" priority="6"/>
  </conditionalFormatting>
  <conditionalFormatting sqref="B39">
    <cfRule type="duplicateValues" dxfId="732" priority="5"/>
  </conditionalFormatting>
  <conditionalFormatting sqref="B40">
    <cfRule type="duplicateValues" dxfId="731" priority="9"/>
  </conditionalFormatting>
  <conditionalFormatting sqref="B41">
    <cfRule type="duplicateValues" dxfId="730" priority="8"/>
  </conditionalFormatting>
  <conditionalFormatting sqref="B42">
    <cfRule type="duplicateValues" dxfId="729" priority="7"/>
  </conditionalFormatting>
  <conditionalFormatting sqref="B56:B1048576 B4:B10 B26:B27 B12:B16 B33:B37 B22:B24 B43:B47 B19 B29:B31">
    <cfRule type="duplicateValues" dxfId="728" priority="13"/>
  </conditionalFormatting>
  <pageMargins left="0.7" right="0.7" top="0.75" bottom="0.75" header="0.3" footer="0.3"/>
  <pageSetup paperSize="9" scale="88" orientation="portrait" horizontalDpi="4294967295" verticalDpi="4294967295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442F70-6A23-4902-8F5B-F18B67C4A045}">
  <sheetPr codeName="Sheet14">
    <tabColor theme="4" tint="-0.249977111117893"/>
    <pageSetUpPr fitToPage="1"/>
  </sheetPr>
  <dimension ref="A1:E55"/>
  <sheetViews>
    <sheetView zoomScaleNormal="100" workbookViewId="0">
      <selection sqref="A1:B3"/>
    </sheetView>
  </sheetViews>
  <sheetFormatPr defaultColWidth="8.85546875" defaultRowHeight="12" x14ac:dyDescent="0.2"/>
  <cols>
    <col min="1" max="1" width="12.5703125" style="1" customWidth="1"/>
    <col min="2" max="2" width="13.42578125" style="1" bestFit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4" customFormat="1" ht="30" customHeight="1" x14ac:dyDescent="0.25">
      <c r="A1" s="77" t="e" vm="1">
        <v>#VALUE!</v>
      </c>
      <c r="B1" s="78"/>
      <c r="C1" s="83" t="s">
        <v>112</v>
      </c>
      <c r="D1" s="13" t="s">
        <v>110</v>
      </c>
      <c r="E1" s="13" t="s">
        <v>435</v>
      </c>
    </row>
    <row r="2" spans="1:5" s="14" customFormat="1" ht="30" customHeight="1" x14ac:dyDescent="0.25">
      <c r="A2" s="79"/>
      <c r="B2" s="80"/>
      <c r="C2" s="84"/>
      <c r="D2" s="15" t="s">
        <v>109</v>
      </c>
      <c r="E2" s="16" t="str">
        <f>VLOOKUP(C4,Index!B:J,9,FALSE)</f>
        <v>C0</v>
      </c>
    </row>
    <row r="3" spans="1:5" s="14" customFormat="1" ht="30" customHeight="1" x14ac:dyDescent="0.25">
      <c r="A3" s="81"/>
      <c r="B3" s="82"/>
      <c r="C3" s="85"/>
      <c r="D3" s="15" t="s">
        <v>111</v>
      </c>
      <c r="E3" s="17">
        <f>VLOOKUP(C4,Index!B:I,8,FALSE)</f>
        <v>323</v>
      </c>
    </row>
    <row r="4" spans="1:5" x14ac:dyDescent="0.2">
      <c r="A4" s="86" t="s">
        <v>74</v>
      </c>
      <c r="B4" s="86"/>
      <c r="C4" s="2" t="s">
        <v>198</v>
      </c>
      <c r="D4" s="86" t="s">
        <v>55</v>
      </c>
      <c r="E4" s="86"/>
    </row>
    <row r="5" spans="1:5" x14ac:dyDescent="0.2">
      <c r="A5" s="69" t="s">
        <v>26</v>
      </c>
      <c r="B5" s="69"/>
      <c r="C5" s="3" t="s">
        <v>23</v>
      </c>
      <c r="D5" s="69"/>
      <c r="E5" s="69"/>
    </row>
    <row r="6" spans="1:5" x14ac:dyDescent="0.2">
      <c r="A6" s="69" t="s">
        <v>27</v>
      </c>
      <c r="B6" s="69"/>
      <c r="C6" s="3" t="s">
        <v>78</v>
      </c>
      <c r="D6" s="69"/>
      <c r="E6" s="69"/>
    </row>
    <row r="7" spans="1:5" x14ac:dyDescent="0.2">
      <c r="A7" s="69" t="s">
        <v>28</v>
      </c>
      <c r="B7" s="69"/>
      <c r="C7" s="3" t="s">
        <v>82</v>
      </c>
      <c r="D7" s="69"/>
      <c r="E7" s="69"/>
    </row>
    <row r="8" spans="1:5" ht="24" x14ac:dyDescent="0.2">
      <c r="A8" s="69" t="s">
        <v>29</v>
      </c>
      <c r="B8" s="69"/>
      <c r="C8" s="3" t="str">
        <f>VLOOKUP(C5,Index!N:W,6,FALSE)</f>
        <v>Cooling Water, Diesel, WI, HC with low CO2 and H2S, Steam, Hydraulic</v>
      </c>
      <c r="D8" s="69"/>
      <c r="E8" s="69"/>
    </row>
    <row r="9" spans="1:5" x14ac:dyDescent="0.2">
      <c r="A9" s="69" t="s">
        <v>30</v>
      </c>
      <c r="B9" s="69"/>
      <c r="C9" s="3" t="s">
        <v>148</v>
      </c>
      <c r="D9" s="69"/>
      <c r="E9" s="69"/>
    </row>
    <row r="10" spans="1:5" x14ac:dyDescent="0.2">
      <c r="A10" s="69" t="s">
        <v>31</v>
      </c>
      <c r="B10" s="69"/>
      <c r="C10" s="3" t="s">
        <v>60</v>
      </c>
      <c r="D10" s="69"/>
      <c r="E10" s="69"/>
    </row>
    <row r="11" spans="1:5" x14ac:dyDescent="0.2">
      <c r="A11" s="73" t="s">
        <v>119</v>
      </c>
      <c r="B11" s="74"/>
      <c r="C11" s="12" t="str">
        <f>VLOOKUP(C5,Index!N:W,10,FALSE)</f>
        <v>102.1 @ -29°C' 87.6 @ 200°C</v>
      </c>
      <c r="D11" s="75"/>
      <c r="E11" s="76"/>
    </row>
    <row r="12" spans="1:5" x14ac:dyDescent="0.2">
      <c r="A12" s="69" t="s">
        <v>32</v>
      </c>
      <c r="B12" s="69"/>
      <c r="C12" s="3" t="str">
        <f>VLOOKUP(C5,Index!N:W,5,FALSE)</f>
        <v>3 mm</v>
      </c>
      <c r="D12" s="69"/>
      <c r="E12" s="69"/>
    </row>
    <row r="13" spans="1:5" x14ac:dyDescent="0.2">
      <c r="A13" s="69" t="s">
        <v>33</v>
      </c>
      <c r="B13" s="69"/>
      <c r="C13" s="3" t="s">
        <v>34</v>
      </c>
      <c r="D13" s="69"/>
      <c r="E13" s="69"/>
    </row>
    <row r="14" spans="1:5" x14ac:dyDescent="0.2">
      <c r="A14" s="69" t="s">
        <v>35</v>
      </c>
      <c r="B14" s="69"/>
      <c r="C14" s="3" t="s">
        <v>245</v>
      </c>
      <c r="D14" s="69"/>
      <c r="E14" s="69"/>
    </row>
    <row r="15" spans="1:5" x14ac:dyDescent="0.2">
      <c r="A15" s="69" t="s">
        <v>36</v>
      </c>
      <c r="B15" s="69"/>
      <c r="C15" s="3" t="s">
        <v>67</v>
      </c>
      <c r="D15" s="69"/>
      <c r="E15" s="69"/>
    </row>
    <row r="16" spans="1:5" x14ac:dyDescent="0.2">
      <c r="A16" s="69" t="s">
        <v>37</v>
      </c>
      <c r="B16" s="4" t="s">
        <v>38</v>
      </c>
      <c r="C16" s="3" t="s">
        <v>73</v>
      </c>
      <c r="D16" s="69"/>
      <c r="E16" s="69"/>
    </row>
    <row r="17" spans="1:5" ht="24" x14ac:dyDescent="0.2">
      <c r="A17" s="69"/>
      <c r="B17" s="4" t="s">
        <v>75</v>
      </c>
      <c r="C17" s="3" t="s">
        <v>76</v>
      </c>
      <c r="D17" s="69"/>
      <c r="E17" s="69"/>
    </row>
    <row r="18" spans="1:5" ht="24" x14ac:dyDescent="0.2">
      <c r="A18" s="69"/>
      <c r="B18" s="4" t="s">
        <v>39</v>
      </c>
      <c r="C18" s="3" t="s">
        <v>87</v>
      </c>
      <c r="D18" s="69"/>
      <c r="E18" s="69"/>
    </row>
    <row r="19" spans="1:5" x14ac:dyDescent="0.2">
      <c r="A19" s="69"/>
      <c r="B19" s="4" t="s">
        <v>68</v>
      </c>
      <c r="C19" s="3" t="s">
        <v>143</v>
      </c>
      <c r="D19" s="69"/>
      <c r="E19" s="69"/>
    </row>
    <row r="20" spans="1:5" x14ac:dyDescent="0.2">
      <c r="A20" s="69"/>
      <c r="B20" s="4" t="s">
        <v>141</v>
      </c>
      <c r="C20" s="3" t="s">
        <v>142</v>
      </c>
      <c r="D20" s="69"/>
      <c r="E20" s="69"/>
    </row>
    <row r="21" spans="1:5" x14ac:dyDescent="0.2">
      <c r="A21" s="69"/>
      <c r="B21" s="4" t="s">
        <v>69</v>
      </c>
      <c r="C21" s="3" t="s">
        <v>106</v>
      </c>
      <c r="D21" s="69"/>
      <c r="E21" s="69"/>
    </row>
    <row r="22" spans="1:5" ht="24" x14ac:dyDescent="0.2">
      <c r="A22" s="69"/>
      <c r="B22" s="4" t="s">
        <v>40</v>
      </c>
      <c r="C22" s="3" t="s">
        <v>86</v>
      </c>
      <c r="D22" s="69"/>
      <c r="E22" s="69"/>
    </row>
    <row r="23" spans="1:5" ht="24" x14ac:dyDescent="0.2">
      <c r="A23" s="69" t="s">
        <v>41</v>
      </c>
      <c r="B23" s="69"/>
      <c r="C23" s="3" t="s">
        <v>120</v>
      </c>
      <c r="D23" s="69"/>
      <c r="E23" s="69"/>
    </row>
    <row r="24" spans="1:5" ht="24" x14ac:dyDescent="0.2">
      <c r="A24" s="69" t="s">
        <v>42</v>
      </c>
      <c r="B24" s="4" t="s">
        <v>91</v>
      </c>
      <c r="C24" s="3" t="s">
        <v>243</v>
      </c>
      <c r="D24" s="69"/>
      <c r="E24" s="69"/>
    </row>
    <row r="25" spans="1:5" x14ac:dyDescent="0.2">
      <c r="A25" s="69"/>
      <c r="B25" s="4" t="s">
        <v>93</v>
      </c>
      <c r="C25" s="3" t="s">
        <v>244</v>
      </c>
      <c r="D25" s="69"/>
      <c r="E25" s="69"/>
    </row>
    <row r="26" spans="1:5" x14ac:dyDescent="0.2">
      <c r="A26" s="69"/>
      <c r="B26" s="4" t="s">
        <v>94</v>
      </c>
      <c r="C26" s="3" t="s">
        <v>254</v>
      </c>
      <c r="D26" s="69"/>
      <c r="E26" s="69"/>
    </row>
    <row r="27" spans="1:5" x14ac:dyDescent="0.2">
      <c r="A27" s="69"/>
      <c r="B27" s="4" t="s">
        <v>95</v>
      </c>
      <c r="C27" s="3" t="s">
        <v>133</v>
      </c>
      <c r="D27" s="69"/>
      <c r="E27" s="69"/>
    </row>
    <row r="28" spans="1:5" x14ac:dyDescent="0.2">
      <c r="A28" s="69"/>
      <c r="B28" s="4" t="s">
        <v>144</v>
      </c>
      <c r="C28" s="3" t="s">
        <v>133</v>
      </c>
      <c r="D28" s="69"/>
      <c r="E28" s="69"/>
    </row>
    <row r="29" spans="1:5" x14ac:dyDescent="0.2">
      <c r="A29" s="69"/>
      <c r="B29" s="4" t="s">
        <v>92</v>
      </c>
      <c r="C29" s="3" t="s">
        <v>254</v>
      </c>
      <c r="D29" s="69"/>
      <c r="E29" s="69"/>
    </row>
    <row r="30" spans="1:5" x14ac:dyDescent="0.2">
      <c r="A30" s="69"/>
      <c r="B30" s="4" t="s">
        <v>96</v>
      </c>
      <c r="C30" s="3" t="s">
        <v>137</v>
      </c>
      <c r="D30" s="69"/>
      <c r="E30" s="69"/>
    </row>
    <row r="31" spans="1:5" ht="36" x14ac:dyDescent="0.2">
      <c r="A31" s="69"/>
      <c r="B31" s="4" t="s">
        <v>72</v>
      </c>
      <c r="C31" s="3" t="s">
        <v>139</v>
      </c>
      <c r="D31" s="69"/>
      <c r="E31" s="69"/>
    </row>
    <row r="32" spans="1:5" ht="24" x14ac:dyDescent="0.2">
      <c r="A32" s="69"/>
      <c r="B32" s="6" t="s">
        <v>140</v>
      </c>
      <c r="C32" s="5" t="s">
        <v>99</v>
      </c>
      <c r="D32" s="69"/>
      <c r="E32" s="69"/>
    </row>
    <row r="33" spans="1:5" ht="24" x14ac:dyDescent="0.2">
      <c r="A33" s="69"/>
      <c r="B33" s="4" t="s">
        <v>43</v>
      </c>
      <c r="C33" s="3" t="s">
        <v>182</v>
      </c>
      <c r="D33" s="69"/>
      <c r="E33" s="69"/>
    </row>
    <row r="34" spans="1:5" ht="36" x14ac:dyDescent="0.2">
      <c r="A34" s="69"/>
      <c r="B34" s="4" t="s">
        <v>44</v>
      </c>
      <c r="C34" s="3" t="s">
        <v>192</v>
      </c>
      <c r="D34" s="69"/>
      <c r="E34" s="69"/>
    </row>
    <row r="35" spans="1:5" ht="36" x14ac:dyDescent="0.2">
      <c r="A35" s="69"/>
      <c r="B35" s="4" t="s">
        <v>45</v>
      </c>
      <c r="C35" s="3" t="s">
        <v>181</v>
      </c>
      <c r="D35" s="69"/>
      <c r="E35" s="69"/>
    </row>
    <row r="36" spans="1:5" ht="36" x14ac:dyDescent="0.2">
      <c r="A36" s="69" t="s">
        <v>46</v>
      </c>
      <c r="B36" s="69"/>
      <c r="C36" s="3" t="s">
        <v>47</v>
      </c>
      <c r="D36" s="69"/>
      <c r="E36" s="69"/>
    </row>
    <row r="37" spans="1:5" x14ac:dyDescent="0.2">
      <c r="A37" s="69" t="s">
        <v>48</v>
      </c>
      <c r="B37" s="69"/>
      <c r="C37" s="3" t="s">
        <v>49</v>
      </c>
      <c r="D37" s="69"/>
      <c r="E37" s="69"/>
    </row>
    <row r="38" spans="1:5" x14ac:dyDescent="0.2">
      <c r="A38" s="69" t="s">
        <v>129</v>
      </c>
      <c r="B38" s="69"/>
      <c r="C38" s="3" t="s">
        <v>50</v>
      </c>
      <c r="D38" s="69"/>
      <c r="E38" s="69"/>
    </row>
    <row r="39" spans="1:5" x14ac:dyDescent="0.2">
      <c r="A39" s="69" t="s">
        <v>128</v>
      </c>
      <c r="B39" s="69"/>
      <c r="C39" s="3" t="s">
        <v>127</v>
      </c>
      <c r="D39" s="69"/>
      <c r="E39" s="69"/>
    </row>
    <row r="40" spans="1:5" x14ac:dyDescent="0.2">
      <c r="A40" s="64" t="s">
        <v>124</v>
      </c>
      <c r="B40" s="65"/>
      <c r="C40" s="3" t="s">
        <v>288</v>
      </c>
      <c r="D40" s="64"/>
      <c r="E40" s="65"/>
    </row>
    <row r="41" spans="1:5" x14ac:dyDescent="0.2">
      <c r="A41" s="64" t="s">
        <v>125</v>
      </c>
      <c r="B41" s="65"/>
      <c r="C41" s="3" t="s">
        <v>289</v>
      </c>
      <c r="D41" s="64"/>
      <c r="E41" s="65"/>
    </row>
    <row r="42" spans="1:5" x14ac:dyDescent="0.2">
      <c r="A42" s="64" t="s">
        <v>126</v>
      </c>
      <c r="B42" s="65"/>
      <c r="C42" s="3" t="s">
        <v>195</v>
      </c>
      <c r="D42" s="64"/>
      <c r="E42" s="65"/>
    </row>
    <row r="43" spans="1:5" ht="24" x14ac:dyDescent="0.2">
      <c r="A43" s="69" t="s">
        <v>51</v>
      </c>
      <c r="B43" s="69"/>
      <c r="C43" s="3" t="s">
        <v>52</v>
      </c>
      <c r="D43" s="69"/>
      <c r="E43" s="69"/>
    </row>
    <row r="44" spans="1:5" x14ac:dyDescent="0.2">
      <c r="A44" s="69" t="s">
        <v>53</v>
      </c>
      <c r="B44" s="69"/>
      <c r="C44" s="3" t="s">
        <v>149</v>
      </c>
      <c r="D44" s="69"/>
      <c r="E44" s="69"/>
    </row>
    <row r="45" spans="1:5" ht="24" x14ac:dyDescent="0.2">
      <c r="A45" s="69" t="s">
        <v>54</v>
      </c>
      <c r="B45" s="69"/>
      <c r="C45" s="3" t="s">
        <v>436</v>
      </c>
      <c r="D45" s="69"/>
      <c r="E45" s="69"/>
    </row>
    <row r="46" spans="1:5" x14ac:dyDescent="0.2">
      <c r="A46" s="7"/>
      <c r="B46" s="8"/>
      <c r="C46" s="8"/>
      <c r="D46" s="8"/>
      <c r="E46" s="9"/>
    </row>
    <row r="47" spans="1:5" x14ac:dyDescent="0.2">
      <c r="A47" s="10" t="s">
        <v>58</v>
      </c>
      <c r="E47" s="11"/>
    </row>
    <row r="48" spans="1:5" x14ac:dyDescent="0.2">
      <c r="A48" s="70" t="s">
        <v>70</v>
      </c>
      <c r="B48" s="71"/>
      <c r="C48" s="71"/>
      <c r="D48" s="71"/>
      <c r="E48" s="72"/>
    </row>
    <row r="49" spans="1:5" x14ac:dyDescent="0.2">
      <c r="A49" s="70"/>
      <c r="B49" s="71"/>
      <c r="C49" s="71"/>
      <c r="D49" s="71"/>
      <c r="E49" s="72"/>
    </row>
    <row r="50" spans="1:5" x14ac:dyDescent="0.2">
      <c r="A50" s="70" t="s">
        <v>437</v>
      </c>
      <c r="B50" s="71"/>
      <c r="C50" s="71"/>
      <c r="D50" s="71"/>
      <c r="E50" s="72"/>
    </row>
    <row r="51" spans="1:5" x14ac:dyDescent="0.2">
      <c r="A51" s="70" t="s">
        <v>97</v>
      </c>
      <c r="B51" s="71"/>
      <c r="C51" s="71"/>
      <c r="D51" s="71"/>
      <c r="E51" s="72"/>
    </row>
    <row r="52" spans="1:5" x14ac:dyDescent="0.2">
      <c r="A52" s="70"/>
      <c r="B52" s="71"/>
      <c r="C52" s="71"/>
      <c r="D52" s="71"/>
      <c r="E52" s="72"/>
    </row>
    <row r="53" spans="1:5" x14ac:dyDescent="0.2">
      <c r="A53" s="70" t="s">
        <v>150</v>
      </c>
      <c r="B53" s="71"/>
      <c r="C53" s="71"/>
      <c r="D53" s="71"/>
      <c r="E53" s="72"/>
    </row>
    <row r="54" spans="1:5" ht="11.45" customHeight="1" x14ac:dyDescent="0.2">
      <c r="A54" s="70" t="s">
        <v>151</v>
      </c>
      <c r="B54" s="71"/>
      <c r="C54" s="71"/>
      <c r="D54" s="71"/>
      <c r="E54" s="72"/>
    </row>
    <row r="55" spans="1:5" x14ac:dyDescent="0.2">
      <c r="A55" s="66" t="s">
        <v>107</v>
      </c>
      <c r="B55" s="67"/>
      <c r="C55" s="67"/>
      <c r="D55" s="67"/>
      <c r="E55" s="68"/>
    </row>
  </sheetData>
  <mergeCells count="75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2"/>
    <mergeCell ref="D16:E16"/>
    <mergeCell ref="D17:E17"/>
    <mergeCell ref="D18:E18"/>
    <mergeCell ref="D19:E19"/>
    <mergeCell ref="D20:E20"/>
    <mergeCell ref="D21:E21"/>
    <mergeCell ref="D22:E22"/>
    <mergeCell ref="A23:B23"/>
    <mergeCell ref="D23:E23"/>
    <mergeCell ref="A24:A35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D35:E35"/>
    <mergeCell ref="A37:B37"/>
    <mergeCell ref="D37:E37"/>
    <mergeCell ref="A38:B38"/>
    <mergeCell ref="D38:E38"/>
    <mergeCell ref="A36:B36"/>
    <mergeCell ref="D36:E36"/>
    <mergeCell ref="A39:B39"/>
    <mergeCell ref="D39:E39"/>
    <mergeCell ref="A40:B40"/>
    <mergeCell ref="D40:E40"/>
    <mergeCell ref="A41:B41"/>
    <mergeCell ref="D41:E41"/>
    <mergeCell ref="A42:B42"/>
    <mergeCell ref="D42:E42"/>
    <mergeCell ref="A55:E55"/>
    <mergeCell ref="A43:B43"/>
    <mergeCell ref="D43:E43"/>
    <mergeCell ref="A44:B44"/>
    <mergeCell ref="D44:E44"/>
    <mergeCell ref="A45:B45"/>
    <mergeCell ref="D45:E45"/>
    <mergeCell ref="A48:E49"/>
    <mergeCell ref="A50:E50"/>
    <mergeCell ref="A51:E52"/>
    <mergeCell ref="A53:E53"/>
    <mergeCell ref="A54:E54"/>
  </mergeCells>
  <conditionalFormatting sqref="B17">
    <cfRule type="duplicateValues" dxfId="727" priority="4"/>
  </conditionalFormatting>
  <conditionalFormatting sqref="B18">
    <cfRule type="duplicateValues" dxfId="726" priority="3"/>
  </conditionalFormatting>
  <conditionalFormatting sqref="B20">
    <cfRule type="duplicateValues" dxfId="725" priority="2"/>
  </conditionalFormatting>
  <conditionalFormatting sqref="B21">
    <cfRule type="duplicateValues" dxfId="724" priority="10"/>
  </conditionalFormatting>
  <conditionalFormatting sqref="B25">
    <cfRule type="duplicateValues" dxfId="723" priority="12"/>
  </conditionalFormatting>
  <conditionalFormatting sqref="B28">
    <cfRule type="duplicateValues" dxfId="722" priority="1"/>
  </conditionalFormatting>
  <conditionalFormatting sqref="B32">
    <cfRule type="duplicateValues" dxfId="721" priority="11"/>
  </conditionalFormatting>
  <conditionalFormatting sqref="B38">
    <cfRule type="duplicateValues" dxfId="720" priority="6"/>
  </conditionalFormatting>
  <conditionalFormatting sqref="B39">
    <cfRule type="duplicateValues" dxfId="719" priority="5"/>
  </conditionalFormatting>
  <conditionalFormatting sqref="B40">
    <cfRule type="duplicateValues" dxfId="718" priority="9"/>
  </conditionalFormatting>
  <conditionalFormatting sqref="B41">
    <cfRule type="duplicateValues" dxfId="717" priority="8"/>
  </conditionalFormatting>
  <conditionalFormatting sqref="B42">
    <cfRule type="duplicateValues" dxfId="716" priority="7"/>
  </conditionalFormatting>
  <conditionalFormatting sqref="B56:B1048576 B4:B10 B26:B27 B12:B16 B33:B37 B22:B24 B43:B47 B19 B29:B31">
    <cfRule type="duplicateValues" dxfId="715" priority="13"/>
  </conditionalFormatting>
  <pageMargins left="0.7" right="0.7" top="0.75" bottom="0.75" header="0.3" footer="0.3"/>
  <pageSetup paperSize="9" scale="88" orientation="portrait" horizontalDpi="4294967295" verticalDpi="4294967295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9F61CB-9798-4D52-A798-D0A989E4AF9A}">
  <sheetPr codeName="Sheet15">
    <tabColor theme="4" tint="-0.249977111117893"/>
    <pageSetUpPr fitToPage="1"/>
  </sheetPr>
  <dimension ref="A1:E55"/>
  <sheetViews>
    <sheetView zoomScaleNormal="100" workbookViewId="0">
      <selection sqref="A1:B3"/>
    </sheetView>
  </sheetViews>
  <sheetFormatPr defaultColWidth="8.85546875" defaultRowHeight="12" x14ac:dyDescent="0.2"/>
  <cols>
    <col min="1" max="1" width="12.5703125" style="1" customWidth="1"/>
    <col min="2" max="2" width="13.42578125" style="1" bestFit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4" customFormat="1" ht="30" customHeight="1" x14ac:dyDescent="0.25">
      <c r="A1" s="77" t="e" vm="1">
        <v>#VALUE!</v>
      </c>
      <c r="B1" s="78"/>
      <c r="C1" s="83" t="s">
        <v>112</v>
      </c>
      <c r="D1" s="13" t="s">
        <v>110</v>
      </c>
      <c r="E1" s="13" t="s">
        <v>435</v>
      </c>
    </row>
    <row r="2" spans="1:5" s="14" customFormat="1" ht="30" customHeight="1" x14ac:dyDescent="0.25">
      <c r="A2" s="79"/>
      <c r="B2" s="80"/>
      <c r="C2" s="84"/>
      <c r="D2" s="15" t="s">
        <v>109</v>
      </c>
      <c r="E2" s="16" t="str">
        <f>VLOOKUP(C4,Index!B:J,9,FALSE)</f>
        <v>C0</v>
      </c>
    </row>
    <row r="3" spans="1:5" s="14" customFormat="1" ht="30" customHeight="1" x14ac:dyDescent="0.25">
      <c r="A3" s="81"/>
      <c r="B3" s="82"/>
      <c r="C3" s="85"/>
      <c r="D3" s="15" t="s">
        <v>111</v>
      </c>
      <c r="E3" s="17">
        <f>VLOOKUP(C4,Index!B:I,8,FALSE)</f>
        <v>324</v>
      </c>
    </row>
    <row r="4" spans="1:5" x14ac:dyDescent="0.2">
      <c r="A4" s="86" t="s">
        <v>74</v>
      </c>
      <c r="B4" s="86"/>
      <c r="C4" s="2" t="s">
        <v>199</v>
      </c>
      <c r="D4" s="86" t="s">
        <v>55</v>
      </c>
      <c r="E4" s="86"/>
    </row>
    <row r="5" spans="1:5" x14ac:dyDescent="0.2">
      <c r="A5" s="69" t="s">
        <v>26</v>
      </c>
      <c r="B5" s="69"/>
      <c r="C5" s="3" t="s">
        <v>15</v>
      </c>
      <c r="D5" s="69"/>
      <c r="E5" s="69"/>
    </row>
    <row r="6" spans="1:5" x14ac:dyDescent="0.2">
      <c r="A6" s="69" t="s">
        <v>27</v>
      </c>
      <c r="B6" s="69"/>
      <c r="C6" s="3" t="s">
        <v>78</v>
      </c>
      <c r="D6" s="69"/>
      <c r="E6" s="69"/>
    </row>
    <row r="7" spans="1:5" x14ac:dyDescent="0.2">
      <c r="A7" s="69" t="s">
        <v>28</v>
      </c>
      <c r="B7" s="69"/>
      <c r="C7" s="3" t="s">
        <v>82</v>
      </c>
      <c r="D7" s="69"/>
      <c r="E7" s="69"/>
    </row>
    <row r="8" spans="1:5" ht="24" x14ac:dyDescent="0.2">
      <c r="A8" s="69" t="s">
        <v>29</v>
      </c>
      <c r="B8" s="69"/>
      <c r="C8" s="3" t="str">
        <f>VLOOKUP(C5,Index!N:W,6,FALSE)</f>
        <v>Diesel, WI, HC with low CO2 and H2S, Steam, Hydraulic</v>
      </c>
      <c r="D8" s="69"/>
      <c r="E8" s="69"/>
    </row>
    <row r="9" spans="1:5" x14ac:dyDescent="0.2">
      <c r="A9" s="69" t="s">
        <v>30</v>
      </c>
      <c r="B9" s="69"/>
      <c r="C9" s="3" t="s">
        <v>148</v>
      </c>
      <c r="D9" s="69"/>
      <c r="E9" s="69"/>
    </row>
    <row r="10" spans="1:5" x14ac:dyDescent="0.2">
      <c r="A10" s="69" t="s">
        <v>31</v>
      </c>
      <c r="B10" s="69"/>
      <c r="C10" s="3" t="s">
        <v>61</v>
      </c>
      <c r="D10" s="69"/>
      <c r="E10" s="69"/>
    </row>
    <row r="11" spans="1:5" x14ac:dyDescent="0.2">
      <c r="A11" s="73" t="s">
        <v>119</v>
      </c>
      <c r="B11" s="74"/>
      <c r="C11" s="12" t="str">
        <f>VLOOKUP(C5,Index!N:W,10,FALSE)</f>
        <v>153.2 @ -29°C' 131.4 @ 200°C</v>
      </c>
      <c r="D11" s="75"/>
      <c r="E11" s="76"/>
    </row>
    <row r="12" spans="1:5" x14ac:dyDescent="0.2">
      <c r="A12" s="69" t="s">
        <v>32</v>
      </c>
      <c r="B12" s="69"/>
      <c r="C12" s="3" t="str">
        <f>VLOOKUP(C5,Index!N:W,5,FALSE)</f>
        <v>3 mm</v>
      </c>
      <c r="D12" s="69"/>
      <c r="E12" s="69"/>
    </row>
    <row r="13" spans="1:5" x14ac:dyDescent="0.2">
      <c r="A13" s="69" t="s">
        <v>33</v>
      </c>
      <c r="B13" s="69"/>
      <c r="C13" s="3" t="s">
        <v>34</v>
      </c>
      <c r="D13" s="69"/>
      <c r="E13" s="69"/>
    </row>
    <row r="14" spans="1:5" x14ac:dyDescent="0.2">
      <c r="A14" s="69" t="s">
        <v>35</v>
      </c>
      <c r="B14" s="69"/>
      <c r="C14" s="3" t="s">
        <v>62</v>
      </c>
      <c r="D14" s="69"/>
      <c r="E14" s="69"/>
    </row>
    <row r="15" spans="1:5" x14ac:dyDescent="0.2">
      <c r="A15" s="69" t="s">
        <v>36</v>
      </c>
      <c r="B15" s="69"/>
      <c r="C15" s="3" t="s">
        <v>67</v>
      </c>
      <c r="D15" s="69"/>
      <c r="E15" s="69"/>
    </row>
    <row r="16" spans="1:5" x14ac:dyDescent="0.2">
      <c r="A16" s="69" t="s">
        <v>37</v>
      </c>
      <c r="B16" s="4" t="s">
        <v>38</v>
      </c>
      <c r="C16" s="3" t="s">
        <v>73</v>
      </c>
      <c r="D16" s="69"/>
      <c r="E16" s="69"/>
    </row>
    <row r="17" spans="1:5" ht="24" x14ac:dyDescent="0.2">
      <c r="A17" s="69"/>
      <c r="B17" s="4" t="s">
        <v>75</v>
      </c>
      <c r="C17" s="3" t="s">
        <v>76</v>
      </c>
      <c r="D17" s="69"/>
      <c r="E17" s="69"/>
    </row>
    <row r="18" spans="1:5" ht="24" x14ac:dyDescent="0.2">
      <c r="A18" s="69"/>
      <c r="B18" s="4" t="s">
        <v>39</v>
      </c>
      <c r="C18" s="3" t="s">
        <v>87</v>
      </c>
      <c r="D18" s="69"/>
      <c r="E18" s="69"/>
    </row>
    <row r="19" spans="1:5" x14ac:dyDescent="0.2">
      <c r="A19" s="69"/>
      <c r="B19" s="4" t="s">
        <v>68</v>
      </c>
      <c r="C19" s="3" t="s">
        <v>143</v>
      </c>
      <c r="D19" s="69"/>
      <c r="E19" s="69"/>
    </row>
    <row r="20" spans="1:5" x14ac:dyDescent="0.2">
      <c r="A20" s="69"/>
      <c r="B20" s="4" t="s">
        <v>141</v>
      </c>
      <c r="C20" s="3" t="s">
        <v>142</v>
      </c>
      <c r="D20" s="69"/>
      <c r="E20" s="69"/>
    </row>
    <row r="21" spans="1:5" x14ac:dyDescent="0.2">
      <c r="A21" s="69"/>
      <c r="B21" s="4" t="s">
        <v>69</v>
      </c>
      <c r="C21" s="3" t="s">
        <v>106</v>
      </c>
      <c r="D21" s="69"/>
      <c r="E21" s="69"/>
    </row>
    <row r="22" spans="1:5" ht="24" x14ac:dyDescent="0.2">
      <c r="A22" s="69"/>
      <c r="B22" s="4" t="s">
        <v>40</v>
      </c>
      <c r="C22" s="3" t="s">
        <v>86</v>
      </c>
      <c r="D22" s="69"/>
      <c r="E22" s="69"/>
    </row>
    <row r="23" spans="1:5" ht="24" x14ac:dyDescent="0.2">
      <c r="A23" s="69" t="s">
        <v>41</v>
      </c>
      <c r="B23" s="69"/>
      <c r="C23" s="3" t="s">
        <v>123</v>
      </c>
      <c r="D23" s="69"/>
      <c r="E23" s="69"/>
    </row>
    <row r="24" spans="1:5" ht="24" x14ac:dyDescent="0.2">
      <c r="A24" s="69" t="s">
        <v>42</v>
      </c>
      <c r="B24" s="4" t="s">
        <v>91</v>
      </c>
      <c r="C24" s="3" t="s">
        <v>243</v>
      </c>
      <c r="D24" s="69"/>
      <c r="E24" s="69"/>
    </row>
    <row r="25" spans="1:5" x14ac:dyDescent="0.2">
      <c r="A25" s="69"/>
      <c r="B25" s="4" t="s">
        <v>93</v>
      </c>
      <c r="C25" s="3" t="s">
        <v>244</v>
      </c>
      <c r="D25" s="69"/>
      <c r="E25" s="69"/>
    </row>
    <row r="26" spans="1:5" x14ac:dyDescent="0.2">
      <c r="A26" s="69"/>
      <c r="B26" s="4" t="s">
        <v>94</v>
      </c>
      <c r="C26" s="3" t="s">
        <v>255</v>
      </c>
      <c r="D26" s="69"/>
      <c r="E26" s="69"/>
    </row>
    <row r="27" spans="1:5" x14ac:dyDescent="0.2">
      <c r="A27" s="69"/>
      <c r="B27" s="4" t="s">
        <v>95</v>
      </c>
      <c r="C27" s="3" t="s">
        <v>133</v>
      </c>
      <c r="D27" s="69"/>
      <c r="E27" s="69"/>
    </row>
    <row r="28" spans="1:5" x14ac:dyDescent="0.2">
      <c r="A28" s="69"/>
      <c r="B28" s="4" t="s">
        <v>144</v>
      </c>
      <c r="C28" s="3" t="s">
        <v>133</v>
      </c>
      <c r="D28" s="69"/>
      <c r="E28" s="69"/>
    </row>
    <row r="29" spans="1:5" x14ac:dyDescent="0.2">
      <c r="A29" s="69"/>
      <c r="B29" s="4" t="s">
        <v>92</v>
      </c>
      <c r="C29" s="3" t="s">
        <v>255</v>
      </c>
      <c r="D29" s="69"/>
      <c r="E29" s="69"/>
    </row>
    <row r="30" spans="1:5" x14ac:dyDescent="0.2">
      <c r="A30" s="69"/>
      <c r="B30" s="4" t="s">
        <v>96</v>
      </c>
      <c r="C30" s="3" t="s">
        <v>137</v>
      </c>
      <c r="D30" s="69"/>
      <c r="E30" s="69"/>
    </row>
    <row r="31" spans="1:5" ht="36" x14ac:dyDescent="0.2">
      <c r="A31" s="69"/>
      <c r="B31" s="4" t="s">
        <v>72</v>
      </c>
      <c r="C31" s="3" t="s">
        <v>139</v>
      </c>
      <c r="D31" s="69"/>
      <c r="E31" s="69"/>
    </row>
    <row r="32" spans="1:5" ht="24" x14ac:dyDescent="0.2">
      <c r="A32" s="69"/>
      <c r="B32" s="6" t="s">
        <v>140</v>
      </c>
      <c r="C32" s="5" t="s">
        <v>99</v>
      </c>
      <c r="D32" s="69"/>
      <c r="E32" s="69"/>
    </row>
    <row r="33" spans="1:5" ht="24" x14ac:dyDescent="0.2">
      <c r="A33" s="69"/>
      <c r="B33" s="4" t="s">
        <v>43</v>
      </c>
      <c r="C33" s="3" t="s">
        <v>183</v>
      </c>
      <c r="D33" s="69"/>
      <c r="E33" s="69"/>
    </row>
    <row r="34" spans="1:5" ht="36" x14ac:dyDescent="0.2">
      <c r="A34" s="69"/>
      <c r="B34" s="4" t="s">
        <v>44</v>
      </c>
      <c r="C34" s="3" t="s">
        <v>192</v>
      </c>
      <c r="D34" s="69"/>
      <c r="E34" s="69"/>
    </row>
    <row r="35" spans="1:5" ht="36" x14ac:dyDescent="0.2">
      <c r="A35" s="69"/>
      <c r="B35" s="4" t="s">
        <v>45</v>
      </c>
      <c r="C35" s="3" t="s">
        <v>181</v>
      </c>
      <c r="D35" s="69"/>
      <c r="E35" s="69"/>
    </row>
    <row r="36" spans="1:5" ht="36" x14ac:dyDescent="0.2">
      <c r="A36" s="69" t="s">
        <v>46</v>
      </c>
      <c r="B36" s="69"/>
      <c r="C36" s="3" t="s">
        <v>47</v>
      </c>
      <c r="D36" s="69"/>
      <c r="E36" s="69"/>
    </row>
    <row r="37" spans="1:5" x14ac:dyDescent="0.2">
      <c r="A37" s="69" t="s">
        <v>48</v>
      </c>
      <c r="B37" s="69"/>
      <c r="C37" s="3" t="s">
        <v>49</v>
      </c>
      <c r="D37" s="69"/>
      <c r="E37" s="69"/>
    </row>
    <row r="38" spans="1:5" x14ac:dyDescent="0.2">
      <c r="A38" s="69" t="s">
        <v>129</v>
      </c>
      <c r="B38" s="69"/>
      <c r="C38" s="3" t="s">
        <v>50</v>
      </c>
      <c r="D38" s="69"/>
      <c r="E38" s="69"/>
    </row>
    <row r="39" spans="1:5" x14ac:dyDescent="0.2">
      <c r="A39" s="69" t="s">
        <v>128</v>
      </c>
      <c r="B39" s="69"/>
      <c r="C39" s="3" t="s">
        <v>127</v>
      </c>
      <c r="D39" s="69"/>
      <c r="E39" s="69"/>
    </row>
    <row r="40" spans="1:5" x14ac:dyDescent="0.2">
      <c r="A40" s="64" t="s">
        <v>124</v>
      </c>
      <c r="B40" s="65"/>
      <c r="C40" s="3" t="s">
        <v>286</v>
      </c>
      <c r="D40" s="64"/>
      <c r="E40" s="65"/>
    </row>
    <row r="41" spans="1:5" x14ac:dyDescent="0.2">
      <c r="A41" s="64" t="s">
        <v>125</v>
      </c>
      <c r="B41" s="65"/>
      <c r="C41" s="3" t="s">
        <v>287</v>
      </c>
      <c r="D41" s="64"/>
      <c r="E41" s="65"/>
    </row>
    <row r="42" spans="1:5" x14ac:dyDescent="0.2">
      <c r="A42" s="64" t="s">
        <v>126</v>
      </c>
      <c r="B42" s="65"/>
      <c r="C42" s="3" t="s">
        <v>195</v>
      </c>
      <c r="D42" s="64"/>
      <c r="E42" s="65"/>
    </row>
    <row r="43" spans="1:5" ht="24" x14ac:dyDescent="0.2">
      <c r="A43" s="69" t="s">
        <v>51</v>
      </c>
      <c r="B43" s="69"/>
      <c r="C43" s="3" t="s">
        <v>52</v>
      </c>
      <c r="D43" s="69"/>
      <c r="E43" s="69"/>
    </row>
    <row r="44" spans="1:5" x14ac:dyDescent="0.2">
      <c r="A44" s="69" t="s">
        <v>53</v>
      </c>
      <c r="B44" s="69"/>
      <c r="C44" s="3" t="s">
        <v>149</v>
      </c>
      <c r="D44" s="69"/>
      <c r="E44" s="69"/>
    </row>
    <row r="45" spans="1:5" ht="24" x14ac:dyDescent="0.2">
      <c r="A45" s="69" t="s">
        <v>54</v>
      </c>
      <c r="B45" s="69"/>
      <c r="C45" s="3" t="s">
        <v>436</v>
      </c>
      <c r="D45" s="69"/>
      <c r="E45" s="69"/>
    </row>
    <row r="46" spans="1:5" x14ac:dyDescent="0.2">
      <c r="A46" s="7"/>
      <c r="B46" s="8"/>
      <c r="C46" s="8"/>
      <c r="D46" s="8"/>
      <c r="E46" s="9"/>
    </row>
    <row r="47" spans="1:5" x14ac:dyDescent="0.2">
      <c r="A47" s="10" t="s">
        <v>58</v>
      </c>
      <c r="E47" s="11"/>
    </row>
    <row r="48" spans="1:5" x14ac:dyDescent="0.2">
      <c r="A48" s="70" t="s">
        <v>70</v>
      </c>
      <c r="B48" s="71"/>
      <c r="C48" s="71"/>
      <c r="D48" s="71"/>
      <c r="E48" s="72"/>
    </row>
    <row r="49" spans="1:5" x14ac:dyDescent="0.2">
      <c r="A49" s="70"/>
      <c r="B49" s="71"/>
      <c r="C49" s="71"/>
      <c r="D49" s="71"/>
      <c r="E49" s="72"/>
    </row>
    <row r="50" spans="1:5" x14ac:dyDescent="0.2">
      <c r="A50" s="70" t="s">
        <v>437</v>
      </c>
      <c r="B50" s="71"/>
      <c r="C50" s="71"/>
      <c r="D50" s="71"/>
      <c r="E50" s="72"/>
    </row>
    <row r="51" spans="1:5" x14ac:dyDescent="0.2">
      <c r="A51" s="70" t="s">
        <v>97</v>
      </c>
      <c r="B51" s="71"/>
      <c r="C51" s="71"/>
      <c r="D51" s="71"/>
      <c r="E51" s="72"/>
    </row>
    <row r="52" spans="1:5" x14ac:dyDescent="0.2">
      <c r="A52" s="70"/>
      <c r="B52" s="71"/>
      <c r="C52" s="71"/>
      <c r="D52" s="71"/>
      <c r="E52" s="72"/>
    </row>
    <row r="53" spans="1:5" x14ac:dyDescent="0.2">
      <c r="A53" s="70" t="s">
        <v>150</v>
      </c>
      <c r="B53" s="71"/>
      <c r="C53" s="71"/>
      <c r="D53" s="71"/>
      <c r="E53" s="72"/>
    </row>
    <row r="54" spans="1:5" ht="11.45" customHeight="1" x14ac:dyDescent="0.2">
      <c r="A54" s="70" t="s">
        <v>151</v>
      </c>
      <c r="B54" s="71"/>
      <c r="C54" s="71"/>
      <c r="D54" s="71"/>
      <c r="E54" s="72"/>
    </row>
    <row r="55" spans="1:5" x14ac:dyDescent="0.2">
      <c r="A55" s="66" t="s">
        <v>107</v>
      </c>
      <c r="B55" s="67"/>
      <c r="C55" s="67"/>
      <c r="D55" s="67"/>
      <c r="E55" s="68"/>
    </row>
  </sheetData>
  <mergeCells count="75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2"/>
    <mergeCell ref="D16:E16"/>
    <mergeCell ref="D17:E17"/>
    <mergeCell ref="D18:E18"/>
    <mergeCell ref="D19:E19"/>
    <mergeCell ref="D20:E20"/>
    <mergeCell ref="D21:E21"/>
    <mergeCell ref="D22:E22"/>
    <mergeCell ref="A23:B23"/>
    <mergeCell ref="D23:E23"/>
    <mergeCell ref="A24:A35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D35:E35"/>
    <mergeCell ref="A37:B37"/>
    <mergeCell ref="D37:E37"/>
    <mergeCell ref="A38:B38"/>
    <mergeCell ref="D38:E38"/>
    <mergeCell ref="A36:B36"/>
    <mergeCell ref="D36:E36"/>
    <mergeCell ref="A39:B39"/>
    <mergeCell ref="D39:E39"/>
    <mergeCell ref="A40:B40"/>
    <mergeCell ref="D40:E40"/>
    <mergeCell ref="A41:B41"/>
    <mergeCell ref="D41:E41"/>
    <mergeCell ref="A42:B42"/>
    <mergeCell ref="D42:E42"/>
    <mergeCell ref="A55:E55"/>
    <mergeCell ref="A43:B43"/>
    <mergeCell ref="D43:E43"/>
    <mergeCell ref="A44:B44"/>
    <mergeCell ref="D44:E44"/>
    <mergeCell ref="A45:B45"/>
    <mergeCell ref="D45:E45"/>
    <mergeCell ref="A48:E49"/>
    <mergeCell ref="A50:E50"/>
    <mergeCell ref="A51:E52"/>
    <mergeCell ref="A53:E53"/>
    <mergeCell ref="A54:E54"/>
  </mergeCells>
  <conditionalFormatting sqref="B17">
    <cfRule type="duplicateValues" dxfId="714" priority="4"/>
  </conditionalFormatting>
  <conditionalFormatting sqref="B18">
    <cfRule type="duplicateValues" dxfId="713" priority="3"/>
  </conditionalFormatting>
  <conditionalFormatting sqref="B20">
    <cfRule type="duplicateValues" dxfId="712" priority="2"/>
  </conditionalFormatting>
  <conditionalFormatting sqref="B21">
    <cfRule type="duplicateValues" dxfId="711" priority="10"/>
  </conditionalFormatting>
  <conditionalFormatting sqref="B25">
    <cfRule type="duplicateValues" dxfId="710" priority="12"/>
  </conditionalFormatting>
  <conditionalFormatting sqref="B28">
    <cfRule type="duplicateValues" dxfId="709" priority="1"/>
  </conditionalFormatting>
  <conditionalFormatting sqref="B32">
    <cfRule type="duplicateValues" dxfId="708" priority="11"/>
  </conditionalFormatting>
  <conditionalFormatting sqref="B38">
    <cfRule type="duplicateValues" dxfId="707" priority="6"/>
  </conditionalFormatting>
  <conditionalFormatting sqref="B39">
    <cfRule type="duplicateValues" dxfId="706" priority="5"/>
  </conditionalFormatting>
  <conditionalFormatting sqref="B40">
    <cfRule type="duplicateValues" dxfId="705" priority="9"/>
  </conditionalFormatting>
  <conditionalFormatting sqref="B41">
    <cfRule type="duplicateValues" dxfId="704" priority="8"/>
  </conditionalFormatting>
  <conditionalFormatting sqref="B42">
    <cfRule type="duplicateValues" dxfId="703" priority="7"/>
  </conditionalFormatting>
  <conditionalFormatting sqref="B56:B1048576 B4:B10 B26:B27 B12:B16 B33:B37 B22:B24 B43:B47 B19 B29:B31">
    <cfRule type="duplicateValues" dxfId="702" priority="13"/>
  </conditionalFormatting>
  <pageMargins left="0.7" right="0.7" top="0.75" bottom="0.75" header="0.3" footer="0.3"/>
  <pageSetup paperSize="9" scale="88" orientation="portrait" horizontalDpi="4294967295" verticalDpi="4294967295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F838F1-5523-4B41-BF69-ED02FE9F9412}">
  <sheetPr codeName="Sheet16">
    <tabColor theme="4" tint="-0.249977111117893"/>
    <pageSetUpPr fitToPage="1"/>
  </sheetPr>
  <dimension ref="A1:E55"/>
  <sheetViews>
    <sheetView zoomScaleNormal="100" workbookViewId="0">
      <selection sqref="A1:B3"/>
    </sheetView>
  </sheetViews>
  <sheetFormatPr defaultColWidth="8.85546875" defaultRowHeight="12" x14ac:dyDescent="0.2"/>
  <cols>
    <col min="1" max="1" width="12.5703125" style="1" customWidth="1"/>
    <col min="2" max="2" width="13.42578125" style="1" bestFit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4" customFormat="1" ht="30" customHeight="1" x14ac:dyDescent="0.25">
      <c r="A1" s="77" t="e" vm="1">
        <v>#VALUE!</v>
      </c>
      <c r="B1" s="78"/>
      <c r="C1" s="83" t="s">
        <v>112</v>
      </c>
      <c r="D1" s="13" t="s">
        <v>110</v>
      </c>
      <c r="E1" s="13" t="s">
        <v>435</v>
      </c>
    </row>
    <row r="2" spans="1:5" s="14" customFormat="1" ht="30" customHeight="1" x14ac:dyDescent="0.25">
      <c r="A2" s="79"/>
      <c r="B2" s="80"/>
      <c r="C2" s="84"/>
      <c r="D2" s="15" t="s">
        <v>109</v>
      </c>
      <c r="E2" s="16" t="str">
        <f>VLOOKUP(C4,Index!B:J,9,FALSE)</f>
        <v>C0</v>
      </c>
    </row>
    <row r="3" spans="1:5" s="14" customFormat="1" ht="30" customHeight="1" x14ac:dyDescent="0.25">
      <c r="A3" s="81"/>
      <c r="B3" s="82"/>
      <c r="C3" s="85"/>
      <c r="D3" s="15" t="s">
        <v>111</v>
      </c>
      <c r="E3" s="17">
        <f>VLOOKUP(C4,Index!B:I,8,FALSE)</f>
        <v>325</v>
      </c>
    </row>
    <row r="4" spans="1:5" x14ac:dyDescent="0.2">
      <c r="A4" s="86" t="s">
        <v>74</v>
      </c>
      <c r="B4" s="86"/>
      <c r="C4" s="2" t="s">
        <v>200</v>
      </c>
      <c r="D4" s="86" t="s">
        <v>55</v>
      </c>
      <c r="E4" s="86"/>
    </row>
    <row r="5" spans="1:5" x14ac:dyDescent="0.2">
      <c r="A5" s="69" t="s">
        <v>26</v>
      </c>
      <c r="B5" s="69"/>
      <c r="C5" s="3" t="s">
        <v>22</v>
      </c>
      <c r="D5" s="69"/>
      <c r="E5" s="69"/>
    </row>
    <row r="6" spans="1:5" x14ac:dyDescent="0.2">
      <c r="A6" s="69" t="s">
        <v>27</v>
      </c>
      <c r="B6" s="69"/>
      <c r="C6" s="3" t="s">
        <v>78</v>
      </c>
      <c r="D6" s="69"/>
      <c r="E6" s="69"/>
    </row>
    <row r="7" spans="1:5" x14ac:dyDescent="0.2">
      <c r="A7" s="69" t="s">
        <v>28</v>
      </c>
      <c r="B7" s="69"/>
      <c r="C7" s="3" t="s">
        <v>82</v>
      </c>
      <c r="D7" s="69"/>
      <c r="E7" s="69"/>
    </row>
    <row r="8" spans="1:5" ht="24" x14ac:dyDescent="0.2">
      <c r="A8" s="69" t="s">
        <v>29</v>
      </c>
      <c r="B8" s="69"/>
      <c r="C8" s="3" t="str">
        <f>VLOOKUP(C5,Index!N:W,6,FALSE)</f>
        <v>Diesel, WI, HC with low CO2 and H2S, Steam, Hydraulic</v>
      </c>
      <c r="D8" s="69"/>
      <c r="E8" s="69"/>
    </row>
    <row r="9" spans="1:5" x14ac:dyDescent="0.2">
      <c r="A9" s="69" t="s">
        <v>30</v>
      </c>
      <c r="B9" s="69"/>
      <c r="C9" s="3" t="s">
        <v>148</v>
      </c>
      <c r="D9" s="69"/>
      <c r="E9" s="69"/>
    </row>
    <row r="10" spans="1:5" x14ac:dyDescent="0.2">
      <c r="A10" s="69" t="s">
        <v>31</v>
      </c>
      <c r="B10" s="69"/>
      <c r="C10" s="3" t="s">
        <v>63</v>
      </c>
      <c r="D10" s="69"/>
      <c r="E10" s="69"/>
    </row>
    <row r="11" spans="1:5" x14ac:dyDescent="0.2">
      <c r="A11" s="73" t="s">
        <v>119</v>
      </c>
      <c r="B11" s="74"/>
      <c r="C11" s="12" t="str">
        <f>VLOOKUP(C5,Index!N:W,10,FALSE)</f>
        <v>255.3 @ -29°C' 219 @ 200°C</v>
      </c>
      <c r="D11" s="75"/>
      <c r="E11" s="76"/>
    </row>
    <row r="12" spans="1:5" x14ac:dyDescent="0.2">
      <c r="A12" s="69" t="s">
        <v>32</v>
      </c>
      <c r="B12" s="69"/>
      <c r="C12" s="3" t="str">
        <f>VLOOKUP(C5,Index!N:W,5,FALSE)</f>
        <v>3 mm</v>
      </c>
      <c r="D12" s="69"/>
      <c r="E12" s="69"/>
    </row>
    <row r="13" spans="1:5" x14ac:dyDescent="0.2">
      <c r="A13" s="69" t="s">
        <v>33</v>
      </c>
      <c r="B13" s="69"/>
      <c r="C13" s="3" t="s">
        <v>34</v>
      </c>
      <c r="D13" s="69"/>
      <c r="E13" s="69"/>
    </row>
    <row r="14" spans="1:5" ht="24" x14ac:dyDescent="0.2">
      <c r="A14" s="69" t="s">
        <v>35</v>
      </c>
      <c r="B14" s="69"/>
      <c r="C14" s="3" t="s">
        <v>316</v>
      </c>
      <c r="D14" s="69"/>
      <c r="E14" s="69"/>
    </row>
    <row r="15" spans="1:5" x14ac:dyDescent="0.2">
      <c r="A15" s="69" t="s">
        <v>36</v>
      </c>
      <c r="B15" s="69"/>
      <c r="C15" s="3" t="s">
        <v>67</v>
      </c>
      <c r="D15" s="69"/>
      <c r="E15" s="69"/>
    </row>
    <row r="16" spans="1:5" x14ac:dyDescent="0.2">
      <c r="A16" s="69" t="s">
        <v>37</v>
      </c>
      <c r="B16" s="4" t="s">
        <v>38</v>
      </c>
      <c r="C16" s="3" t="s">
        <v>73</v>
      </c>
      <c r="D16" s="69"/>
      <c r="E16" s="69"/>
    </row>
    <row r="17" spans="1:5" ht="24" x14ac:dyDescent="0.2">
      <c r="A17" s="69"/>
      <c r="B17" s="4" t="s">
        <v>75</v>
      </c>
      <c r="C17" s="3" t="s">
        <v>76</v>
      </c>
      <c r="D17" s="69"/>
      <c r="E17" s="69"/>
    </row>
    <row r="18" spans="1:5" ht="24" x14ac:dyDescent="0.2">
      <c r="A18" s="69"/>
      <c r="B18" s="4" t="s">
        <v>39</v>
      </c>
      <c r="C18" s="3" t="s">
        <v>87</v>
      </c>
      <c r="D18" s="69"/>
      <c r="E18" s="69"/>
    </row>
    <row r="19" spans="1:5" x14ac:dyDescent="0.2">
      <c r="A19" s="69"/>
      <c r="B19" s="4" t="s">
        <v>68</v>
      </c>
      <c r="C19" s="3" t="s">
        <v>143</v>
      </c>
      <c r="D19" s="69"/>
      <c r="E19" s="69"/>
    </row>
    <row r="20" spans="1:5" x14ac:dyDescent="0.2">
      <c r="A20" s="69"/>
      <c r="B20" s="4" t="s">
        <v>141</v>
      </c>
      <c r="C20" s="3" t="s">
        <v>142</v>
      </c>
      <c r="D20" s="69"/>
      <c r="E20" s="69"/>
    </row>
    <row r="21" spans="1:5" x14ac:dyDescent="0.2">
      <c r="A21" s="69"/>
      <c r="B21" s="4" t="s">
        <v>69</v>
      </c>
      <c r="C21" s="3" t="s">
        <v>106</v>
      </c>
      <c r="D21" s="69"/>
      <c r="E21" s="69"/>
    </row>
    <row r="22" spans="1:5" ht="24" x14ac:dyDescent="0.2">
      <c r="A22" s="69"/>
      <c r="B22" s="4" t="s">
        <v>40</v>
      </c>
      <c r="C22" s="3" t="s">
        <v>86</v>
      </c>
      <c r="D22" s="69"/>
      <c r="E22" s="69"/>
    </row>
    <row r="23" spans="1:5" ht="24" x14ac:dyDescent="0.2">
      <c r="A23" s="69" t="s">
        <v>41</v>
      </c>
      <c r="B23" s="69"/>
      <c r="C23" s="3" t="s">
        <v>122</v>
      </c>
      <c r="D23" s="69"/>
      <c r="E23" s="69"/>
    </row>
    <row r="24" spans="1:5" ht="24" x14ac:dyDescent="0.2">
      <c r="A24" s="69" t="s">
        <v>42</v>
      </c>
      <c r="B24" s="4" t="s">
        <v>91</v>
      </c>
      <c r="C24" s="3" t="s">
        <v>243</v>
      </c>
      <c r="D24" s="69"/>
      <c r="E24" s="69"/>
    </row>
    <row r="25" spans="1:5" x14ac:dyDescent="0.2">
      <c r="A25" s="69"/>
      <c r="B25" s="4" t="s">
        <v>93</v>
      </c>
      <c r="C25" s="3" t="s">
        <v>244</v>
      </c>
      <c r="D25" s="69"/>
      <c r="E25" s="69"/>
    </row>
    <row r="26" spans="1:5" x14ac:dyDescent="0.2">
      <c r="A26" s="69"/>
      <c r="B26" s="4" t="s">
        <v>94</v>
      </c>
      <c r="C26" s="3" t="s">
        <v>256</v>
      </c>
      <c r="D26" s="69"/>
      <c r="E26" s="69"/>
    </row>
    <row r="27" spans="1:5" x14ac:dyDescent="0.2">
      <c r="A27" s="69"/>
      <c r="B27" s="4" t="s">
        <v>95</v>
      </c>
      <c r="C27" s="3" t="s">
        <v>133</v>
      </c>
      <c r="D27" s="69"/>
      <c r="E27" s="69"/>
    </row>
    <row r="28" spans="1:5" x14ac:dyDescent="0.2">
      <c r="A28" s="69"/>
      <c r="B28" s="4" t="s">
        <v>144</v>
      </c>
      <c r="C28" s="3" t="s">
        <v>133</v>
      </c>
      <c r="D28" s="69"/>
      <c r="E28" s="69"/>
    </row>
    <row r="29" spans="1:5" x14ac:dyDescent="0.2">
      <c r="A29" s="69"/>
      <c r="B29" s="4" t="s">
        <v>92</v>
      </c>
      <c r="C29" s="3" t="s">
        <v>256</v>
      </c>
      <c r="D29" s="69"/>
      <c r="E29" s="69"/>
    </row>
    <row r="30" spans="1:5" x14ac:dyDescent="0.2">
      <c r="A30" s="69"/>
      <c r="B30" s="4" t="s">
        <v>96</v>
      </c>
      <c r="C30" s="3" t="s">
        <v>137</v>
      </c>
      <c r="D30" s="69"/>
      <c r="E30" s="69"/>
    </row>
    <row r="31" spans="1:5" ht="36" x14ac:dyDescent="0.2">
      <c r="A31" s="69"/>
      <c r="B31" s="4" t="s">
        <v>72</v>
      </c>
      <c r="C31" s="3" t="s">
        <v>139</v>
      </c>
      <c r="D31" s="69"/>
      <c r="E31" s="69"/>
    </row>
    <row r="32" spans="1:5" ht="24" x14ac:dyDescent="0.2">
      <c r="A32" s="69"/>
      <c r="B32" s="6" t="s">
        <v>140</v>
      </c>
      <c r="C32" s="5" t="s">
        <v>99</v>
      </c>
      <c r="D32" s="69"/>
      <c r="E32" s="69"/>
    </row>
    <row r="33" spans="1:5" ht="24" x14ac:dyDescent="0.2">
      <c r="A33" s="69"/>
      <c r="B33" s="4" t="s">
        <v>43</v>
      </c>
      <c r="C33" s="3" t="s">
        <v>183</v>
      </c>
      <c r="D33" s="69"/>
      <c r="E33" s="69"/>
    </row>
    <row r="34" spans="1:5" ht="36" x14ac:dyDescent="0.2">
      <c r="A34" s="69"/>
      <c r="B34" s="4" t="s">
        <v>44</v>
      </c>
      <c r="C34" s="3" t="s">
        <v>192</v>
      </c>
      <c r="D34" s="69"/>
      <c r="E34" s="69"/>
    </row>
    <row r="35" spans="1:5" ht="36" x14ac:dyDescent="0.2">
      <c r="A35" s="69"/>
      <c r="B35" s="4" t="s">
        <v>45</v>
      </c>
      <c r="C35" s="3" t="s">
        <v>181</v>
      </c>
      <c r="D35" s="69"/>
      <c r="E35" s="69"/>
    </row>
    <row r="36" spans="1:5" ht="36" x14ac:dyDescent="0.2">
      <c r="A36" s="69" t="s">
        <v>46</v>
      </c>
      <c r="B36" s="69"/>
      <c r="C36" s="3" t="s">
        <v>47</v>
      </c>
      <c r="D36" s="69"/>
      <c r="E36" s="69"/>
    </row>
    <row r="37" spans="1:5" x14ac:dyDescent="0.2">
      <c r="A37" s="69" t="s">
        <v>48</v>
      </c>
      <c r="B37" s="69"/>
      <c r="C37" s="3" t="s">
        <v>49</v>
      </c>
      <c r="D37" s="69"/>
      <c r="E37" s="69"/>
    </row>
    <row r="38" spans="1:5" x14ac:dyDescent="0.2">
      <c r="A38" s="69" t="s">
        <v>129</v>
      </c>
      <c r="B38" s="69"/>
      <c r="C38" s="3" t="s">
        <v>50</v>
      </c>
      <c r="D38" s="69"/>
      <c r="E38" s="69"/>
    </row>
    <row r="39" spans="1:5" x14ac:dyDescent="0.2">
      <c r="A39" s="69" t="s">
        <v>128</v>
      </c>
      <c r="B39" s="69"/>
      <c r="C39" s="3" t="s">
        <v>127</v>
      </c>
      <c r="D39" s="69"/>
      <c r="E39" s="69"/>
    </row>
    <row r="40" spans="1:5" x14ac:dyDescent="0.2">
      <c r="A40" s="64" t="s">
        <v>124</v>
      </c>
      <c r="B40" s="65"/>
      <c r="C40" s="3" t="s">
        <v>284</v>
      </c>
      <c r="D40" s="64"/>
      <c r="E40" s="65"/>
    </row>
    <row r="41" spans="1:5" x14ac:dyDescent="0.2">
      <c r="A41" s="64" t="s">
        <v>125</v>
      </c>
      <c r="B41" s="65"/>
      <c r="C41" s="3" t="s">
        <v>285</v>
      </c>
      <c r="D41" s="64"/>
      <c r="E41" s="65"/>
    </row>
    <row r="42" spans="1:5" x14ac:dyDescent="0.2">
      <c r="A42" s="64" t="s">
        <v>126</v>
      </c>
      <c r="B42" s="65"/>
      <c r="C42" s="3" t="s">
        <v>195</v>
      </c>
      <c r="D42" s="64"/>
      <c r="E42" s="65"/>
    </row>
    <row r="43" spans="1:5" ht="24" x14ac:dyDescent="0.2">
      <c r="A43" s="69" t="s">
        <v>51</v>
      </c>
      <c r="B43" s="69"/>
      <c r="C43" s="3" t="s">
        <v>52</v>
      </c>
      <c r="D43" s="69"/>
      <c r="E43" s="69"/>
    </row>
    <row r="44" spans="1:5" x14ac:dyDescent="0.2">
      <c r="A44" s="69" t="s">
        <v>53</v>
      </c>
      <c r="B44" s="69"/>
      <c r="C44" s="3" t="s">
        <v>149</v>
      </c>
      <c r="D44" s="69"/>
      <c r="E44" s="69"/>
    </row>
    <row r="45" spans="1:5" ht="24" x14ac:dyDescent="0.2">
      <c r="A45" s="69" t="s">
        <v>54</v>
      </c>
      <c r="B45" s="69"/>
      <c r="C45" s="3" t="s">
        <v>436</v>
      </c>
      <c r="D45" s="69"/>
      <c r="E45" s="69"/>
    </row>
    <row r="46" spans="1:5" x14ac:dyDescent="0.2">
      <c r="A46" s="7"/>
      <c r="B46" s="8"/>
      <c r="C46" s="8"/>
      <c r="D46" s="8"/>
      <c r="E46" s="9"/>
    </row>
    <row r="47" spans="1:5" x14ac:dyDescent="0.2">
      <c r="A47" s="10" t="s">
        <v>58</v>
      </c>
      <c r="E47" s="11"/>
    </row>
    <row r="48" spans="1:5" x14ac:dyDescent="0.2">
      <c r="A48" s="70" t="s">
        <v>70</v>
      </c>
      <c r="B48" s="71"/>
      <c r="C48" s="71"/>
      <c r="D48" s="71"/>
      <c r="E48" s="72"/>
    </row>
    <row r="49" spans="1:5" x14ac:dyDescent="0.2">
      <c r="A49" s="70"/>
      <c r="B49" s="71"/>
      <c r="C49" s="71"/>
      <c r="D49" s="71"/>
      <c r="E49" s="72"/>
    </row>
    <row r="50" spans="1:5" x14ac:dyDescent="0.2">
      <c r="A50" s="70" t="s">
        <v>437</v>
      </c>
      <c r="B50" s="71"/>
      <c r="C50" s="71"/>
      <c r="D50" s="71"/>
      <c r="E50" s="72"/>
    </row>
    <row r="51" spans="1:5" x14ac:dyDescent="0.2">
      <c r="A51" s="70" t="s">
        <v>97</v>
      </c>
      <c r="B51" s="71"/>
      <c r="C51" s="71"/>
      <c r="D51" s="71"/>
      <c r="E51" s="72"/>
    </row>
    <row r="52" spans="1:5" x14ac:dyDescent="0.2">
      <c r="A52" s="70"/>
      <c r="B52" s="71"/>
      <c r="C52" s="71"/>
      <c r="D52" s="71"/>
      <c r="E52" s="72"/>
    </row>
    <row r="53" spans="1:5" x14ac:dyDescent="0.2">
      <c r="A53" s="70" t="s">
        <v>150</v>
      </c>
      <c r="B53" s="71"/>
      <c r="C53" s="71"/>
      <c r="D53" s="71"/>
      <c r="E53" s="72"/>
    </row>
    <row r="54" spans="1:5" ht="11.45" customHeight="1" x14ac:dyDescent="0.2">
      <c r="A54" s="70" t="s">
        <v>151</v>
      </c>
      <c r="B54" s="71"/>
      <c r="C54" s="71"/>
      <c r="D54" s="71"/>
      <c r="E54" s="72"/>
    </row>
    <row r="55" spans="1:5" x14ac:dyDescent="0.2">
      <c r="A55" s="66" t="s">
        <v>107</v>
      </c>
      <c r="B55" s="67"/>
      <c r="C55" s="67"/>
      <c r="D55" s="67"/>
      <c r="E55" s="68"/>
    </row>
  </sheetData>
  <mergeCells count="75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2"/>
    <mergeCell ref="D16:E16"/>
    <mergeCell ref="D17:E17"/>
    <mergeCell ref="D18:E18"/>
    <mergeCell ref="D19:E19"/>
    <mergeCell ref="D20:E20"/>
    <mergeCell ref="D21:E21"/>
    <mergeCell ref="D22:E22"/>
    <mergeCell ref="A23:B23"/>
    <mergeCell ref="D23:E23"/>
    <mergeCell ref="A24:A35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D35:E35"/>
    <mergeCell ref="A37:B37"/>
    <mergeCell ref="D37:E37"/>
    <mergeCell ref="A38:B38"/>
    <mergeCell ref="D38:E38"/>
    <mergeCell ref="A36:B36"/>
    <mergeCell ref="D36:E36"/>
    <mergeCell ref="A39:B39"/>
    <mergeCell ref="D39:E39"/>
    <mergeCell ref="A40:B40"/>
    <mergeCell ref="D40:E40"/>
    <mergeCell ref="A41:B41"/>
    <mergeCell ref="D41:E41"/>
    <mergeCell ref="A42:B42"/>
    <mergeCell ref="D42:E42"/>
    <mergeCell ref="A55:E55"/>
    <mergeCell ref="A43:B43"/>
    <mergeCell ref="D43:E43"/>
    <mergeCell ref="A44:B44"/>
    <mergeCell ref="D44:E44"/>
    <mergeCell ref="A45:B45"/>
    <mergeCell ref="D45:E45"/>
    <mergeCell ref="A48:E49"/>
    <mergeCell ref="A50:E50"/>
    <mergeCell ref="A51:E52"/>
    <mergeCell ref="A53:E53"/>
    <mergeCell ref="A54:E54"/>
  </mergeCells>
  <conditionalFormatting sqref="B17">
    <cfRule type="duplicateValues" dxfId="701" priority="4"/>
  </conditionalFormatting>
  <conditionalFormatting sqref="B18">
    <cfRule type="duplicateValues" dxfId="700" priority="3"/>
  </conditionalFormatting>
  <conditionalFormatting sqref="B20">
    <cfRule type="duplicateValues" dxfId="699" priority="2"/>
  </conditionalFormatting>
  <conditionalFormatting sqref="B21">
    <cfRule type="duplicateValues" dxfId="698" priority="10"/>
  </conditionalFormatting>
  <conditionalFormatting sqref="B25">
    <cfRule type="duplicateValues" dxfId="697" priority="12"/>
  </conditionalFormatting>
  <conditionalFormatting sqref="B28">
    <cfRule type="duplicateValues" dxfId="696" priority="1"/>
  </conditionalFormatting>
  <conditionalFormatting sqref="B32">
    <cfRule type="duplicateValues" dxfId="695" priority="11"/>
  </conditionalFormatting>
  <conditionalFormatting sqref="B38">
    <cfRule type="duplicateValues" dxfId="694" priority="6"/>
  </conditionalFormatting>
  <conditionalFormatting sqref="B39">
    <cfRule type="duplicateValues" dxfId="693" priority="5"/>
  </conditionalFormatting>
  <conditionalFormatting sqref="B40">
    <cfRule type="duplicateValues" dxfId="692" priority="9"/>
  </conditionalFormatting>
  <conditionalFormatting sqref="B41">
    <cfRule type="duplicateValues" dxfId="691" priority="8"/>
  </conditionalFormatting>
  <conditionalFormatting sqref="B42">
    <cfRule type="duplicateValues" dxfId="690" priority="7"/>
  </conditionalFormatting>
  <conditionalFormatting sqref="B56:B1048576 B4:B10 B26:B27 B12:B16 B33:B37 B22:B24 B43:B47 B19 B29:B31">
    <cfRule type="duplicateValues" dxfId="689" priority="13"/>
  </conditionalFormatting>
  <pageMargins left="0.7" right="0.7" top="0.75" bottom="0.75" header="0.3" footer="0.3"/>
  <pageSetup paperSize="9" scale="88" orientation="portrait" horizontalDpi="4294967295" verticalDpi="4294967295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F767F5-0484-4579-BAD0-5FF7CA4D9C69}">
  <sheetPr codeName="Sheet17">
    <tabColor theme="4" tint="-0.249977111117893"/>
    <pageSetUpPr fitToPage="1"/>
  </sheetPr>
  <dimension ref="A1:E55"/>
  <sheetViews>
    <sheetView zoomScaleNormal="100" workbookViewId="0">
      <selection sqref="A1:B3"/>
    </sheetView>
  </sheetViews>
  <sheetFormatPr defaultColWidth="8.85546875" defaultRowHeight="12" x14ac:dyDescent="0.2"/>
  <cols>
    <col min="1" max="1" width="12.5703125" style="1" customWidth="1"/>
    <col min="2" max="2" width="13.42578125" style="1" bestFit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4" customFormat="1" ht="30" customHeight="1" x14ac:dyDescent="0.25">
      <c r="A1" s="77" t="e" vm="1">
        <v>#VALUE!</v>
      </c>
      <c r="B1" s="78"/>
      <c r="C1" s="83" t="s">
        <v>112</v>
      </c>
      <c r="D1" s="13" t="s">
        <v>110</v>
      </c>
      <c r="E1" s="13" t="s">
        <v>435</v>
      </c>
    </row>
    <row r="2" spans="1:5" s="14" customFormat="1" ht="30" customHeight="1" x14ac:dyDescent="0.25">
      <c r="A2" s="79"/>
      <c r="B2" s="80"/>
      <c r="C2" s="84"/>
      <c r="D2" s="15" t="s">
        <v>109</v>
      </c>
      <c r="E2" s="16" t="str">
        <f>VLOOKUP(C4,Index!B:J,9,FALSE)</f>
        <v>C0</v>
      </c>
    </row>
    <row r="3" spans="1:5" s="14" customFormat="1" ht="30" customHeight="1" x14ac:dyDescent="0.25">
      <c r="A3" s="81"/>
      <c r="B3" s="82"/>
      <c r="C3" s="85"/>
      <c r="D3" s="15" t="s">
        <v>111</v>
      </c>
      <c r="E3" s="17">
        <f>VLOOKUP(C4,Index!B:I,8,FALSE)</f>
        <v>326</v>
      </c>
    </row>
    <row r="4" spans="1:5" x14ac:dyDescent="0.2">
      <c r="A4" s="86" t="s">
        <v>74</v>
      </c>
      <c r="B4" s="86"/>
      <c r="C4" s="2" t="s">
        <v>246</v>
      </c>
      <c r="D4" s="86" t="s">
        <v>55</v>
      </c>
      <c r="E4" s="86"/>
    </row>
    <row r="5" spans="1:5" x14ac:dyDescent="0.2">
      <c r="A5" s="69" t="s">
        <v>26</v>
      </c>
      <c r="B5" s="69"/>
      <c r="C5" s="3" t="s">
        <v>153</v>
      </c>
      <c r="D5" s="69"/>
      <c r="E5" s="69"/>
    </row>
    <row r="6" spans="1:5" x14ac:dyDescent="0.2">
      <c r="A6" s="69" t="s">
        <v>27</v>
      </c>
      <c r="B6" s="69"/>
      <c r="C6" s="3" t="s">
        <v>78</v>
      </c>
      <c r="D6" s="69"/>
      <c r="E6" s="69"/>
    </row>
    <row r="7" spans="1:5" x14ac:dyDescent="0.2">
      <c r="A7" s="69" t="s">
        <v>28</v>
      </c>
      <c r="B7" s="69"/>
      <c r="C7" s="3" t="s">
        <v>82</v>
      </c>
      <c r="D7" s="69"/>
      <c r="E7" s="69"/>
    </row>
    <row r="8" spans="1:5" x14ac:dyDescent="0.2">
      <c r="A8" s="69" t="s">
        <v>29</v>
      </c>
      <c r="B8" s="69"/>
      <c r="C8" s="3" t="str">
        <f>VLOOKUP(C5,Index!N:W,6,FALSE)</f>
        <v>HC with low CO2 and H2S, Steam, Hydraulic</v>
      </c>
      <c r="D8" s="69"/>
      <c r="E8" s="69"/>
    </row>
    <row r="9" spans="1:5" x14ac:dyDescent="0.2">
      <c r="A9" s="69" t="s">
        <v>30</v>
      </c>
      <c r="B9" s="69"/>
      <c r="C9" s="3" t="s">
        <v>148</v>
      </c>
      <c r="D9" s="69"/>
      <c r="E9" s="69"/>
    </row>
    <row r="10" spans="1:5" x14ac:dyDescent="0.2">
      <c r="A10" s="69" t="s">
        <v>31</v>
      </c>
      <c r="B10" s="69"/>
      <c r="C10" s="3" t="s">
        <v>64</v>
      </c>
      <c r="D10" s="69"/>
      <c r="E10" s="69"/>
    </row>
    <row r="11" spans="1:5" x14ac:dyDescent="0.2">
      <c r="A11" s="73" t="s">
        <v>119</v>
      </c>
      <c r="B11" s="74"/>
      <c r="C11" s="12" t="str">
        <f>VLOOKUP(C5,Index!N:W,10,FALSE)</f>
        <v>399.8 @ -29°C' 342.9 @ 200°C</v>
      </c>
      <c r="D11" s="75"/>
      <c r="E11" s="76"/>
    </row>
    <row r="12" spans="1:5" x14ac:dyDescent="0.2">
      <c r="A12" s="69" t="s">
        <v>32</v>
      </c>
      <c r="B12" s="69"/>
      <c r="C12" s="3" t="str">
        <f>VLOOKUP(C5,Index!N:W,5,FALSE)</f>
        <v>3 mm</v>
      </c>
      <c r="D12" s="69"/>
      <c r="E12" s="69"/>
    </row>
    <row r="13" spans="1:5" x14ac:dyDescent="0.2">
      <c r="A13" s="69" t="s">
        <v>33</v>
      </c>
      <c r="B13" s="69"/>
      <c r="C13" s="3" t="s">
        <v>34</v>
      </c>
      <c r="D13" s="69"/>
      <c r="E13" s="69"/>
    </row>
    <row r="14" spans="1:5" ht="24" x14ac:dyDescent="0.2">
      <c r="A14" s="69" t="s">
        <v>35</v>
      </c>
      <c r="B14" s="69"/>
      <c r="C14" s="3" t="s">
        <v>316</v>
      </c>
      <c r="D14" s="69"/>
      <c r="E14" s="69"/>
    </row>
    <row r="15" spans="1:5" x14ac:dyDescent="0.2">
      <c r="A15" s="69" t="s">
        <v>36</v>
      </c>
      <c r="B15" s="69"/>
      <c r="C15" s="3" t="s">
        <v>67</v>
      </c>
      <c r="D15" s="69"/>
      <c r="E15" s="69"/>
    </row>
    <row r="16" spans="1:5" x14ac:dyDescent="0.2">
      <c r="A16" s="69" t="s">
        <v>37</v>
      </c>
      <c r="B16" s="4" t="s">
        <v>38</v>
      </c>
      <c r="C16" s="3" t="s">
        <v>73</v>
      </c>
      <c r="D16" s="69"/>
      <c r="E16" s="69"/>
    </row>
    <row r="17" spans="1:5" ht="24" x14ac:dyDescent="0.2">
      <c r="A17" s="69"/>
      <c r="B17" s="4" t="s">
        <v>75</v>
      </c>
      <c r="C17" s="3" t="s">
        <v>76</v>
      </c>
      <c r="D17" s="69"/>
      <c r="E17" s="69"/>
    </row>
    <row r="18" spans="1:5" ht="24" x14ac:dyDescent="0.2">
      <c r="A18" s="69"/>
      <c r="B18" s="4" t="s">
        <v>39</v>
      </c>
      <c r="C18" s="3" t="s">
        <v>87</v>
      </c>
      <c r="D18" s="69"/>
      <c r="E18" s="69"/>
    </row>
    <row r="19" spans="1:5" x14ac:dyDescent="0.2">
      <c r="A19" s="69"/>
      <c r="B19" s="4" t="s">
        <v>68</v>
      </c>
      <c r="C19" s="3" t="s">
        <v>143</v>
      </c>
      <c r="D19" s="69"/>
      <c r="E19" s="69"/>
    </row>
    <row r="20" spans="1:5" x14ac:dyDescent="0.2">
      <c r="A20" s="69"/>
      <c r="B20" s="4" t="s">
        <v>141</v>
      </c>
      <c r="C20" s="3" t="s">
        <v>142</v>
      </c>
      <c r="D20" s="69"/>
      <c r="E20" s="69"/>
    </row>
    <row r="21" spans="1:5" x14ac:dyDescent="0.2">
      <c r="A21" s="69"/>
      <c r="B21" s="4" t="s">
        <v>69</v>
      </c>
      <c r="C21" s="3" t="s">
        <v>106</v>
      </c>
      <c r="D21" s="69"/>
      <c r="E21" s="69"/>
    </row>
    <row r="22" spans="1:5" ht="24" x14ac:dyDescent="0.2">
      <c r="A22" s="69"/>
      <c r="B22" s="4" t="s">
        <v>40</v>
      </c>
      <c r="C22" s="3" t="s">
        <v>86</v>
      </c>
      <c r="D22" s="69"/>
      <c r="E22" s="69"/>
    </row>
    <row r="23" spans="1:5" ht="24" x14ac:dyDescent="0.2">
      <c r="A23" s="69" t="s">
        <v>41</v>
      </c>
      <c r="B23" s="69"/>
      <c r="C23" s="3" t="s">
        <v>122</v>
      </c>
      <c r="D23" s="69"/>
      <c r="E23" s="69"/>
    </row>
    <row r="24" spans="1:5" ht="24" x14ac:dyDescent="0.2">
      <c r="A24" s="69" t="s">
        <v>42</v>
      </c>
      <c r="B24" s="4" t="s">
        <v>91</v>
      </c>
      <c r="C24" s="3" t="s">
        <v>243</v>
      </c>
      <c r="D24" s="69"/>
      <c r="E24" s="69"/>
    </row>
    <row r="25" spans="1:5" x14ac:dyDescent="0.2">
      <c r="A25" s="69"/>
      <c r="B25" s="4" t="s">
        <v>93</v>
      </c>
      <c r="C25" s="3" t="s">
        <v>244</v>
      </c>
      <c r="D25" s="69"/>
      <c r="E25" s="69"/>
    </row>
    <row r="26" spans="1:5" x14ac:dyDescent="0.2">
      <c r="A26" s="69"/>
      <c r="B26" s="4" t="s">
        <v>94</v>
      </c>
      <c r="C26" s="3" t="s">
        <v>257</v>
      </c>
      <c r="D26" s="69"/>
      <c r="E26" s="69"/>
    </row>
    <row r="27" spans="1:5" x14ac:dyDescent="0.2">
      <c r="A27" s="69"/>
      <c r="B27" s="4" t="s">
        <v>95</v>
      </c>
      <c r="C27" s="3" t="s">
        <v>133</v>
      </c>
      <c r="D27" s="69"/>
      <c r="E27" s="69"/>
    </row>
    <row r="28" spans="1:5" x14ac:dyDescent="0.2">
      <c r="A28" s="69"/>
      <c r="B28" s="4" t="s">
        <v>144</v>
      </c>
      <c r="C28" s="3" t="s">
        <v>133</v>
      </c>
      <c r="D28" s="69"/>
      <c r="E28" s="69"/>
    </row>
    <row r="29" spans="1:5" x14ac:dyDescent="0.2">
      <c r="A29" s="69"/>
      <c r="B29" s="4" t="s">
        <v>92</v>
      </c>
      <c r="C29" s="3" t="s">
        <v>257</v>
      </c>
      <c r="D29" s="69"/>
      <c r="E29" s="69"/>
    </row>
    <row r="30" spans="1:5" x14ac:dyDescent="0.2">
      <c r="A30" s="69"/>
      <c r="B30" s="4" t="s">
        <v>96</v>
      </c>
      <c r="C30" s="3" t="s">
        <v>137</v>
      </c>
      <c r="D30" s="69"/>
      <c r="E30" s="69"/>
    </row>
    <row r="31" spans="1:5" ht="36" x14ac:dyDescent="0.2">
      <c r="A31" s="69"/>
      <c r="B31" s="4" t="s">
        <v>72</v>
      </c>
      <c r="C31" s="3" t="s">
        <v>139</v>
      </c>
      <c r="D31" s="69"/>
      <c r="E31" s="69"/>
    </row>
    <row r="32" spans="1:5" ht="24" x14ac:dyDescent="0.2">
      <c r="A32" s="69"/>
      <c r="B32" s="6" t="s">
        <v>140</v>
      </c>
      <c r="C32" s="5" t="s">
        <v>99</v>
      </c>
      <c r="D32" s="69"/>
      <c r="E32" s="69"/>
    </row>
    <row r="33" spans="1:5" ht="24" x14ac:dyDescent="0.2">
      <c r="A33" s="69"/>
      <c r="B33" s="4" t="s">
        <v>43</v>
      </c>
      <c r="C33" s="3" t="s">
        <v>183</v>
      </c>
      <c r="D33" s="69"/>
      <c r="E33" s="69"/>
    </row>
    <row r="34" spans="1:5" ht="36" x14ac:dyDescent="0.2">
      <c r="A34" s="69"/>
      <c r="B34" s="4" t="s">
        <v>44</v>
      </c>
      <c r="C34" s="3" t="s">
        <v>192</v>
      </c>
      <c r="D34" s="69"/>
      <c r="E34" s="69"/>
    </row>
    <row r="35" spans="1:5" ht="36" x14ac:dyDescent="0.2">
      <c r="A35" s="69"/>
      <c r="B35" s="4" t="s">
        <v>45</v>
      </c>
      <c r="C35" s="3" t="s">
        <v>181</v>
      </c>
      <c r="D35" s="69"/>
      <c r="E35" s="69"/>
    </row>
    <row r="36" spans="1:5" ht="36" x14ac:dyDescent="0.2">
      <c r="A36" s="69" t="s">
        <v>46</v>
      </c>
      <c r="B36" s="69"/>
      <c r="C36" s="3" t="s">
        <v>47</v>
      </c>
      <c r="D36" s="69"/>
      <c r="E36" s="69"/>
    </row>
    <row r="37" spans="1:5" x14ac:dyDescent="0.2">
      <c r="A37" s="69" t="s">
        <v>48</v>
      </c>
      <c r="B37" s="69"/>
      <c r="C37" s="3" t="s">
        <v>49</v>
      </c>
      <c r="D37" s="69"/>
      <c r="E37" s="69"/>
    </row>
    <row r="38" spans="1:5" x14ac:dyDescent="0.2">
      <c r="A38" s="69" t="s">
        <v>129</v>
      </c>
      <c r="B38" s="69"/>
      <c r="C38" s="3" t="s">
        <v>50</v>
      </c>
      <c r="D38" s="69"/>
      <c r="E38" s="69"/>
    </row>
    <row r="39" spans="1:5" x14ac:dyDescent="0.2">
      <c r="A39" s="69" t="s">
        <v>128</v>
      </c>
      <c r="B39" s="69"/>
      <c r="C39" s="3" t="s">
        <v>127</v>
      </c>
      <c r="D39" s="69"/>
      <c r="E39" s="69"/>
    </row>
    <row r="40" spans="1:5" x14ac:dyDescent="0.2">
      <c r="A40" s="64" t="s">
        <v>124</v>
      </c>
      <c r="B40" s="65"/>
      <c r="C40" s="3" t="s">
        <v>282</v>
      </c>
      <c r="D40" s="64"/>
      <c r="E40" s="65"/>
    </row>
    <row r="41" spans="1:5" x14ac:dyDescent="0.2">
      <c r="A41" s="64" t="s">
        <v>125</v>
      </c>
      <c r="B41" s="65"/>
      <c r="C41" s="3" t="s">
        <v>283</v>
      </c>
      <c r="D41" s="64"/>
      <c r="E41" s="65"/>
    </row>
    <row r="42" spans="1:5" x14ac:dyDescent="0.2">
      <c r="A42" s="64" t="s">
        <v>126</v>
      </c>
      <c r="B42" s="65"/>
      <c r="C42" s="3" t="s">
        <v>195</v>
      </c>
      <c r="D42" s="64"/>
      <c r="E42" s="65"/>
    </row>
    <row r="43" spans="1:5" ht="24" x14ac:dyDescent="0.2">
      <c r="A43" s="69" t="s">
        <v>51</v>
      </c>
      <c r="B43" s="69"/>
      <c r="C43" s="3" t="s">
        <v>52</v>
      </c>
      <c r="D43" s="69"/>
      <c r="E43" s="69"/>
    </row>
    <row r="44" spans="1:5" x14ac:dyDescent="0.2">
      <c r="A44" s="69" t="s">
        <v>53</v>
      </c>
      <c r="B44" s="69"/>
      <c r="C44" s="3" t="s">
        <v>149</v>
      </c>
      <c r="D44" s="69"/>
      <c r="E44" s="69"/>
    </row>
    <row r="45" spans="1:5" ht="24" x14ac:dyDescent="0.2">
      <c r="A45" s="69" t="s">
        <v>54</v>
      </c>
      <c r="B45" s="69"/>
      <c r="C45" s="3" t="s">
        <v>436</v>
      </c>
      <c r="D45" s="69"/>
      <c r="E45" s="69"/>
    </row>
    <row r="46" spans="1:5" x14ac:dyDescent="0.2">
      <c r="A46" s="7"/>
      <c r="B46" s="8"/>
      <c r="C46" s="8"/>
      <c r="D46" s="8"/>
      <c r="E46" s="9"/>
    </row>
    <row r="47" spans="1:5" x14ac:dyDescent="0.2">
      <c r="A47" s="10" t="s">
        <v>58</v>
      </c>
      <c r="E47" s="11"/>
    </row>
    <row r="48" spans="1:5" x14ac:dyDescent="0.2">
      <c r="A48" s="70" t="s">
        <v>70</v>
      </c>
      <c r="B48" s="71"/>
      <c r="C48" s="71"/>
      <c r="D48" s="71"/>
      <c r="E48" s="72"/>
    </row>
    <row r="49" spans="1:5" x14ac:dyDescent="0.2">
      <c r="A49" s="70"/>
      <c r="B49" s="71"/>
      <c r="C49" s="71"/>
      <c r="D49" s="71"/>
      <c r="E49" s="72"/>
    </row>
    <row r="50" spans="1:5" x14ac:dyDescent="0.2">
      <c r="A50" s="70" t="s">
        <v>437</v>
      </c>
      <c r="B50" s="71"/>
      <c r="C50" s="71"/>
      <c r="D50" s="71"/>
      <c r="E50" s="72"/>
    </row>
    <row r="51" spans="1:5" x14ac:dyDescent="0.2">
      <c r="A51" s="70" t="s">
        <v>97</v>
      </c>
      <c r="B51" s="71"/>
      <c r="C51" s="71"/>
      <c r="D51" s="71"/>
      <c r="E51" s="72"/>
    </row>
    <row r="52" spans="1:5" x14ac:dyDescent="0.2">
      <c r="A52" s="70"/>
      <c r="B52" s="71"/>
      <c r="C52" s="71"/>
      <c r="D52" s="71"/>
      <c r="E52" s="72"/>
    </row>
    <row r="53" spans="1:5" x14ac:dyDescent="0.2">
      <c r="A53" s="70" t="s">
        <v>150</v>
      </c>
      <c r="B53" s="71"/>
      <c r="C53" s="71"/>
      <c r="D53" s="71"/>
      <c r="E53" s="72"/>
    </row>
    <row r="54" spans="1:5" ht="11.45" customHeight="1" x14ac:dyDescent="0.2">
      <c r="A54" s="70" t="s">
        <v>151</v>
      </c>
      <c r="B54" s="71"/>
      <c r="C54" s="71"/>
      <c r="D54" s="71"/>
      <c r="E54" s="72"/>
    </row>
    <row r="55" spans="1:5" x14ac:dyDescent="0.2">
      <c r="A55" s="66" t="s">
        <v>107</v>
      </c>
      <c r="B55" s="67"/>
      <c r="C55" s="67"/>
      <c r="D55" s="67"/>
      <c r="E55" s="68"/>
    </row>
  </sheetData>
  <mergeCells count="75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2"/>
    <mergeCell ref="D16:E16"/>
    <mergeCell ref="D17:E17"/>
    <mergeCell ref="D18:E18"/>
    <mergeCell ref="D19:E19"/>
    <mergeCell ref="D20:E20"/>
    <mergeCell ref="D21:E21"/>
    <mergeCell ref="D22:E22"/>
    <mergeCell ref="A23:B23"/>
    <mergeCell ref="D23:E23"/>
    <mergeCell ref="A24:A35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D35:E35"/>
    <mergeCell ref="A37:B37"/>
    <mergeCell ref="D37:E37"/>
    <mergeCell ref="A38:B38"/>
    <mergeCell ref="D38:E38"/>
    <mergeCell ref="A36:B36"/>
    <mergeCell ref="D36:E36"/>
    <mergeCell ref="A39:B39"/>
    <mergeCell ref="D39:E39"/>
    <mergeCell ref="A40:B40"/>
    <mergeCell ref="D40:E40"/>
    <mergeCell ref="A41:B41"/>
    <mergeCell ref="D41:E41"/>
    <mergeCell ref="A42:B42"/>
    <mergeCell ref="D42:E42"/>
    <mergeCell ref="A55:E55"/>
    <mergeCell ref="A43:B43"/>
    <mergeCell ref="D43:E43"/>
    <mergeCell ref="A44:B44"/>
    <mergeCell ref="D44:E44"/>
    <mergeCell ref="A45:B45"/>
    <mergeCell ref="D45:E45"/>
    <mergeCell ref="A48:E49"/>
    <mergeCell ref="A50:E50"/>
    <mergeCell ref="A51:E52"/>
    <mergeCell ref="A53:E53"/>
    <mergeCell ref="A54:E54"/>
  </mergeCells>
  <conditionalFormatting sqref="B17">
    <cfRule type="duplicateValues" dxfId="688" priority="4"/>
  </conditionalFormatting>
  <conditionalFormatting sqref="B18">
    <cfRule type="duplicateValues" dxfId="687" priority="3"/>
  </conditionalFormatting>
  <conditionalFormatting sqref="B20">
    <cfRule type="duplicateValues" dxfId="686" priority="2"/>
  </conditionalFormatting>
  <conditionalFormatting sqref="B21">
    <cfRule type="duplicateValues" dxfId="685" priority="10"/>
  </conditionalFormatting>
  <conditionalFormatting sqref="B25">
    <cfRule type="duplicateValues" dxfId="684" priority="12"/>
  </conditionalFormatting>
  <conditionalFormatting sqref="B28">
    <cfRule type="duplicateValues" dxfId="683" priority="1"/>
  </conditionalFormatting>
  <conditionalFormatting sqref="B32">
    <cfRule type="duplicateValues" dxfId="682" priority="11"/>
  </conditionalFormatting>
  <conditionalFormatting sqref="B38">
    <cfRule type="duplicateValues" dxfId="681" priority="6"/>
  </conditionalFormatting>
  <conditionalFormatting sqref="B39">
    <cfRule type="duplicateValues" dxfId="680" priority="5"/>
  </conditionalFormatting>
  <conditionalFormatting sqref="B40">
    <cfRule type="duplicateValues" dxfId="679" priority="9"/>
  </conditionalFormatting>
  <conditionalFormatting sqref="B41">
    <cfRule type="duplicateValues" dxfId="678" priority="8"/>
  </conditionalFormatting>
  <conditionalFormatting sqref="B42">
    <cfRule type="duplicateValues" dxfId="677" priority="7"/>
  </conditionalFormatting>
  <conditionalFormatting sqref="B56:B1048576 B4:B10 B26:B27 B12:B16 B33:B37 B22:B24 B43:B47 B19 B29:B31">
    <cfRule type="duplicateValues" dxfId="676" priority="13"/>
  </conditionalFormatting>
  <pageMargins left="0.7" right="0.7" top="0.75" bottom="0.75" header="0.3" footer="0.3"/>
  <pageSetup paperSize="9" scale="88" orientation="portrait" horizontalDpi="4294967295" verticalDpi="4294967295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458D5D-D7E7-4DF4-A5EE-A7736967EE59}">
  <sheetPr codeName="Sheet18">
    <tabColor theme="4" tint="-0.249977111117893"/>
    <pageSetUpPr fitToPage="1"/>
  </sheetPr>
  <dimension ref="A1:E55"/>
  <sheetViews>
    <sheetView zoomScaleNormal="100" workbookViewId="0">
      <selection sqref="A1:B3"/>
    </sheetView>
  </sheetViews>
  <sheetFormatPr defaultColWidth="8.85546875" defaultRowHeight="12" x14ac:dyDescent="0.2"/>
  <cols>
    <col min="1" max="1" width="12.5703125" style="1" customWidth="1"/>
    <col min="2" max="2" width="13.42578125" style="1" bestFit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4" customFormat="1" ht="30" customHeight="1" x14ac:dyDescent="0.25">
      <c r="A1" s="77" t="e" vm="1">
        <v>#VALUE!</v>
      </c>
      <c r="B1" s="78"/>
      <c r="C1" s="83" t="s">
        <v>112</v>
      </c>
      <c r="D1" s="13" t="s">
        <v>110</v>
      </c>
      <c r="E1" s="13" t="s">
        <v>435</v>
      </c>
    </row>
    <row r="2" spans="1:5" s="14" customFormat="1" ht="30" customHeight="1" x14ac:dyDescent="0.25">
      <c r="A2" s="79"/>
      <c r="B2" s="80"/>
      <c r="C2" s="84"/>
      <c r="D2" s="15" t="s">
        <v>109</v>
      </c>
      <c r="E2" s="16" t="str">
        <f>VLOOKUP(C4,Index!B:J,9,FALSE)</f>
        <v>C0</v>
      </c>
    </row>
    <row r="3" spans="1:5" s="14" customFormat="1" ht="30" customHeight="1" x14ac:dyDescent="0.25">
      <c r="A3" s="81"/>
      <c r="B3" s="82"/>
      <c r="C3" s="85"/>
      <c r="D3" s="15" t="s">
        <v>111</v>
      </c>
      <c r="E3" s="17">
        <f>VLOOKUP(C4,Index!B:I,8,FALSE)</f>
        <v>327</v>
      </c>
    </row>
    <row r="4" spans="1:5" x14ac:dyDescent="0.2">
      <c r="A4" s="86" t="s">
        <v>74</v>
      </c>
      <c r="B4" s="86"/>
      <c r="C4" s="2" t="s">
        <v>201</v>
      </c>
      <c r="D4" s="86" t="s">
        <v>55</v>
      </c>
      <c r="E4" s="86"/>
    </row>
    <row r="5" spans="1:5" x14ac:dyDescent="0.2">
      <c r="A5" s="69" t="s">
        <v>26</v>
      </c>
      <c r="B5" s="69"/>
      <c r="C5" s="3" t="s">
        <v>81</v>
      </c>
      <c r="D5" s="69"/>
      <c r="E5" s="69"/>
    </row>
    <row r="6" spans="1:5" x14ac:dyDescent="0.2">
      <c r="A6" s="69" t="s">
        <v>27</v>
      </c>
      <c r="B6" s="69"/>
      <c r="C6" s="3" t="s">
        <v>78</v>
      </c>
      <c r="D6" s="69"/>
      <c r="E6" s="69"/>
    </row>
    <row r="7" spans="1:5" x14ac:dyDescent="0.2">
      <c r="A7" s="69" t="s">
        <v>28</v>
      </c>
      <c r="B7" s="69"/>
      <c r="C7" s="3" t="s">
        <v>82</v>
      </c>
      <c r="D7" s="69"/>
      <c r="E7" s="69"/>
    </row>
    <row r="8" spans="1:5" x14ac:dyDescent="0.2">
      <c r="A8" s="69" t="s">
        <v>29</v>
      </c>
      <c r="B8" s="69"/>
      <c r="C8" s="3" t="str">
        <f>VLOOKUP(C5,Index!N:W,6,FALSE)</f>
        <v>Corrosive HC service</v>
      </c>
      <c r="D8" s="69"/>
      <c r="E8" s="69"/>
    </row>
    <row r="9" spans="1:5" x14ac:dyDescent="0.2">
      <c r="A9" s="69" t="s">
        <v>30</v>
      </c>
      <c r="B9" s="69"/>
      <c r="C9" s="3" t="s">
        <v>148</v>
      </c>
      <c r="D9" s="69"/>
      <c r="E9" s="69"/>
    </row>
    <row r="10" spans="1:5" x14ac:dyDescent="0.2">
      <c r="A10" s="69" t="s">
        <v>31</v>
      </c>
      <c r="B10" s="69"/>
      <c r="C10" s="3" t="s">
        <v>56</v>
      </c>
      <c r="D10" s="69"/>
      <c r="E10" s="69"/>
    </row>
    <row r="11" spans="1:5" x14ac:dyDescent="0.2">
      <c r="A11" s="73" t="s">
        <v>119</v>
      </c>
      <c r="B11" s="74"/>
      <c r="C11" s="12" t="str">
        <f>VLOOKUP(C5,Index!N:W,10,FALSE)</f>
        <v>19.6 @ -29°C' 13.8 @ 200°C</v>
      </c>
      <c r="D11" s="75"/>
      <c r="E11" s="76"/>
    </row>
    <row r="12" spans="1:5" x14ac:dyDescent="0.2">
      <c r="A12" s="69" t="s">
        <v>32</v>
      </c>
      <c r="B12" s="69"/>
      <c r="C12" s="3" t="str">
        <f>VLOOKUP(C5,Index!N:W,5,FALSE)</f>
        <v>6 mm</v>
      </c>
      <c r="D12" s="69"/>
      <c r="E12" s="69"/>
    </row>
    <row r="13" spans="1:5" ht="24" x14ac:dyDescent="0.2">
      <c r="A13" s="69" t="s">
        <v>33</v>
      </c>
      <c r="B13" s="69"/>
      <c r="C13" s="3" t="s">
        <v>98</v>
      </c>
      <c r="D13" s="69"/>
      <c r="E13" s="69"/>
    </row>
    <row r="14" spans="1:5" x14ac:dyDescent="0.2">
      <c r="A14" s="69" t="s">
        <v>35</v>
      </c>
      <c r="B14" s="69"/>
      <c r="C14" s="3" t="s">
        <v>245</v>
      </c>
      <c r="D14" s="69"/>
      <c r="E14" s="69"/>
    </row>
    <row r="15" spans="1:5" x14ac:dyDescent="0.2">
      <c r="A15" s="69" t="s">
        <v>36</v>
      </c>
      <c r="B15" s="69"/>
      <c r="C15" s="3" t="s">
        <v>67</v>
      </c>
      <c r="D15" s="69"/>
      <c r="E15" s="69"/>
    </row>
    <row r="16" spans="1:5" x14ac:dyDescent="0.2">
      <c r="A16" s="69" t="s">
        <v>37</v>
      </c>
      <c r="B16" s="4" t="s">
        <v>38</v>
      </c>
      <c r="C16" s="3" t="s">
        <v>73</v>
      </c>
      <c r="D16" s="69"/>
      <c r="E16" s="69"/>
    </row>
    <row r="17" spans="1:5" ht="24" x14ac:dyDescent="0.2">
      <c r="A17" s="69"/>
      <c r="B17" s="4" t="s">
        <v>75</v>
      </c>
      <c r="C17" s="3" t="s">
        <v>77</v>
      </c>
      <c r="D17" s="69"/>
      <c r="E17" s="69"/>
    </row>
    <row r="18" spans="1:5" ht="24" x14ac:dyDescent="0.2">
      <c r="A18" s="69"/>
      <c r="B18" s="4" t="s">
        <v>39</v>
      </c>
      <c r="C18" s="3" t="s">
        <v>87</v>
      </c>
      <c r="D18" s="69"/>
      <c r="E18" s="69"/>
    </row>
    <row r="19" spans="1:5" x14ac:dyDescent="0.2">
      <c r="A19" s="69"/>
      <c r="B19" s="4" t="s">
        <v>68</v>
      </c>
      <c r="C19" s="3" t="s">
        <v>143</v>
      </c>
      <c r="D19" s="69"/>
      <c r="E19" s="69"/>
    </row>
    <row r="20" spans="1:5" x14ac:dyDescent="0.2">
      <c r="A20" s="69"/>
      <c r="B20" s="4" t="s">
        <v>141</v>
      </c>
      <c r="C20" s="3" t="s">
        <v>142</v>
      </c>
      <c r="D20" s="69"/>
      <c r="E20" s="69"/>
    </row>
    <row r="21" spans="1:5" x14ac:dyDescent="0.2">
      <c r="A21" s="69"/>
      <c r="B21" s="4" t="s">
        <v>69</v>
      </c>
      <c r="C21" s="3" t="s">
        <v>106</v>
      </c>
      <c r="D21" s="69"/>
      <c r="E21" s="69"/>
    </row>
    <row r="22" spans="1:5" ht="24" x14ac:dyDescent="0.2">
      <c r="A22" s="69"/>
      <c r="B22" s="4" t="s">
        <v>40</v>
      </c>
      <c r="C22" s="3" t="s">
        <v>86</v>
      </c>
      <c r="D22" s="69"/>
      <c r="E22" s="69"/>
    </row>
    <row r="23" spans="1:5" ht="24" x14ac:dyDescent="0.2">
      <c r="A23" s="69" t="s">
        <v>41</v>
      </c>
      <c r="B23" s="69"/>
      <c r="C23" s="3" t="s">
        <v>121</v>
      </c>
      <c r="D23" s="69"/>
      <c r="E23" s="69"/>
    </row>
    <row r="24" spans="1:5" ht="24" x14ac:dyDescent="0.2">
      <c r="A24" s="69" t="s">
        <v>42</v>
      </c>
      <c r="B24" s="4" t="s">
        <v>91</v>
      </c>
      <c r="C24" s="3" t="s">
        <v>88</v>
      </c>
      <c r="D24" s="69"/>
      <c r="E24" s="69"/>
    </row>
    <row r="25" spans="1:5" x14ac:dyDescent="0.2">
      <c r="A25" s="69"/>
      <c r="B25" s="4" t="s">
        <v>93</v>
      </c>
      <c r="C25" s="3" t="s">
        <v>132</v>
      </c>
      <c r="D25" s="69"/>
      <c r="E25" s="69"/>
    </row>
    <row r="26" spans="1:5" x14ac:dyDescent="0.2">
      <c r="A26" s="69"/>
      <c r="B26" s="4" t="s">
        <v>94</v>
      </c>
      <c r="C26" s="3" t="s">
        <v>102</v>
      </c>
      <c r="D26" s="69"/>
      <c r="E26" s="69"/>
    </row>
    <row r="27" spans="1:5" x14ac:dyDescent="0.2">
      <c r="A27" s="69"/>
      <c r="B27" s="4" t="s">
        <v>95</v>
      </c>
      <c r="C27" s="3" t="s">
        <v>105</v>
      </c>
      <c r="D27" s="69"/>
      <c r="E27" s="69"/>
    </row>
    <row r="28" spans="1:5" x14ac:dyDescent="0.2">
      <c r="A28" s="69"/>
      <c r="B28" s="4" t="s">
        <v>144</v>
      </c>
      <c r="C28" s="3" t="s">
        <v>105</v>
      </c>
      <c r="D28" s="69"/>
      <c r="E28" s="69"/>
    </row>
    <row r="29" spans="1:5" x14ac:dyDescent="0.2">
      <c r="A29" s="69"/>
      <c r="B29" s="4" t="s">
        <v>92</v>
      </c>
      <c r="C29" s="3" t="s">
        <v>102</v>
      </c>
      <c r="D29" s="69"/>
      <c r="E29" s="69"/>
    </row>
    <row r="30" spans="1:5" x14ac:dyDescent="0.2">
      <c r="A30" s="69"/>
      <c r="B30" s="4" t="s">
        <v>96</v>
      </c>
      <c r="C30" s="3" t="s">
        <v>137</v>
      </c>
      <c r="D30" s="69"/>
      <c r="E30" s="69"/>
    </row>
    <row r="31" spans="1:5" ht="36" x14ac:dyDescent="0.2">
      <c r="A31" s="69"/>
      <c r="B31" s="4" t="s">
        <v>72</v>
      </c>
      <c r="C31" s="3" t="s">
        <v>139</v>
      </c>
      <c r="D31" s="69"/>
      <c r="E31" s="69"/>
    </row>
    <row r="32" spans="1:5" ht="24" x14ac:dyDescent="0.2">
      <c r="A32" s="69"/>
      <c r="B32" s="6" t="s">
        <v>140</v>
      </c>
      <c r="C32" s="5" t="s">
        <v>99</v>
      </c>
      <c r="D32" s="69"/>
      <c r="E32" s="69"/>
    </row>
    <row r="33" spans="1:5" ht="24" x14ac:dyDescent="0.2">
      <c r="A33" s="69"/>
      <c r="B33" s="4" t="s">
        <v>43</v>
      </c>
      <c r="C33" s="3" t="s">
        <v>182</v>
      </c>
      <c r="D33" s="69"/>
      <c r="E33" s="69"/>
    </row>
    <row r="34" spans="1:5" ht="36" x14ac:dyDescent="0.2">
      <c r="A34" s="69"/>
      <c r="B34" s="4" t="s">
        <v>44</v>
      </c>
      <c r="C34" s="3" t="s">
        <v>192</v>
      </c>
      <c r="D34" s="69"/>
      <c r="E34" s="69"/>
    </row>
    <row r="35" spans="1:5" ht="36" x14ac:dyDescent="0.2">
      <c r="A35" s="69"/>
      <c r="B35" s="4" t="s">
        <v>45</v>
      </c>
      <c r="C35" s="3" t="s">
        <v>181</v>
      </c>
      <c r="D35" s="69"/>
      <c r="E35" s="69"/>
    </row>
    <row r="36" spans="1:5" ht="36" x14ac:dyDescent="0.2">
      <c r="A36" s="69" t="s">
        <v>46</v>
      </c>
      <c r="B36" s="69"/>
      <c r="C36" s="3" t="s">
        <v>47</v>
      </c>
      <c r="D36" s="69"/>
      <c r="E36" s="69"/>
    </row>
    <row r="37" spans="1:5" x14ac:dyDescent="0.2">
      <c r="A37" s="69" t="s">
        <v>48</v>
      </c>
      <c r="B37" s="69"/>
      <c r="C37" s="3" t="s">
        <v>49</v>
      </c>
      <c r="D37" s="69"/>
      <c r="E37" s="69"/>
    </row>
    <row r="38" spans="1:5" x14ac:dyDescent="0.2">
      <c r="A38" s="69" t="s">
        <v>129</v>
      </c>
      <c r="B38" s="69"/>
      <c r="C38" s="3" t="s">
        <v>50</v>
      </c>
      <c r="D38" s="69"/>
      <c r="E38" s="69"/>
    </row>
    <row r="39" spans="1:5" x14ac:dyDescent="0.2">
      <c r="A39" s="69" t="s">
        <v>128</v>
      </c>
      <c r="B39" s="69"/>
      <c r="C39" s="3" t="s">
        <v>127</v>
      </c>
      <c r="D39" s="69"/>
      <c r="E39" s="69"/>
    </row>
    <row r="40" spans="1:5" x14ac:dyDescent="0.2">
      <c r="A40" s="64" t="s">
        <v>124</v>
      </c>
      <c r="B40" s="65"/>
      <c r="C40" s="3" t="s">
        <v>292</v>
      </c>
      <c r="D40" s="64"/>
      <c r="E40" s="65"/>
    </row>
    <row r="41" spans="1:5" x14ac:dyDescent="0.2">
      <c r="A41" s="64" t="s">
        <v>125</v>
      </c>
      <c r="B41" s="65"/>
      <c r="C41" s="3" t="s">
        <v>293</v>
      </c>
      <c r="D41" s="64"/>
      <c r="E41" s="65"/>
    </row>
    <row r="42" spans="1:5" x14ac:dyDescent="0.2">
      <c r="A42" s="64" t="s">
        <v>126</v>
      </c>
      <c r="B42" s="65"/>
      <c r="C42" s="3" t="s">
        <v>195</v>
      </c>
      <c r="D42" s="64"/>
      <c r="E42" s="65"/>
    </row>
    <row r="43" spans="1:5" ht="24" x14ac:dyDescent="0.2">
      <c r="A43" s="69" t="s">
        <v>51</v>
      </c>
      <c r="B43" s="69"/>
      <c r="C43" s="3" t="s">
        <v>52</v>
      </c>
      <c r="D43" s="69"/>
      <c r="E43" s="69"/>
    </row>
    <row r="44" spans="1:5" x14ac:dyDescent="0.2">
      <c r="A44" s="69" t="s">
        <v>53</v>
      </c>
      <c r="B44" s="69"/>
      <c r="C44" s="3" t="s">
        <v>149</v>
      </c>
      <c r="D44" s="69"/>
      <c r="E44" s="69"/>
    </row>
    <row r="45" spans="1:5" ht="24" x14ac:dyDescent="0.2">
      <c r="A45" s="69" t="s">
        <v>54</v>
      </c>
      <c r="B45" s="69"/>
      <c r="C45" s="3" t="s">
        <v>436</v>
      </c>
      <c r="D45" s="69"/>
      <c r="E45" s="69"/>
    </row>
    <row r="46" spans="1:5" x14ac:dyDescent="0.2">
      <c r="A46" s="7"/>
      <c r="B46" s="8"/>
      <c r="C46" s="8"/>
      <c r="D46" s="8"/>
      <c r="E46" s="9"/>
    </row>
    <row r="47" spans="1:5" x14ac:dyDescent="0.2">
      <c r="A47" s="10" t="s">
        <v>58</v>
      </c>
      <c r="E47" s="11"/>
    </row>
    <row r="48" spans="1:5" x14ac:dyDescent="0.2">
      <c r="A48" s="70" t="s">
        <v>70</v>
      </c>
      <c r="B48" s="71"/>
      <c r="C48" s="71"/>
      <c r="D48" s="71"/>
      <c r="E48" s="72"/>
    </row>
    <row r="49" spans="1:5" x14ac:dyDescent="0.2">
      <c r="A49" s="70"/>
      <c r="B49" s="71"/>
      <c r="C49" s="71"/>
      <c r="D49" s="71"/>
      <c r="E49" s="72"/>
    </row>
    <row r="50" spans="1:5" x14ac:dyDescent="0.2">
      <c r="A50" s="70" t="s">
        <v>437</v>
      </c>
      <c r="B50" s="71"/>
      <c r="C50" s="71"/>
      <c r="D50" s="71"/>
      <c r="E50" s="72"/>
    </row>
    <row r="51" spans="1:5" x14ac:dyDescent="0.2">
      <c r="A51" s="70" t="s">
        <v>97</v>
      </c>
      <c r="B51" s="71"/>
      <c r="C51" s="71"/>
      <c r="D51" s="71"/>
      <c r="E51" s="72"/>
    </row>
    <row r="52" spans="1:5" x14ac:dyDescent="0.2">
      <c r="A52" s="70"/>
      <c r="B52" s="71"/>
      <c r="C52" s="71"/>
      <c r="D52" s="71"/>
      <c r="E52" s="72"/>
    </row>
    <row r="53" spans="1:5" x14ac:dyDescent="0.2">
      <c r="A53" s="70" t="s">
        <v>150</v>
      </c>
      <c r="B53" s="71"/>
      <c r="C53" s="71"/>
      <c r="D53" s="71"/>
      <c r="E53" s="72"/>
    </row>
    <row r="54" spans="1:5" ht="11.45" customHeight="1" x14ac:dyDescent="0.2">
      <c r="A54" s="70" t="s">
        <v>151</v>
      </c>
      <c r="B54" s="71"/>
      <c r="C54" s="71"/>
      <c r="D54" s="71"/>
      <c r="E54" s="72"/>
    </row>
    <row r="55" spans="1:5" x14ac:dyDescent="0.2">
      <c r="A55" s="66" t="s">
        <v>104</v>
      </c>
      <c r="B55" s="67"/>
      <c r="C55" s="67"/>
      <c r="D55" s="67"/>
      <c r="E55" s="68"/>
    </row>
  </sheetData>
  <mergeCells count="75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2"/>
    <mergeCell ref="D16:E16"/>
    <mergeCell ref="D17:E17"/>
    <mergeCell ref="D18:E18"/>
    <mergeCell ref="D19:E19"/>
    <mergeCell ref="D20:E20"/>
    <mergeCell ref="D21:E21"/>
    <mergeCell ref="D22:E22"/>
    <mergeCell ref="A23:B23"/>
    <mergeCell ref="D23:E23"/>
    <mergeCell ref="A24:A35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D35:E35"/>
    <mergeCell ref="A37:B37"/>
    <mergeCell ref="D37:E37"/>
    <mergeCell ref="A38:B38"/>
    <mergeCell ref="D38:E38"/>
    <mergeCell ref="A36:B36"/>
    <mergeCell ref="D36:E36"/>
    <mergeCell ref="A39:B39"/>
    <mergeCell ref="D39:E39"/>
    <mergeCell ref="A40:B40"/>
    <mergeCell ref="D40:E40"/>
    <mergeCell ref="A41:B41"/>
    <mergeCell ref="D41:E41"/>
    <mergeCell ref="A42:B42"/>
    <mergeCell ref="D42:E42"/>
    <mergeCell ref="A55:E55"/>
    <mergeCell ref="A43:B43"/>
    <mergeCell ref="D43:E43"/>
    <mergeCell ref="A44:B44"/>
    <mergeCell ref="D44:E44"/>
    <mergeCell ref="A45:B45"/>
    <mergeCell ref="D45:E45"/>
    <mergeCell ref="A48:E49"/>
    <mergeCell ref="A50:E50"/>
    <mergeCell ref="A51:E52"/>
    <mergeCell ref="A53:E53"/>
    <mergeCell ref="A54:E54"/>
  </mergeCells>
  <conditionalFormatting sqref="B17">
    <cfRule type="duplicateValues" dxfId="675" priority="4"/>
  </conditionalFormatting>
  <conditionalFormatting sqref="B18">
    <cfRule type="duplicateValues" dxfId="674" priority="3"/>
  </conditionalFormatting>
  <conditionalFormatting sqref="B20">
    <cfRule type="duplicateValues" dxfId="673" priority="2"/>
  </conditionalFormatting>
  <conditionalFormatting sqref="B21">
    <cfRule type="duplicateValues" dxfId="672" priority="10"/>
  </conditionalFormatting>
  <conditionalFormatting sqref="B25">
    <cfRule type="duplicateValues" dxfId="671" priority="12"/>
  </conditionalFormatting>
  <conditionalFormatting sqref="B28">
    <cfRule type="duplicateValues" dxfId="670" priority="1"/>
  </conditionalFormatting>
  <conditionalFormatting sqref="B32">
    <cfRule type="duplicateValues" dxfId="669" priority="11"/>
  </conditionalFormatting>
  <conditionalFormatting sqref="B38">
    <cfRule type="duplicateValues" dxfId="668" priority="6"/>
  </conditionalFormatting>
  <conditionalFormatting sqref="B39">
    <cfRule type="duplicateValues" dxfId="667" priority="5"/>
  </conditionalFormatting>
  <conditionalFormatting sqref="B40">
    <cfRule type="duplicateValues" dxfId="666" priority="9"/>
  </conditionalFormatting>
  <conditionalFormatting sqref="B41">
    <cfRule type="duplicateValues" dxfId="665" priority="8"/>
  </conditionalFormatting>
  <conditionalFormatting sqref="B42">
    <cfRule type="duplicateValues" dxfId="664" priority="7"/>
  </conditionalFormatting>
  <conditionalFormatting sqref="B56:B1048576 B4:B10 B26:B27 B12:B16 B33:B37 B22:B24 B43:B47 B19 B29:B31">
    <cfRule type="duplicateValues" dxfId="663" priority="13"/>
  </conditionalFormatting>
  <pageMargins left="0.7" right="0.7" top="0.75" bottom="0.75" header="0.3" footer="0.3"/>
  <pageSetup paperSize="9" scale="88" orientation="portrait" horizontalDpi="4294967295" verticalDpi="4294967295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593F3A-8B30-4FDA-BB35-4FD3A76F31CD}">
  <sheetPr codeName="Sheet19">
    <tabColor theme="4" tint="-0.249977111117893"/>
    <pageSetUpPr fitToPage="1"/>
  </sheetPr>
  <dimension ref="A1:E55"/>
  <sheetViews>
    <sheetView zoomScaleNormal="100" workbookViewId="0">
      <selection sqref="A1:B3"/>
    </sheetView>
  </sheetViews>
  <sheetFormatPr defaultColWidth="8.85546875" defaultRowHeight="12" x14ac:dyDescent="0.2"/>
  <cols>
    <col min="1" max="1" width="12.5703125" style="1" customWidth="1"/>
    <col min="2" max="2" width="13.42578125" style="1" bestFit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4" customFormat="1" ht="30" customHeight="1" x14ac:dyDescent="0.25">
      <c r="A1" s="77" t="e" vm="1">
        <v>#VALUE!</v>
      </c>
      <c r="B1" s="78"/>
      <c r="C1" s="83" t="s">
        <v>112</v>
      </c>
      <c r="D1" s="13" t="s">
        <v>110</v>
      </c>
      <c r="E1" s="13" t="s">
        <v>435</v>
      </c>
    </row>
    <row r="2" spans="1:5" s="14" customFormat="1" ht="30" customHeight="1" x14ac:dyDescent="0.25">
      <c r="A2" s="79"/>
      <c r="B2" s="80"/>
      <c r="C2" s="84"/>
      <c r="D2" s="15" t="s">
        <v>109</v>
      </c>
      <c r="E2" s="16" t="str">
        <f>VLOOKUP(C4,Index!B:J,9,FALSE)</f>
        <v>C0</v>
      </c>
    </row>
    <row r="3" spans="1:5" s="14" customFormat="1" ht="30" customHeight="1" x14ac:dyDescent="0.25">
      <c r="A3" s="81"/>
      <c r="B3" s="82"/>
      <c r="C3" s="85"/>
      <c r="D3" s="15" t="s">
        <v>111</v>
      </c>
      <c r="E3" s="17">
        <f>VLOOKUP(C4,Index!B:I,8,FALSE)</f>
        <v>328</v>
      </c>
    </row>
    <row r="4" spans="1:5" x14ac:dyDescent="0.2">
      <c r="A4" s="86" t="s">
        <v>74</v>
      </c>
      <c r="B4" s="86"/>
      <c r="C4" s="2" t="s">
        <v>202</v>
      </c>
      <c r="D4" s="86" t="s">
        <v>55</v>
      </c>
      <c r="E4" s="86"/>
    </row>
    <row r="5" spans="1:5" x14ac:dyDescent="0.2">
      <c r="A5" s="69" t="s">
        <v>26</v>
      </c>
      <c r="B5" s="69"/>
      <c r="C5" s="3" t="s">
        <v>113</v>
      </c>
      <c r="D5" s="69"/>
      <c r="E5" s="69"/>
    </row>
    <row r="6" spans="1:5" x14ac:dyDescent="0.2">
      <c r="A6" s="69" t="s">
        <v>27</v>
      </c>
      <c r="B6" s="69"/>
      <c r="C6" s="3" t="s">
        <v>78</v>
      </c>
      <c r="D6" s="69"/>
      <c r="E6" s="69"/>
    </row>
    <row r="7" spans="1:5" x14ac:dyDescent="0.2">
      <c r="A7" s="69" t="s">
        <v>28</v>
      </c>
      <c r="B7" s="69"/>
      <c r="C7" s="3" t="s">
        <v>82</v>
      </c>
      <c r="D7" s="69"/>
      <c r="E7" s="69"/>
    </row>
    <row r="8" spans="1:5" x14ac:dyDescent="0.2">
      <c r="A8" s="69" t="s">
        <v>29</v>
      </c>
      <c r="B8" s="69"/>
      <c r="C8" s="3" t="str">
        <f>VLOOKUP(C5,Index!N:W,6,FALSE)</f>
        <v>Corrosive HC service</v>
      </c>
      <c r="D8" s="69"/>
      <c r="E8" s="69"/>
    </row>
    <row r="9" spans="1:5" x14ac:dyDescent="0.2">
      <c r="A9" s="69" t="s">
        <v>30</v>
      </c>
      <c r="B9" s="69"/>
      <c r="C9" s="3" t="s">
        <v>148</v>
      </c>
      <c r="D9" s="69"/>
      <c r="E9" s="69"/>
    </row>
    <row r="10" spans="1:5" x14ac:dyDescent="0.2">
      <c r="A10" s="69" t="s">
        <v>31</v>
      </c>
      <c r="B10" s="69"/>
      <c r="C10" s="3" t="s">
        <v>59</v>
      </c>
      <c r="D10" s="69"/>
      <c r="E10" s="69"/>
    </row>
    <row r="11" spans="1:5" x14ac:dyDescent="0.2">
      <c r="A11" s="73" t="s">
        <v>119</v>
      </c>
      <c r="B11" s="74"/>
      <c r="C11" s="12" t="str">
        <f>VLOOKUP(C5,Index!N:W,10,FALSE)</f>
        <v>51.1 @ -29°C' 43.8 @ 200°C</v>
      </c>
      <c r="D11" s="75"/>
      <c r="E11" s="76"/>
    </row>
    <row r="12" spans="1:5" x14ac:dyDescent="0.2">
      <c r="A12" s="69" t="s">
        <v>32</v>
      </c>
      <c r="B12" s="69"/>
      <c r="C12" s="3" t="str">
        <f>VLOOKUP(C5,Index!N:W,5,FALSE)</f>
        <v>6 mm</v>
      </c>
      <c r="D12" s="69"/>
      <c r="E12" s="69"/>
    </row>
    <row r="13" spans="1:5" ht="24" x14ac:dyDescent="0.2">
      <c r="A13" s="69" t="s">
        <v>33</v>
      </c>
      <c r="B13" s="69"/>
      <c r="C13" s="3" t="s">
        <v>98</v>
      </c>
      <c r="D13" s="69"/>
      <c r="E13" s="69"/>
    </row>
    <row r="14" spans="1:5" x14ac:dyDescent="0.2">
      <c r="A14" s="69" t="s">
        <v>35</v>
      </c>
      <c r="B14" s="69"/>
      <c r="C14" s="3" t="s">
        <v>245</v>
      </c>
      <c r="D14" s="69"/>
      <c r="E14" s="69"/>
    </row>
    <row r="15" spans="1:5" x14ac:dyDescent="0.2">
      <c r="A15" s="69" t="s">
        <v>36</v>
      </c>
      <c r="B15" s="69"/>
      <c r="C15" s="3" t="s">
        <v>67</v>
      </c>
      <c r="D15" s="69"/>
      <c r="E15" s="69"/>
    </row>
    <row r="16" spans="1:5" x14ac:dyDescent="0.2">
      <c r="A16" s="69" t="s">
        <v>37</v>
      </c>
      <c r="B16" s="4" t="s">
        <v>38</v>
      </c>
      <c r="C16" s="3" t="s">
        <v>73</v>
      </c>
      <c r="D16" s="69"/>
      <c r="E16" s="69"/>
    </row>
    <row r="17" spans="1:5" ht="24" x14ac:dyDescent="0.2">
      <c r="A17" s="69"/>
      <c r="B17" s="4" t="s">
        <v>75</v>
      </c>
      <c r="C17" s="3" t="s">
        <v>77</v>
      </c>
      <c r="D17" s="69"/>
      <c r="E17" s="69"/>
    </row>
    <row r="18" spans="1:5" ht="24" x14ac:dyDescent="0.2">
      <c r="A18" s="69"/>
      <c r="B18" s="4" t="s">
        <v>39</v>
      </c>
      <c r="C18" s="3" t="s">
        <v>87</v>
      </c>
      <c r="D18" s="69"/>
      <c r="E18" s="69"/>
    </row>
    <row r="19" spans="1:5" x14ac:dyDescent="0.2">
      <c r="A19" s="69"/>
      <c r="B19" s="4" t="s">
        <v>68</v>
      </c>
      <c r="C19" s="3" t="s">
        <v>143</v>
      </c>
      <c r="D19" s="69"/>
      <c r="E19" s="69"/>
    </row>
    <row r="20" spans="1:5" x14ac:dyDescent="0.2">
      <c r="A20" s="69"/>
      <c r="B20" s="4" t="s">
        <v>141</v>
      </c>
      <c r="C20" s="3" t="s">
        <v>142</v>
      </c>
      <c r="D20" s="69"/>
      <c r="E20" s="69"/>
    </row>
    <row r="21" spans="1:5" x14ac:dyDescent="0.2">
      <c r="A21" s="69"/>
      <c r="B21" s="4" t="s">
        <v>69</v>
      </c>
      <c r="C21" s="3" t="s">
        <v>106</v>
      </c>
      <c r="D21" s="69"/>
      <c r="E21" s="69"/>
    </row>
    <row r="22" spans="1:5" ht="24" x14ac:dyDescent="0.2">
      <c r="A22" s="69"/>
      <c r="B22" s="4" t="s">
        <v>40</v>
      </c>
      <c r="C22" s="3" t="s">
        <v>86</v>
      </c>
      <c r="D22" s="69"/>
      <c r="E22" s="69"/>
    </row>
    <row r="23" spans="1:5" ht="24" x14ac:dyDescent="0.2">
      <c r="A23" s="69" t="s">
        <v>41</v>
      </c>
      <c r="B23" s="69"/>
      <c r="C23" s="3" t="s">
        <v>121</v>
      </c>
      <c r="D23" s="69"/>
      <c r="E23" s="69"/>
    </row>
    <row r="24" spans="1:5" ht="24" x14ac:dyDescent="0.2">
      <c r="A24" s="69" t="s">
        <v>42</v>
      </c>
      <c r="B24" s="4" t="s">
        <v>91</v>
      </c>
      <c r="C24" s="3" t="s">
        <v>88</v>
      </c>
      <c r="D24" s="69"/>
      <c r="E24" s="69"/>
    </row>
    <row r="25" spans="1:5" x14ac:dyDescent="0.2">
      <c r="A25" s="69"/>
      <c r="B25" s="4" t="s">
        <v>93</v>
      </c>
      <c r="C25" s="3" t="s">
        <v>132</v>
      </c>
      <c r="D25" s="69"/>
      <c r="E25" s="69"/>
    </row>
    <row r="26" spans="1:5" x14ac:dyDescent="0.2">
      <c r="A26" s="69"/>
      <c r="B26" s="4" t="s">
        <v>94</v>
      </c>
      <c r="C26" s="3" t="s">
        <v>102</v>
      </c>
      <c r="D26" s="69"/>
      <c r="E26" s="69"/>
    </row>
    <row r="27" spans="1:5" x14ac:dyDescent="0.2">
      <c r="A27" s="69"/>
      <c r="B27" s="4" t="s">
        <v>95</v>
      </c>
      <c r="C27" s="3" t="s">
        <v>105</v>
      </c>
      <c r="D27" s="69"/>
      <c r="E27" s="69"/>
    </row>
    <row r="28" spans="1:5" x14ac:dyDescent="0.2">
      <c r="A28" s="69"/>
      <c r="B28" s="4" t="s">
        <v>144</v>
      </c>
      <c r="C28" s="3" t="s">
        <v>105</v>
      </c>
      <c r="D28" s="69"/>
      <c r="E28" s="69"/>
    </row>
    <row r="29" spans="1:5" x14ac:dyDescent="0.2">
      <c r="A29" s="69"/>
      <c r="B29" s="4" t="s">
        <v>92</v>
      </c>
      <c r="C29" s="3" t="s">
        <v>102</v>
      </c>
      <c r="D29" s="69"/>
      <c r="E29" s="69"/>
    </row>
    <row r="30" spans="1:5" x14ac:dyDescent="0.2">
      <c r="A30" s="69"/>
      <c r="B30" s="4" t="s">
        <v>96</v>
      </c>
      <c r="C30" s="3" t="s">
        <v>137</v>
      </c>
      <c r="D30" s="69"/>
      <c r="E30" s="69"/>
    </row>
    <row r="31" spans="1:5" ht="36" x14ac:dyDescent="0.2">
      <c r="A31" s="69"/>
      <c r="B31" s="4" t="s">
        <v>72</v>
      </c>
      <c r="C31" s="3" t="s">
        <v>139</v>
      </c>
      <c r="D31" s="69"/>
      <c r="E31" s="69"/>
    </row>
    <row r="32" spans="1:5" ht="24" x14ac:dyDescent="0.2">
      <c r="A32" s="69"/>
      <c r="B32" s="6" t="s">
        <v>140</v>
      </c>
      <c r="C32" s="5" t="s">
        <v>99</v>
      </c>
      <c r="D32" s="69"/>
      <c r="E32" s="69"/>
    </row>
    <row r="33" spans="1:5" ht="24" x14ac:dyDescent="0.2">
      <c r="A33" s="69"/>
      <c r="B33" s="4" t="s">
        <v>43</v>
      </c>
      <c r="C33" s="3" t="s">
        <v>182</v>
      </c>
      <c r="D33" s="69"/>
      <c r="E33" s="69"/>
    </row>
    <row r="34" spans="1:5" ht="36" x14ac:dyDescent="0.2">
      <c r="A34" s="69"/>
      <c r="B34" s="4" t="s">
        <v>44</v>
      </c>
      <c r="C34" s="3" t="s">
        <v>192</v>
      </c>
      <c r="D34" s="69"/>
      <c r="E34" s="69"/>
    </row>
    <row r="35" spans="1:5" ht="36" x14ac:dyDescent="0.2">
      <c r="A35" s="69"/>
      <c r="B35" s="4" t="s">
        <v>45</v>
      </c>
      <c r="C35" s="3" t="s">
        <v>181</v>
      </c>
      <c r="D35" s="69"/>
      <c r="E35" s="69"/>
    </row>
    <row r="36" spans="1:5" ht="36" x14ac:dyDescent="0.2">
      <c r="A36" s="69" t="s">
        <v>46</v>
      </c>
      <c r="B36" s="69"/>
      <c r="C36" s="3" t="s">
        <v>47</v>
      </c>
      <c r="D36" s="69"/>
      <c r="E36" s="69"/>
    </row>
    <row r="37" spans="1:5" x14ac:dyDescent="0.2">
      <c r="A37" s="69" t="s">
        <v>48</v>
      </c>
      <c r="B37" s="69"/>
      <c r="C37" s="3" t="s">
        <v>49</v>
      </c>
      <c r="D37" s="69"/>
      <c r="E37" s="69"/>
    </row>
    <row r="38" spans="1:5" x14ac:dyDescent="0.2">
      <c r="A38" s="69" t="s">
        <v>129</v>
      </c>
      <c r="B38" s="69"/>
      <c r="C38" s="3" t="s">
        <v>50</v>
      </c>
      <c r="D38" s="69"/>
      <c r="E38" s="69"/>
    </row>
    <row r="39" spans="1:5" x14ac:dyDescent="0.2">
      <c r="A39" s="69" t="s">
        <v>128</v>
      </c>
      <c r="B39" s="69"/>
      <c r="C39" s="3" t="s">
        <v>127</v>
      </c>
      <c r="D39" s="69"/>
      <c r="E39" s="69"/>
    </row>
    <row r="40" spans="1:5" x14ac:dyDescent="0.2">
      <c r="A40" s="64" t="s">
        <v>124</v>
      </c>
      <c r="B40" s="65"/>
      <c r="C40" s="3" t="s">
        <v>290</v>
      </c>
      <c r="D40" s="64"/>
      <c r="E40" s="65"/>
    </row>
    <row r="41" spans="1:5" x14ac:dyDescent="0.2">
      <c r="A41" s="64" t="s">
        <v>125</v>
      </c>
      <c r="B41" s="65"/>
      <c r="C41" s="3" t="s">
        <v>291</v>
      </c>
      <c r="D41" s="64"/>
      <c r="E41" s="65"/>
    </row>
    <row r="42" spans="1:5" x14ac:dyDescent="0.2">
      <c r="A42" s="64" t="s">
        <v>126</v>
      </c>
      <c r="B42" s="65"/>
      <c r="C42" s="3" t="s">
        <v>195</v>
      </c>
      <c r="D42" s="64"/>
      <c r="E42" s="65"/>
    </row>
    <row r="43" spans="1:5" ht="24" x14ac:dyDescent="0.2">
      <c r="A43" s="69" t="s">
        <v>51</v>
      </c>
      <c r="B43" s="69"/>
      <c r="C43" s="3" t="s">
        <v>52</v>
      </c>
      <c r="D43" s="69"/>
      <c r="E43" s="69"/>
    </row>
    <row r="44" spans="1:5" x14ac:dyDescent="0.2">
      <c r="A44" s="69" t="s">
        <v>53</v>
      </c>
      <c r="B44" s="69"/>
      <c r="C44" s="3" t="s">
        <v>149</v>
      </c>
      <c r="D44" s="69"/>
      <c r="E44" s="69"/>
    </row>
    <row r="45" spans="1:5" ht="24" x14ac:dyDescent="0.2">
      <c r="A45" s="69" t="s">
        <v>54</v>
      </c>
      <c r="B45" s="69"/>
      <c r="C45" s="3" t="s">
        <v>436</v>
      </c>
      <c r="D45" s="69"/>
      <c r="E45" s="69"/>
    </row>
    <row r="46" spans="1:5" x14ac:dyDescent="0.2">
      <c r="A46" s="7"/>
      <c r="B46" s="8"/>
      <c r="C46" s="8"/>
      <c r="D46" s="8"/>
      <c r="E46" s="9"/>
    </row>
    <row r="47" spans="1:5" x14ac:dyDescent="0.2">
      <c r="A47" s="10" t="s">
        <v>58</v>
      </c>
      <c r="E47" s="11"/>
    </row>
    <row r="48" spans="1:5" x14ac:dyDescent="0.2">
      <c r="A48" s="70" t="s">
        <v>70</v>
      </c>
      <c r="B48" s="71"/>
      <c r="C48" s="71"/>
      <c r="D48" s="71"/>
      <c r="E48" s="72"/>
    </row>
    <row r="49" spans="1:5" x14ac:dyDescent="0.2">
      <c r="A49" s="70"/>
      <c r="B49" s="71"/>
      <c r="C49" s="71"/>
      <c r="D49" s="71"/>
      <c r="E49" s="72"/>
    </row>
    <row r="50" spans="1:5" x14ac:dyDescent="0.2">
      <c r="A50" s="70" t="s">
        <v>437</v>
      </c>
      <c r="B50" s="71"/>
      <c r="C50" s="71"/>
      <c r="D50" s="71"/>
      <c r="E50" s="72"/>
    </row>
    <row r="51" spans="1:5" x14ac:dyDescent="0.2">
      <c r="A51" s="70" t="s">
        <v>97</v>
      </c>
      <c r="B51" s="71"/>
      <c r="C51" s="71"/>
      <c r="D51" s="71"/>
      <c r="E51" s="72"/>
    </row>
    <row r="52" spans="1:5" x14ac:dyDescent="0.2">
      <c r="A52" s="70"/>
      <c r="B52" s="71"/>
      <c r="C52" s="71"/>
      <c r="D52" s="71"/>
      <c r="E52" s="72"/>
    </row>
    <row r="53" spans="1:5" x14ac:dyDescent="0.2">
      <c r="A53" s="70" t="s">
        <v>150</v>
      </c>
      <c r="B53" s="71"/>
      <c r="C53" s="71"/>
      <c r="D53" s="71"/>
      <c r="E53" s="72"/>
    </row>
    <row r="54" spans="1:5" ht="11.45" customHeight="1" x14ac:dyDescent="0.2">
      <c r="A54" s="70" t="s">
        <v>151</v>
      </c>
      <c r="B54" s="71"/>
      <c r="C54" s="71"/>
      <c r="D54" s="71"/>
      <c r="E54" s="72"/>
    </row>
    <row r="55" spans="1:5" x14ac:dyDescent="0.2">
      <c r="A55" s="66" t="s">
        <v>104</v>
      </c>
      <c r="B55" s="67"/>
      <c r="C55" s="67"/>
      <c r="D55" s="67"/>
      <c r="E55" s="68"/>
    </row>
  </sheetData>
  <mergeCells count="75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2"/>
    <mergeCell ref="D16:E16"/>
    <mergeCell ref="D17:E17"/>
    <mergeCell ref="D18:E18"/>
    <mergeCell ref="D19:E19"/>
    <mergeCell ref="D20:E20"/>
    <mergeCell ref="D21:E21"/>
    <mergeCell ref="D22:E22"/>
    <mergeCell ref="A23:B23"/>
    <mergeCell ref="D23:E23"/>
    <mergeCell ref="A24:A35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D35:E35"/>
    <mergeCell ref="A37:B37"/>
    <mergeCell ref="D37:E37"/>
    <mergeCell ref="A38:B38"/>
    <mergeCell ref="D38:E38"/>
    <mergeCell ref="A36:B36"/>
    <mergeCell ref="D36:E36"/>
    <mergeCell ref="A39:B39"/>
    <mergeCell ref="D39:E39"/>
    <mergeCell ref="A40:B40"/>
    <mergeCell ref="D40:E40"/>
    <mergeCell ref="A41:B41"/>
    <mergeCell ref="D41:E41"/>
    <mergeCell ref="A42:B42"/>
    <mergeCell ref="D42:E42"/>
    <mergeCell ref="A55:E55"/>
    <mergeCell ref="A43:B43"/>
    <mergeCell ref="D43:E43"/>
    <mergeCell ref="A44:B44"/>
    <mergeCell ref="D44:E44"/>
    <mergeCell ref="A45:B45"/>
    <mergeCell ref="D45:E45"/>
    <mergeCell ref="A48:E49"/>
    <mergeCell ref="A50:E50"/>
    <mergeCell ref="A51:E52"/>
    <mergeCell ref="A53:E53"/>
    <mergeCell ref="A54:E54"/>
  </mergeCells>
  <conditionalFormatting sqref="B17">
    <cfRule type="duplicateValues" dxfId="662" priority="4"/>
  </conditionalFormatting>
  <conditionalFormatting sqref="B18">
    <cfRule type="duplicateValues" dxfId="661" priority="3"/>
  </conditionalFormatting>
  <conditionalFormatting sqref="B20">
    <cfRule type="duplicateValues" dxfId="660" priority="2"/>
  </conditionalFormatting>
  <conditionalFormatting sqref="B21">
    <cfRule type="duplicateValues" dxfId="659" priority="10"/>
  </conditionalFormatting>
  <conditionalFormatting sqref="B25">
    <cfRule type="duplicateValues" dxfId="658" priority="12"/>
  </conditionalFormatting>
  <conditionalFormatting sqref="B28">
    <cfRule type="duplicateValues" dxfId="657" priority="1"/>
  </conditionalFormatting>
  <conditionalFormatting sqref="B32">
    <cfRule type="duplicateValues" dxfId="656" priority="11"/>
  </conditionalFormatting>
  <conditionalFormatting sqref="B38">
    <cfRule type="duplicateValues" dxfId="655" priority="6"/>
  </conditionalFormatting>
  <conditionalFormatting sqref="B39">
    <cfRule type="duplicateValues" dxfId="654" priority="5"/>
  </conditionalFormatting>
  <conditionalFormatting sqref="B40">
    <cfRule type="duplicateValues" dxfId="653" priority="9"/>
  </conditionalFormatting>
  <conditionalFormatting sqref="B41">
    <cfRule type="duplicateValues" dxfId="652" priority="8"/>
  </conditionalFormatting>
  <conditionalFormatting sqref="B42">
    <cfRule type="duplicateValues" dxfId="651" priority="7"/>
  </conditionalFormatting>
  <conditionalFormatting sqref="B56:B1048576 B4:B10 B26:B27 B12:B16 B33:B37 B22:B24 B43:B47 B19 B29:B31">
    <cfRule type="duplicateValues" dxfId="650" priority="13"/>
  </conditionalFormatting>
  <pageMargins left="0.7" right="0.7" top="0.75" bottom="0.75" header="0.3" footer="0.3"/>
  <pageSetup paperSize="9" scale="88" orientation="portrait" horizontalDpi="4294967295" verticalDpi="4294967295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8F42CA-E344-46F6-8664-2E619DDE72F4}">
  <sheetPr codeName="Sheet20">
    <tabColor theme="4" tint="-0.249977111117893"/>
    <pageSetUpPr fitToPage="1"/>
  </sheetPr>
  <dimension ref="A1:E55"/>
  <sheetViews>
    <sheetView zoomScaleNormal="100" workbookViewId="0">
      <selection sqref="A1:B3"/>
    </sheetView>
  </sheetViews>
  <sheetFormatPr defaultColWidth="8.85546875" defaultRowHeight="12" x14ac:dyDescent="0.2"/>
  <cols>
    <col min="1" max="1" width="12.5703125" style="1" customWidth="1"/>
    <col min="2" max="2" width="13.42578125" style="1" bestFit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4" customFormat="1" ht="30" customHeight="1" x14ac:dyDescent="0.25">
      <c r="A1" s="77" t="e" vm="1">
        <v>#VALUE!</v>
      </c>
      <c r="B1" s="78"/>
      <c r="C1" s="83" t="s">
        <v>112</v>
      </c>
      <c r="D1" s="13" t="s">
        <v>110</v>
      </c>
      <c r="E1" s="13" t="s">
        <v>435</v>
      </c>
    </row>
    <row r="2" spans="1:5" s="14" customFormat="1" ht="30" customHeight="1" x14ac:dyDescent="0.25">
      <c r="A2" s="79"/>
      <c r="B2" s="80"/>
      <c r="C2" s="84"/>
      <c r="D2" s="15" t="s">
        <v>109</v>
      </c>
      <c r="E2" s="16" t="str">
        <f>VLOOKUP(C4,Index!B:J,9,FALSE)</f>
        <v>C0</v>
      </c>
    </row>
    <row r="3" spans="1:5" s="14" customFormat="1" ht="30" customHeight="1" x14ac:dyDescent="0.25">
      <c r="A3" s="81"/>
      <c r="B3" s="82"/>
      <c r="C3" s="85"/>
      <c r="D3" s="15" t="s">
        <v>111</v>
      </c>
      <c r="E3" s="17">
        <f>VLOOKUP(C4,Index!B:I,8,FALSE)</f>
        <v>329</v>
      </c>
    </row>
    <row r="4" spans="1:5" x14ac:dyDescent="0.2">
      <c r="A4" s="86" t="s">
        <v>74</v>
      </c>
      <c r="B4" s="86"/>
      <c r="C4" s="2" t="s">
        <v>203</v>
      </c>
      <c r="D4" s="86" t="s">
        <v>55</v>
      </c>
      <c r="E4" s="86"/>
    </row>
    <row r="5" spans="1:5" x14ac:dyDescent="0.2">
      <c r="A5" s="69" t="s">
        <v>26</v>
      </c>
      <c r="B5" s="69"/>
      <c r="C5" s="3" t="s">
        <v>114</v>
      </c>
      <c r="D5" s="69"/>
      <c r="E5" s="69"/>
    </row>
    <row r="6" spans="1:5" x14ac:dyDescent="0.2">
      <c r="A6" s="69" t="s">
        <v>27</v>
      </c>
      <c r="B6" s="69"/>
      <c r="C6" s="3" t="s">
        <v>78</v>
      </c>
      <c r="D6" s="69"/>
      <c r="E6" s="69"/>
    </row>
    <row r="7" spans="1:5" x14ac:dyDescent="0.2">
      <c r="A7" s="69" t="s">
        <v>28</v>
      </c>
      <c r="B7" s="69"/>
      <c r="C7" s="3" t="s">
        <v>82</v>
      </c>
      <c r="D7" s="69"/>
      <c r="E7" s="69"/>
    </row>
    <row r="8" spans="1:5" x14ac:dyDescent="0.2">
      <c r="A8" s="69" t="s">
        <v>29</v>
      </c>
      <c r="B8" s="69"/>
      <c r="C8" s="3" t="str">
        <f>VLOOKUP(C5,Index!N:W,6,FALSE)</f>
        <v>Corrosive HC service</v>
      </c>
      <c r="D8" s="69"/>
      <c r="E8" s="69"/>
    </row>
    <row r="9" spans="1:5" x14ac:dyDescent="0.2">
      <c r="A9" s="69" t="s">
        <v>30</v>
      </c>
      <c r="B9" s="69"/>
      <c r="C9" s="3" t="s">
        <v>148</v>
      </c>
      <c r="D9" s="69"/>
      <c r="E9" s="69"/>
    </row>
    <row r="10" spans="1:5" x14ac:dyDescent="0.2">
      <c r="A10" s="69" t="s">
        <v>31</v>
      </c>
      <c r="B10" s="69"/>
      <c r="C10" s="3" t="s">
        <v>60</v>
      </c>
      <c r="D10" s="69"/>
      <c r="E10" s="69"/>
    </row>
    <row r="11" spans="1:5" x14ac:dyDescent="0.2">
      <c r="A11" s="73" t="s">
        <v>119</v>
      </c>
      <c r="B11" s="74"/>
      <c r="C11" s="12" t="str">
        <f>VLOOKUP(C5,Index!N:W,10,FALSE)</f>
        <v>102.1 @ -29°C' 87.6 @ 200°C</v>
      </c>
      <c r="D11" s="75"/>
      <c r="E11" s="76"/>
    </row>
    <row r="12" spans="1:5" x14ac:dyDescent="0.2">
      <c r="A12" s="69" t="s">
        <v>32</v>
      </c>
      <c r="B12" s="69"/>
      <c r="C12" s="3" t="str">
        <f>VLOOKUP(C5,Index!N:W,5,FALSE)</f>
        <v>6 mm</v>
      </c>
      <c r="D12" s="69"/>
      <c r="E12" s="69"/>
    </row>
    <row r="13" spans="1:5" ht="24" x14ac:dyDescent="0.2">
      <c r="A13" s="69" t="s">
        <v>33</v>
      </c>
      <c r="B13" s="69"/>
      <c r="C13" s="3" t="s">
        <v>98</v>
      </c>
      <c r="D13" s="69"/>
      <c r="E13" s="69"/>
    </row>
    <row r="14" spans="1:5" x14ac:dyDescent="0.2">
      <c r="A14" s="69" t="s">
        <v>35</v>
      </c>
      <c r="B14" s="69"/>
      <c r="C14" s="3" t="s">
        <v>245</v>
      </c>
      <c r="D14" s="69"/>
      <c r="E14" s="69"/>
    </row>
    <row r="15" spans="1:5" x14ac:dyDescent="0.2">
      <c r="A15" s="69" t="s">
        <v>36</v>
      </c>
      <c r="B15" s="69"/>
      <c r="C15" s="3" t="s">
        <v>67</v>
      </c>
      <c r="D15" s="69"/>
      <c r="E15" s="69"/>
    </row>
    <row r="16" spans="1:5" x14ac:dyDescent="0.2">
      <c r="A16" s="69" t="s">
        <v>37</v>
      </c>
      <c r="B16" s="4" t="s">
        <v>38</v>
      </c>
      <c r="C16" s="3" t="s">
        <v>73</v>
      </c>
      <c r="D16" s="69"/>
      <c r="E16" s="69"/>
    </row>
    <row r="17" spans="1:5" ht="24" x14ac:dyDescent="0.2">
      <c r="A17" s="69"/>
      <c r="B17" s="4" t="s">
        <v>75</v>
      </c>
      <c r="C17" s="3" t="s">
        <v>77</v>
      </c>
      <c r="D17" s="69"/>
      <c r="E17" s="69"/>
    </row>
    <row r="18" spans="1:5" ht="24" x14ac:dyDescent="0.2">
      <c r="A18" s="69"/>
      <c r="B18" s="4" t="s">
        <v>39</v>
      </c>
      <c r="C18" s="3" t="s">
        <v>87</v>
      </c>
      <c r="D18" s="69"/>
      <c r="E18" s="69"/>
    </row>
    <row r="19" spans="1:5" x14ac:dyDescent="0.2">
      <c r="A19" s="69"/>
      <c r="B19" s="4" t="s">
        <v>68</v>
      </c>
      <c r="C19" s="3" t="s">
        <v>143</v>
      </c>
      <c r="D19" s="69"/>
      <c r="E19" s="69"/>
    </row>
    <row r="20" spans="1:5" x14ac:dyDescent="0.2">
      <c r="A20" s="69"/>
      <c r="B20" s="4" t="s">
        <v>141</v>
      </c>
      <c r="C20" s="3" t="s">
        <v>142</v>
      </c>
      <c r="D20" s="69"/>
      <c r="E20" s="69"/>
    </row>
    <row r="21" spans="1:5" x14ac:dyDescent="0.2">
      <c r="A21" s="69"/>
      <c r="B21" s="4" t="s">
        <v>69</v>
      </c>
      <c r="C21" s="3" t="s">
        <v>106</v>
      </c>
      <c r="D21" s="69"/>
      <c r="E21" s="69"/>
    </row>
    <row r="22" spans="1:5" ht="24" x14ac:dyDescent="0.2">
      <c r="A22" s="69"/>
      <c r="B22" s="4" t="s">
        <v>40</v>
      </c>
      <c r="C22" s="3" t="s">
        <v>86</v>
      </c>
      <c r="D22" s="69"/>
      <c r="E22" s="69"/>
    </row>
    <row r="23" spans="1:5" ht="24" x14ac:dyDescent="0.2">
      <c r="A23" s="69" t="s">
        <v>41</v>
      </c>
      <c r="B23" s="69"/>
      <c r="C23" s="3" t="s">
        <v>120</v>
      </c>
      <c r="D23" s="69"/>
      <c r="E23" s="69"/>
    </row>
    <row r="24" spans="1:5" ht="24" x14ac:dyDescent="0.2">
      <c r="A24" s="69" t="s">
        <v>42</v>
      </c>
      <c r="B24" s="4" t="s">
        <v>91</v>
      </c>
      <c r="C24" s="3" t="s">
        <v>88</v>
      </c>
      <c r="D24" s="69"/>
      <c r="E24" s="69"/>
    </row>
    <row r="25" spans="1:5" x14ac:dyDescent="0.2">
      <c r="A25" s="69"/>
      <c r="B25" s="4" t="s">
        <v>93</v>
      </c>
      <c r="C25" s="3" t="s">
        <v>132</v>
      </c>
      <c r="D25" s="69"/>
      <c r="E25" s="69"/>
    </row>
    <row r="26" spans="1:5" x14ac:dyDescent="0.2">
      <c r="A26" s="69"/>
      <c r="B26" s="4" t="s">
        <v>94</v>
      </c>
      <c r="C26" s="3" t="s">
        <v>102</v>
      </c>
      <c r="D26" s="69"/>
      <c r="E26" s="69"/>
    </row>
    <row r="27" spans="1:5" x14ac:dyDescent="0.2">
      <c r="A27" s="69"/>
      <c r="B27" s="4" t="s">
        <v>95</v>
      </c>
      <c r="C27" s="3" t="s">
        <v>105</v>
      </c>
      <c r="D27" s="69"/>
      <c r="E27" s="69"/>
    </row>
    <row r="28" spans="1:5" x14ac:dyDescent="0.2">
      <c r="A28" s="69"/>
      <c r="B28" s="4" t="s">
        <v>144</v>
      </c>
      <c r="C28" s="3" t="s">
        <v>105</v>
      </c>
      <c r="D28" s="69"/>
      <c r="E28" s="69"/>
    </row>
    <row r="29" spans="1:5" x14ac:dyDescent="0.2">
      <c r="A29" s="69"/>
      <c r="B29" s="4" t="s">
        <v>92</v>
      </c>
      <c r="C29" s="3" t="s">
        <v>102</v>
      </c>
      <c r="D29" s="69"/>
      <c r="E29" s="69"/>
    </row>
    <row r="30" spans="1:5" x14ac:dyDescent="0.2">
      <c r="A30" s="69"/>
      <c r="B30" s="4" t="s">
        <v>96</v>
      </c>
      <c r="C30" s="3" t="s">
        <v>137</v>
      </c>
      <c r="D30" s="69"/>
      <c r="E30" s="69"/>
    </row>
    <row r="31" spans="1:5" ht="36" x14ac:dyDescent="0.2">
      <c r="A31" s="69"/>
      <c r="B31" s="4" t="s">
        <v>72</v>
      </c>
      <c r="C31" s="3" t="s">
        <v>139</v>
      </c>
      <c r="D31" s="69"/>
      <c r="E31" s="69"/>
    </row>
    <row r="32" spans="1:5" ht="24" x14ac:dyDescent="0.2">
      <c r="A32" s="69"/>
      <c r="B32" s="6" t="s">
        <v>140</v>
      </c>
      <c r="C32" s="5" t="s">
        <v>99</v>
      </c>
      <c r="D32" s="69"/>
      <c r="E32" s="69"/>
    </row>
    <row r="33" spans="1:5" ht="24" x14ac:dyDescent="0.2">
      <c r="A33" s="69"/>
      <c r="B33" s="4" t="s">
        <v>43</v>
      </c>
      <c r="C33" s="3" t="s">
        <v>182</v>
      </c>
      <c r="D33" s="69"/>
      <c r="E33" s="69"/>
    </row>
    <row r="34" spans="1:5" ht="36" x14ac:dyDescent="0.2">
      <c r="A34" s="69"/>
      <c r="B34" s="4" t="s">
        <v>44</v>
      </c>
      <c r="C34" s="3" t="s">
        <v>192</v>
      </c>
      <c r="D34" s="69"/>
      <c r="E34" s="69"/>
    </row>
    <row r="35" spans="1:5" ht="36" x14ac:dyDescent="0.2">
      <c r="A35" s="69"/>
      <c r="B35" s="4" t="s">
        <v>45</v>
      </c>
      <c r="C35" s="3" t="s">
        <v>181</v>
      </c>
      <c r="D35" s="69"/>
      <c r="E35" s="69"/>
    </row>
    <row r="36" spans="1:5" ht="36" x14ac:dyDescent="0.2">
      <c r="A36" s="69" t="s">
        <v>46</v>
      </c>
      <c r="B36" s="69"/>
      <c r="C36" s="3" t="s">
        <v>47</v>
      </c>
      <c r="D36" s="69"/>
      <c r="E36" s="69"/>
    </row>
    <row r="37" spans="1:5" x14ac:dyDescent="0.2">
      <c r="A37" s="69" t="s">
        <v>48</v>
      </c>
      <c r="B37" s="69"/>
      <c r="C37" s="3" t="s">
        <v>49</v>
      </c>
      <c r="D37" s="69"/>
      <c r="E37" s="69"/>
    </row>
    <row r="38" spans="1:5" x14ac:dyDescent="0.2">
      <c r="A38" s="69" t="s">
        <v>129</v>
      </c>
      <c r="B38" s="69"/>
      <c r="C38" s="3" t="s">
        <v>50</v>
      </c>
      <c r="D38" s="69"/>
      <c r="E38" s="69"/>
    </row>
    <row r="39" spans="1:5" x14ac:dyDescent="0.2">
      <c r="A39" s="69" t="s">
        <v>128</v>
      </c>
      <c r="B39" s="69"/>
      <c r="C39" s="3" t="s">
        <v>127</v>
      </c>
      <c r="D39" s="69"/>
      <c r="E39" s="69"/>
    </row>
    <row r="40" spans="1:5" x14ac:dyDescent="0.2">
      <c r="A40" s="64" t="s">
        <v>124</v>
      </c>
      <c r="B40" s="65"/>
      <c r="C40" s="3" t="s">
        <v>288</v>
      </c>
      <c r="D40" s="64"/>
      <c r="E40" s="65"/>
    </row>
    <row r="41" spans="1:5" x14ac:dyDescent="0.2">
      <c r="A41" s="64" t="s">
        <v>125</v>
      </c>
      <c r="B41" s="65"/>
      <c r="C41" s="3" t="s">
        <v>289</v>
      </c>
      <c r="D41" s="64"/>
      <c r="E41" s="65"/>
    </row>
    <row r="42" spans="1:5" x14ac:dyDescent="0.2">
      <c r="A42" s="64" t="s">
        <v>126</v>
      </c>
      <c r="B42" s="65"/>
      <c r="C42" s="3" t="s">
        <v>195</v>
      </c>
      <c r="D42" s="64"/>
      <c r="E42" s="65"/>
    </row>
    <row r="43" spans="1:5" ht="24" x14ac:dyDescent="0.2">
      <c r="A43" s="69" t="s">
        <v>51</v>
      </c>
      <c r="B43" s="69"/>
      <c r="C43" s="3" t="s">
        <v>52</v>
      </c>
      <c r="D43" s="69"/>
      <c r="E43" s="69"/>
    </row>
    <row r="44" spans="1:5" x14ac:dyDescent="0.2">
      <c r="A44" s="69" t="s">
        <v>53</v>
      </c>
      <c r="B44" s="69"/>
      <c r="C44" s="3" t="s">
        <v>149</v>
      </c>
      <c r="D44" s="69"/>
      <c r="E44" s="69"/>
    </row>
    <row r="45" spans="1:5" ht="24" x14ac:dyDescent="0.2">
      <c r="A45" s="69" t="s">
        <v>54</v>
      </c>
      <c r="B45" s="69"/>
      <c r="C45" s="3" t="s">
        <v>436</v>
      </c>
      <c r="D45" s="69"/>
      <c r="E45" s="69"/>
    </row>
    <row r="46" spans="1:5" x14ac:dyDescent="0.2">
      <c r="A46" s="7"/>
      <c r="B46" s="8"/>
      <c r="C46" s="8"/>
      <c r="D46" s="8"/>
      <c r="E46" s="9"/>
    </row>
    <row r="47" spans="1:5" x14ac:dyDescent="0.2">
      <c r="A47" s="10" t="s">
        <v>58</v>
      </c>
      <c r="E47" s="11"/>
    </row>
    <row r="48" spans="1:5" x14ac:dyDescent="0.2">
      <c r="A48" s="70" t="s">
        <v>70</v>
      </c>
      <c r="B48" s="71"/>
      <c r="C48" s="71"/>
      <c r="D48" s="71"/>
      <c r="E48" s="72"/>
    </row>
    <row r="49" spans="1:5" x14ac:dyDescent="0.2">
      <c r="A49" s="70"/>
      <c r="B49" s="71"/>
      <c r="C49" s="71"/>
      <c r="D49" s="71"/>
      <c r="E49" s="72"/>
    </row>
    <row r="50" spans="1:5" x14ac:dyDescent="0.2">
      <c r="A50" s="70" t="s">
        <v>437</v>
      </c>
      <c r="B50" s="71"/>
      <c r="C50" s="71"/>
      <c r="D50" s="71"/>
      <c r="E50" s="72"/>
    </row>
    <row r="51" spans="1:5" x14ac:dyDescent="0.2">
      <c r="A51" s="70" t="s">
        <v>97</v>
      </c>
      <c r="B51" s="71"/>
      <c r="C51" s="71"/>
      <c r="D51" s="71"/>
      <c r="E51" s="72"/>
    </row>
    <row r="52" spans="1:5" x14ac:dyDescent="0.2">
      <c r="A52" s="70"/>
      <c r="B52" s="71"/>
      <c r="C52" s="71"/>
      <c r="D52" s="71"/>
      <c r="E52" s="72"/>
    </row>
    <row r="53" spans="1:5" x14ac:dyDescent="0.2">
      <c r="A53" s="70" t="s">
        <v>150</v>
      </c>
      <c r="B53" s="71"/>
      <c r="C53" s="71"/>
      <c r="D53" s="71"/>
      <c r="E53" s="72"/>
    </row>
    <row r="54" spans="1:5" ht="11.45" customHeight="1" x14ac:dyDescent="0.2">
      <c r="A54" s="70" t="s">
        <v>151</v>
      </c>
      <c r="B54" s="71"/>
      <c r="C54" s="71"/>
      <c r="D54" s="71"/>
      <c r="E54" s="72"/>
    </row>
    <row r="55" spans="1:5" x14ac:dyDescent="0.2">
      <c r="A55" s="66" t="s">
        <v>104</v>
      </c>
      <c r="B55" s="67"/>
      <c r="C55" s="67"/>
      <c r="D55" s="67"/>
      <c r="E55" s="68"/>
    </row>
  </sheetData>
  <mergeCells count="75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2"/>
    <mergeCell ref="D16:E16"/>
    <mergeCell ref="D17:E17"/>
    <mergeCell ref="D18:E18"/>
    <mergeCell ref="D19:E19"/>
    <mergeCell ref="D20:E20"/>
    <mergeCell ref="D21:E21"/>
    <mergeCell ref="D22:E22"/>
    <mergeCell ref="A23:B23"/>
    <mergeCell ref="D23:E23"/>
    <mergeCell ref="A24:A35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D35:E35"/>
    <mergeCell ref="A37:B37"/>
    <mergeCell ref="D37:E37"/>
    <mergeCell ref="A38:B38"/>
    <mergeCell ref="D38:E38"/>
    <mergeCell ref="A36:B36"/>
    <mergeCell ref="D36:E36"/>
    <mergeCell ref="A39:B39"/>
    <mergeCell ref="D39:E39"/>
    <mergeCell ref="A40:B40"/>
    <mergeCell ref="D40:E40"/>
    <mergeCell ref="A41:B41"/>
    <mergeCell ref="D41:E41"/>
    <mergeCell ref="A42:B42"/>
    <mergeCell ref="D42:E42"/>
    <mergeCell ref="A55:E55"/>
    <mergeCell ref="A43:B43"/>
    <mergeCell ref="D43:E43"/>
    <mergeCell ref="A44:B44"/>
    <mergeCell ref="D44:E44"/>
    <mergeCell ref="A45:B45"/>
    <mergeCell ref="D45:E45"/>
    <mergeCell ref="A48:E49"/>
    <mergeCell ref="A50:E50"/>
    <mergeCell ref="A51:E52"/>
    <mergeCell ref="A53:E53"/>
    <mergeCell ref="A54:E54"/>
  </mergeCells>
  <conditionalFormatting sqref="B17">
    <cfRule type="duplicateValues" dxfId="649" priority="4"/>
  </conditionalFormatting>
  <conditionalFormatting sqref="B18">
    <cfRule type="duplicateValues" dxfId="648" priority="3"/>
  </conditionalFormatting>
  <conditionalFormatting sqref="B20">
    <cfRule type="duplicateValues" dxfId="647" priority="2"/>
  </conditionalFormatting>
  <conditionalFormatting sqref="B21">
    <cfRule type="duplicateValues" dxfId="646" priority="10"/>
  </conditionalFormatting>
  <conditionalFormatting sqref="B25">
    <cfRule type="duplicateValues" dxfId="645" priority="12"/>
  </conditionalFormatting>
  <conditionalFormatting sqref="B28">
    <cfRule type="duplicateValues" dxfId="644" priority="1"/>
  </conditionalFormatting>
  <conditionalFormatting sqref="B32">
    <cfRule type="duplicateValues" dxfId="643" priority="11"/>
  </conditionalFormatting>
  <conditionalFormatting sqref="B38">
    <cfRule type="duplicateValues" dxfId="642" priority="6"/>
  </conditionalFormatting>
  <conditionalFormatting sqref="B39">
    <cfRule type="duplicateValues" dxfId="641" priority="5"/>
  </conditionalFormatting>
  <conditionalFormatting sqref="B40">
    <cfRule type="duplicateValues" dxfId="640" priority="9"/>
  </conditionalFormatting>
  <conditionalFormatting sqref="B41">
    <cfRule type="duplicateValues" dxfId="639" priority="8"/>
  </conditionalFormatting>
  <conditionalFormatting sqref="B42">
    <cfRule type="duplicateValues" dxfId="638" priority="7"/>
  </conditionalFormatting>
  <conditionalFormatting sqref="B56:B1048576 B4:B10 B26:B27 B12:B16 B33:B37 B22:B24 B43:B47 B19 B29:B31">
    <cfRule type="duplicateValues" dxfId="637" priority="13"/>
  </conditionalFormatting>
  <pageMargins left="0.7" right="0.7" top="0.75" bottom="0.75" header="0.3" footer="0.3"/>
  <pageSetup paperSize="9" scale="88" orientation="portrait" horizontalDpi="4294967295" verticalDpi="4294967295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27B8B7-DF82-4488-90A0-77D42839D3F9}">
  <sheetPr codeName="Sheet21">
    <tabColor theme="4" tint="-0.249977111117893"/>
    <pageSetUpPr fitToPage="1"/>
  </sheetPr>
  <dimension ref="A1:E55"/>
  <sheetViews>
    <sheetView zoomScaleNormal="100" workbookViewId="0">
      <selection sqref="A1:B3"/>
    </sheetView>
  </sheetViews>
  <sheetFormatPr defaultColWidth="8.85546875" defaultRowHeight="12" x14ac:dyDescent="0.2"/>
  <cols>
    <col min="1" max="1" width="12.5703125" style="1" customWidth="1"/>
    <col min="2" max="2" width="13.42578125" style="1" bestFit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4" customFormat="1" ht="30" customHeight="1" x14ac:dyDescent="0.25">
      <c r="A1" s="77" t="e" vm="1">
        <v>#VALUE!</v>
      </c>
      <c r="B1" s="78"/>
      <c r="C1" s="83" t="s">
        <v>112</v>
      </c>
      <c r="D1" s="13" t="s">
        <v>110</v>
      </c>
      <c r="E1" s="13" t="s">
        <v>435</v>
      </c>
    </row>
    <row r="2" spans="1:5" s="14" customFormat="1" ht="30" customHeight="1" x14ac:dyDescent="0.25">
      <c r="A2" s="79"/>
      <c r="B2" s="80"/>
      <c r="C2" s="84"/>
      <c r="D2" s="15" t="s">
        <v>109</v>
      </c>
      <c r="E2" s="16" t="str">
        <f>VLOOKUP(C4,Index!B:J,9,FALSE)</f>
        <v>C0</v>
      </c>
    </row>
    <row r="3" spans="1:5" s="14" customFormat="1" ht="30" customHeight="1" x14ac:dyDescent="0.25">
      <c r="A3" s="81"/>
      <c r="B3" s="82"/>
      <c r="C3" s="85"/>
      <c r="D3" s="15" t="s">
        <v>111</v>
      </c>
      <c r="E3" s="17">
        <f>VLOOKUP(C4,Index!B:I,8,FALSE)</f>
        <v>330</v>
      </c>
    </row>
    <row r="4" spans="1:5" x14ac:dyDescent="0.2">
      <c r="A4" s="86" t="s">
        <v>74</v>
      </c>
      <c r="B4" s="86"/>
      <c r="C4" s="2" t="s">
        <v>204</v>
      </c>
      <c r="D4" s="86" t="s">
        <v>55</v>
      </c>
      <c r="E4" s="86"/>
    </row>
    <row r="5" spans="1:5" x14ac:dyDescent="0.2">
      <c r="A5" s="69" t="s">
        <v>26</v>
      </c>
      <c r="B5" s="69"/>
      <c r="C5" s="3" t="s">
        <v>115</v>
      </c>
      <c r="D5" s="69"/>
      <c r="E5" s="69"/>
    </row>
    <row r="6" spans="1:5" x14ac:dyDescent="0.2">
      <c r="A6" s="69" t="s">
        <v>27</v>
      </c>
      <c r="B6" s="69"/>
      <c r="C6" s="3" t="s">
        <v>78</v>
      </c>
      <c r="D6" s="69"/>
      <c r="E6" s="69"/>
    </row>
    <row r="7" spans="1:5" x14ac:dyDescent="0.2">
      <c r="A7" s="69" t="s">
        <v>28</v>
      </c>
      <c r="B7" s="69"/>
      <c r="C7" s="3" t="s">
        <v>82</v>
      </c>
      <c r="D7" s="69"/>
      <c r="E7" s="69"/>
    </row>
    <row r="8" spans="1:5" x14ac:dyDescent="0.2">
      <c r="A8" s="69" t="s">
        <v>29</v>
      </c>
      <c r="B8" s="69"/>
      <c r="C8" s="3" t="str">
        <f>VLOOKUP(C5,Index!N:W,6,FALSE)</f>
        <v>Corrosive HC service</v>
      </c>
      <c r="D8" s="69"/>
      <c r="E8" s="69"/>
    </row>
    <row r="9" spans="1:5" x14ac:dyDescent="0.2">
      <c r="A9" s="69" t="s">
        <v>30</v>
      </c>
      <c r="B9" s="69"/>
      <c r="C9" s="3" t="s">
        <v>148</v>
      </c>
      <c r="D9" s="69"/>
      <c r="E9" s="69"/>
    </row>
    <row r="10" spans="1:5" x14ac:dyDescent="0.2">
      <c r="A10" s="69" t="s">
        <v>31</v>
      </c>
      <c r="B10" s="69"/>
      <c r="C10" s="3" t="s">
        <v>61</v>
      </c>
      <c r="D10" s="69"/>
      <c r="E10" s="69"/>
    </row>
    <row r="11" spans="1:5" x14ac:dyDescent="0.2">
      <c r="A11" s="73" t="s">
        <v>119</v>
      </c>
      <c r="B11" s="74"/>
      <c r="C11" s="12" t="str">
        <f>VLOOKUP(C5,Index!N:W,10,FALSE)</f>
        <v>153.2 @ -29°C' 131.4 @ 200°C</v>
      </c>
      <c r="D11" s="75"/>
      <c r="E11" s="76"/>
    </row>
    <row r="12" spans="1:5" x14ac:dyDescent="0.2">
      <c r="A12" s="69" t="s">
        <v>32</v>
      </c>
      <c r="B12" s="69"/>
      <c r="C12" s="3" t="str">
        <f>VLOOKUP(C5,Index!N:W,5,FALSE)</f>
        <v>6 mm</v>
      </c>
      <c r="D12" s="69"/>
      <c r="E12" s="69"/>
    </row>
    <row r="13" spans="1:5" ht="24" x14ac:dyDescent="0.2">
      <c r="A13" s="69" t="s">
        <v>33</v>
      </c>
      <c r="B13" s="69"/>
      <c r="C13" s="3" t="s">
        <v>98</v>
      </c>
      <c r="D13" s="69"/>
      <c r="E13" s="69"/>
    </row>
    <row r="14" spans="1:5" x14ac:dyDescent="0.2">
      <c r="A14" s="69" t="s">
        <v>35</v>
      </c>
      <c r="B14" s="69"/>
      <c r="C14" s="3" t="s">
        <v>62</v>
      </c>
      <c r="D14" s="69"/>
      <c r="E14" s="69"/>
    </row>
    <row r="15" spans="1:5" x14ac:dyDescent="0.2">
      <c r="A15" s="69" t="s">
        <v>36</v>
      </c>
      <c r="B15" s="69"/>
      <c r="C15" s="3" t="s">
        <v>67</v>
      </c>
      <c r="D15" s="69"/>
      <c r="E15" s="69"/>
    </row>
    <row r="16" spans="1:5" x14ac:dyDescent="0.2">
      <c r="A16" s="69" t="s">
        <v>37</v>
      </c>
      <c r="B16" s="4" t="s">
        <v>38</v>
      </c>
      <c r="C16" s="3" t="s">
        <v>73</v>
      </c>
      <c r="D16" s="69"/>
      <c r="E16" s="69"/>
    </row>
    <row r="17" spans="1:5" ht="24" x14ac:dyDescent="0.2">
      <c r="A17" s="69"/>
      <c r="B17" s="4" t="s">
        <v>75</v>
      </c>
      <c r="C17" s="3" t="s">
        <v>77</v>
      </c>
      <c r="D17" s="69"/>
      <c r="E17" s="69"/>
    </row>
    <row r="18" spans="1:5" ht="24" x14ac:dyDescent="0.2">
      <c r="A18" s="69"/>
      <c r="B18" s="4" t="s">
        <v>39</v>
      </c>
      <c r="C18" s="3" t="s">
        <v>87</v>
      </c>
      <c r="D18" s="69"/>
      <c r="E18" s="69"/>
    </row>
    <row r="19" spans="1:5" x14ac:dyDescent="0.2">
      <c r="A19" s="69"/>
      <c r="B19" s="4" t="s">
        <v>68</v>
      </c>
      <c r="C19" s="3" t="s">
        <v>143</v>
      </c>
      <c r="D19" s="69"/>
      <c r="E19" s="69"/>
    </row>
    <row r="20" spans="1:5" x14ac:dyDescent="0.2">
      <c r="A20" s="69"/>
      <c r="B20" s="4" t="s">
        <v>141</v>
      </c>
      <c r="C20" s="3" t="s">
        <v>142</v>
      </c>
      <c r="D20" s="69"/>
      <c r="E20" s="69"/>
    </row>
    <row r="21" spans="1:5" x14ac:dyDescent="0.2">
      <c r="A21" s="69"/>
      <c r="B21" s="4" t="s">
        <v>69</v>
      </c>
      <c r="C21" s="3" t="s">
        <v>106</v>
      </c>
      <c r="D21" s="69"/>
      <c r="E21" s="69"/>
    </row>
    <row r="22" spans="1:5" ht="24" x14ac:dyDescent="0.2">
      <c r="A22" s="69"/>
      <c r="B22" s="4" t="s">
        <v>40</v>
      </c>
      <c r="C22" s="3" t="s">
        <v>86</v>
      </c>
      <c r="D22" s="69"/>
      <c r="E22" s="69"/>
    </row>
    <row r="23" spans="1:5" ht="24" x14ac:dyDescent="0.2">
      <c r="A23" s="69" t="s">
        <v>41</v>
      </c>
      <c r="B23" s="69"/>
      <c r="C23" s="3" t="s">
        <v>123</v>
      </c>
      <c r="D23" s="69"/>
      <c r="E23" s="69"/>
    </row>
    <row r="24" spans="1:5" ht="24" x14ac:dyDescent="0.2">
      <c r="A24" s="69" t="s">
        <v>42</v>
      </c>
      <c r="B24" s="4" t="s">
        <v>91</v>
      </c>
      <c r="C24" s="3" t="s">
        <v>88</v>
      </c>
      <c r="D24" s="69"/>
      <c r="E24" s="69"/>
    </row>
    <row r="25" spans="1:5" x14ac:dyDescent="0.2">
      <c r="A25" s="69"/>
      <c r="B25" s="4" t="s">
        <v>93</v>
      </c>
      <c r="C25" s="3" t="s">
        <v>132</v>
      </c>
      <c r="D25" s="69"/>
      <c r="E25" s="69"/>
    </row>
    <row r="26" spans="1:5" x14ac:dyDescent="0.2">
      <c r="A26" s="69"/>
      <c r="B26" s="4" t="s">
        <v>94</v>
      </c>
      <c r="C26" s="3" t="s">
        <v>102</v>
      </c>
      <c r="D26" s="69"/>
      <c r="E26" s="69"/>
    </row>
    <row r="27" spans="1:5" x14ac:dyDescent="0.2">
      <c r="A27" s="69"/>
      <c r="B27" s="4" t="s">
        <v>95</v>
      </c>
      <c r="C27" s="3" t="s">
        <v>105</v>
      </c>
      <c r="D27" s="69"/>
      <c r="E27" s="69"/>
    </row>
    <row r="28" spans="1:5" x14ac:dyDescent="0.2">
      <c r="A28" s="69"/>
      <c r="B28" s="4" t="s">
        <v>144</v>
      </c>
      <c r="C28" s="3" t="s">
        <v>105</v>
      </c>
      <c r="D28" s="69"/>
      <c r="E28" s="69"/>
    </row>
    <row r="29" spans="1:5" x14ac:dyDescent="0.2">
      <c r="A29" s="69"/>
      <c r="B29" s="4" t="s">
        <v>92</v>
      </c>
      <c r="C29" s="3" t="s">
        <v>102</v>
      </c>
      <c r="D29" s="69"/>
      <c r="E29" s="69"/>
    </row>
    <row r="30" spans="1:5" x14ac:dyDescent="0.2">
      <c r="A30" s="69"/>
      <c r="B30" s="4" t="s">
        <v>96</v>
      </c>
      <c r="C30" s="3" t="s">
        <v>137</v>
      </c>
      <c r="D30" s="69"/>
      <c r="E30" s="69"/>
    </row>
    <row r="31" spans="1:5" ht="36" x14ac:dyDescent="0.2">
      <c r="A31" s="69"/>
      <c r="B31" s="4" t="s">
        <v>72</v>
      </c>
      <c r="C31" s="3" t="s">
        <v>139</v>
      </c>
      <c r="D31" s="69"/>
      <c r="E31" s="69"/>
    </row>
    <row r="32" spans="1:5" ht="24" x14ac:dyDescent="0.2">
      <c r="A32" s="69"/>
      <c r="B32" s="6" t="s">
        <v>140</v>
      </c>
      <c r="C32" s="5" t="s">
        <v>99</v>
      </c>
      <c r="D32" s="69"/>
      <c r="E32" s="69"/>
    </row>
    <row r="33" spans="1:5" ht="24" x14ac:dyDescent="0.2">
      <c r="A33" s="69"/>
      <c r="B33" s="4" t="s">
        <v>43</v>
      </c>
      <c r="C33" s="3" t="s">
        <v>183</v>
      </c>
      <c r="D33" s="69"/>
      <c r="E33" s="69"/>
    </row>
    <row r="34" spans="1:5" ht="36" x14ac:dyDescent="0.2">
      <c r="A34" s="69"/>
      <c r="B34" s="4" t="s">
        <v>44</v>
      </c>
      <c r="C34" s="3" t="s">
        <v>192</v>
      </c>
      <c r="D34" s="69"/>
      <c r="E34" s="69"/>
    </row>
    <row r="35" spans="1:5" ht="36" x14ac:dyDescent="0.2">
      <c r="A35" s="69"/>
      <c r="B35" s="4" t="s">
        <v>45</v>
      </c>
      <c r="C35" s="3" t="s">
        <v>181</v>
      </c>
      <c r="D35" s="69"/>
      <c r="E35" s="69"/>
    </row>
    <row r="36" spans="1:5" ht="36" x14ac:dyDescent="0.2">
      <c r="A36" s="69" t="s">
        <v>46</v>
      </c>
      <c r="B36" s="69"/>
      <c r="C36" s="3" t="s">
        <v>47</v>
      </c>
      <c r="D36" s="69"/>
      <c r="E36" s="69"/>
    </row>
    <row r="37" spans="1:5" x14ac:dyDescent="0.2">
      <c r="A37" s="69" t="s">
        <v>48</v>
      </c>
      <c r="B37" s="69"/>
      <c r="C37" s="3" t="s">
        <v>49</v>
      </c>
      <c r="D37" s="69"/>
      <c r="E37" s="69"/>
    </row>
    <row r="38" spans="1:5" x14ac:dyDescent="0.2">
      <c r="A38" s="69" t="s">
        <v>129</v>
      </c>
      <c r="B38" s="69"/>
      <c r="C38" s="3" t="s">
        <v>50</v>
      </c>
      <c r="D38" s="69"/>
      <c r="E38" s="69"/>
    </row>
    <row r="39" spans="1:5" x14ac:dyDescent="0.2">
      <c r="A39" s="69" t="s">
        <v>128</v>
      </c>
      <c r="B39" s="69"/>
      <c r="C39" s="3" t="s">
        <v>127</v>
      </c>
      <c r="D39" s="69"/>
      <c r="E39" s="69"/>
    </row>
    <row r="40" spans="1:5" x14ac:dyDescent="0.2">
      <c r="A40" s="64" t="s">
        <v>124</v>
      </c>
      <c r="B40" s="65"/>
      <c r="C40" s="3" t="s">
        <v>286</v>
      </c>
      <c r="D40" s="64"/>
      <c r="E40" s="65"/>
    </row>
    <row r="41" spans="1:5" x14ac:dyDescent="0.2">
      <c r="A41" s="64" t="s">
        <v>125</v>
      </c>
      <c r="B41" s="65"/>
      <c r="C41" s="3" t="s">
        <v>287</v>
      </c>
      <c r="D41" s="64"/>
      <c r="E41" s="65"/>
    </row>
    <row r="42" spans="1:5" x14ac:dyDescent="0.2">
      <c r="A42" s="64" t="s">
        <v>126</v>
      </c>
      <c r="B42" s="65"/>
      <c r="C42" s="3" t="s">
        <v>195</v>
      </c>
      <c r="D42" s="64"/>
      <c r="E42" s="65"/>
    </row>
    <row r="43" spans="1:5" ht="24" x14ac:dyDescent="0.2">
      <c r="A43" s="69" t="s">
        <v>51</v>
      </c>
      <c r="B43" s="69"/>
      <c r="C43" s="3" t="s">
        <v>52</v>
      </c>
      <c r="D43" s="69"/>
      <c r="E43" s="69"/>
    </row>
    <row r="44" spans="1:5" x14ac:dyDescent="0.2">
      <c r="A44" s="69" t="s">
        <v>53</v>
      </c>
      <c r="B44" s="69"/>
      <c r="C44" s="3" t="s">
        <v>149</v>
      </c>
      <c r="D44" s="69"/>
      <c r="E44" s="69"/>
    </row>
    <row r="45" spans="1:5" ht="24" x14ac:dyDescent="0.2">
      <c r="A45" s="69" t="s">
        <v>54</v>
      </c>
      <c r="B45" s="69"/>
      <c r="C45" s="3" t="s">
        <v>436</v>
      </c>
      <c r="D45" s="69"/>
      <c r="E45" s="69"/>
    </row>
    <row r="46" spans="1:5" x14ac:dyDescent="0.2">
      <c r="A46" s="7"/>
      <c r="B46" s="8"/>
      <c r="C46" s="8"/>
      <c r="D46" s="8"/>
      <c r="E46" s="9"/>
    </row>
    <row r="47" spans="1:5" x14ac:dyDescent="0.2">
      <c r="A47" s="10" t="s">
        <v>58</v>
      </c>
      <c r="E47" s="11"/>
    </row>
    <row r="48" spans="1:5" x14ac:dyDescent="0.2">
      <c r="A48" s="70" t="s">
        <v>70</v>
      </c>
      <c r="B48" s="71"/>
      <c r="C48" s="71"/>
      <c r="D48" s="71"/>
      <c r="E48" s="72"/>
    </row>
    <row r="49" spans="1:5" x14ac:dyDescent="0.2">
      <c r="A49" s="70"/>
      <c r="B49" s="71"/>
      <c r="C49" s="71"/>
      <c r="D49" s="71"/>
      <c r="E49" s="72"/>
    </row>
    <row r="50" spans="1:5" x14ac:dyDescent="0.2">
      <c r="A50" s="70" t="s">
        <v>437</v>
      </c>
      <c r="B50" s="71"/>
      <c r="C50" s="71"/>
      <c r="D50" s="71"/>
      <c r="E50" s="72"/>
    </row>
    <row r="51" spans="1:5" x14ac:dyDescent="0.2">
      <c r="A51" s="70" t="s">
        <v>97</v>
      </c>
      <c r="B51" s="71"/>
      <c r="C51" s="71"/>
      <c r="D51" s="71"/>
      <c r="E51" s="72"/>
    </row>
    <row r="52" spans="1:5" x14ac:dyDescent="0.2">
      <c r="A52" s="70"/>
      <c r="B52" s="71"/>
      <c r="C52" s="71"/>
      <c r="D52" s="71"/>
      <c r="E52" s="72"/>
    </row>
    <row r="53" spans="1:5" x14ac:dyDescent="0.2">
      <c r="A53" s="70" t="s">
        <v>150</v>
      </c>
      <c r="B53" s="71"/>
      <c r="C53" s="71"/>
      <c r="D53" s="71"/>
      <c r="E53" s="72"/>
    </row>
    <row r="54" spans="1:5" ht="11.45" customHeight="1" x14ac:dyDescent="0.2">
      <c r="A54" s="70" t="s">
        <v>151</v>
      </c>
      <c r="B54" s="71"/>
      <c r="C54" s="71"/>
      <c r="D54" s="71"/>
      <c r="E54" s="72"/>
    </row>
    <row r="55" spans="1:5" x14ac:dyDescent="0.2">
      <c r="A55" s="66" t="s">
        <v>104</v>
      </c>
      <c r="B55" s="67"/>
      <c r="C55" s="67"/>
      <c r="D55" s="67"/>
      <c r="E55" s="68"/>
    </row>
  </sheetData>
  <mergeCells count="75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2"/>
    <mergeCell ref="D16:E16"/>
    <mergeCell ref="D17:E17"/>
    <mergeCell ref="D18:E18"/>
    <mergeCell ref="D19:E19"/>
    <mergeCell ref="D20:E20"/>
    <mergeCell ref="D21:E21"/>
    <mergeCell ref="D22:E22"/>
    <mergeCell ref="A23:B23"/>
    <mergeCell ref="D23:E23"/>
    <mergeCell ref="A24:A35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D35:E35"/>
    <mergeCell ref="A37:B37"/>
    <mergeCell ref="D37:E37"/>
    <mergeCell ref="A38:B38"/>
    <mergeCell ref="D38:E38"/>
    <mergeCell ref="A36:B36"/>
    <mergeCell ref="D36:E36"/>
    <mergeCell ref="A39:B39"/>
    <mergeCell ref="D39:E39"/>
    <mergeCell ref="A40:B40"/>
    <mergeCell ref="D40:E40"/>
    <mergeCell ref="A41:B41"/>
    <mergeCell ref="D41:E41"/>
    <mergeCell ref="A42:B42"/>
    <mergeCell ref="D42:E42"/>
    <mergeCell ref="A55:E55"/>
    <mergeCell ref="A43:B43"/>
    <mergeCell ref="D43:E43"/>
    <mergeCell ref="A44:B44"/>
    <mergeCell ref="D44:E44"/>
    <mergeCell ref="A45:B45"/>
    <mergeCell ref="D45:E45"/>
    <mergeCell ref="A48:E49"/>
    <mergeCell ref="A50:E50"/>
    <mergeCell ref="A51:E52"/>
    <mergeCell ref="A53:E53"/>
    <mergeCell ref="A54:E54"/>
  </mergeCells>
  <conditionalFormatting sqref="B17">
    <cfRule type="duplicateValues" dxfId="636" priority="4"/>
  </conditionalFormatting>
  <conditionalFormatting sqref="B18">
    <cfRule type="duplicateValues" dxfId="635" priority="3"/>
  </conditionalFormatting>
  <conditionalFormatting sqref="B20">
    <cfRule type="duplicateValues" dxfId="634" priority="2"/>
  </conditionalFormatting>
  <conditionalFormatting sqref="B21">
    <cfRule type="duplicateValues" dxfId="633" priority="10"/>
  </conditionalFormatting>
  <conditionalFormatting sqref="B25">
    <cfRule type="duplicateValues" dxfId="632" priority="12"/>
  </conditionalFormatting>
  <conditionalFormatting sqref="B28">
    <cfRule type="duplicateValues" dxfId="631" priority="1"/>
  </conditionalFormatting>
  <conditionalFormatting sqref="B32">
    <cfRule type="duplicateValues" dxfId="630" priority="11"/>
  </conditionalFormatting>
  <conditionalFormatting sqref="B38">
    <cfRule type="duplicateValues" dxfId="629" priority="6"/>
  </conditionalFormatting>
  <conditionalFormatting sqref="B39">
    <cfRule type="duplicateValues" dxfId="628" priority="5"/>
  </conditionalFormatting>
  <conditionalFormatting sqref="B40">
    <cfRule type="duplicateValues" dxfId="627" priority="9"/>
  </conditionalFormatting>
  <conditionalFormatting sqref="B41">
    <cfRule type="duplicateValues" dxfId="626" priority="8"/>
  </conditionalFormatting>
  <conditionalFormatting sqref="B42">
    <cfRule type="duplicateValues" dxfId="625" priority="7"/>
  </conditionalFormatting>
  <conditionalFormatting sqref="B56:B1048576 B4:B10 B26:B27 B12:B16 B33:B37 B22:B24 B43:B47 B19 B29:B31">
    <cfRule type="duplicateValues" dxfId="624" priority="13"/>
  </conditionalFormatting>
  <pageMargins left="0.7" right="0.7" top="0.75" bottom="0.75" header="0.3" footer="0.3"/>
  <pageSetup paperSize="9" scale="88" orientation="portrait" horizontalDpi="4294967295" verticalDpi="4294967295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8F57C3-D23A-42B7-9F7D-5FD15A4AD1C8}">
  <sheetPr codeName="Sheet22">
    <tabColor theme="4" tint="-0.249977111117893"/>
    <pageSetUpPr fitToPage="1"/>
  </sheetPr>
  <dimension ref="A1:E55"/>
  <sheetViews>
    <sheetView zoomScaleNormal="100" workbookViewId="0">
      <selection sqref="A1:B3"/>
    </sheetView>
  </sheetViews>
  <sheetFormatPr defaultColWidth="8.85546875" defaultRowHeight="12" x14ac:dyDescent="0.2"/>
  <cols>
    <col min="1" max="1" width="12.5703125" style="1" customWidth="1"/>
    <col min="2" max="2" width="13.42578125" style="1" bestFit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4" customFormat="1" ht="30" customHeight="1" x14ac:dyDescent="0.25">
      <c r="A1" s="77" t="e" vm="1">
        <v>#VALUE!</v>
      </c>
      <c r="B1" s="78"/>
      <c r="C1" s="83" t="s">
        <v>112</v>
      </c>
      <c r="D1" s="13" t="s">
        <v>110</v>
      </c>
      <c r="E1" s="13" t="s">
        <v>435</v>
      </c>
    </row>
    <row r="2" spans="1:5" s="14" customFormat="1" ht="30" customHeight="1" x14ac:dyDescent="0.25">
      <c r="A2" s="79"/>
      <c r="B2" s="80"/>
      <c r="C2" s="84"/>
      <c r="D2" s="15" t="s">
        <v>109</v>
      </c>
      <c r="E2" s="16" t="str">
        <f>VLOOKUP(C4,Index!B:J,9,FALSE)</f>
        <v>C0</v>
      </c>
    </row>
    <row r="3" spans="1:5" s="14" customFormat="1" ht="30" customHeight="1" x14ac:dyDescent="0.25">
      <c r="A3" s="81"/>
      <c r="B3" s="82"/>
      <c r="C3" s="85"/>
      <c r="D3" s="15" t="s">
        <v>111</v>
      </c>
      <c r="E3" s="17">
        <f>VLOOKUP(C4,Index!B:I,8,FALSE)</f>
        <v>331</v>
      </c>
    </row>
    <row r="4" spans="1:5" x14ac:dyDescent="0.2">
      <c r="A4" s="86" t="s">
        <v>74</v>
      </c>
      <c r="B4" s="86"/>
      <c r="C4" s="2" t="s">
        <v>205</v>
      </c>
      <c r="D4" s="86" t="s">
        <v>55</v>
      </c>
      <c r="E4" s="86"/>
    </row>
    <row r="5" spans="1:5" x14ac:dyDescent="0.2">
      <c r="A5" s="69" t="s">
        <v>26</v>
      </c>
      <c r="B5" s="69"/>
      <c r="C5" s="3" t="s">
        <v>116</v>
      </c>
      <c r="D5" s="69"/>
      <c r="E5" s="69"/>
    </row>
    <row r="6" spans="1:5" x14ac:dyDescent="0.2">
      <c r="A6" s="69" t="s">
        <v>27</v>
      </c>
      <c r="B6" s="69"/>
      <c r="C6" s="3" t="s">
        <v>78</v>
      </c>
      <c r="D6" s="69"/>
      <c r="E6" s="69"/>
    </row>
    <row r="7" spans="1:5" x14ac:dyDescent="0.2">
      <c r="A7" s="69" t="s">
        <v>28</v>
      </c>
      <c r="B7" s="69"/>
      <c r="C7" s="3" t="s">
        <v>82</v>
      </c>
      <c r="D7" s="69"/>
      <c r="E7" s="69"/>
    </row>
    <row r="8" spans="1:5" x14ac:dyDescent="0.2">
      <c r="A8" s="69" t="s">
        <v>29</v>
      </c>
      <c r="B8" s="69"/>
      <c r="C8" s="3" t="str">
        <f>VLOOKUP(C5,Index!N:W,6,FALSE)</f>
        <v>Corrosive HC service</v>
      </c>
      <c r="D8" s="69"/>
      <c r="E8" s="69"/>
    </row>
    <row r="9" spans="1:5" x14ac:dyDescent="0.2">
      <c r="A9" s="69" t="s">
        <v>30</v>
      </c>
      <c r="B9" s="69"/>
      <c r="C9" s="3" t="s">
        <v>148</v>
      </c>
      <c r="D9" s="69"/>
      <c r="E9" s="69"/>
    </row>
    <row r="10" spans="1:5" x14ac:dyDescent="0.2">
      <c r="A10" s="69" t="s">
        <v>31</v>
      </c>
      <c r="B10" s="69"/>
      <c r="C10" s="3" t="s">
        <v>63</v>
      </c>
      <c r="D10" s="69"/>
      <c r="E10" s="69"/>
    </row>
    <row r="11" spans="1:5" x14ac:dyDescent="0.2">
      <c r="A11" s="73" t="s">
        <v>119</v>
      </c>
      <c r="B11" s="74"/>
      <c r="C11" s="12" t="str">
        <f>VLOOKUP(C5,Index!N:W,10,FALSE)</f>
        <v>255.3 @ -29°C' 219 @ 200°C</v>
      </c>
      <c r="D11" s="75"/>
      <c r="E11" s="76"/>
    </row>
    <row r="12" spans="1:5" x14ac:dyDescent="0.2">
      <c r="A12" s="69" t="s">
        <v>32</v>
      </c>
      <c r="B12" s="69"/>
      <c r="C12" s="3" t="str">
        <f>VLOOKUP(C5,Index!N:W,5,FALSE)</f>
        <v>6 mm</v>
      </c>
      <c r="D12" s="69"/>
      <c r="E12" s="69"/>
    </row>
    <row r="13" spans="1:5" ht="24" x14ac:dyDescent="0.2">
      <c r="A13" s="69" t="s">
        <v>33</v>
      </c>
      <c r="B13" s="69"/>
      <c r="C13" s="3" t="s">
        <v>98</v>
      </c>
      <c r="D13" s="69"/>
      <c r="E13" s="69"/>
    </row>
    <row r="14" spans="1:5" ht="24" x14ac:dyDescent="0.2">
      <c r="A14" s="69" t="s">
        <v>35</v>
      </c>
      <c r="B14" s="69"/>
      <c r="C14" s="3" t="s">
        <v>316</v>
      </c>
      <c r="D14" s="69"/>
      <c r="E14" s="69"/>
    </row>
    <row r="15" spans="1:5" x14ac:dyDescent="0.2">
      <c r="A15" s="69" t="s">
        <v>36</v>
      </c>
      <c r="B15" s="69"/>
      <c r="C15" s="3" t="s">
        <v>67</v>
      </c>
      <c r="D15" s="69"/>
      <c r="E15" s="69"/>
    </row>
    <row r="16" spans="1:5" x14ac:dyDescent="0.2">
      <c r="A16" s="69" t="s">
        <v>37</v>
      </c>
      <c r="B16" s="4" t="s">
        <v>38</v>
      </c>
      <c r="C16" s="3" t="s">
        <v>73</v>
      </c>
      <c r="D16" s="69"/>
      <c r="E16" s="69"/>
    </row>
    <row r="17" spans="1:5" ht="24" x14ac:dyDescent="0.2">
      <c r="A17" s="69"/>
      <c r="B17" s="4" t="s">
        <v>75</v>
      </c>
      <c r="C17" s="3" t="s">
        <v>77</v>
      </c>
      <c r="D17" s="69"/>
      <c r="E17" s="69"/>
    </row>
    <row r="18" spans="1:5" ht="24" x14ac:dyDescent="0.2">
      <c r="A18" s="69"/>
      <c r="B18" s="4" t="s">
        <v>39</v>
      </c>
      <c r="C18" s="3" t="s">
        <v>87</v>
      </c>
      <c r="D18" s="69"/>
      <c r="E18" s="69"/>
    </row>
    <row r="19" spans="1:5" x14ac:dyDescent="0.2">
      <c r="A19" s="69"/>
      <c r="B19" s="4" t="s">
        <v>68</v>
      </c>
      <c r="C19" s="3" t="s">
        <v>143</v>
      </c>
      <c r="D19" s="69"/>
      <c r="E19" s="69"/>
    </row>
    <row r="20" spans="1:5" x14ac:dyDescent="0.2">
      <c r="A20" s="69"/>
      <c r="B20" s="4" t="s">
        <v>141</v>
      </c>
      <c r="C20" s="3" t="s">
        <v>142</v>
      </c>
      <c r="D20" s="69"/>
      <c r="E20" s="69"/>
    </row>
    <row r="21" spans="1:5" x14ac:dyDescent="0.2">
      <c r="A21" s="69"/>
      <c r="B21" s="4" t="s">
        <v>69</v>
      </c>
      <c r="C21" s="3" t="s">
        <v>106</v>
      </c>
      <c r="D21" s="69"/>
      <c r="E21" s="69"/>
    </row>
    <row r="22" spans="1:5" ht="24" x14ac:dyDescent="0.2">
      <c r="A22" s="69"/>
      <c r="B22" s="4" t="s">
        <v>40</v>
      </c>
      <c r="C22" s="3" t="s">
        <v>86</v>
      </c>
      <c r="D22" s="69"/>
      <c r="E22" s="69"/>
    </row>
    <row r="23" spans="1:5" ht="24" x14ac:dyDescent="0.2">
      <c r="A23" s="69" t="s">
        <v>41</v>
      </c>
      <c r="B23" s="69"/>
      <c r="C23" s="3" t="s">
        <v>122</v>
      </c>
      <c r="D23" s="69"/>
      <c r="E23" s="69"/>
    </row>
    <row r="24" spans="1:5" ht="24" x14ac:dyDescent="0.2">
      <c r="A24" s="69" t="s">
        <v>42</v>
      </c>
      <c r="B24" s="4" t="s">
        <v>91</v>
      </c>
      <c r="C24" s="3" t="s">
        <v>88</v>
      </c>
      <c r="D24" s="69"/>
      <c r="E24" s="69"/>
    </row>
    <row r="25" spans="1:5" x14ac:dyDescent="0.2">
      <c r="A25" s="69"/>
      <c r="B25" s="4" t="s">
        <v>93</v>
      </c>
      <c r="C25" s="3" t="s">
        <v>132</v>
      </c>
      <c r="D25" s="69"/>
      <c r="E25" s="69"/>
    </row>
    <row r="26" spans="1:5" x14ac:dyDescent="0.2">
      <c r="A26" s="69"/>
      <c r="B26" s="4" t="s">
        <v>94</v>
      </c>
      <c r="C26" s="3" t="s">
        <v>102</v>
      </c>
      <c r="D26" s="69"/>
      <c r="E26" s="69"/>
    </row>
    <row r="27" spans="1:5" x14ac:dyDescent="0.2">
      <c r="A27" s="69"/>
      <c r="B27" s="4" t="s">
        <v>95</v>
      </c>
      <c r="C27" s="3" t="s">
        <v>105</v>
      </c>
      <c r="D27" s="69"/>
      <c r="E27" s="69"/>
    </row>
    <row r="28" spans="1:5" x14ac:dyDescent="0.2">
      <c r="A28" s="69"/>
      <c r="B28" s="4" t="s">
        <v>144</v>
      </c>
      <c r="C28" s="3" t="s">
        <v>105</v>
      </c>
      <c r="D28" s="69"/>
      <c r="E28" s="69"/>
    </row>
    <row r="29" spans="1:5" x14ac:dyDescent="0.2">
      <c r="A29" s="69"/>
      <c r="B29" s="4" t="s">
        <v>92</v>
      </c>
      <c r="C29" s="3" t="s">
        <v>102</v>
      </c>
      <c r="D29" s="69"/>
      <c r="E29" s="69"/>
    </row>
    <row r="30" spans="1:5" x14ac:dyDescent="0.2">
      <c r="A30" s="69"/>
      <c r="B30" s="4" t="s">
        <v>96</v>
      </c>
      <c r="C30" s="3" t="s">
        <v>137</v>
      </c>
      <c r="D30" s="69"/>
      <c r="E30" s="69"/>
    </row>
    <row r="31" spans="1:5" ht="36" x14ac:dyDescent="0.2">
      <c r="A31" s="69"/>
      <c r="B31" s="4" t="s">
        <v>72</v>
      </c>
      <c r="C31" s="3" t="s">
        <v>139</v>
      </c>
      <c r="D31" s="69"/>
      <c r="E31" s="69"/>
    </row>
    <row r="32" spans="1:5" ht="24" x14ac:dyDescent="0.2">
      <c r="A32" s="69"/>
      <c r="B32" s="6" t="s">
        <v>140</v>
      </c>
      <c r="C32" s="5" t="s">
        <v>99</v>
      </c>
      <c r="D32" s="69"/>
      <c r="E32" s="69"/>
    </row>
    <row r="33" spans="1:5" ht="24" x14ac:dyDescent="0.2">
      <c r="A33" s="69"/>
      <c r="B33" s="4" t="s">
        <v>43</v>
      </c>
      <c r="C33" s="3" t="s">
        <v>183</v>
      </c>
      <c r="D33" s="69"/>
      <c r="E33" s="69"/>
    </row>
    <row r="34" spans="1:5" ht="36" x14ac:dyDescent="0.2">
      <c r="A34" s="69"/>
      <c r="B34" s="4" t="s">
        <v>44</v>
      </c>
      <c r="C34" s="3" t="s">
        <v>192</v>
      </c>
      <c r="D34" s="69"/>
      <c r="E34" s="69"/>
    </row>
    <row r="35" spans="1:5" ht="36" x14ac:dyDescent="0.2">
      <c r="A35" s="69"/>
      <c r="B35" s="4" t="s">
        <v>45</v>
      </c>
      <c r="C35" s="3" t="s">
        <v>181</v>
      </c>
      <c r="D35" s="69"/>
      <c r="E35" s="69"/>
    </row>
    <row r="36" spans="1:5" ht="36" x14ac:dyDescent="0.2">
      <c r="A36" s="69" t="s">
        <v>46</v>
      </c>
      <c r="B36" s="69"/>
      <c r="C36" s="3" t="s">
        <v>47</v>
      </c>
      <c r="D36" s="69"/>
      <c r="E36" s="69"/>
    </row>
    <row r="37" spans="1:5" x14ac:dyDescent="0.2">
      <c r="A37" s="69" t="s">
        <v>48</v>
      </c>
      <c r="B37" s="69"/>
      <c r="C37" s="3" t="s">
        <v>49</v>
      </c>
      <c r="D37" s="69"/>
      <c r="E37" s="69"/>
    </row>
    <row r="38" spans="1:5" x14ac:dyDescent="0.2">
      <c r="A38" s="69" t="s">
        <v>129</v>
      </c>
      <c r="B38" s="69"/>
      <c r="C38" s="3" t="s">
        <v>50</v>
      </c>
      <c r="D38" s="69"/>
      <c r="E38" s="69"/>
    </row>
    <row r="39" spans="1:5" x14ac:dyDescent="0.2">
      <c r="A39" s="69" t="s">
        <v>128</v>
      </c>
      <c r="B39" s="69"/>
      <c r="C39" s="3" t="s">
        <v>127</v>
      </c>
      <c r="D39" s="69"/>
      <c r="E39" s="69"/>
    </row>
    <row r="40" spans="1:5" x14ac:dyDescent="0.2">
      <c r="A40" s="64" t="s">
        <v>124</v>
      </c>
      <c r="B40" s="65"/>
      <c r="C40" s="3" t="s">
        <v>284</v>
      </c>
      <c r="D40" s="64"/>
      <c r="E40" s="65"/>
    </row>
    <row r="41" spans="1:5" x14ac:dyDescent="0.2">
      <c r="A41" s="64" t="s">
        <v>125</v>
      </c>
      <c r="B41" s="65"/>
      <c r="C41" s="3" t="s">
        <v>285</v>
      </c>
      <c r="D41" s="64"/>
      <c r="E41" s="65"/>
    </row>
    <row r="42" spans="1:5" x14ac:dyDescent="0.2">
      <c r="A42" s="64" t="s">
        <v>126</v>
      </c>
      <c r="B42" s="65"/>
      <c r="C42" s="3" t="s">
        <v>195</v>
      </c>
      <c r="D42" s="64"/>
      <c r="E42" s="65"/>
    </row>
    <row r="43" spans="1:5" ht="24" x14ac:dyDescent="0.2">
      <c r="A43" s="69" t="s">
        <v>51</v>
      </c>
      <c r="B43" s="69"/>
      <c r="C43" s="3" t="s">
        <v>52</v>
      </c>
      <c r="D43" s="69"/>
      <c r="E43" s="69"/>
    </row>
    <row r="44" spans="1:5" x14ac:dyDescent="0.2">
      <c r="A44" s="69" t="s">
        <v>53</v>
      </c>
      <c r="B44" s="69"/>
      <c r="C44" s="3" t="s">
        <v>149</v>
      </c>
      <c r="D44" s="69"/>
      <c r="E44" s="69"/>
    </row>
    <row r="45" spans="1:5" ht="24" x14ac:dyDescent="0.2">
      <c r="A45" s="69" t="s">
        <v>54</v>
      </c>
      <c r="B45" s="69"/>
      <c r="C45" s="3" t="s">
        <v>436</v>
      </c>
      <c r="D45" s="69"/>
      <c r="E45" s="69"/>
    </row>
    <row r="46" spans="1:5" x14ac:dyDescent="0.2">
      <c r="A46" s="7"/>
      <c r="B46" s="8"/>
      <c r="C46" s="8"/>
      <c r="D46" s="8"/>
      <c r="E46" s="9"/>
    </row>
    <row r="47" spans="1:5" x14ac:dyDescent="0.2">
      <c r="A47" s="10" t="s">
        <v>58</v>
      </c>
      <c r="E47" s="11"/>
    </row>
    <row r="48" spans="1:5" x14ac:dyDescent="0.2">
      <c r="A48" s="70" t="s">
        <v>70</v>
      </c>
      <c r="B48" s="71"/>
      <c r="C48" s="71"/>
      <c r="D48" s="71"/>
      <c r="E48" s="72"/>
    </row>
    <row r="49" spans="1:5" x14ac:dyDescent="0.2">
      <c r="A49" s="70"/>
      <c r="B49" s="71"/>
      <c r="C49" s="71"/>
      <c r="D49" s="71"/>
      <c r="E49" s="72"/>
    </row>
    <row r="50" spans="1:5" x14ac:dyDescent="0.2">
      <c r="A50" s="70" t="s">
        <v>437</v>
      </c>
      <c r="B50" s="71"/>
      <c r="C50" s="71"/>
      <c r="D50" s="71"/>
      <c r="E50" s="72"/>
    </row>
    <row r="51" spans="1:5" x14ac:dyDescent="0.2">
      <c r="A51" s="70" t="s">
        <v>97</v>
      </c>
      <c r="B51" s="71"/>
      <c r="C51" s="71"/>
      <c r="D51" s="71"/>
      <c r="E51" s="72"/>
    </row>
    <row r="52" spans="1:5" x14ac:dyDescent="0.2">
      <c r="A52" s="70"/>
      <c r="B52" s="71"/>
      <c r="C52" s="71"/>
      <c r="D52" s="71"/>
      <c r="E52" s="72"/>
    </row>
    <row r="53" spans="1:5" x14ac:dyDescent="0.2">
      <c r="A53" s="70" t="s">
        <v>150</v>
      </c>
      <c r="B53" s="71"/>
      <c r="C53" s="71"/>
      <c r="D53" s="71"/>
      <c r="E53" s="72"/>
    </row>
    <row r="54" spans="1:5" ht="11.45" customHeight="1" x14ac:dyDescent="0.2">
      <c r="A54" s="70" t="s">
        <v>151</v>
      </c>
      <c r="B54" s="71"/>
      <c r="C54" s="71"/>
      <c r="D54" s="71"/>
      <c r="E54" s="72"/>
    </row>
    <row r="55" spans="1:5" x14ac:dyDescent="0.2">
      <c r="A55" s="66" t="s">
        <v>104</v>
      </c>
      <c r="B55" s="67"/>
      <c r="C55" s="67"/>
      <c r="D55" s="67"/>
      <c r="E55" s="68"/>
    </row>
  </sheetData>
  <mergeCells count="75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2"/>
    <mergeCell ref="D16:E16"/>
    <mergeCell ref="D17:E17"/>
    <mergeCell ref="D18:E18"/>
    <mergeCell ref="D19:E19"/>
    <mergeCell ref="D20:E20"/>
    <mergeCell ref="D21:E21"/>
    <mergeCell ref="D22:E22"/>
    <mergeCell ref="A23:B23"/>
    <mergeCell ref="D23:E23"/>
    <mergeCell ref="A24:A35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D35:E35"/>
    <mergeCell ref="A37:B37"/>
    <mergeCell ref="D37:E37"/>
    <mergeCell ref="A38:B38"/>
    <mergeCell ref="D38:E38"/>
    <mergeCell ref="A36:B36"/>
    <mergeCell ref="D36:E36"/>
    <mergeCell ref="A39:B39"/>
    <mergeCell ref="D39:E39"/>
    <mergeCell ref="A40:B40"/>
    <mergeCell ref="D40:E40"/>
    <mergeCell ref="A41:B41"/>
    <mergeCell ref="D41:E41"/>
    <mergeCell ref="A42:B42"/>
    <mergeCell ref="D42:E42"/>
    <mergeCell ref="A55:E55"/>
    <mergeCell ref="A43:B43"/>
    <mergeCell ref="D43:E43"/>
    <mergeCell ref="A44:B44"/>
    <mergeCell ref="D44:E44"/>
    <mergeCell ref="A45:B45"/>
    <mergeCell ref="D45:E45"/>
    <mergeCell ref="A48:E49"/>
    <mergeCell ref="A50:E50"/>
    <mergeCell ref="A51:E52"/>
    <mergeCell ref="A53:E53"/>
    <mergeCell ref="A54:E54"/>
  </mergeCells>
  <conditionalFormatting sqref="B17">
    <cfRule type="duplicateValues" dxfId="623" priority="4"/>
  </conditionalFormatting>
  <conditionalFormatting sqref="B18">
    <cfRule type="duplicateValues" dxfId="622" priority="3"/>
  </conditionalFormatting>
  <conditionalFormatting sqref="B20">
    <cfRule type="duplicateValues" dxfId="621" priority="2"/>
  </conditionalFormatting>
  <conditionalFormatting sqref="B21">
    <cfRule type="duplicateValues" dxfId="620" priority="10"/>
  </conditionalFormatting>
  <conditionalFormatting sqref="B25">
    <cfRule type="duplicateValues" dxfId="619" priority="12"/>
  </conditionalFormatting>
  <conditionalFormatting sqref="B28">
    <cfRule type="duplicateValues" dxfId="618" priority="1"/>
  </conditionalFormatting>
  <conditionalFormatting sqref="B32">
    <cfRule type="duplicateValues" dxfId="617" priority="11"/>
  </conditionalFormatting>
  <conditionalFormatting sqref="B38">
    <cfRule type="duplicateValues" dxfId="616" priority="6"/>
  </conditionalFormatting>
  <conditionalFormatting sqref="B39">
    <cfRule type="duplicateValues" dxfId="615" priority="5"/>
  </conditionalFormatting>
  <conditionalFormatting sqref="B40">
    <cfRule type="duplicateValues" dxfId="614" priority="9"/>
  </conditionalFormatting>
  <conditionalFormatting sqref="B41">
    <cfRule type="duplicateValues" dxfId="613" priority="8"/>
  </conditionalFormatting>
  <conditionalFormatting sqref="B42">
    <cfRule type="duplicateValues" dxfId="612" priority="7"/>
  </conditionalFormatting>
  <conditionalFormatting sqref="B56:B1048576 B4:B10 B26:B27 B12:B16 B33:B37 B22:B24 B43:B47 B19 B29:B31">
    <cfRule type="duplicateValues" dxfId="611" priority="13"/>
  </conditionalFormatting>
  <pageMargins left="0.7" right="0.7" top="0.75" bottom="0.75" header="0.3" footer="0.3"/>
  <pageSetup paperSize="9" scale="87" orientation="portrait" horizontalDpi="4294967295" verticalDpi="4294967295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C16916-3423-4A92-9B3A-B639739CFC74}">
  <sheetPr codeName="Sheet23">
    <tabColor theme="4" tint="-0.249977111117893"/>
    <pageSetUpPr fitToPage="1"/>
  </sheetPr>
  <dimension ref="A1:E55"/>
  <sheetViews>
    <sheetView zoomScaleNormal="100" workbookViewId="0">
      <selection sqref="A1:B3"/>
    </sheetView>
  </sheetViews>
  <sheetFormatPr defaultColWidth="8.85546875" defaultRowHeight="12" x14ac:dyDescent="0.2"/>
  <cols>
    <col min="1" max="1" width="12.5703125" style="1" customWidth="1"/>
    <col min="2" max="2" width="13.42578125" style="1" bestFit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4" customFormat="1" ht="30" customHeight="1" x14ac:dyDescent="0.25">
      <c r="A1" s="77" t="e" vm="1">
        <v>#VALUE!</v>
      </c>
      <c r="B1" s="78"/>
      <c r="C1" s="83" t="s">
        <v>112</v>
      </c>
      <c r="D1" s="13" t="s">
        <v>110</v>
      </c>
      <c r="E1" s="13" t="s">
        <v>435</v>
      </c>
    </row>
    <row r="2" spans="1:5" s="14" customFormat="1" ht="30" customHeight="1" x14ac:dyDescent="0.25">
      <c r="A2" s="79"/>
      <c r="B2" s="80"/>
      <c r="C2" s="84"/>
      <c r="D2" s="15" t="s">
        <v>109</v>
      </c>
      <c r="E2" s="16" t="str">
        <f>VLOOKUP(C4,Index!B:J,9,FALSE)</f>
        <v>C0</v>
      </c>
    </row>
    <row r="3" spans="1:5" s="14" customFormat="1" ht="30" customHeight="1" x14ac:dyDescent="0.25">
      <c r="A3" s="81"/>
      <c r="B3" s="82"/>
      <c r="C3" s="85"/>
      <c r="D3" s="15" t="s">
        <v>111</v>
      </c>
      <c r="E3" s="17">
        <f>VLOOKUP(C4,Index!B:I,8,FALSE)</f>
        <v>332</v>
      </c>
    </row>
    <row r="4" spans="1:5" x14ac:dyDescent="0.2">
      <c r="A4" s="86" t="s">
        <v>74</v>
      </c>
      <c r="B4" s="86"/>
      <c r="C4" s="2" t="s">
        <v>206</v>
      </c>
      <c r="D4" s="86" t="s">
        <v>55</v>
      </c>
      <c r="E4" s="86"/>
    </row>
    <row r="5" spans="1:5" x14ac:dyDescent="0.2">
      <c r="A5" s="69" t="s">
        <v>26</v>
      </c>
      <c r="B5" s="69"/>
      <c r="C5" s="3" t="s">
        <v>117</v>
      </c>
      <c r="D5" s="69"/>
      <c r="E5" s="69"/>
    </row>
    <row r="6" spans="1:5" x14ac:dyDescent="0.2">
      <c r="A6" s="69" t="s">
        <v>27</v>
      </c>
      <c r="B6" s="69"/>
      <c r="C6" s="3" t="s">
        <v>78</v>
      </c>
      <c r="D6" s="69"/>
      <c r="E6" s="69"/>
    </row>
    <row r="7" spans="1:5" x14ac:dyDescent="0.2">
      <c r="A7" s="69" t="s">
        <v>28</v>
      </c>
      <c r="B7" s="69"/>
      <c r="C7" s="3" t="s">
        <v>82</v>
      </c>
      <c r="D7" s="69"/>
      <c r="E7" s="69"/>
    </row>
    <row r="8" spans="1:5" x14ac:dyDescent="0.2">
      <c r="A8" s="69" t="s">
        <v>29</v>
      </c>
      <c r="B8" s="69"/>
      <c r="C8" s="3" t="str">
        <f>VLOOKUP(C5,Index!N:W,6,FALSE)</f>
        <v>Corrosive HC service</v>
      </c>
      <c r="D8" s="69"/>
      <c r="E8" s="69"/>
    </row>
    <row r="9" spans="1:5" x14ac:dyDescent="0.2">
      <c r="A9" s="69" t="s">
        <v>30</v>
      </c>
      <c r="B9" s="69"/>
      <c r="C9" s="3" t="s">
        <v>148</v>
      </c>
      <c r="D9" s="69"/>
      <c r="E9" s="69"/>
    </row>
    <row r="10" spans="1:5" x14ac:dyDescent="0.2">
      <c r="A10" s="69" t="s">
        <v>31</v>
      </c>
      <c r="B10" s="69"/>
      <c r="C10" s="3" t="s">
        <v>64</v>
      </c>
      <c r="D10" s="69"/>
      <c r="E10" s="69"/>
    </row>
    <row r="11" spans="1:5" x14ac:dyDescent="0.2">
      <c r="A11" s="73" t="s">
        <v>119</v>
      </c>
      <c r="B11" s="74"/>
      <c r="C11" s="12" t="str">
        <f>VLOOKUP(C5,Index!N:W,10,FALSE)</f>
        <v>399.8 @ -29°C' 342.9 @ 200°C</v>
      </c>
      <c r="D11" s="75"/>
      <c r="E11" s="76"/>
    </row>
    <row r="12" spans="1:5" x14ac:dyDescent="0.2">
      <c r="A12" s="69" t="s">
        <v>32</v>
      </c>
      <c r="B12" s="69"/>
      <c r="C12" s="3" t="str">
        <f>VLOOKUP(C5,Index!N:W,5,FALSE)</f>
        <v>6 mm</v>
      </c>
      <c r="D12" s="69"/>
      <c r="E12" s="69"/>
    </row>
    <row r="13" spans="1:5" ht="24" x14ac:dyDescent="0.2">
      <c r="A13" s="69" t="s">
        <v>33</v>
      </c>
      <c r="B13" s="69"/>
      <c r="C13" s="3" t="s">
        <v>98</v>
      </c>
      <c r="D13" s="69"/>
      <c r="E13" s="69"/>
    </row>
    <row r="14" spans="1:5" ht="24" x14ac:dyDescent="0.2">
      <c r="A14" s="69" t="s">
        <v>35</v>
      </c>
      <c r="B14" s="69"/>
      <c r="C14" s="3" t="s">
        <v>316</v>
      </c>
      <c r="D14" s="69"/>
      <c r="E14" s="69"/>
    </row>
    <row r="15" spans="1:5" x14ac:dyDescent="0.2">
      <c r="A15" s="69" t="s">
        <v>36</v>
      </c>
      <c r="B15" s="69"/>
      <c r="C15" s="3" t="s">
        <v>67</v>
      </c>
      <c r="D15" s="69"/>
      <c r="E15" s="69"/>
    </row>
    <row r="16" spans="1:5" x14ac:dyDescent="0.2">
      <c r="A16" s="69" t="s">
        <v>37</v>
      </c>
      <c r="B16" s="4" t="s">
        <v>38</v>
      </c>
      <c r="C16" s="3" t="s">
        <v>73</v>
      </c>
      <c r="D16" s="69"/>
      <c r="E16" s="69"/>
    </row>
    <row r="17" spans="1:5" ht="24" x14ac:dyDescent="0.2">
      <c r="A17" s="69"/>
      <c r="B17" s="4" t="s">
        <v>75</v>
      </c>
      <c r="C17" s="3" t="s">
        <v>77</v>
      </c>
      <c r="D17" s="69"/>
      <c r="E17" s="69"/>
    </row>
    <row r="18" spans="1:5" ht="24" x14ac:dyDescent="0.2">
      <c r="A18" s="69"/>
      <c r="B18" s="4" t="s">
        <v>39</v>
      </c>
      <c r="C18" s="3" t="s">
        <v>87</v>
      </c>
      <c r="D18" s="69"/>
      <c r="E18" s="69"/>
    </row>
    <row r="19" spans="1:5" x14ac:dyDescent="0.2">
      <c r="A19" s="69"/>
      <c r="B19" s="4" t="s">
        <v>68</v>
      </c>
      <c r="C19" s="3" t="s">
        <v>143</v>
      </c>
      <c r="D19" s="69"/>
      <c r="E19" s="69"/>
    </row>
    <row r="20" spans="1:5" x14ac:dyDescent="0.2">
      <c r="A20" s="69"/>
      <c r="B20" s="4" t="s">
        <v>141</v>
      </c>
      <c r="C20" s="3" t="s">
        <v>142</v>
      </c>
      <c r="D20" s="69"/>
      <c r="E20" s="69"/>
    </row>
    <row r="21" spans="1:5" x14ac:dyDescent="0.2">
      <c r="A21" s="69"/>
      <c r="B21" s="4" t="s">
        <v>69</v>
      </c>
      <c r="C21" s="3" t="s">
        <v>106</v>
      </c>
      <c r="D21" s="69"/>
      <c r="E21" s="69"/>
    </row>
    <row r="22" spans="1:5" ht="24" x14ac:dyDescent="0.2">
      <c r="A22" s="69"/>
      <c r="B22" s="4" t="s">
        <v>40</v>
      </c>
      <c r="C22" s="3" t="s">
        <v>86</v>
      </c>
      <c r="D22" s="69"/>
      <c r="E22" s="69"/>
    </row>
    <row r="23" spans="1:5" ht="24" x14ac:dyDescent="0.2">
      <c r="A23" s="69" t="s">
        <v>41</v>
      </c>
      <c r="B23" s="69"/>
      <c r="C23" s="3" t="s">
        <v>122</v>
      </c>
      <c r="D23" s="69"/>
      <c r="E23" s="69"/>
    </row>
    <row r="24" spans="1:5" ht="24" x14ac:dyDescent="0.2">
      <c r="A24" s="69" t="s">
        <v>42</v>
      </c>
      <c r="B24" s="4" t="s">
        <v>91</v>
      </c>
      <c r="C24" s="3" t="s">
        <v>88</v>
      </c>
      <c r="D24" s="69"/>
      <c r="E24" s="69"/>
    </row>
    <row r="25" spans="1:5" x14ac:dyDescent="0.2">
      <c r="A25" s="69"/>
      <c r="B25" s="4" t="s">
        <v>93</v>
      </c>
      <c r="C25" s="3" t="s">
        <v>132</v>
      </c>
      <c r="D25" s="69"/>
      <c r="E25" s="69"/>
    </row>
    <row r="26" spans="1:5" x14ac:dyDescent="0.2">
      <c r="A26" s="69"/>
      <c r="B26" s="4" t="s">
        <v>94</v>
      </c>
      <c r="C26" s="3" t="s">
        <v>102</v>
      </c>
      <c r="D26" s="69"/>
      <c r="E26" s="69"/>
    </row>
    <row r="27" spans="1:5" x14ac:dyDescent="0.2">
      <c r="A27" s="69"/>
      <c r="B27" s="4" t="s">
        <v>95</v>
      </c>
      <c r="C27" s="3" t="s">
        <v>105</v>
      </c>
      <c r="D27" s="69"/>
      <c r="E27" s="69"/>
    </row>
    <row r="28" spans="1:5" x14ac:dyDescent="0.2">
      <c r="A28" s="69"/>
      <c r="B28" s="4" t="s">
        <v>144</v>
      </c>
      <c r="C28" s="3" t="s">
        <v>105</v>
      </c>
      <c r="D28" s="69"/>
      <c r="E28" s="69"/>
    </row>
    <row r="29" spans="1:5" x14ac:dyDescent="0.2">
      <c r="A29" s="69"/>
      <c r="B29" s="4" t="s">
        <v>92</v>
      </c>
      <c r="C29" s="3" t="s">
        <v>102</v>
      </c>
      <c r="D29" s="69"/>
      <c r="E29" s="69"/>
    </row>
    <row r="30" spans="1:5" x14ac:dyDescent="0.2">
      <c r="A30" s="69"/>
      <c r="B30" s="4" t="s">
        <v>96</v>
      </c>
      <c r="C30" s="3" t="s">
        <v>137</v>
      </c>
      <c r="D30" s="69"/>
      <c r="E30" s="69"/>
    </row>
    <row r="31" spans="1:5" ht="36" x14ac:dyDescent="0.2">
      <c r="A31" s="69"/>
      <c r="B31" s="4" t="s">
        <v>72</v>
      </c>
      <c r="C31" s="3" t="s">
        <v>139</v>
      </c>
      <c r="D31" s="69"/>
      <c r="E31" s="69"/>
    </row>
    <row r="32" spans="1:5" ht="24" x14ac:dyDescent="0.2">
      <c r="A32" s="69"/>
      <c r="B32" s="6" t="s">
        <v>140</v>
      </c>
      <c r="C32" s="5" t="s">
        <v>99</v>
      </c>
      <c r="D32" s="69"/>
      <c r="E32" s="69"/>
    </row>
    <row r="33" spans="1:5" ht="24" x14ac:dyDescent="0.2">
      <c r="A33" s="69"/>
      <c r="B33" s="4" t="s">
        <v>43</v>
      </c>
      <c r="C33" s="3" t="s">
        <v>183</v>
      </c>
      <c r="D33" s="69"/>
      <c r="E33" s="69"/>
    </row>
    <row r="34" spans="1:5" ht="36" x14ac:dyDescent="0.2">
      <c r="A34" s="69"/>
      <c r="B34" s="4" t="s">
        <v>44</v>
      </c>
      <c r="C34" s="3" t="s">
        <v>192</v>
      </c>
      <c r="D34" s="69"/>
      <c r="E34" s="69"/>
    </row>
    <row r="35" spans="1:5" ht="36" x14ac:dyDescent="0.2">
      <c r="A35" s="69"/>
      <c r="B35" s="4" t="s">
        <v>45</v>
      </c>
      <c r="C35" s="3" t="s">
        <v>181</v>
      </c>
      <c r="D35" s="69"/>
      <c r="E35" s="69"/>
    </row>
    <row r="36" spans="1:5" ht="36" x14ac:dyDescent="0.2">
      <c r="A36" s="69" t="s">
        <v>46</v>
      </c>
      <c r="B36" s="69"/>
      <c r="C36" s="3" t="s">
        <v>47</v>
      </c>
      <c r="D36" s="69"/>
      <c r="E36" s="69"/>
    </row>
    <row r="37" spans="1:5" x14ac:dyDescent="0.2">
      <c r="A37" s="69" t="s">
        <v>48</v>
      </c>
      <c r="B37" s="69"/>
      <c r="C37" s="3" t="s">
        <v>49</v>
      </c>
      <c r="D37" s="69"/>
      <c r="E37" s="69"/>
    </row>
    <row r="38" spans="1:5" x14ac:dyDescent="0.2">
      <c r="A38" s="69" t="s">
        <v>129</v>
      </c>
      <c r="B38" s="69"/>
      <c r="C38" s="3" t="s">
        <v>50</v>
      </c>
      <c r="D38" s="69"/>
      <c r="E38" s="69"/>
    </row>
    <row r="39" spans="1:5" x14ac:dyDescent="0.2">
      <c r="A39" s="69" t="s">
        <v>128</v>
      </c>
      <c r="B39" s="69"/>
      <c r="C39" s="3" t="s">
        <v>127</v>
      </c>
      <c r="D39" s="69"/>
      <c r="E39" s="69"/>
    </row>
    <row r="40" spans="1:5" x14ac:dyDescent="0.2">
      <c r="A40" s="64" t="s">
        <v>124</v>
      </c>
      <c r="B40" s="65"/>
      <c r="C40" s="3" t="s">
        <v>282</v>
      </c>
      <c r="D40" s="64"/>
      <c r="E40" s="65"/>
    </row>
    <row r="41" spans="1:5" x14ac:dyDescent="0.2">
      <c r="A41" s="64" t="s">
        <v>125</v>
      </c>
      <c r="B41" s="65"/>
      <c r="C41" s="3" t="s">
        <v>283</v>
      </c>
      <c r="D41" s="64"/>
      <c r="E41" s="65"/>
    </row>
    <row r="42" spans="1:5" x14ac:dyDescent="0.2">
      <c r="A42" s="64" t="s">
        <v>126</v>
      </c>
      <c r="B42" s="65"/>
      <c r="C42" s="3" t="s">
        <v>195</v>
      </c>
      <c r="D42" s="64"/>
      <c r="E42" s="65"/>
    </row>
    <row r="43" spans="1:5" ht="24" x14ac:dyDescent="0.2">
      <c r="A43" s="69" t="s">
        <v>51</v>
      </c>
      <c r="B43" s="69"/>
      <c r="C43" s="3" t="s">
        <v>52</v>
      </c>
      <c r="D43" s="69"/>
      <c r="E43" s="69"/>
    </row>
    <row r="44" spans="1:5" x14ac:dyDescent="0.2">
      <c r="A44" s="69" t="s">
        <v>53</v>
      </c>
      <c r="B44" s="69"/>
      <c r="C44" s="3" t="s">
        <v>149</v>
      </c>
      <c r="D44" s="69"/>
      <c r="E44" s="69"/>
    </row>
    <row r="45" spans="1:5" ht="24" x14ac:dyDescent="0.2">
      <c r="A45" s="69" t="s">
        <v>54</v>
      </c>
      <c r="B45" s="69"/>
      <c r="C45" s="3" t="s">
        <v>436</v>
      </c>
      <c r="D45" s="69"/>
      <c r="E45" s="69"/>
    </row>
    <row r="46" spans="1:5" x14ac:dyDescent="0.2">
      <c r="A46" s="7"/>
      <c r="B46" s="8"/>
      <c r="C46" s="8"/>
      <c r="D46" s="8"/>
      <c r="E46" s="9"/>
    </row>
    <row r="47" spans="1:5" x14ac:dyDescent="0.2">
      <c r="A47" s="10" t="s">
        <v>58</v>
      </c>
      <c r="E47" s="11"/>
    </row>
    <row r="48" spans="1:5" x14ac:dyDescent="0.2">
      <c r="A48" s="70" t="s">
        <v>70</v>
      </c>
      <c r="B48" s="71"/>
      <c r="C48" s="71"/>
      <c r="D48" s="71"/>
      <c r="E48" s="72"/>
    </row>
    <row r="49" spans="1:5" x14ac:dyDescent="0.2">
      <c r="A49" s="70"/>
      <c r="B49" s="71"/>
      <c r="C49" s="71"/>
      <c r="D49" s="71"/>
      <c r="E49" s="72"/>
    </row>
    <row r="50" spans="1:5" x14ac:dyDescent="0.2">
      <c r="A50" s="70" t="s">
        <v>437</v>
      </c>
      <c r="B50" s="71"/>
      <c r="C50" s="71"/>
      <c r="D50" s="71"/>
      <c r="E50" s="72"/>
    </row>
    <row r="51" spans="1:5" x14ac:dyDescent="0.2">
      <c r="A51" s="70" t="s">
        <v>97</v>
      </c>
      <c r="B51" s="71"/>
      <c r="C51" s="71"/>
      <c r="D51" s="71"/>
      <c r="E51" s="72"/>
    </row>
    <row r="52" spans="1:5" x14ac:dyDescent="0.2">
      <c r="A52" s="70"/>
      <c r="B52" s="71"/>
      <c r="C52" s="71"/>
      <c r="D52" s="71"/>
      <c r="E52" s="72"/>
    </row>
    <row r="53" spans="1:5" x14ac:dyDescent="0.2">
      <c r="A53" s="70" t="s">
        <v>150</v>
      </c>
      <c r="B53" s="71"/>
      <c r="C53" s="71"/>
      <c r="D53" s="71"/>
      <c r="E53" s="72"/>
    </row>
    <row r="54" spans="1:5" ht="11.45" customHeight="1" x14ac:dyDescent="0.2">
      <c r="A54" s="70" t="s">
        <v>151</v>
      </c>
      <c r="B54" s="71"/>
      <c r="C54" s="71"/>
      <c r="D54" s="71"/>
      <c r="E54" s="72"/>
    </row>
    <row r="55" spans="1:5" x14ac:dyDescent="0.2">
      <c r="A55" s="66" t="s">
        <v>104</v>
      </c>
      <c r="B55" s="67"/>
      <c r="C55" s="67"/>
      <c r="D55" s="67"/>
      <c r="E55" s="68"/>
    </row>
  </sheetData>
  <mergeCells count="75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2"/>
    <mergeCell ref="D16:E16"/>
    <mergeCell ref="D17:E17"/>
    <mergeCell ref="D18:E18"/>
    <mergeCell ref="D19:E19"/>
    <mergeCell ref="D20:E20"/>
    <mergeCell ref="D21:E21"/>
    <mergeCell ref="D22:E22"/>
    <mergeCell ref="A23:B23"/>
    <mergeCell ref="D23:E23"/>
    <mergeCell ref="A24:A35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D35:E35"/>
    <mergeCell ref="A37:B37"/>
    <mergeCell ref="D37:E37"/>
    <mergeCell ref="A38:B38"/>
    <mergeCell ref="D38:E38"/>
    <mergeCell ref="A36:B36"/>
    <mergeCell ref="D36:E36"/>
    <mergeCell ref="A39:B39"/>
    <mergeCell ref="D39:E39"/>
    <mergeCell ref="A40:B40"/>
    <mergeCell ref="D40:E40"/>
    <mergeCell ref="A41:B41"/>
    <mergeCell ref="D41:E41"/>
    <mergeCell ref="A42:B42"/>
    <mergeCell ref="D42:E42"/>
    <mergeCell ref="A55:E55"/>
    <mergeCell ref="A43:B43"/>
    <mergeCell ref="D43:E43"/>
    <mergeCell ref="A44:B44"/>
    <mergeCell ref="D44:E44"/>
    <mergeCell ref="A45:B45"/>
    <mergeCell ref="D45:E45"/>
    <mergeCell ref="A48:E49"/>
    <mergeCell ref="A50:E50"/>
    <mergeCell ref="A51:E52"/>
    <mergeCell ref="A53:E53"/>
    <mergeCell ref="A54:E54"/>
  </mergeCells>
  <conditionalFormatting sqref="B17">
    <cfRule type="duplicateValues" dxfId="610" priority="4"/>
  </conditionalFormatting>
  <conditionalFormatting sqref="B18">
    <cfRule type="duplicateValues" dxfId="609" priority="3"/>
  </conditionalFormatting>
  <conditionalFormatting sqref="B20">
    <cfRule type="duplicateValues" dxfId="608" priority="2"/>
  </conditionalFormatting>
  <conditionalFormatting sqref="B21">
    <cfRule type="duplicateValues" dxfId="607" priority="10"/>
  </conditionalFormatting>
  <conditionalFormatting sqref="B25">
    <cfRule type="duplicateValues" dxfId="606" priority="12"/>
  </conditionalFormatting>
  <conditionalFormatting sqref="B28">
    <cfRule type="duplicateValues" dxfId="605" priority="1"/>
  </conditionalFormatting>
  <conditionalFormatting sqref="B32">
    <cfRule type="duplicateValues" dxfId="604" priority="11"/>
  </conditionalFormatting>
  <conditionalFormatting sqref="B38">
    <cfRule type="duplicateValues" dxfId="603" priority="6"/>
  </conditionalFormatting>
  <conditionalFormatting sqref="B39">
    <cfRule type="duplicateValues" dxfId="602" priority="5"/>
  </conditionalFormatting>
  <conditionalFormatting sqref="B40">
    <cfRule type="duplicateValues" dxfId="601" priority="9"/>
  </conditionalFormatting>
  <conditionalFormatting sqref="B41">
    <cfRule type="duplicateValues" dxfId="600" priority="8"/>
  </conditionalFormatting>
  <conditionalFormatting sqref="B42">
    <cfRule type="duplicateValues" dxfId="599" priority="7"/>
  </conditionalFormatting>
  <conditionalFormatting sqref="B56:B1048576 B4:B10 B26:B27 B12:B16 B33:B37 B22:B24 B43:B47 B19 B29:B31">
    <cfRule type="duplicateValues" dxfId="598" priority="13"/>
  </conditionalFormatting>
  <pageMargins left="0.7" right="0.7" top="0.75" bottom="0.75" header="0.3" footer="0.3"/>
  <pageSetup paperSize="9" scale="87" orientation="portrait" horizontalDpi="4294967295" verticalDpi="4294967295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775EAB-1381-409A-8C93-EE1264AA6326}">
  <sheetPr codeName="Sheet24">
    <tabColor theme="4" tint="-0.249977111117893"/>
    <pageSetUpPr fitToPage="1"/>
  </sheetPr>
  <dimension ref="A1:E55"/>
  <sheetViews>
    <sheetView zoomScaleNormal="100" workbookViewId="0">
      <selection sqref="A1:B3"/>
    </sheetView>
  </sheetViews>
  <sheetFormatPr defaultColWidth="8.85546875" defaultRowHeight="12" x14ac:dyDescent="0.2"/>
  <cols>
    <col min="1" max="1" width="12.5703125" style="1" customWidth="1"/>
    <col min="2" max="2" width="13.42578125" style="1" bestFit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4" customFormat="1" ht="30" customHeight="1" x14ac:dyDescent="0.25">
      <c r="A1" s="77" t="e" vm="1">
        <v>#VALUE!</v>
      </c>
      <c r="B1" s="78"/>
      <c r="C1" s="83" t="s">
        <v>112</v>
      </c>
      <c r="D1" s="13" t="s">
        <v>110</v>
      </c>
      <c r="E1" s="13" t="s">
        <v>435</v>
      </c>
    </row>
    <row r="2" spans="1:5" s="14" customFormat="1" ht="30" customHeight="1" x14ac:dyDescent="0.25">
      <c r="A2" s="79"/>
      <c r="B2" s="80"/>
      <c r="C2" s="84"/>
      <c r="D2" s="15" t="s">
        <v>109</v>
      </c>
      <c r="E2" s="16" t="str">
        <f>VLOOKUP(C4,Index!B:J,9,FALSE)</f>
        <v>C0</v>
      </c>
    </row>
    <row r="3" spans="1:5" s="14" customFormat="1" ht="30" customHeight="1" x14ac:dyDescent="0.25">
      <c r="A3" s="81"/>
      <c r="B3" s="82"/>
      <c r="C3" s="85"/>
      <c r="D3" s="15" t="s">
        <v>111</v>
      </c>
      <c r="E3" s="17">
        <f>VLOOKUP(C4,Index!B:I,8,FALSE)</f>
        <v>333</v>
      </c>
    </row>
    <row r="4" spans="1:5" x14ac:dyDescent="0.2">
      <c r="A4" s="86" t="s">
        <v>74</v>
      </c>
      <c r="B4" s="86"/>
      <c r="C4" s="2" t="s">
        <v>207</v>
      </c>
      <c r="D4" s="86" t="s">
        <v>55</v>
      </c>
      <c r="E4" s="86"/>
    </row>
    <row r="5" spans="1:5" x14ac:dyDescent="0.2">
      <c r="A5" s="69" t="s">
        <v>26</v>
      </c>
      <c r="B5" s="69"/>
      <c r="C5" s="3" t="s">
        <v>2</v>
      </c>
      <c r="D5" s="69"/>
      <c r="E5" s="69"/>
    </row>
    <row r="6" spans="1:5" x14ac:dyDescent="0.2">
      <c r="A6" s="69" t="s">
        <v>27</v>
      </c>
      <c r="B6" s="69"/>
      <c r="C6" s="3" t="s">
        <v>78</v>
      </c>
      <c r="D6" s="69"/>
      <c r="E6" s="69"/>
    </row>
    <row r="7" spans="1:5" x14ac:dyDescent="0.2">
      <c r="A7" s="69" t="s">
        <v>28</v>
      </c>
      <c r="B7" s="69"/>
      <c r="C7" s="3" t="s">
        <v>82</v>
      </c>
      <c r="D7" s="69"/>
      <c r="E7" s="69"/>
    </row>
    <row r="8" spans="1:5" x14ac:dyDescent="0.2">
      <c r="A8" s="69" t="s">
        <v>29</v>
      </c>
      <c r="B8" s="69"/>
      <c r="C8" s="3" t="str">
        <f>VLOOKUP(C5,Index!N:W,6,FALSE)</f>
        <v>Flare, Corrosive HC service (Low Temp)</v>
      </c>
      <c r="D8" s="69"/>
      <c r="E8" s="69"/>
    </row>
    <row r="9" spans="1:5" x14ac:dyDescent="0.2">
      <c r="A9" s="69" t="s">
        <v>30</v>
      </c>
      <c r="B9" s="69"/>
      <c r="C9" s="3" t="s">
        <v>148</v>
      </c>
      <c r="D9" s="69"/>
      <c r="E9" s="69"/>
    </row>
    <row r="10" spans="1:5" x14ac:dyDescent="0.2">
      <c r="A10" s="69" t="s">
        <v>31</v>
      </c>
      <c r="B10" s="69"/>
      <c r="C10" s="3" t="s">
        <v>56</v>
      </c>
      <c r="D10" s="69"/>
      <c r="E10" s="69"/>
    </row>
    <row r="11" spans="1:5" x14ac:dyDescent="0.2">
      <c r="A11" s="73" t="s">
        <v>119</v>
      </c>
      <c r="B11" s="74"/>
      <c r="C11" s="12" t="str">
        <f>VLOOKUP(C5,Index!N:W,10,FALSE)</f>
        <v>19.6 @ -45°C' 13.8 @ 200°C</v>
      </c>
      <c r="D11" s="75"/>
      <c r="E11" s="76"/>
    </row>
    <row r="12" spans="1:5" x14ac:dyDescent="0.2">
      <c r="A12" s="69" t="s">
        <v>32</v>
      </c>
      <c r="B12" s="69"/>
      <c r="C12" s="3" t="str">
        <f>VLOOKUP(C5,Index!N:W,5,FALSE)</f>
        <v>3 mm</v>
      </c>
      <c r="D12" s="69"/>
      <c r="E12" s="69"/>
    </row>
    <row r="13" spans="1:5" ht="24" x14ac:dyDescent="0.2">
      <c r="A13" s="69" t="s">
        <v>33</v>
      </c>
      <c r="B13" s="69"/>
      <c r="C13" s="3" t="s">
        <v>98</v>
      </c>
      <c r="D13" s="69"/>
      <c r="E13" s="69"/>
    </row>
    <row r="14" spans="1:5" x14ac:dyDescent="0.2">
      <c r="A14" s="69" t="s">
        <v>35</v>
      </c>
      <c r="B14" s="69"/>
      <c r="C14" s="3" t="s">
        <v>245</v>
      </c>
      <c r="D14" s="69"/>
      <c r="E14" s="69"/>
    </row>
    <row r="15" spans="1:5" x14ac:dyDescent="0.2">
      <c r="A15" s="69" t="s">
        <v>36</v>
      </c>
      <c r="B15" s="69"/>
      <c r="C15" s="3" t="s">
        <v>67</v>
      </c>
      <c r="D15" s="69"/>
      <c r="E15" s="69"/>
    </row>
    <row r="16" spans="1:5" x14ac:dyDescent="0.2">
      <c r="A16" s="69" t="s">
        <v>37</v>
      </c>
      <c r="B16" s="4" t="s">
        <v>38</v>
      </c>
      <c r="C16" s="3" t="s">
        <v>73</v>
      </c>
      <c r="D16" s="69"/>
      <c r="E16" s="69"/>
    </row>
    <row r="17" spans="1:5" ht="24" x14ac:dyDescent="0.2">
      <c r="A17" s="69"/>
      <c r="B17" s="4" t="s">
        <v>75</v>
      </c>
      <c r="C17" s="3" t="s">
        <v>77</v>
      </c>
      <c r="D17" s="69"/>
      <c r="E17" s="69"/>
    </row>
    <row r="18" spans="1:5" ht="24" x14ac:dyDescent="0.2">
      <c r="A18" s="69"/>
      <c r="B18" s="4" t="s">
        <v>39</v>
      </c>
      <c r="C18" s="3" t="s">
        <v>87</v>
      </c>
      <c r="D18" s="69"/>
      <c r="E18" s="69"/>
    </row>
    <row r="19" spans="1:5" x14ac:dyDescent="0.2">
      <c r="A19" s="69"/>
      <c r="B19" s="4" t="s">
        <v>68</v>
      </c>
      <c r="C19" s="3" t="s">
        <v>143</v>
      </c>
      <c r="D19" s="69"/>
      <c r="E19" s="69"/>
    </row>
    <row r="20" spans="1:5" x14ac:dyDescent="0.2">
      <c r="A20" s="69"/>
      <c r="B20" s="4" t="s">
        <v>141</v>
      </c>
      <c r="C20" s="3" t="s">
        <v>142</v>
      </c>
      <c r="D20" s="69"/>
      <c r="E20" s="69"/>
    </row>
    <row r="21" spans="1:5" x14ac:dyDescent="0.2">
      <c r="A21" s="69"/>
      <c r="B21" s="4" t="s">
        <v>69</v>
      </c>
      <c r="C21" s="3" t="s">
        <v>106</v>
      </c>
      <c r="D21" s="69"/>
      <c r="E21" s="69"/>
    </row>
    <row r="22" spans="1:5" ht="24" x14ac:dyDescent="0.2">
      <c r="A22" s="69"/>
      <c r="B22" s="4" t="s">
        <v>40</v>
      </c>
      <c r="C22" s="3" t="s">
        <v>86</v>
      </c>
      <c r="D22" s="69"/>
      <c r="E22" s="69"/>
    </row>
    <row r="23" spans="1:5" ht="24" x14ac:dyDescent="0.2">
      <c r="A23" s="69" t="s">
        <v>41</v>
      </c>
      <c r="B23" s="69"/>
      <c r="C23" s="3" t="s">
        <v>121</v>
      </c>
      <c r="D23" s="69"/>
      <c r="E23" s="69"/>
    </row>
    <row r="24" spans="1:5" ht="24" x14ac:dyDescent="0.2">
      <c r="A24" s="69" t="s">
        <v>42</v>
      </c>
      <c r="B24" s="4" t="s">
        <v>91</v>
      </c>
      <c r="C24" s="3" t="s">
        <v>79</v>
      </c>
      <c r="D24" s="69"/>
      <c r="E24" s="69"/>
    </row>
    <row r="25" spans="1:5" x14ac:dyDescent="0.2">
      <c r="A25" s="69"/>
      <c r="B25" s="4" t="s">
        <v>93</v>
      </c>
      <c r="C25" s="3" t="s">
        <v>132</v>
      </c>
      <c r="D25" s="69"/>
      <c r="E25" s="69"/>
    </row>
    <row r="26" spans="1:5" x14ac:dyDescent="0.2">
      <c r="A26" s="69"/>
      <c r="B26" s="4" t="s">
        <v>94</v>
      </c>
      <c r="C26" s="3" t="s">
        <v>102</v>
      </c>
      <c r="D26" s="69"/>
      <c r="E26" s="69"/>
    </row>
    <row r="27" spans="1:5" x14ac:dyDescent="0.2">
      <c r="A27" s="69"/>
      <c r="B27" s="4" t="s">
        <v>95</v>
      </c>
      <c r="C27" s="3" t="s">
        <v>105</v>
      </c>
      <c r="D27" s="69"/>
      <c r="E27" s="69"/>
    </row>
    <row r="28" spans="1:5" x14ac:dyDescent="0.2">
      <c r="A28" s="69"/>
      <c r="B28" s="4" t="s">
        <v>144</v>
      </c>
      <c r="C28" s="3" t="s">
        <v>105</v>
      </c>
      <c r="D28" s="69"/>
      <c r="E28" s="69"/>
    </row>
    <row r="29" spans="1:5" x14ac:dyDescent="0.2">
      <c r="A29" s="69"/>
      <c r="B29" s="4" t="s">
        <v>92</v>
      </c>
      <c r="C29" s="3" t="s">
        <v>102</v>
      </c>
      <c r="D29" s="69"/>
      <c r="E29" s="69"/>
    </row>
    <row r="30" spans="1:5" x14ac:dyDescent="0.2">
      <c r="A30" s="69"/>
      <c r="B30" s="4" t="s">
        <v>96</v>
      </c>
      <c r="C30" s="3" t="s">
        <v>134</v>
      </c>
      <c r="D30" s="69"/>
      <c r="E30" s="69"/>
    </row>
    <row r="31" spans="1:5" ht="36" x14ac:dyDescent="0.2">
      <c r="A31" s="69"/>
      <c r="B31" s="4" t="s">
        <v>72</v>
      </c>
      <c r="C31" s="3" t="s">
        <v>139</v>
      </c>
      <c r="D31" s="69"/>
      <c r="E31" s="69"/>
    </row>
    <row r="32" spans="1:5" ht="24" x14ac:dyDescent="0.2">
      <c r="A32" s="69"/>
      <c r="B32" s="6" t="s">
        <v>140</v>
      </c>
      <c r="C32" s="5" t="s">
        <v>99</v>
      </c>
      <c r="D32" s="69"/>
      <c r="E32" s="69"/>
    </row>
    <row r="33" spans="1:5" ht="24" x14ac:dyDescent="0.2">
      <c r="A33" s="69"/>
      <c r="B33" s="4" t="s">
        <v>43</v>
      </c>
      <c r="C33" s="3" t="s">
        <v>185</v>
      </c>
      <c r="D33" s="69"/>
      <c r="E33" s="69"/>
    </row>
    <row r="34" spans="1:5" ht="36" x14ac:dyDescent="0.2">
      <c r="A34" s="69"/>
      <c r="B34" s="4" t="s">
        <v>44</v>
      </c>
      <c r="C34" s="3" t="s">
        <v>194</v>
      </c>
      <c r="D34" s="69"/>
      <c r="E34" s="69"/>
    </row>
    <row r="35" spans="1:5" ht="36" x14ac:dyDescent="0.2">
      <c r="A35" s="69"/>
      <c r="B35" s="4" t="s">
        <v>45</v>
      </c>
      <c r="C35" s="3" t="s">
        <v>184</v>
      </c>
      <c r="D35" s="69"/>
      <c r="E35" s="69"/>
    </row>
    <row r="36" spans="1:5" ht="36" x14ac:dyDescent="0.2">
      <c r="A36" s="69" t="s">
        <v>46</v>
      </c>
      <c r="B36" s="69"/>
      <c r="C36" s="3" t="s">
        <v>47</v>
      </c>
      <c r="D36" s="69"/>
      <c r="E36" s="69"/>
    </row>
    <row r="37" spans="1:5" x14ac:dyDescent="0.2">
      <c r="A37" s="69" t="s">
        <v>48</v>
      </c>
      <c r="B37" s="69"/>
      <c r="C37" s="3" t="s">
        <v>49</v>
      </c>
      <c r="D37" s="69"/>
      <c r="E37" s="69"/>
    </row>
    <row r="38" spans="1:5" x14ac:dyDescent="0.2">
      <c r="A38" s="69" t="s">
        <v>129</v>
      </c>
      <c r="B38" s="69"/>
      <c r="C38" s="3" t="s">
        <v>50</v>
      </c>
      <c r="D38" s="69"/>
      <c r="E38" s="69"/>
    </row>
    <row r="39" spans="1:5" x14ac:dyDescent="0.2">
      <c r="A39" s="69" t="s">
        <v>128</v>
      </c>
      <c r="B39" s="69"/>
      <c r="C39" s="3" t="s">
        <v>127</v>
      </c>
      <c r="D39" s="69"/>
      <c r="E39" s="69"/>
    </row>
    <row r="40" spans="1:5" x14ac:dyDescent="0.2">
      <c r="A40" s="64" t="s">
        <v>124</v>
      </c>
      <c r="B40" s="65"/>
      <c r="C40" s="3" t="s">
        <v>292</v>
      </c>
      <c r="D40" s="64"/>
      <c r="E40" s="65"/>
    </row>
    <row r="41" spans="1:5" x14ac:dyDescent="0.2">
      <c r="A41" s="64" t="s">
        <v>125</v>
      </c>
      <c r="B41" s="65"/>
      <c r="C41" s="3" t="s">
        <v>293</v>
      </c>
      <c r="D41" s="64"/>
      <c r="E41" s="65"/>
    </row>
    <row r="42" spans="1:5" x14ac:dyDescent="0.2">
      <c r="A42" s="64" t="s">
        <v>126</v>
      </c>
      <c r="B42" s="65"/>
      <c r="C42" s="3" t="s">
        <v>195</v>
      </c>
      <c r="D42" s="64"/>
      <c r="E42" s="65"/>
    </row>
    <row r="43" spans="1:5" ht="24" x14ac:dyDescent="0.2">
      <c r="A43" s="69" t="s">
        <v>51</v>
      </c>
      <c r="B43" s="69"/>
      <c r="C43" s="3" t="s">
        <v>52</v>
      </c>
      <c r="D43" s="69"/>
      <c r="E43" s="69"/>
    </row>
    <row r="44" spans="1:5" x14ac:dyDescent="0.2">
      <c r="A44" s="69" t="s">
        <v>53</v>
      </c>
      <c r="B44" s="69"/>
      <c r="C44" s="3" t="s">
        <v>149</v>
      </c>
      <c r="D44" s="69"/>
      <c r="E44" s="69"/>
    </row>
    <row r="45" spans="1:5" ht="24" x14ac:dyDescent="0.2">
      <c r="A45" s="69" t="s">
        <v>54</v>
      </c>
      <c r="B45" s="69"/>
      <c r="C45" s="3" t="s">
        <v>436</v>
      </c>
      <c r="D45" s="69"/>
      <c r="E45" s="69"/>
    </row>
    <row r="46" spans="1:5" x14ac:dyDescent="0.2">
      <c r="A46" s="7"/>
      <c r="B46" s="8"/>
      <c r="C46" s="8"/>
      <c r="D46" s="8"/>
      <c r="E46" s="9"/>
    </row>
    <row r="47" spans="1:5" x14ac:dyDescent="0.2">
      <c r="A47" s="10" t="s">
        <v>58</v>
      </c>
      <c r="E47" s="11"/>
    </row>
    <row r="48" spans="1:5" x14ac:dyDescent="0.2">
      <c r="A48" s="70" t="s">
        <v>70</v>
      </c>
      <c r="B48" s="71"/>
      <c r="C48" s="71"/>
      <c r="D48" s="71"/>
      <c r="E48" s="72"/>
    </row>
    <row r="49" spans="1:5" x14ac:dyDescent="0.2">
      <c r="A49" s="70"/>
      <c r="B49" s="71"/>
      <c r="C49" s="71"/>
      <c r="D49" s="71"/>
      <c r="E49" s="72"/>
    </row>
    <row r="50" spans="1:5" x14ac:dyDescent="0.2">
      <c r="A50" s="70" t="s">
        <v>437</v>
      </c>
      <c r="B50" s="71"/>
      <c r="C50" s="71"/>
      <c r="D50" s="71"/>
      <c r="E50" s="72"/>
    </row>
    <row r="51" spans="1:5" x14ac:dyDescent="0.2">
      <c r="A51" s="70" t="s">
        <v>97</v>
      </c>
      <c r="B51" s="71"/>
      <c r="C51" s="71"/>
      <c r="D51" s="71"/>
      <c r="E51" s="72"/>
    </row>
    <row r="52" spans="1:5" x14ac:dyDescent="0.2">
      <c r="A52" s="70"/>
      <c r="B52" s="71"/>
      <c r="C52" s="71"/>
      <c r="D52" s="71"/>
      <c r="E52" s="72"/>
    </row>
    <row r="53" spans="1:5" x14ac:dyDescent="0.2">
      <c r="A53" s="70" t="s">
        <v>150</v>
      </c>
      <c r="B53" s="71"/>
      <c r="C53" s="71"/>
      <c r="D53" s="71"/>
      <c r="E53" s="72"/>
    </row>
    <row r="54" spans="1:5" ht="11.45" customHeight="1" x14ac:dyDescent="0.2">
      <c r="A54" s="70" t="s">
        <v>151</v>
      </c>
      <c r="B54" s="71"/>
      <c r="C54" s="71"/>
      <c r="D54" s="71"/>
      <c r="E54" s="72"/>
    </row>
    <row r="55" spans="1:5" x14ac:dyDescent="0.2">
      <c r="A55" s="66" t="s">
        <v>104</v>
      </c>
      <c r="B55" s="67"/>
      <c r="C55" s="67"/>
      <c r="D55" s="67"/>
      <c r="E55" s="68"/>
    </row>
  </sheetData>
  <mergeCells count="75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2"/>
    <mergeCell ref="D16:E16"/>
    <mergeCell ref="D17:E17"/>
    <mergeCell ref="D18:E18"/>
    <mergeCell ref="D19:E19"/>
    <mergeCell ref="D20:E20"/>
    <mergeCell ref="D21:E21"/>
    <mergeCell ref="D22:E22"/>
    <mergeCell ref="A23:B23"/>
    <mergeCell ref="D23:E23"/>
    <mergeCell ref="A24:A35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D35:E35"/>
    <mergeCell ref="A37:B37"/>
    <mergeCell ref="D37:E37"/>
    <mergeCell ref="A38:B38"/>
    <mergeCell ref="D38:E38"/>
    <mergeCell ref="A36:B36"/>
    <mergeCell ref="D36:E36"/>
    <mergeCell ref="A39:B39"/>
    <mergeCell ref="D39:E39"/>
    <mergeCell ref="A40:B40"/>
    <mergeCell ref="D40:E40"/>
    <mergeCell ref="A41:B41"/>
    <mergeCell ref="D41:E41"/>
    <mergeCell ref="A42:B42"/>
    <mergeCell ref="D42:E42"/>
    <mergeCell ref="A55:E55"/>
    <mergeCell ref="A43:B43"/>
    <mergeCell ref="D43:E43"/>
    <mergeCell ref="A44:B44"/>
    <mergeCell ref="D44:E44"/>
    <mergeCell ref="A45:B45"/>
    <mergeCell ref="D45:E45"/>
    <mergeCell ref="A48:E49"/>
    <mergeCell ref="A50:E50"/>
    <mergeCell ref="A51:E52"/>
    <mergeCell ref="A53:E53"/>
    <mergeCell ref="A54:E54"/>
  </mergeCells>
  <conditionalFormatting sqref="B17">
    <cfRule type="duplicateValues" dxfId="597" priority="4"/>
  </conditionalFormatting>
  <conditionalFormatting sqref="B18">
    <cfRule type="duplicateValues" dxfId="596" priority="3"/>
  </conditionalFormatting>
  <conditionalFormatting sqref="B20">
    <cfRule type="duplicateValues" dxfId="595" priority="2"/>
  </conditionalFormatting>
  <conditionalFormatting sqref="B21">
    <cfRule type="duplicateValues" dxfId="594" priority="10"/>
  </conditionalFormatting>
  <conditionalFormatting sqref="B25">
    <cfRule type="duplicateValues" dxfId="593" priority="12"/>
  </conditionalFormatting>
  <conditionalFormatting sqref="B28">
    <cfRule type="duplicateValues" dxfId="592" priority="1"/>
  </conditionalFormatting>
  <conditionalFormatting sqref="B32">
    <cfRule type="duplicateValues" dxfId="591" priority="11"/>
  </conditionalFormatting>
  <conditionalFormatting sqref="B38">
    <cfRule type="duplicateValues" dxfId="590" priority="6"/>
  </conditionalFormatting>
  <conditionalFormatting sqref="B39">
    <cfRule type="duplicateValues" dxfId="589" priority="5"/>
  </conditionalFormatting>
  <conditionalFormatting sqref="B40">
    <cfRule type="duplicateValues" dxfId="588" priority="9"/>
  </conditionalFormatting>
  <conditionalFormatting sqref="B41">
    <cfRule type="duplicateValues" dxfId="587" priority="8"/>
  </conditionalFormatting>
  <conditionalFormatting sqref="B42">
    <cfRule type="duplicateValues" dxfId="586" priority="7"/>
  </conditionalFormatting>
  <conditionalFormatting sqref="B56:B1048576 B4:B10 B26:B27 B12:B16 B33:B37 B22:B24 B43:B47 B19 B29:B31">
    <cfRule type="duplicateValues" dxfId="585" priority="13"/>
  </conditionalFormatting>
  <pageMargins left="0.7" right="0.7" top="0.75" bottom="0.75" header="0.3" footer="0.3"/>
  <pageSetup paperSize="9" scale="88" orientation="portrait" horizontalDpi="4294967295" verticalDpi="4294967295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D8E32B-359C-471E-99F7-95C1CF369000}">
  <sheetPr codeName="Sheet25">
    <tabColor theme="4" tint="-0.249977111117893"/>
    <pageSetUpPr fitToPage="1"/>
  </sheetPr>
  <dimension ref="A1:E55"/>
  <sheetViews>
    <sheetView zoomScaleNormal="100" workbookViewId="0">
      <selection sqref="A1:B3"/>
    </sheetView>
  </sheetViews>
  <sheetFormatPr defaultColWidth="8.85546875" defaultRowHeight="12" x14ac:dyDescent="0.2"/>
  <cols>
    <col min="1" max="1" width="12.5703125" style="1" customWidth="1"/>
    <col min="2" max="2" width="13.42578125" style="1" bestFit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4" customFormat="1" ht="30" customHeight="1" x14ac:dyDescent="0.25">
      <c r="A1" s="77" t="e" vm="1">
        <v>#VALUE!</v>
      </c>
      <c r="B1" s="78"/>
      <c r="C1" s="83" t="s">
        <v>112</v>
      </c>
      <c r="D1" s="13" t="s">
        <v>110</v>
      </c>
      <c r="E1" s="13" t="s">
        <v>435</v>
      </c>
    </row>
    <row r="2" spans="1:5" s="14" customFormat="1" ht="30" customHeight="1" x14ac:dyDescent="0.25">
      <c r="A2" s="79"/>
      <c r="B2" s="80"/>
      <c r="C2" s="84"/>
      <c r="D2" s="15" t="s">
        <v>109</v>
      </c>
      <c r="E2" s="16" t="str">
        <f>VLOOKUP(C4,Index!B:J,9,FALSE)</f>
        <v>C0</v>
      </c>
    </row>
    <row r="3" spans="1:5" s="14" customFormat="1" ht="30" customHeight="1" x14ac:dyDescent="0.25">
      <c r="A3" s="81"/>
      <c r="B3" s="82"/>
      <c r="C3" s="85"/>
      <c r="D3" s="15" t="s">
        <v>111</v>
      </c>
      <c r="E3" s="17">
        <f>VLOOKUP(C4,Index!B:I,8,FALSE)</f>
        <v>334</v>
      </c>
    </row>
    <row r="4" spans="1:5" x14ac:dyDescent="0.2">
      <c r="A4" s="86" t="s">
        <v>74</v>
      </c>
      <c r="B4" s="86"/>
      <c r="C4" s="2" t="s">
        <v>208</v>
      </c>
      <c r="D4" s="86" t="s">
        <v>55</v>
      </c>
      <c r="E4" s="86"/>
    </row>
    <row r="5" spans="1:5" x14ac:dyDescent="0.2">
      <c r="A5" s="69" t="s">
        <v>26</v>
      </c>
      <c r="B5" s="69"/>
      <c r="C5" s="3" t="s">
        <v>7</v>
      </c>
      <c r="D5" s="69"/>
      <c r="E5" s="69"/>
    </row>
    <row r="6" spans="1:5" x14ac:dyDescent="0.2">
      <c r="A6" s="69" t="s">
        <v>27</v>
      </c>
      <c r="B6" s="69"/>
      <c r="C6" s="3" t="s">
        <v>78</v>
      </c>
      <c r="D6" s="69"/>
      <c r="E6" s="69"/>
    </row>
    <row r="7" spans="1:5" x14ac:dyDescent="0.2">
      <c r="A7" s="69" t="s">
        <v>28</v>
      </c>
      <c r="B7" s="69"/>
      <c r="C7" s="3" t="s">
        <v>82</v>
      </c>
      <c r="D7" s="69"/>
      <c r="E7" s="69"/>
    </row>
    <row r="8" spans="1:5" x14ac:dyDescent="0.2">
      <c r="A8" s="69" t="s">
        <v>29</v>
      </c>
      <c r="B8" s="69"/>
      <c r="C8" s="3" t="str">
        <f>VLOOKUP(C5,Index!N:W,6,FALSE)</f>
        <v>Flare, Corrosive HC service (Low Temp)</v>
      </c>
      <c r="D8" s="69"/>
      <c r="E8" s="69"/>
    </row>
    <row r="9" spans="1:5" x14ac:dyDescent="0.2">
      <c r="A9" s="69" t="s">
        <v>30</v>
      </c>
      <c r="B9" s="69"/>
      <c r="C9" s="3" t="s">
        <v>148</v>
      </c>
      <c r="D9" s="69"/>
      <c r="E9" s="69"/>
    </row>
    <row r="10" spans="1:5" x14ac:dyDescent="0.2">
      <c r="A10" s="69" t="s">
        <v>31</v>
      </c>
      <c r="B10" s="69"/>
      <c r="C10" s="3" t="s">
        <v>59</v>
      </c>
      <c r="D10" s="69"/>
      <c r="E10" s="69"/>
    </row>
    <row r="11" spans="1:5" x14ac:dyDescent="0.2">
      <c r="A11" s="73" t="s">
        <v>119</v>
      </c>
      <c r="B11" s="74"/>
      <c r="C11" s="12" t="str">
        <f>VLOOKUP(C5,Index!N:W,10,FALSE)</f>
        <v>51.1 @ -45°C' 43.8 @ 200°C</v>
      </c>
      <c r="D11" s="75"/>
      <c r="E11" s="76"/>
    </row>
    <row r="12" spans="1:5" x14ac:dyDescent="0.2">
      <c r="A12" s="69" t="s">
        <v>32</v>
      </c>
      <c r="B12" s="69"/>
      <c r="C12" s="3" t="str">
        <f>VLOOKUP(C5,Index!N:W,5,FALSE)</f>
        <v>3 mm</v>
      </c>
      <c r="D12" s="69"/>
      <c r="E12" s="69"/>
    </row>
    <row r="13" spans="1:5" ht="24" x14ac:dyDescent="0.2">
      <c r="A13" s="69" t="s">
        <v>33</v>
      </c>
      <c r="B13" s="69"/>
      <c r="C13" s="3" t="s">
        <v>98</v>
      </c>
      <c r="D13" s="69"/>
      <c r="E13" s="69"/>
    </row>
    <row r="14" spans="1:5" x14ac:dyDescent="0.2">
      <c r="A14" s="69" t="s">
        <v>35</v>
      </c>
      <c r="B14" s="69"/>
      <c r="C14" s="3" t="s">
        <v>245</v>
      </c>
      <c r="D14" s="69"/>
      <c r="E14" s="69"/>
    </row>
    <row r="15" spans="1:5" x14ac:dyDescent="0.2">
      <c r="A15" s="69" t="s">
        <v>36</v>
      </c>
      <c r="B15" s="69"/>
      <c r="C15" s="3" t="s">
        <v>67</v>
      </c>
      <c r="D15" s="69"/>
      <c r="E15" s="69"/>
    </row>
    <row r="16" spans="1:5" x14ac:dyDescent="0.2">
      <c r="A16" s="69" t="s">
        <v>37</v>
      </c>
      <c r="B16" s="4" t="s">
        <v>38</v>
      </c>
      <c r="C16" s="3" t="s">
        <v>73</v>
      </c>
      <c r="D16" s="69"/>
      <c r="E16" s="69"/>
    </row>
    <row r="17" spans="1:5" ht="24" x14ac:dyDescent="0.2">
      <c r="A17" s="69"/>
      <c r="B17" s="4" t="s">
        <v>75</v>
      </c>
      <c r="C17" s="3" t="s">
        <v>77</v>
      </c>
      <c r="D17" s="69"/>
      <c r="E17" s="69"/>
    </row>
    <row r="18" spans="1:5" ht="24" x14ac:dyDescent="0.2">
      <c r="A18" s="69"/>
      <c r="B18" s="4" t="s">
        <v>39</v>
      </c>
      <c r="C18" s="3" t="s">
        <v>87</v>
      </c>
      <c r="D18" s="69"/>
      <c r="E18" s="69"/>
    </row>
    <row r="19" spans="1:5" x14ac:dyDescent="0.2">
      <c r="A19" s="69"/>
      <c r="B19" s="4" t="s">
        <v>68</v>
      </c>
      <c r="C19" s="3" t="s">
        <v>143</v>
      </c>
      <c r="D19" s="69"/>
      <c r="E19" s="69"/>
    </row>
    <row r="20" spans="1:5" x14ac:dyDescent="0.2">
      <c r="A20" s="69"/>
      <c r="B20" s="4" t="s">
        <v>141</v>
      </c>
      <c r="C20" s="3" t="s">
        <v>142</v>
      </c>
      <c r="D20" s="69"/>
      <c r="E20" s="69"/>
    </row>
    <row r="21" spans="1:5" x14ac:dyDescent="0.2">
      <c r="A21" s="69"/>
      <c r="B21" s="4" t="s">
        <v>69</v>
      </c>
      <c r="C21" s="3" t="s">
        <v>106</v>
      </c>
      <c r="D21" s="69"/>
      <c r="E21" s="69"/>
    </row>
    <row r="22" spans="1:5" ht="24" x14ac:dyDescent="0.2">
      <c r="A22" s="69"/>
      <c r="B22" s="4" t="s">
        <v>40</v>
      </c>
      <c r="C22" s="3" t="s">
        <v>86</v>
      </c>
      <c r="D22" s="69"/>
      <c r="E22" s="69"/>
    </row>
    <row r="23" spans="1:5" ht="24" x14ac:dyDescent="0.2">
      <c r="A23" s="69" t="s">
        <v>41</v>
      </c>
      <c r="B23" s="69"/>
      <c r="C23" s="3" t="s">
        <v>121</v>
      </c>
      <c r="D23" s="69"/>
      <c r="E23" s="69"/>
    </row>
    <row r="24" spans="1:5" ht="24" x14ac:dyDescent="0.2">
      <c r="A24" s="69" t="s">
        <v>42</v>
      </c>
      <c r="B24" s="4" t="s">
        <v>91</v>
      </c>
      <c r="C24" s="3" t="s">
        <v>79</v>
      </c>
      <c r="D24" s="69"/>
      <c r="E24" s="69"/>
    </row>
    <row r="25" spans="1:5" x14ac:dyDescent="0.2">
      <c r="A25" s="69"/>
      <c r="B25" s="4" t="s">
        <v>93</v>
      </c>
      <c r="C25" s="3" t="s">
        <v>132</v>
      </c>
      <c r="D25" s="69"/>
      <c r="E25" s="69"/>
    </row>
    <row r="26" spans="1:5" x14ac:dyDescent="0.2">
      <c r="A26" s="69"/>
      <c r="B26" s="4" t="s">
        <v>94</v>
      </c>
      <c r="C26" s="3" t="s">
        <v>102</v>
      </c>
      <c r="D26" s="69"/>
      <c r="E26" s="69"/>
    </row>
    <row r="27" spans="1:5" x14ac:dyDescent="0.2">
      <c r="A27" s="69"/>
      <c r="B27" s="4" t="s">
        <v>95</v>
      </c>
      <c r="C27" s="3" t="s">
        <v>105</v>
      </c>
      <c r="D27" s="69"/>
      <c r="E27" s="69"/>
    </row>
    <row r="28" spans="1:5" x14ac:dyDescent="0.2">
      <c r="A28" s="69"/>
      <c r="B28" s="4" t="s">
        <v>144</v>
      </c>
      <c r="C28" s="3" t="s">
        <v>105</v>
      </c>
      <c r="D28" s="69"/>
      <c r="E28" s="69"/>
    </row>
    <row r="29" spans="1:5" x14ac:dyDescent="0.2">
      <c r="A29" s="69"/>
      <c r="B29" s="4" t="s">
        <v>92</v>
      </c>
      <c r="C29" s="3" t="s">
        <v>102</v>
      </c>
      <c r="D29" s="69"/>
      <c r="E29" s="69"/>
    </row>
    <row r="30" spans="1:5" x14ac:dyDescent="0.2">
      <c r="A30" s="69"/>
      <c r="B30" s="4" t="s">
        <v>96</v>
      </c>
      <c r="C30" s="3" t="s">
        <v>134</v>
      </c>
      <c r="D30" s="69"/>
      <c r="E30" s="69"/>
    </row>
    <row r="31" spans="1:5" ht="36" x14ac:dyDescent="0.2">
      <c r="A31" s="69"/>
      <c r="B31" s="4" t="s">
        <v>72</v>
      </c>
      <c r="C31" s="3" t="s">
        <v>139</v>
      </c>
      <c r="D31" s="69"/>
      <c r="E31" s="69"/>
    </row>
    <row r="32" spans="1:5" ht="24" x14ac:dyDescent="0.2">
      <c r="A32" s="69"/>
      <c r="B32" s="6" t="s">
        <v>140</v>
      </c>
      <c r="C32" s="5" t="s">
        <v>99</v>
      </c>
      <c r="D32" s="69"/>
      <c r="E32" s="69"/>
    </row>
    <row r="33" spans="1:5" ht="24" x14ac:dyDescent="0.2">
      <c r="A33" s="69"/>
      <c r="B33" s="4" t="s">
        <v>43</v>
      </c>
      <c r="C33" s="3" t="s">
        <v>185</v>
      </c>
      <c r="D33" s="69"/>
      <c r="E33" s="69"/>
    </row>
    <row r="34" spans="1:5" ht="36" x14ac:dyDescent="0.2">
      <c r="A34" s="69"/>
      <c r="B34" s="4" t="s">
        <v>44</v>
      </c>
      <c r="C34" s="3" t="s">
        <v>194</v>
      </c>
      <c r="D34" s="69"/>
      <c r="E34" s="69"/>
    </row>
    <row r="35" spans="1:5" ht="36" x14ac:dyDescent="0.2">
      <c r="A35" s="69"/>
      <c r="B35" s="4" t="s">
        <v>45</v>
      </c>
      <c r="C35" s="3" t="s">
        <v>184</v>
      </c>
      <c r="D35" s="69"/>
      <c r="E35" s="69"/>
    </row>
    <row r="36" spans="1:5" ht="36" x14ac:dyDescent="0.2">
      <c r="A36" s="69" t="s">
        <v>46</v>
      </c>
      <c r="B36" s="69"/>
      <c r="C36" s="3" t="s">
        <v>47</v>
      </c>
      <c r="D36" s="69"/>
      <c r="E36" s="69"/>
    </row>
    <row r="37" spans="1:5" x14ac:dyDescent="0.2">
      <c r="A37" s="69" t="s">
        <v>48</v>
      </c>
      <c r="B37" s="69"/>
      <c r="C37" s="3" t="s">
        <v>49</v>
      </c>
      <c r="D37" s="69"/>
      <c r="E37" s="69"/>
    </row>
    <row r="38" spans="1:5" x14ac:dyDescent="0.2">
      <c r="A38" s="69" t="s">
        <v>129</v>
      </c>
      <c r="B38" s="69"/>
      <c r="C38" s="3" t="s">
        <v>50</v>
      </c>
      <c r="D38" s="69"/>
      <c r="E38" s="69"/>
    </row>
    <row r="39" spans="1:5" x14ac:dyDescent="0.2">
      <c r="A39" s="69" t="s">
        <v>128</v>
      </c>
      <c r="B39" s="69"/>
      <c r="C39" s="3" t="s">
        <v>127</v>
      </c>
      <c r="D39" s="69"/>
      <c r="E39" s="69"/>
    </row>
    <row r="40" spans="1:5" x14ac:dyDescent="0.2">
      <c r="A40" s="64" t="s">
        <v>124</v>
      </c>
      <c r="B40" s="65"/>
      <c r="C40" s="3" t="s">
        <v>290</v>
      </c>
      <c r="D40" s="64"/>
      <c r="E40" s="65"/>
    </row>
    <row r="41" spans="1:5" x14ac:dyDescent="0.2">
      <c r="A41" s="64" t="s">
        <v>125</v>
      </c>
      <c r="B41" s="65"/>
      <c r="C41" s="3" t="s">
        <v>291</v>
      </c>
      <c r="D41" s="64"/>
      <c r="E41" s="65"/>
    </row>
    <row r="42" spans="1:5" x14ac:dyDescent="0.2">
      <c r="A42" s="64" t="s">
        <v>126</v>
      </c>
      <c r="B42" s="65"/>
      <c r="C42" s="3" t="s">
        <v>195</v>
      </c>
      <c r="D42" s="64"/>
      <c r="E42" s="65"/>
    </row>
    <row r="43" spans="1:5" ht="24" x14ac:dyDescent="0.2">
      <c r="A43" s="69" t="s">
        <v>51</v>
      </c>
      <c r="B43" s="69"/>
      <c r="C43" s="3" t="s">
        <v>52</v>
      </c>
      <c r="D43" s="69"/>
      <c r="E43" s="69"/>
    </row>
    <row r="44" spans="1:5" x14ac:dyDescent="0.2">
      <c r="A44" s="69" t="s">
        <v>53</v>
      </c>
      <c r="B44" s="69"/>
      <c r="C44" s="3" t="s">
        <v>149</v>
      </c>
      <c r="D44" s="69"/>
      <c r="E44" s="69"/>
    </row>
    <row r="45" spans="1:5" ht="24" x14ac:dyDescent="0.2">
      <c r="A45" s="69" t="s">
        <v>54</v>
      </c>
      <c r="B45" s="69"/>
      <c r="C45" s="3" t="s">
        <v>436</v>
      </c>
      <c r="D45" s="69"/>
      <c r="E45" s="69"/>
    </row>
    <row r="46" spans="1:5" x14ac:dyDescent="0.2">
      <c r="A46" s="7"/>
      <c r="B46" s="8"/>
      <c r="C46" s="8"/>
      <c r="D46" s="8"/>
      <c r="E46" s="9"/>
    </row>
    <row r="47" spans="1:5" x14ac:dyDescent="0.2">
      <c r="A47" s="10" t="s">
        <v>58</v>
      </c>
      <c r="E47" s="11"/>
    </row>
    <row r="48" spans="1:5" x14ac:dyDescent="0.2">
      <c r="A48" s="70" t="s">
        <v>70</v>
      </c>
      <c r="B48" s="71"/>
      <c r="C48" s="71"/>
      <c r="D48" s="71"/>
      <c r="E48" s="72"/>
    </row>
    <row r="49" spans="1:5" x14ac:dyDescent="0.2">
      <c r="A49" s="70"/>
      <c r="B49" s="71"/>
      <c r="C49" s="71"/>
      <c r="D49" s="71"/>
      <c r="E49" s="72"/>
    </row>
    <row r="50" spans="1:5" x14ac:dyDescent="0.2">
      <c r="A50" s="70" t="s">
        <v>437</v>
      </c>
      <c r="B50" s="71"/>
      <c r="C50" s="71"/>
      <c r="D50" s="71"/>
      <c r="E50" s="72"/>
    </row>
    <row r="51" spans="1:5" x14ac:dyDescent="0.2">
      <c r="A51" s="70" t="s">
        <v>97</v>
      </c>
      <c r="B51" s="71"/>
      <c r="C51" s="71"/>
      <c r="D51" s="71"/>
      <c r="E51" s="72"/>
    </row>
    <row r="52" spans="1:5" x14ac:dyDescent="0.2">
      <c r="A52" s="70"/>
      <c r="B52" s="71"/>
      <c r="C52" s="71"/>
      <c r="D52" s="71"/>
      <c r="E52" s="72"/>
    </row>
    <row r="53" spans="1:5" x14ac:dyDescent="0.2">
      <c r="A53" s="70" t="s">
        <v>150</v>
      </c>
      <c r="B53" s="71"/>
      <c r="C53" s="71"/>
      <c r="D53" s="71"/>
      <c r="E53" s="72"/>
    </row>
    <row r="54" spans="1:5" ht="11.45" customHeight="1" x14ac:dyDescent="0.2">
      <c r="A54" s="70" t="s">
        <v>151</v>
      </c>
      <c r="B54" s="71"/>
      <c r="C54" s="71"/>
      <c r="D54" s="71"/>
      <c r="E54" s="72"/>
    </row>
    <row r="55" spans="1:5" x14ac:dyDescent="0.2">
      <c r="A55" s="66" t="s">
        <v>104</v>
      </c>
      <c r="B55" s="67"/>
      <c r="C55" s="67"/>
      <c r="D55" s="67"/>
      <c r="E55" s="68"/>
    </row>
  </sheetData>
  <mergeCells count="75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2"/>
    <mergeCell ref="D16:E16"/>
    <mergeCell ref="D17:E17"/>
    <mergeCell ref="D18:E18"/>
    <mergeCell ref="D19:E19"/>
    <mergeCell ref="D20:E20"/>
    <mergeCell ref="D21:E21"/>
    <mergeCell ref="D22:E22"/>
    <mergeCell ref="A23:B23"/>
    <mergeCell ref="D23:E23"/>
    <mergeCell ref="A24:A35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D35:E35"/>
    <mergeCell ref="A37:B37"/>
    <mergeCell ref="D37:E37"/>
    <mergeCell ref="A38:B38"/>
    <mergeCell ref="D38:E38"/>
    <mergeCell ref="A36:B36"/>
    <mergeCell ref="D36:E36"/>
    <mergeCell ref="A39:B39"/>
    <mergeCell ref="D39:E39"/>
    <mergeCell ref="A40:B40"/>
    <mergeCell ref="D40:E40"/>
    <mergeCell ref="A41:B41"/>
    <mergeCell ref="D41:E41"/>
    <mergeCell ref="A42:B42"/>
    <mergeCell ref="D42:E42"/>
    <mergeCell ref="A55:E55"/>
    <mergeCell ref="A43:B43"/>
    <mergeCell ref="D43:E43"/>
    <mergeCell ref="A44:B44"/>
    <mergeCell ref="D44:E44"/>
    <mergeCell ref="A45:B45"/>
    <mergeCell ref="D45:E45"/>
    <mergeCell ref="A48:E49"/>
    <mergeCell ref="A50:E50"/>
    <mergeCell ref="A51:E52"/>
    <mergeCell ref="A53:E53"/>
    <mergeCell ref="A54:E54"/>
  </mergeCells>
  <conditionalFormatting sqref="B17">
    <cfRule type="duplicateValues" dxfId="584" priority="4"/>
  </conditionalFormatting>
  <conditionalFormatting sqref="B18">
    <cfRule type="duplicateValues" dxfId="583" priority="3"/>
  </conditionalFormatting>
  <conditionalFormatting sqref="B20">
    <cfRule type="duplicateValues" dxfId="582" priority="2"/>
  </conditionalFormatting>
  <conditionalFormatting sqref="B21">
    <cfRule type="duplicateValues" dxfId="581" priority="10"/>
  </conditionalFormatting>
  <conditionalFormatting sqref="B25">
    <cfRule type="duplicateValues" dxfId="580" priority="12"/>
  </conditionalFormatting>
  <conditionalFormatting sqref="B28">
    <cfRule type="duplicateValues" dxfId="579" priority="1"/>
  </conditionalFormatting>
  <conditionalFormatting sqref="B32">
    <cfRule type="duplicateValues" dxfId="578" priority="11"/>
  </conditionalFormatting>
  <conditionalFormatting sqref="B38">
    <cfRule type="duplicateValues" dxfId="577" priority="6"/>
  </conditionalFormatting>
  <conditionalFormatting sqref="B39">
    <cfRule type="duplicateValues" dxfId="576" priority="5"/>
  </conditionalFormatting>
  <conditionalFormatting sqref="B40">
    <cfRule type="duplicateValues" dxfId="575" priority="9"/>
  </conditionalFormatting>
  <conditionalFormatting sqref="B41">
    <cfRule type="duplicateValues" dxfId="574" priority="8"/>
  </conditionalFormatting>
  <conditionalFormatting sqref="B42">
    <cfRule type="duplicateValues" dxfId="573" priority="7"/>
  </conditionalFormatting>
  <conditionalFormatting sqref="B56:B1048576 B4:B10 B26:B27 B12:B16 B33:B37 B22:B24 B43:B47 B19 B29:B31">
    <cfRule type="duplicateValues" dxfId="572" priority="13"/>
  </conditionalFormatting>
  <pageMargins left="0.7" right="0.7" top="0.75" bottom="0.75" header="0.3" footer="0.3"/>
  <pageSetup paperSize="9" scale="88" orientation="portrait" horizontalDpi="4294967295" verticalDpi="4294967295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60F670-A169-4267-A714-A99216E41F24}">
  <sheetPr codeName="Sheet26">
    <tabColor theme="4" tint="-0.249977111117893"/>
    <pageSetUpPr fitToPage="1"/>
  </sheetPr>
  <dimension ref="A1:E55"/>
  <sheetViews>
    <sheetView zoomScaleNormal="100" workbookViewId="0">
      <selection sqref="A1:B3"/>
    </sheetView>
  </sheetViews>
  <sheetFormatPr defaultColWidth="8.85546875" defaultRowHeight="12" x14ac:dyDescent="0.2"/>
  <cols>
    <col min="1" max="1" width="12.5703125" style="1" customWidth="1"/>
    <col min="2" max="2" width="13.42578125" style="1" bestFit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4" customFormat="1" ht="30" customHeight="1" x14ac:dyDescent="0.25">
      <c r="A1" s="77" t="e" vm="1">
        <v>#VALUE!</v>
      </c>
      <c r="B1" s="78"/>
      <c r="C1" s="83" t="s">
        <v>112</v>
      </c>
      <c r="D1" s="13" t="s">
        <v>110</v>
      </c>
      <c r="E1" s="13" t="s">
        <v>435</v>
      </c>
    </row>
    <row r="2" spans="1:5" s="14" customFormat="1" ht="30" customHeight="1" x14ac:dyDescent="0.25">
      <c r="A2" s="79"/>
      <c r="B2" s="80"/>
      <c r="C2" s="84"/>
      <c r="D2" s="15" t="s">
        <v>109</v>
      </c>
      <c r="E2" s="16" t="str">
        <f>VLOOKUP(C4,Index!B:J,9,FALSE)</f>
        <v>C0</v>
      </c>
    </row>
    <row r="3" spans="1:5" s="14" customFormat="1" ht="30" customHeight="1" x14ac:dyDescent="0.25">
      <c r="A3" s="81"/>
      <c r="B3" s="82"/>
      <c r="C3" s="85"/>
      <c r="D3" s="15" t="s">
        <v>111</v>
      </c>
      <c r="E3" s="17">
        <f>VLOOKUP(C4,Index!B:I,8,FALSE)</f>
        <v>335</v>
      </c>
    </row>
    <row r="4" spans="1:5" x14ac:dyDescent="0.2">
      <c r="A4" s="86" t="s">
        <v>74</v>
      </c>
      <c r="B4" s="86"/>
      <c r="C4" s="2" t="s">
        <v>209</v>
      </c>
      <c r="D4" s="86" t="s">
        <v>55</v>
      </c>
      <c r="E4" s="86"/>
    </row>
    <row r="5" spans="1:5" x14ac:dyDescent="0.2">
      <c r="A5" s="69" t="s">
        <v>26</v>
      </c>
      <c r="B5" s="69"/>
      <c r="C5" s="3" t="s">
        <v>14</v>
      </c>
      <c r="D5" s="69"/>
      <c r="E5" s="69"/>
    </row>
    <row r="6" spans="1:5" x14ac:dyDescent="0.2">
      <c r="A6" s="69" t="s">
        <v>27</v>
      </c>
      <c r="B6" s="69"/>
      <c r="C6" s="3" t="s">
        <v>78</v>
      </c>
      <c r="D6" s="69"/>
      <c r="E6" s="69"/>
    </row>
    <row r="7" spans="1:5" x14ac:dyDescent="0.2">
      <c r="A7" s="69" t="s">
        <v>28</v>
      </c>
      <c r="B7" s="69"/>
      <c r="C7" s="3" t="s">
        <v>82</v>
      </c>
      <c r="D7" s="69"/>
      <c r="E7" s="69"/>
    </row>
    <row r="8" spans="1:5" x14ac:dyDescent="0.2">
      <c r="A8" s="69" t="s">
        <v>29</v>
      </c>
      <c r="B8" s="69"/>
      <c r="C8" s="3" t="str">
        <f>VLOOKUP(C5,Index!N:W,6,FALSE)</f>
        <v>Corrosive HC service (Low Temp)</v>
      </c>
      <c r="D8" s="69"/>
      <c r="E8" s="69"/>
    </row>
    <row r="9" spans="1:5" x14ac:dyDescent="0.2">
      <c r="A9" s="69" t="s">
        <v>30</v>
      </c>
      <c r="B9" s="69"/>
      <c r="C9" s="3" t="s">
        <v>148</v>
      </c>
      <c r="D9" s="69"/>
      <c r="E9" s="69"/>
    </row>
    <row r="10" spans="1:5" x14ac:dyDescent="0.2">
      <c r="A10" s="69" t="s">
        <v>31</v>
      </c>
      <c r="B10" s="69"/>
      <c r="C10" s="3" t="s">
        <v>60</v>
      </c>
      <c r="D10" s="69"/>
      <c r="E10" s="69"/>
    </row>
    <row r="11" spans="1:5" x14ac:dyDescent="0.2">
      <c r="A11" s="73" t="s">
        <v>119</v>
      </c>
      <c r="B11" s="74"/>
      <c r="C11" s="12" t="str">
        <f>VLOOKUP(C5,Index!N:W,10,FALSE)</f>
        <v>102.1 @ -45°C' 87.6 @ 200°C</v>
      </c>
      <c r="D11" s="75"/>
      <c r="E11" s="76"/>
    </row>
    <row r="12" spans="1:5" x14ac:dyDescent="0.2">
      <c r="A12" s="69" t="s">
        <v>32</v>
      </c>
      <c r="B12" s="69"/>
      <c r="C12" s="3" t="str">
        <f>VLOOKUP(C5,Index!N:W,5,FALSE)</f>
        <v>3 mm</v>
      </c>
      <c r="D12" s="69"/>
      <c r="E12" s="69"/>
    </row>
    <row r="13" spans="1:5" ht="24" x14ac:dyDescent="0.2">
      <c r="A13" s="69" t="s">
        <v>33</v>
      </c>
      <c r="B13" s="69"/>
      <c r="C13" s="3" t="s">
        <v>98</v>
      </c>
      <c r="D13" s="69"/>
      <c r="E13" s="69"/>
    </row>
    <row r="14" spans="1:5" x14ac:dyDescent="0.2">
      <c r="A14" s="69" t="s">
        <v>35</v>
      </c>
      <c r="B14" s="69"/>
      <c r="C14" s="3" t="s">
        <v>245</v>
      </c>
      <c r="D14" s="69"/>
      <c r="E14" s="69"/>
    </row>
    <row r="15" spans="1:5" x14ac:dyDescent="0.2">
      <c r="A15" s="69" t="s">
        <v>36</v>
      </c>
      <c r="B15" s="69"/>
      <c r="C15" s="3" t="s">
        <v>67</v>
      </c>
      <c r="D15" s="69"/>
      <c r="E15" s="69"/>
    </row>
    <row r="16" spans="1:5" x14ac:dyDescent="0.2">
      <c r="A16" s="69" t="s">
        <v>37</v>
      </c>
      <c r="B16" s="4" t="s">
        <v>38</v>
      </c>
      <c r="C16" s="3" t="s">
        <v>73</v>
      </c>
      <c r="D16" s="69"/>
      <c r="E16" s="69"/>
    </row>
    <row r="17" spans="1:5" ht="24" x14ac:dyDescent="0.2">
      <c r="A17" s="69"/>
      <c r="B17" s="4" t="s">
        <v>75</v>
      </c>
      <c r="C17" s="3" t="s">
        <v>77</v>
      </c>
      <c r="D17" s="69"/>
      <c r="E17" s="69"/>
    </row>
    <row r="18" spans="1:5" ht="24" x14ac:dyDescent="0.2">
      <c r="A18" s="69"/>
      <c r="B18" s="4" t="s">
        <v>39</v>
      </c>
      <c r="C18" s="3" t="s">
        <v>87</v>
      </c>
      <c r="D18" s="69"/>
      <c r="E18" s="69"/>
    </row>
    <row r="19" spans="1:5" x14ac:dyDescent="0.2">
      <c r="A19" s="69"/>
      <c r="B19" s="4" t="s">
        <v>68</v>
      </c>
      <c r="C19" s="3" t="s">
        <v>143</v>
      </c>
      <c r="D19" s="69"/>
      <c r="E19" s="69"/>
    </row>
    <row r="20" spans="1:5" x14ac:dyDescent="0.2">
      <c r="A20" s="69"/>
      <c r="B20" s="4" t="s">
        <v>141</v>
      </c>
      <c r="C20" s="3" t="s">
        <v>142</v>
      </c>
      <c r="D20" s="69"/>
      <c r="E20" s="69"/>
    </row>
    <row r="21" spans="1:5" x14ac:dyDescent="0.2">
      <c r="A21" s="69"/>
      <c r="B21" s="4" t="s">
        <v>69</v>
      </c>
      <c r="C21" s="3" t="s">
        <v>106</v>
      </c>
      <c r="D21" s="69"/>
      <c r="E21" s="69"/>
    </row>
    <row r="22" spans="1:5" ht="24" x14ac:dyDescent="0.2">
      <c r="A22" s="69"/>
      <c r="B22" s="4" t="s">
        <v>40</v>
      </c>
      <c r="C22" s="3" t="s">
        <v>86</v>
      </c>
      <c r="D22" s="69"/>
      <c r="E22" s="69"/>
    </row>
    <row r="23" spans="1:5" ht="24" x14ac:dyDescent="0.2">
      <c r="A23" s="69" t="s">
        <v>41</v>
      </c>
      <c r="B23" s="69"/>
      <c r="C23" s="3" t="s">
        <v>120</v>
      </c>
      <c r="D23" s="69"/>
      <c r="E23" s="69"/>
    </row>
    <row r="24" spans="1:5" ht="24" x14ac:dyDescent="0.2">
      <c r="A24" s="69" t="s">
        <v>42</v>
      </c>
      <c r="B24" s="4" t="s">
        <v>91</v>
      </c>
      <c r="C24" s="3" t="s">
        <v>79</v>
      </c>
      <c r="D24" s="69"/>
      <c r="E24" s="69"/>
    </row>
    <row r="25" spans="1:5" x14ac:dyDescent="0.2">
      <c r="A25" s="69"/>
      <c r="B25" s="4" t="s">
        <v>93</v>
      </c>
      <c r="C25" s="3" t="s">
        <v>132</v>
      </c>
      <c r="D25" s="69"/>
      <c r="E25" s="69"/>
    </row>
    <row r="26" spans="1:5" x14ac:dyDescent="0.2">
      <c r="A26" s="69"/>
      <c r="B26" s="4" t="s">
        <v>94</v>
      </c>
      <c r="C26" s="3" t="s">
        <v>102</v>
      </c>
      <c r="D26" s="69"/>
      <c r="E26" s="69"/>
    </row>
    <row r="27" spans="1:5" x14ac:dyDescent="0.2">
      <c r="A27" s="69"/>
      <c r="B27" s="4" t="s">
        <v>95</v>
      </c>
      <c r="C27" s="3" t="s">
        <v>105</v>
      </c>
      <c r="D27" s="69"/>
      <c r="E27" s="69"/>
    </row>
    <row r="28" spans="1:5" x14ac:dyDescent="0.2">
      <c r="A28" s="69"/>
      <c r="B28" s="4" t="s">
        <v>144</v>
      </c>
      <c r="C28" s="3" t="s">
        <v>105</v>
      </c>
      <c r="D28" s="69"/>
      <c r="E28" s="69"/>
    </row>
    <row r="29" spans="1:5" x14ac:dyDescent="0.2">
      <c r="A29" s="69"/>
      <c r="B29" s="4" t="s">
        <v>92</v>
      </c>
      <c r="C29" s="3" t="s">
        <v>102</v>
      </c>
      <c r="D29" s="69"/>
      <c r="E29" s="69"/>
    </row>
    <row r="30" spans="1:5" x14ac:dyDescent="0.2">
      <c r="A30" s="69"/>
      <c r="B30" s="4" t="s">
        <v>96</v>
      </c>
      <c r="C30" s="3" t="s">
        <v>134</v>
      </c>
      <c r="D30" s="69"/>
      <c r="E30" s="69"/>
    </row>
    <row r="31" spans="1:5" ht="36" x14ac:dyDescent="0.2">
      <c r="A31" s="69"/>
      <c r="B31" s="4" t="s">
        <v>72</v>
      </c>
      <c r="C31" s="3" t="s">
        <v>139</v>
      </c>
      <c r="D31" s="69"/>
      <c r="E31" s="69"/>
    </row>
    <row r="32" spans="1:5" ht="24" x14ac:dyDescent="0.2">
      <c r="A32" s="69"/>
      <c r="B32" s="6" t="s">
        <v>140</v>
      </c>
      <c r="C32" s="5" t="s">
        <v>99</v>
      </c>
      <c r="D32" s="69"/>
      <c r="E32" s="69"/>
    </row>
    <row r="33" spans="1:5" ht="24" x14ac:dyDescent="0.2">
      <c r="A33" s="69"/>
      <c r="B33" s="4" t="s">
        <v>43</v>
      </c>
      <c r="C33" s="3" t="s">
        <v>185</v>
      </c>
      <c r="D33" s="69"/>
      <c r="E33" s="69"/>
    </row>
    <row r="34" spans="1:5" ht="36" x14ac:dyDescent="0.2">
      <c r="A34" s="69"/>
      <c r="B34" s="4" t="s">
        <v>44</v>
      </c>
      <c r="C34" s="3" t="s">
        <v>194</v>
      </c>
      <c r="D34" s="69"/>
      <c r="E34" s="69"/>
    </row>
    <row r="35" spans="1:5" ht="36" x14ac:dyDescent="0.2">
      <c r="A35" s="69"/>
      <c r="B35" s="4" t="s">
        <v>45</v>
      </c>
      <c r="C35" s="3" t="s">
        <v>184</v>
      </c>
      <c r="D35" s="69"/>
      <c r="E35" s="69"/>
    </row>
    <row r="36" spans="1:5" ht="36" x14ac:dyDescent="0.2">
      <c r="A36" s="69" t="s">
        <v>46</v>
      </c>
      <c r="B36" s="69"/>
      <c r="C36" s="3" t="s">
        <v>47</v>
      </c>
      <c r="D36" s="69"/>
      <c r="E36" s="69"/>
    </row>
    <row r="37" spans="1:5" x14ac:dyDescent="0.2">
      <c r="A37" s="69" t="s">
        <v>48</v>
      </c>
      <c r="B37" s="69"/>
      <c r="C37" s="3" t="s">
        <v>49</v>
      </c>
      <c r="D37" s="69"/>
      <c r="E37" s="69"/>
    </row>
    <row r="38" spans="1:5" x14ac:dyDescent="0.2">
      <c r="A38" s="69" t="s">
        <v>129</v>
      </c>
      <c r="B38" s="69"/>
      <c r="C38" s="3" t="s">
        <v>50</v>
      </c>
      <c r="D38" s="69"/>
      <c r="E38" s="69"/>
    </row>
    <row r="39" spans="1:5" x14ac:dyDescent="0.2">
      <c r="A39" s="69" t="s">
        <v>128</v>
      </c>
      <c r="B39" s="69"/>
      <c r="C39" s="3" t="s">
        <v>127</v>
      </c>
      <c r="D39" s="69"/>
      <c r="E39" s="69"/>
    </row>
    <row r="40" spans="1:5" x14ac:dyDescent="0.2">
      <c r="A40" s="64" t="s">
        <v>124</v>
      </c>
      <c r="B40" s="65"/>
      <c r="C40" s="3" t="s">
        <v>288</v>
      </c>
      <c r="D40" s="64"/>
      <c r="E40" s="65"/>
    </row>
    <row r="41" spans="1:5" x14ac:dyDescent="0.2">
      <c r="A41" s="64" t="s">
        <v>125</v>
      </c>
      <c r="B41" s="65"/>
      <c r="C41" s="3" t="s">
        <v>289</v>
      </c>
      <c r="D41" s="64"/>
      <c r="E41" s="65"/>
    </row>
    <row r="42" spans="1:5" x14ac:dyDescent="0.2">
      <c r="A42" s="64" t="s">
        <v>126</v>
      </c>
      <c r="B42" s="65"/>
      <c r="C42" s="3" t="s">
        <v>195</v>
      </c>
      <c r="D42" s="64"/>
      <c r="E42" s="65"/>
    </row>
    <row r="43" spans="1:5" ht="24" x14ac:dyDescent="0.2">
      <c r="A43" s="69" t="s">
        <v>51</v>
      </c>
      <c r="B43" s="69"/>
      <c r="C43" s="3" t="s">
        <v>52</v>
      </c>
      <c r="D43" s="69"/>
      <c r="E43" s="69"/>
    </row>
    <row r="44" spans="1:5" x14ac:dyDescent="0.2">
      <c r="A44" s="69" t="s">
        <v>53</v>
      </c>
      <c r="B44" s="69"/>
      <c r="C44" s="3" t="s">
        <v>149</v>
      </c>
      <c r="D44" s="69"/>
      <c r="E44" s="69"/>
    </row>
    <row r="45" spans="1:5" ht="24" x14ac:dyDescent="0.2">
      <c r="A45" s="69" t="s">
        <v>54</v>
      </c>
      <c r="B45" s="69"/>
      <c r="C45" s="3" t="s">
        <v>436</v>
      </c>
      <c r="D45" s="69"/>
      <c r="E45" s="69"/>
    </row>
    <row r="46" spans="1:5" x14ac:dyDescent="0.2">
      <c r="A46" s="7"/>
      <c r="B46" s="8"/>
      <c r="C46" s="8"/>
      <c r="D46" s="8"/>
      <c r="E46" s="9"/>
    </row>
    <row r="47" spans="1:5" x14ac:dyDescent="0.2">
      <c r="A47" s="10" t="s">
        <v>58</v>
      </c>
      <c r="E47" s="11"/>
    </row>
    <row r="48" spans="1:5" x14ac:dyDescent="0.2">
      <c r="A48" s="70" t="s">
        <v>70</v>
      </c>
      <c r="B48" s="71"/>
      <c r="C48" s="71"/>
      <c r="D48" s="71"/>
      <c r="E48" s="72"/>
    </row>
    <row r="49" spans="1:5" x14ac:dyDescent="0.2">
      <c r="A49" s="70"/>
      <c r="B49" s="71"/>
      <c r="C49" s="71"/>
      <c r="D49" s="71"/>
      <c r="E49" s="72"/>
    </row>
    <row r="50" spans="1:5" x14ac:dyDescent="0.2">
      <c r="A50" s="70" t="s">
        <v>437</v>
      </c>
      <c r="B50" s="71"/>
      <c r="C50" s="71"/>
      <c r="D50" s="71"/>
      <c r="E50" s="72"/>
    </row>
    <row r="51" spans="1:5" x14ac:dyDescent="0.2">
      <c r="A51" s="70" t="s">
        <v>97</v>
      </c>
      <c r="B51" s="71"/>
      <c r="C51" s="71"/>
      <c r="D51" s="71"/>
      <c r="E51" s="72"/>
    </row>
    <row r="52" spans="1:5" x14ac:dyDescent="0.2">
      <c r="A52" s="70"/>
      <c r="B52" s="71"/>
      <c r="C52" s="71"/>
      <c r="D52" s="71"/>
      <c r="E52" s="72"/>
    </row>
    <row r="53" spans="1:5" x14ac:dyDescent="0.2">
      <c r="A53" s="70" t="s">
        <v>150</v>
      </c>
      <c r="B53" s="71"/>
      <c r="C53" s="71"/>
      <c r="D53" s="71"/>
      <c r="E53" s="72"/>
    </row>
    <row r="54" spans="1:5" ht="11.45" customHeight="1" x14ac:dyDescent="0.2">
      <c r="A54" s="70" t="s">
        <v>151</v>
      </c>
      <c r="B54" s="71"/>
      <c r="C54" s="71"/>
      <c r="D54" s="71"/>
      <c r="E54" s="72"/>
    </row>
    <row r="55" spans="1:5" x14ac:dyDescent="0.2">
      <c r="A55" s="66" t="s">
        <v>104</v>
      </c>
      <c r="B55" s="67"/>
      <c r="C55" s="67"/>
      <c r="D55" s="67"/>
      <c r="E55" s="68"/>
    </row>
  </sheetData>
  <mergeCells count="75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2"/>
    <mergeCell ref="D16:E16"/>
    <mergeCell ref="D17:E17"/>
    <mergeCell ref="D18:E18"/>
    <mergeCell ref="D19:E19"/>
    <mergeCell ref="D20:E20"/>
    <mergeCell ref="D21:E21"/>
    <mergeCell ref="D22:E22"/>
    <mergeCell ref="A23:B23"/>
    <mergeCell ref="D23:E23"/>
    <mergeCell ref="A24:A35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D35:E35"/>
    <mergeCell ref="A37:B37"/>
    <mergeCell ref="D37:E37"/>
    <mergeCell ref="A38:B38"/>
    <mergeCell ref="D38:E38"/>
    <mergeCell ref="A36:B36"/>
    <mergeCell ref="D36:E36"/>
    <mergeCell ref="A39:B39"/>
    <mergeCell ref="D39:E39"/>
    <mergeCell ref="A40:B40"/>
    <mergeCell ref="D40:E40"/>
    <mergeCell ref="A41:B41"/>
    <mergeCell ref="D41:E41"/>
    <mergeCell ref="A42:B42"/>
    <mergeCell ref="D42:E42"/>
    <mergeCell ref="A55:E55"/>
    <mergeCell ref="A43:B43"/>
    <mergeCell ref="D43:E43"/>
    <mergeCell ref="A44:B44"/>
    <mergeCell ref="D44:E44"/>
    <mergeCell ref="A45:B45"/>
    <mergeCell ref="D45:E45"/>
    <mergeCell ref="A48:E49"/>
    <mergeCell ref="A50:E50"/>
    <mergeCell ref="A51:E52"/>
    <mergeCell ref="A53:E53"/>
    <mergeCell ref="A54:E54"/>
  </mergeCells>
  <conditionalFormatting sqref="B17">
    <cfRule type="duplicateValues" dxfId="571" priority="4"/>
  </conditionalFormatting>
  <conditionalFormatting sqref="B18">
    <cfRule type="duplicateValues" dxfId="570" priority="3"/>
  </conditionalFormatting>
  <conditionalFormatting sqref="B20">
    <cfRule type="duplicateValues" dxfId="569" priority="2"/>
  </conditionalFormatting>
  <conditionalFormatting sqref="B21">
    <cfRule type="duplicateValues" dxfId="568" priority="10"/>
  </conditionalFormatting>
  <conditionalFormatting sqref="B25">
    <cfRule type="duplicateValues" dxfId="567" priority="12"/>
  </conditionalFormatting>
  <conditionalFormatting sqref="B28">
    <cfRule type="duplicateValues" dxfId="566" priority="1"/>
  </conditionalFormatting>
  <conditionalFormatting sqref="B32">
    <cfRule type="duplicateValues" dxfId="565" priority="11"/>
  </conditionalFormatting>
  <conditionalFormatting sqref="B38">
    <cfRule type="duplicateValues" dxfId="564" priority="6"/>
  </conditionalFormatting>
  <conditionalFormatting sqref="B39">
    <cfRule type="duplicateValues" dxfId="563" priority="5"/>
  </conditionalFormatting>
  <conditionalFormatting sqref="B40">
    <cfRule type="duplicateValues" dxfId="562" priority="9"/>
  </conditionalFormatting>
  <conditionalFormatting sqref="B41">
    <cfRule type="duplicateValues" dxfId="561" priority="8"/>
  </conditionalFormatting>
  <conditionalFormatting sqref="B42">
    <cfRule type="duplicateValues" dxfId="560" priority="7"/>
  </conditionalFormatting>
  <conditionalFormatting sqref="B56:B1048576 B4:B10 B26:B27 B12:B16 B33:B37 B22:B24 B43:B47 B19 B29:B31">
    <cfRule type="duplicateValues" dxfId="559" priority="13"/>
  </conditionalFormatting>
  <pageMargins left="0.7" right="0.7" top="0.75" bottom="0.75" header="0.3" footer="0.3"/>
  <pageSetup paperSize="9" scale="88" orientation="portrait" horizontalDpi="4294967295" verticalDpi="4294967295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39E7A-CE62-4996-8204-B117CB5ED145}">
  <sheetPr codeName="Sheet27">
    <tabColor theme="4" tint="-0.249977111117893"/>
    <pageSetUpPr fitToPage="1"/>
  </sheetPr>
  <dimension ref="A1:E55"/>
  <sheetViews>
    <sheetView zoomScaleNormal="100" workbookViewId="0">
      <selection sqref="A1:B3"/>
    </sheetView>
  </sheetViews>
  <sheetFormatPr defaultColWidth="8.85546875" defaultRowHeight="12" x14ac:dyDescent="0.2"/>
  <cols>
    <col min="1" max="1" width="12.5703125" style="1" customWidth="1"/>
    <col min="2" max="2" width="13.42578125" style="1" bestFit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4" customFormat="1" ht="30" customHeight="1" x14ac:dyDescent="0.25">
      <c r="A1" s="77" t="e" vm="1">
        <v>#VALUE!</v>
      </c>
      <c r="B1" s="78"/>
      <c r="C1" s="83" t="s">
        <v>112</v>
      </c>
      <c r="D1" s="13" t="s">
        <v>110</v>
      </c>
      <c r="E1" s="13" t="s">
        <v>435</v>
      </c>
    </row>
    <row r="2" spans="1:5" s="14" customFormat="1" ht="30" customHeight="1" x14ac:dyDescent="0.25">
      <c r="A2" s="79"/>
      <c r="B2" s="80"/>
      <c r="C2" s="84"/>
      <c r="D2" s="15" t="s">
        <v>109</v>
      </c>
      <c r="E2" s="16" t="str">
        <f>VLOOKUP(C4,Index!B:J,9,FALSE)</f>
        <v>C0</v>
      </c>
    </row>
    <row r="3" spans="1:5" s="14" customFormat="1" ht="30" customHeight="1" x14ac:dyDescent="0.25">
      <c r="A3" s="81"/>
      <c r="B3" s="82"/>
      <c r="C3" s="85"/>
      <c r="D3" s="15" t="s">
        <v>111</v>
      </c>
      <c r="E3" s="17">
        <f>VLOOKUP(C4,Index!B:I,8,FALSE)</f>
        <v>336</v>
      </c>
    </row>
    <row r="4" spans="1:5" x14ac:dyDescent="0.2">
      <c r="A4" s="86" t="s">
        <v>74</v>
      </c>
      <c r="B4" s="86"/>
      <c r="C4" s="2" t="s">
        <v>210</v>
      </c>
      <c r="D4" s="86" t="s">
        <v>55</v>
      </c>
      <c r="E4" s="86"/>
    </row>
    <row r="5" spans="1:5" x14ac:dyDescent="0.2">
      <c r="A5" s="69" t="s">
        <v>26</v>
      </c>
      <c r="B5" s="69"/>
      <c r="C5" s="3" t="s">
        <v>17</v>
      </c>
      <c r="D5" s="69"/>
      <c r="E5" s="69"/>
    </row>
    <row r="6" spans="1:5" x14ac:dyDescent="0.2">
      <c r="A6" s="69" t="s">
        <v>27</v>
      </c>
      <c r="B6" s="69"/>
      <c r="C6" s="3" t="s">
        <v>78</v>
      </c>
      <c r="D6" s="69"/>
      <c r="E6" s="69"/>
    </row>
    <row r="7" spans="1:5" x14ac:dyDescent="0.2">
      <c r="A7" s="69" t="s">
        <v>28</v>
      </c>
      <c r="B7" s="69"/>
      <c r="C7" s="3" t="s">
        <v>82</v>
      </c>
      <c r="D7" s="69"/>
      <c r="E7" s="69"/>
    </row>
    <row r="8" spans="1:5" x14ac:dyDescent="0.2">
      <c r="A8" s="69" t="s">
        <v>29</v>
      </c>
      <c r="B8" s="69"/>
      <c r="C8" s="3" t="str">
        <f>VLOOKUP(C5,Index!N:W,6,FALSE)</f>
        <v>Corrosive HC service (Low Temp)</v>
      </c>
      <c r="D8" s="69"/>
      <c r="E8" s="69"/>
    </row>
    <row r="9" spans="1:5" x14ac:dyDescent="0.2">
      <c r="A9" s="69" t="s">
        <v>30</v>
      </c>
      <c r="B9" s="69"/>
      <c r="C9" s="3" t="s">
        <v>148</v>
      </c>
      <c r="D9" s="69"/>
      <c r="E9" s="69"/>
    </row>
    <row r="10" spans="1:5" x14ac:dyDescent="0.2">
      <c r="A10" s="69" t="s">
        <v>31</v>
      </c>
      <c r="B10" s="69"/>
      <c r="C10" s="3" t="s">
        <v>61</v>
      </c>
      <c r="D10" s="69"/>
      <c r="E10" s="69"/>
    </row>
    <row r="11" spans="1:5" x14ac:dyDescent="0.2">
      <c r="A11" s="73" t="s">
        <v>119</v>
      </c>
      <c r="B11" s="74"/>
      <c r="C11" s="12" t="str">
        <f>VLOOKUP(C5,Index!N:W,10,FALSE)</f>
        <v>153.2 @ -45°C' 131.4 @ 200°C</v>
      </c>
      <c r="D11" s="75"/>
      <c r="E11" s="76"/>
    </row>
    <row r="12" spans="1:5" x14ac:dyDescent="0.2">
      <c r="A12" s="69" t="s">
        <v>32</v>
      </c>
      <c r="B12" s="69"/>
      <c r="C12" s="3" t="str">
        <f>VLOOKUP(C5,Index!N:W,5,FALSE)</f>
        <v>3 mm</v>
      </c>
      <c r="D12" s="69"/>
      <c r="E12" s="69"/>
    </row>
    <row r="13" spans="1:5" ht="24" x14ac:dyDescent="0.2">
      <c r="A13" s="69" t="s">
        <v>33</v>
      </c>
      <c r="B13" s="69"/>
      <c r="C13" s="3" t="s">
        <v>98</v>
      </c>
      <c r="D13" s="69"/>
      <c r="E13" s="69"/>
    </row>
    <row r="14" spans="1:5" x14ac:dyDescent="0.2">
      <c r="A14" s="69" t="s">
        <v>35</v>
      </c>
      <c r="B14" s="69"/>
      <c r="C14" s="3" t="s">
        <v>62</v>
      </c>
      <c r="D14" s="69"/>
      <c r="E14" s="69"/>
    </row>
    <row r="15" spans="1:5" x14ac:dyDescent="0.2">
      <c r="A15" s="69" t="s">
        <v>36</v>
      </c>
      <c r="B15" s="69"/>
      <c r="C15" s="3" t="s">
        <v>67</v>
      </c>
      <c r="D15" s="69"/>
      <c r="E15" s="69"/>
    </row>
    <row r="16" spans="1:5" x14ac:dyDescent="0.2">
      <c r="A16" s="69" t="s">
        <v>37</v>
      </c>
      <c r="B16" s="4" t="s">
        <v>38</v>
      </c>
      <c r="C16" s="3" t="s">
        <v>73</v>
      </c>
      <c r="D16" s="69"/>
      <c r="E16" s="69"/>
    </row>
    <row r="17" spans="1:5" ht="24" x14ac:dyDescent="0.2">
      <c r="A17" s="69"/>
      <c r="B17" s="4" t="s">
        <v>75</v>
      </c>
      <c r="C17" s="3" t="s">
        <v>77</v>
      </c>
      <c r="D17" s="69"/>
      <c r="E17" s="69"/>
    </row>
    <row r="18" spans="1:5" ht="24" x14ac:dyDescent="0.2">
      <c r="A18" s="69"/>
      <c r="B18" s="4" t="s">
        <v>39</v>
      </c>
      <c r="C18" s="3" t="s">
        <v>87</v>
      </c>
      <c r="D18" s="69"/>
      <c r="E18" s="69"/>
    </row>
    <row r="19" spans="1:5" x14ac:dyDescent="0.2">
      <c r="A19" s="69"/>
      <c r="B19" s="4" t="s">
        <v>68</v>
      </c>
      <c r="C19" s="3" t="s">
        <v>143</v>
      </c>
      <c r="D19" s="69"/>
      <c r="E19" s="69"/>
    </row>
    <row r="20" spans="1:5" x14ac:dyDescent="0.2">
      <c r="A20" s="69"/>
      <c r="B20" s="4" t="s">
        <v>141</v>
      </c>
      <c r="C20" s="3" t="s">
        <v>142</v>
      </c>
      <c r="D20" s="69"/>
      <c r="E20" s="69"/>
    </row>
    <row r="21" spans="1:5" x14ac:dyDescent="0.2">
      <c r="A21" s="69"/>
      <c r="B21" s="4" t="s">
        <v>69</v>
      </c>
      <c r="C21" s="3" t="s">
        <v>106</v>
      </c>
      <c r="D21" s="69"/>
      <c r="E21" s="69"/>
    </row>
    <row r="22" spans="1:5" ht="24" x14ac:dyDescent="0.2">
      <c r="A22" s="69"/>
      <c r="B22" s="4" t="s">
        <v>40</v>
      </c>
      <c r="C22" s="3" t="s">
        <v>86</v>
      </c>
      <c r="D22" s="69"/>
      <c r="E22" s="69"/>
    </row>
    <row r="23" spans="1:5" ht="24" x14ac:dyDescent="0.2">
      <c r="A23" s="69" t="s">
        <v>41</v>
      </c>
      <c r="B23" s="69"/>
      <c r="C23" s="3" t="s">
        <v>123</v>
      </c>
      <c r="D23" s="69"/>
      <c r="E23" s="69"/>
    </row>
    <row r="24" spans="1:5" ht="24" x14ac:dyDescent="0.2">
      <c r="A24" s="69" t="s">
        <v>42</v>
      </c>
      <c r="B24" s="4" t="s">
        <v>91</v>
      </c>
      <c r="C24" s="3" t="s">
        <v>79</v>
      </c>
      <c r="D24" s="69"/>
      <c r="E24" s="69"/>
    </row>
    <row r="25" spans="1:5" x14ac:dyDescent="0.2">
      <c r="A25" s="69"/>
      <c r="B25" s="4" t="s">
        <v>93</v>
      </c>
      <c r="C25" s="3" t="s">
        <v>132</v>
      </c>
      <c r="D25" s="69"/>
      <c r="E25" s="69"/>
    </row>
    <row r="26" spans="1:5" x14ac:dyDescent="0.2">
      <c r="A26" s="69"/>
      <c r="B26" s="4" t="s">
        <v>94</v>
      </c>
      <c r="C26" s="3" t="s">
        <v>102</v>
      </c>
      <c r="D26" s="69"/>
      <c r="E26" s="69"/>
    </row>
    <row r="27" spans="1:5" x14ac:dyDescent="0.2">
      <c r="A27" s="69"/>
      <c r="B27" s="4" t="s">
        <v>95</v>
      </c>
      <c r="C27" s="3" t="s">
        <v>105</v>
      </c>
      <c r="D27" s="69"/>
      <c r="E27" s="69"/>
    </row>
    <row r="28" spans="1:5" x14ac:dyDescent="0.2">
      <c r="A28" s="69"/>
      <c r="B28" s="4" t="s">
        <v>144</v>
      </c>
      <c r="C28" s="3" t="s">
        <v>105</v>
      </c>
      <c r="D28" s="69"/>
      <c r="E28" s="69"/>
    </row>
    <row r="29" spans="1:5" x14ac:dyDescent="0.2">
      <c r="A29" s="69"/>
      <c r="B29" s="4" t="s">
        <v>92</v>
      </c>
      <c r="C29" s="3" t="s">
        <v>102</v>
      </c>
      <c r="D29" s="69"/>
      <c r="E29" s="69"/>
    </row>
    <row r="30" spans="1:5" x14ac:dyDescent="0.2">
      <c r="A30" s="69"/>
      <c r="B30" s="4" t="s">
        <v>96</v>
      </c>
      <c r="C30" s="3" t="s">
        <v>134</v>
      </c>
      <c r="D30" s="69"/>
      <c r="E30" s="69"/>
    </row>
    <row r="31" spans="1:5" ht="36" x14ac:dyDescent="0.2">
      <c r="A31" s="69"/>
      <c r="B31" s="4" t="s">
        <v>72</v>
      </c>
      <c r="C31" s="3" t="s">
        <v>139</v>
      </c>
      <c r="D31" s="69"/>
      <c r="E31" s="69"/>
    </row>
    <row r="32" spans="1:5" ht="24" x14ac:dyDescent="0.2">
      <c r="A32" s="69"/>
      <c r="B32" s="6" t="s">
        <v>140</v>
      </c>
      <c r="C32" s="5" t="s">
        <v>99</v>
      </c>
      <c r="D32" s="69"/>
      <c r="E32" s="69"/>
    </row>
    <row r="33" spans="1:5" ht="24" x14ac:dyDescent="0.2">
      <c r="A33" s="69"/>
      <c r="B33" s="4" t="s">
        <v>43</v>
      </c>
      <c r="C33" s="3" t="s">
        <v>186</v>
      </c>
      <c r="D33" s="69"/>
      <c r="E33" s="69"/>
    </row>
    <row r="34" spans="1:5" ht="36" x14ac:dyDescent="0.2">
      <c r="A34" s="69"/>
      <c r="B34" s="4" t="s">
        <v>44</v>
      </c>
      <c r="C34" s="3" t="s">
        <v>194</v>
      </c>
      <c r="D34" s="69"/>
      <c r="E34" s="69"/>
    </row>
    <row r="35" spans="1:5" ht="36" x14ac:dyDescent="0.2">
      <c r="A35" s="69"/>
      <c r="B35" s="4" t="s">
        <v>45</v>
      </c>
      <c r="C35" s="3" t="s">
        <v>184</v>
      </c>
      <c r="D35" s="69"/>
      <c r="E35" s="69"/>
    </row>
    <row r="36" spans="1:5" ht="36" x14ac:dyDescent="0.2">
      <c r="A36" s="69" t="s">
        <v>46</v>
      </c>
      <c r="B36" s="69"/>
      <c r="C36" s="3" t="s">
        <v>47</v>
      </c>
      <c r="D36" s="69"/>
      <c r="E36" s="69"/>
    </row>
    <row r="37" spans="1:5" x14ac:dyDescent="0.2">
      <c r="A37" s="69" t="s">
        <v>48</v>
      </c>
      <c r="B37" s="69"/>
      <c r="C37" s="3" t="s">
        <v>49</v>
      </c>
      <c r="D37" s="69"/>
      <c r="E37" s="69"/>
    </row>
    <row r="38" spans="1:5" x14ac:dyDescent="0.2">
      <c r="A38" s="69" t="s">
        <v>129</v>
      </c>
      <c r="B38" s="69"/>
      <c r="C38" s="3" t="s">
        <v>50</v>
      </c>
      <c r="D38" s="69"/>
      <c r="E38" s="69"/>
    </row>
    <row r="39" spans="1:5" x14ac:dyDescent="0.2">
      <c r="A39" s="69" t="s">
        <v>128</v>
      </c>
      <c r="B39" s="69"/>
      <c r="C39" s="3" t="s">
        <v>127</v>
      </c>
      <c r="D39" s="69"/>
      <c r="E39" s="69"/>
    </row>
    <row r="40" spans="1:5" x14ac:dyDescent="0.2">
      <c r="A40" s="64" t="s">
        <v>124</v>
      </c>
      <c r="B40" s="65"/>
      <c r="C40" s="3" t="s">
        <v>286</v>
      </c>
      <c r="D40" s="64"/>
      <c r="E40" s="65"/>
    </row>
    <row r="41" spans="1:5" x14ac:dyDescent="0.2">
      <c r="A41" s="64" t="s">
        <v>125</v>
      </c>
      <c r="B41" s="65"/>
      <c r="C41" s="3" t="s">
        <v>287</v>
      </c>
      <c r="D41" s="64"/>
      <c r="E41" s="65"/>
    </row>
    <row r="42" spans="1:5" x14ac:dyDescent="0.2">
      <c r="A42" s="64" t="s">
        <v>126</v>
      </c>
      <c r="B42" s="65"/>
      <c r="C42" s="3" t="s">
        <v>195</v>
      </c>
      <c r="D42" s="64"/>
      <c r="E42" s="65"/>
    </row>
    <row r="43" spans="1:5" ht="24" x14ac:dyDescent="0.2">
      <c r="A43" s="69" t="s">
        <v>51</v>
      </c>
      <c r="B43" s="69"/>
      <c r="C43" s="3" t="s">
        <v>52</v>
      </c>
      <c r="D43" s="69"/>
      <c r="E43" s="69"/>
    </row>
    <row r="44" spans="1:5" x14ac:dyDescent="0.2">
      <c r="A44" s="69" t="s">
        <v>53</v>
      </c>
      <c r="B44" s="69"/>
      <c r="C44" s="3" t="s">
        <v>149</v>
      </c>
      <c r="D44" s="69"/>
      <c r="E44" s="69"/>
    </row>
    <row r="45" spans="1:5" ht="24" x14ac:dyDescent="0.2">
      <c r="A45" s="69" t="s">
        <v>54</v>
      </c>
      <c r="B45" s="69"/>
      <c r="C45" s="3" t="s">
        <v>436</v>
      </c>
      <c r="D45" s="69"/>
      <c r="E45" s="69"/>
    </row>
    <row r="46" spans="1:5" x14ac:dyDescent="0.2">
      <c r="A46" s="7"/>
      <c r="B46" s="8"/>
      <c r="C46" s="8"/>
      <c r="D46" s="8"/>
      <c r="E46" s="9"/>
    </row>
    <row r="47" spans="1:5" x14ac:dyDescent="0.2">
      <c r="A47" s="10" t="s">
        <v>58</v>
      </c>
      <c r="E47" s="11"/>
    </row>
    <row r="48" spans="1:5" x14ac:dyDescent="0.2">
      <c r="A48" s="70" t="s">
        <v>70</v>
      </c>
      <c r="B48" s="71"/>
      <c r="C48" s="71"/>
      <c r="D48" s="71"/>
      <c r="E48" s="72"/>
    </row>
    <row r="49" spans="1:5" x14ac:dyDescent="0.2">
      <c r="A49" s="70"/>
      <c r="B49" s="71"/>
      <c r="C49" s="71"/>
      <c r="D49" s="71"/>
      <c r="E49" s="72"/>
    </row>
    <row r="50" spans="1:5" x14ac:dyDescent="0.2">
      <c r="A50" s="70" t="s">
        <v>437</v>
      </c>
      <c r="B50" s="71"/>
      <c r="C50" s="71"/>
      <c r="D50" s="71"/>
      <c r="E50" s="72"/>
    </row>
    <row r="51" spans="1:5" x14ac:dyDescent="0.2">
      <c r="A51" s="70" t="s">
        <v>97</v>
      </c>
      <c r="B51" s="71"/>
      <c r="C51" s="71"/>
      <c r="D51" s="71"/>
      <c r="E51" s="72"/>
    </row>
    <row r="52" spans="1:5" x14ac:dyDescent="0.2">
      <c r="A52" s="70"/>
      <c r="B52" s="71"/>
      <c r="C52" s="71"/>
      <c r="D52" s="71"/>
      <c r="E52" s="72"/>
    </row>
    <row r="53" spans="1:5" x14ac:dyDescent="0.2">
      <c r="A53" s="70" t="s">
        <v>150</v>
      </c>
      <c r="B53" s="71"/>
      <c r="C53" s="71"/>
      <c r="D53" s="71"/>
      <c r="E53" s="72"/>
    </row>
    <row r="54" spans="1:5" ht="11.45" customHeight="1" x14ac:dyDescent="0.2">
      <c r="A54" s="70" t="s">
        <v>151</v>
      </c>
      <c r="B54" s="71"/>
      <c r="C54" s="71"/>
      <c r="D54" s="71"/>
      <c r="E54" s="72"/>
    </row>
    <row r="55" spans="1:5" x14ac:dyDescent="0.2">
      <c r="A55" s="66" t="s">
        <v>104</v>
      </c>
      <c r="B55" s="67"/>
      <c r="C55" s="67"/>
      <c r="D55" s="67"/>
      <c r="E55" s="68"/>
    </row>
  </sheetData>
  <mergeCells count="75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2"/>
    <mergeCell ref="D16:E16"/>
    <mergeCell ref="D17:E17"/>
    <mergeCell ref="D18:E18"/>
    <mergeCell ref="D19:E19"/>
    <mergeCell ref="D20:E20"/>
    <mergeCell ref="D21:E21"/>
    <mergeCell ref="D22:E22"/>
    <mergeCell ref="A23:B23"/>
    <mergeCell ref="D23:E23"/>
    <mergeCell ref="A24:A35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D35:E35"/>
    <mergeCell ref="A37:B37"/>
    <mergeCell ref="D37:E37"/>
    <mergeCell ref="A38:B38"/>
    <mergeCell ref="D38:E38"/>
    <mergeCell ref="A36:B36"/>
    <mergeCell ref="D36:E36"/>
    <mergeCell ref="A39:B39"/>
    <mergeCell ref="D39:E39"/>
    <mergeCell ref="A40:B40"/>
    <mergeCell ref="D40:E40"/>
    <mergeCell ref="A41:B41"/>
    <mergeCell ref="D41:E41"/>
    <mergeCell ref="A42:B42"/>
    <mergeCell ref="D42:E42"/>
    <mergeCell ref="A55:E55"/>
    <mergeCell ref="A43:B43"/>
    <mergeCell ref="D43:E43"/>
    <mergeCell ref="A44:B44"/>
    <mergeCell ref="D44:E44"/>
    <mergeCell ref="A45:B45"/>
    <mergeCell ref="D45:E45"/>
    <mergeCell ref="A48:E49"/>
    <mergeCell ref="A50:E50"/>
    <mergeCell ref="A51:E52"/>
    <mergeCell ref="A53:E53"/>
    <mergeCell ref="A54:E54"/>
  </mergeCells>
  <conditionalFormatting sqref="B17">
    <cfRule type="duplicateValues" dxfId="558" priority="4"/>
  </conditionalFormatting>
  <conditionalFormatting sqref="B18">
    <cfRule type="duplicateValues" dxfId="557" priority="3"/>
  </conditionalFormatting>
  <conditionalFormatting sqref="B20">
    <cfRule type="duplicateValues" dxfId="556" priority="2"/>
  </conditionalFormatting>
  <conditionalFormatting sqref="B21">
    <cfRule type="duplicateValues" dxfId="555" priority="10"/>
  </conditionalFormatting>
  <conditionalFormatting sqref="B25">
    <cfRule type="duplicateValues" dxfId="554" priority="12"/>
  </conditionalFormatting>
  <conditionalFormatting sqref="B28">
    <cfRule type="duplicateValues" dxfId="553" priority="1"/>
  </conditionalFormatting>
  <conditionalFormatting sqref="B32">
    <cfRule type="duplicateValues" dxfId="552" priority="11"/>
  </conditionalFormatting>
  <conditionalFormatting sqref="B38">
    <cfRule type="duplicateValues" dxfId="551" priority="6"/>
  </conditionalFormatting>
  <conditionalFormatting sqref="B39">
    <cfRule type="duplicateValues" dxfId="550" priority="5"/>
  </conditionalFormatting>
  <conditionalFormatting sqref="B40">
    <cfRule type="duplicateValues" dxfId="549" priority="9"/>
  </conditionalFormatting>
  <conditionalFormatting sqref="B41">
    <cfRule type="duplicateValues" dxfId="548" priority="8"/>
  </conditionalFormatting>
  <conditionalFormatting sqref="B42">
    <cfRule type="duplicateValues" dxfId="547" priority="7"/>
  </conditionalFormatting>
  <conditionalFormatting sqref="B56:B1048576 B4:B10 B26:B27 B12:B16 B33:B37 B22:B24 B43:B47 B19 B29:B31">
    <cfRule type="duplicateValues" dxfId="546" priority="13"/>
  </conditionalFormatting>
  <pageMargins left="0.7" right="0.7" top="0.75" bottom="0.75" header="0.3" footer="0.3"/>
  <pageSetup paperSize="9" scale="88" orientation="portrait" horizontalDpi="4294967295" verticalDpi="4294967295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439584-257B-47A3-AE72-CA132F69685E}">
  <sheetPr codeName="Sheet28">
    <tabColor theme="4" tint="-0.249977111117893"/>
    <pageSetUpPr fitToPage="1"/>
  </sheetPr>
  <dimension ref="A1:E55"/>
  <sheetViews>
    <sheetView zoomScaleNormal="100" workbookViewId="0">
      <selection sqref="A1:B3"/>
    </sheetView>
  </sheetViews>
  <sheetFormatPr defaultColWidth="8.85546875" defaultRowHeight="12" x14ac:dyDescent="0.2"/>
  <cols>
    <col min="1" max="1" width="12.5703125" style="1" customWidth="1"/>
    <col min="2" max="2" width="13.42578125" style="1" bestFit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4" customFormat="1" ht="30" customHeight="1" x14ac:dyDescent="0.25">
      <c r="A1" s="77" t="e" vm="1">
        <v>#VALUE!</v>
      </c>
      <c r="B1" s="78"/>
      <c r="C1" s="83" t="s">
        <v>112</v>
      </c>
      <c r="D1" s="13" t="s">
        <v>110</v>
      </c>
      <c r="E1" s="13" t="s">
        <v>435</v>
      </c>
    </row>
    <row r="2" spans="1:5" s="14" customFormat="1" ht="30" customHeight="1" x14ac:dyDescent="0.25">
      <c r="A2" s="79"/>
      <c r="B2" s="80"/>
      <c r="C2" s="84"/>
      <c r="D2" s="15" t="s">
        <v>109</v>
      </c>
      <c r="E2" s="16" t="str">
        <f>VLOOKUP(C4,Index!B:J,9,FALSE)</f>
        <v>C0</v>
      </c>
    </row>
    <row r="3" spans="1:5" s="14" customFormat="1" ht="30" customHeight="1" x14ac:dyDescent="0.25">
      <c r="A3" s="81"/>
      <c r="B3" s="82"/>
      <c r="C3" s="85"/>
      <c r="D3" s="15" t="s">
        <v>111</v>
      </c>
      <c r="E3" s="17">
        <f>VLOOKUP(C4,Index!B:I,8,FALSE)</f>
        <v>337</v>
      </c>
    </row>
    <row r="4" spans="1:5" x14ac:dyDescent="0.2">
      <c r="A4" s="86" t="s">
        <v>74</v>
      </c>
      <c r="B4" s="86"/>
      <c r="C4" s="2" t="s">
        <v>211</v>
      </c>
      <c r="D4" s="86" t="s">
        <v>55</v>
      </c>
      <c r="E4" s="86"/>
    </row>
    <row r="5" spans="1:5" x14ac:dyDescent="0.2">
      <c r="A5" s="69" t="s">
        <v>26</v>
      </c>
      <c r="B5" s="69"/>
      <c r="C5" s="3" t="s">
        <v>19</v>
      </c>
      <c r="D5" s="69"/>
      <c r="E5" s="69"/>
    </row>
    <row r="6" spans="1:5" x14ac:dyDescent="0.2">
      <c r="A6" s="69" t="s">
        <v>27</v>
      </c>
      <c r="B6" s="69"/>
      <c r="C6" s="3" t="s">
        <v>78</v>
      </c>
      <c r="D6" s="69"/>
      <c r="E6" s="69"/>
    </row>
    <row r="7" spans="1:5" x14ac:dyDescent="0.2">
      <c r="A7" s="69" t="s">
        <v>28</v>
      </c>
      <c r="B7" s="69"/>
      <c r="C7" s="3" t="s">
        <v>82</v>
      </c>
      <c r="D7" s="69"/>
      <c r="E7" s="69"/>
    </row>
    <row r="8" spans="1:5" x14ac:dyDescent="0.2">
      <c r="A8" s="69" t="s">
        <v>29</v>
      </c>
      <c r="B8" s="69"/>
      <c r="C8" s="3" t="str">
        <f>VLOOKUP(C5,Index!N:W,6,FALSE)</f>
        <v>Corrosive HC service (Low Temp)</v>
      </c>
      <c r="D8" s="69"/>
      <c r="E8" s="69"/>
    </row>
    <row r="9" spans="1:5" x14ac:dyDescent="0.2">
      <c r="A9" s="69" t="s">
        <v>30</v>
      </c>
      <c r="B9" s="69"/>
      <c r="C9" s="3" t="s">
        <v>148</v>
      </c>
      <c r="D9" s="69"/>
      <c r="E9" s="69"/>
    </row>
    <row r="10" spans="1:5" x14ac:dyDescent="0.2">
      <c r="A10" s="69" t="s">
        <v>31</v>
      </c>
      <c r="B10" s="69"/>
      <c r="C10" s="3" t="s">
        <v>63</v>
      </c>
      <c r="D10" s="69"/>
      <c r="E10" s="69"/>
    </row>
    <row r="11" spans="1:5" x14ac:dyDescent="0.2">
      <c r="A11" s="73" t="s">
        <v>119</v>
      </c>
      <c r="B11" s="74"/>
      <c r="C11" s="12" t="str">
        <f>VLOOKUP(C5,Index!N:W,10,FALSE)</f>
        <v>255.3 @ -45°C' 219 @ 200°C</v>
      </c>
      <c r="D11" s="75"/>
      <c r="E11" s="76"/>
    </row>
    <row r="12" spans="1:5" x14ac:dyDescent="0.2">
      <c r="A12" s="69" t="s">
        <v>32</v>
      </c>
      <c r="B12" s="69"/>
      <c r="C12" s="3" t="str">
        <f>VLOOKUP(C5,Index!N:W,5,FALSE)</f>
        <v>3 mm</v>
      </c>
      <c r="D12" s="69"/>
      <c r="E12" s="69"/>
    </row>
    <row r="13" spans="1:5" ht="24" x14ac:dyDescent="0.2">
      <c r="A13" s="69" t="s">
        <v>33</v>
      </c>
      <c r="B13" s="69"/>
      <c r="C13" s="3" t="s">
        <v>98</v>
      </c>
      <c r="D13" s="69"/>
      <c r="E13" s="69"/>
    </row>
    <row r="14" spans="1:5" ht="24" x14ac:dyDescent="0.2">
      <c r="A14" s="69" t="s">
        <v>35</v>
      </c>
      <c r="B14" s="69"/>
      <c r="C14" s="3" t="s">
        <v>316</v>
      </c>
      <c r="D14" s="69"/>
      <c r="E14" s="69"/>
    </row>
    <row r="15" spans="1:5" x14ac:dyDescent="0.2">
      <c r="A15" s="69" t="s">
        <v>36</v>
      </c>
      <c r="B15" s="69"/>
      <c r="C15" s="3" t="s">
        <v>67</v>
      </c>
      <c r="D15" s="69"/>
      <c r="E15" s="69"/>
    </row>
    <row r="16" spans="1:5" x14ac:dyDescent="0.2">
      <c r="A16" s="69" t="s">
        <v>37</v>
      </c>
      <c r="B16" s="4" t="s">
        <v>38</v>
      </c>
      <c r="C16" s="3" t="s">
        <v>73</v>
      </c>
      <c r="D16" s="69"/>
      <c r="E16" s="69"/>
    </row>
    <row r="17" spans="1:5" ht="24" x14ac:dyDescent="0.2">
      <c r="A17" s="69"/>
      <c r="B17" s="4" t="s">
        <v>75</v>
      </c>
      <c r="C17" s="3" t="s">
        <v>77</v>
      </c>
      <c r="D17" s="69"/>
      <c r="E17" s="69"/>
    </row>
    <row r="18" spans="1:5" ht="24" x14ac:dyDescent="0.2">
      <c r="A18" s="69"/>
      <c r="B18" s="4" t="s">
        <v>39</v>
      </c>
      <c r="C18" s="3" t="s">
        <v>87</v>
      </c>
      <c r="D18" s="69"/>
      <c r="E18" s="69"/>
    </row>
    <row r="19" spans="1:5" x14ac:dyDescent="0.2">
      <c r="A19" s="69"/>
      <c r="B19" s="4" t="s">
        <v>68</v>
      </c>
      <c r="C19" s="3" t="s">
        <v>143</v>
      </c>
      <c r="D19" s="69"/>
      <c r="E19" s="69"/>
    </row>
    <row r="20" spans="1:5" x14ac:dyDescent="0.2">
      <c r="A20" s="69"/>
      <c r="B20" s="4" t="s">
        <v>141</v>
      </c>
      <c r="C20" s="3" t="s">
        <v>142</v>
      </c>
      <c r="D20" s="69"/>
      <c r="E20" s="69"/>
    </row>
    <row r="21" spans="1:5" x14ac:dyDescent="0.2">
      <c r="A21" s="69"/>
      <c r="B21" s="4" t="s">
        <v>69</v>
      </c>
      <c r="C21" s="3" t="s">
        <v>106</v>
      </c>
      <c r="D21" s="69"/>
      <c r="E21" s="69"/>
    </row>
    <row r="22" spans="1:5" ht="24" x14ac:dyDescent="0.2">
      <c r="A22" s="69"/>
      <c r="B22" s="4" t="s">
        <v>40</v>
      </c>
      <c r="C22" s="3" t="s">
        <v>86</v>
      </c>
      <c r="D22" s="69"/>
      <c r="E22" s="69"/>
    </row>
    <row r="23" spans="1:5" ht="24" x14ac:dyDescent="0.2">
      <c r="A23" s="69" t="s">
        <v>41</v>
      </c>
      <c r="B23" s="69"/>
      <c r="C23" s="3" t="s">
        <v>122</v>
      </c>
      <c r="D23" s="69"/>
      <c r="E23" s="69"/>
    </row>
    <row r="24" spans="1:5" ht="24" x14ac:dyDescent="0.2">
      <c r="A24" s="69" t="s">
        <v>42</v>
      </c>
      <c r="B24" s="4" t="s">
        <v>91</v>
      </c>
      <c r="C24" s="3" t="s">
        <v>79</v>
      </c>
      <c r="D24" s="69"/>
      <c r="E24" s="69"/>
    </row>
    <row r="25" spans="1:5" x14ac:dyDescent="0.2">
      <c r="A25" s="69"/>
      <c r="B25" s="4" t="s">
        <v>93</v>
      </c>
      <c r="C25" s="3" t="s">
        <v>132</v>
      </c>
      <c r="D25" s="69"/>
      <c r="E25" s="69"/>
    </row>
    <row r="26" spans="1:5" x14ac:dyDescent="0.2">
      <c r="A26" s="69"/>
      <c r="B26" s="4" t="s">
        <v>94</v>
      </c>
      <c r="C26" s="3" t="s">
        <v>102</v>
      </c>
      <c r="D26" s="69"/>
      <c r="E26" s="69"/>
    </row>
    <row r="27" spans="1:5" x14ac:dyDescent="0.2">
      <c r="A27" s="69"/>
      <c r="B27" s="4" t="s">
        <v>95</v>
      </c>
      <c r="C27" s="3" t="s">
        <v>105</v>
      </c>
      <c r="D27" s="69"/>
      <c r="E27" s="69"/>
    </row>
    <row r="28" spans="1:5" x14ac:dyDescent="0.2">
      <c r="A28" s="69"/>
      <c r="B28" s="4" t="s">
        <v>144</v>
      </c>
      <c r="C28" s="3" t="s">
        <v>105</v>
      </c>
      <c r="D28" s="69"/>
      <c r="E28" s="69"/>
    </row>
    <row r="29" spans="1:5" x14ac:dyDescent="0.2">
      <c r="A29" s="69"/>
      <c r="B29" s="4" t="s">
        <v>92</v>
      </c>
      <c r="C29" s="3" t="s">
        <v>102</v>
      </c>
      <c r="D29" s="69"/>
      <c r="E29" s="69"/>
    </row>
    <row r="30" spans="1:5" x14ac:dyDescent="0.2">
      <c r="A30" s="69"/>
      <c r="B30" s="4" t="s">
        <v>96</v>
      </c>
      <c r="C30" s="3" t="s">
        <v>134</v>
      </c>
      <c r="D30" s="69"/>
      <c r="E30" s="69"/>
    </row>
    <row r="31" spans="1:5" ht="36" x14ac:dyDescent="0.2">
      <c r="A31" s="69"/>
      <c r="B31" s="4" t="s">
        <v>72</v>
      </c>
      <c r="C31" s="3" t="s">
        <v>139</v>
      </c>
      <c r="D31" s="69"/>
      <c r="E31" s="69"/>
    </row>
    <row r="32" spans="1:5" ht="24" x14ac:dyDescent="0.2">
      <c r="A32" s="69"/>
      <c r="B32" s="6" t="s">
        <v>140</v>
      </c>
      <c r="C32" s="5" t="s">
        <v>99</v>
      </c>
      <c r="D32" s="69"/>
      <c r="E32" s="69"/>
    </row>
    <row r="33" spans="1:5" ht="24" x14ac:dyDescent="0.2">
      <c r="A33" s="69"/>
      <c r="B33" s="4" t="s">
        <v>43</v>
      </c>
      <c r="C33" s="3" t="s">
        <v>186</v>
      </c>
      <c r="D33" s="69"/>
      <c r="E33" s="69"/>
    </row>
    <row r="34" spans="1:5" ht="36" x14ac:dyDescent="0.2">
      <c r="A34" s="69"/>
      <c r="B34" s="4" t="s">
        <v>44</v>
      </c>
      <c r="C34" s="3" t="s">
        <v>194</v>
      </c>
      <c r="D34" s="69"/>
      <c r="E34" s="69"/>
    </row>
    <row r="35" spans="1:5" ht="36" x14ac:dyDescent="0.2">
      <c r="A35" s="69"/>
      <c r="B35" s="4" t="s">
        <v>45</v>
      </c>
      <c r="C35" s="3" t="s">
        <v>184</v>
      </c>
      <c r="D35" s="69"/>
      <c r="E35" s="69"/>
    </row>
    <row r="36" spans="1:5" ht="36" x14ac:dyDescent="0.2">
      <c r="A36" s="69" t="s">
        <v>46</v>
      </c>
      <c r="B36" s="69"/>
      <c r="C36" s="3" t="s">
        <v>47</v>
      </c>
      <c r="D36" s="69"/>
      <c r="E36" s="69"/>
    </row>
    <row r="37" spans="1:5" x14ac:dyDescent="0.2">
      <c r="A37" s="69" t="s">
        <v>48</v>
      </c>
      <c r="B37" s="69"/>
      <c r="C37" s="3" t="s">
        <v>49</v>
      </c>
      <c r="D37" s="69"/>
      <c r="E37" s="69"/>
    </row>
    <row r="38" spans="1:5" x14ac:dyDescent="0.2">
      <c r="A38" s="69" t="s">
        <v>129</v>
      </c>
      <c r="B38" s="69"/>
      <c r="C38" s="3" t="s">
        <v>50</v>
      </c>
      <c r="D38" s="69"/>
      <c r="E38" s="69"/>
    </row>
    <row r="39" spans="1:5" x14ac:dyDescent="0.2">
      <c r="A39" s="69" t="s">
        <v>128</v>
      </c>
      <c r="B39" s="69"/>
      <c r="C39" s="3" t="s">
        <v>127</v>
      </c>
      <c r="D39" s="69"/>
      <c r="E39" s="69"/>
    </row>
    <row r="40" spans="1:5" x14ac:dyDescent="0.2">
      <c r="A40" s="64" t="s">
        <v>124</v>
      </c>
      <c r="B40" s="65"/>
      <c r="C40" s="3" t="s">
        <v>284</v>
      </c>
      <c r="D40" s="64"/>
      <c r="E40" s="65"/>
    </row>
    <row r="41" spans="1:5" x14ac:dyDescent="0.2">
      <c r="A41" s="64" t="s">
        <v>125</v>
      </c>
      <c r="B41" s="65"/>
      <c r="C41" s="3" t="s">
        <v>285</v>
      </c>
      <c r="D41" s="64"/>
      <c r="E41" s="65"/>
    </row>
    <row r="42" spans="1:5" x14ac:dyDescent="0.2">
      <c r="A42" s="64" t="s">
        <v>126</v>
      </c>
      <c r="B42" s="65"/>
      <c r="C42" s="3" t="s">
        <v>195</v>
      </c>
      <c r="D42" s="64"/>
      <c r="E42" s="65"/>
    </row>
    <row r="43" spans="1:5" ht="24" x14ac:dyDescent="0.2">
      <c r="A43" s="69" t="s">
        <v>51</v>
      </c>
      <c r="B43" s="69"/>
      <c r="C43" s="3" t="s">
        <v>52</v>
      </c>
      <c r="D43" s="69"/>
      <c r="E43" s="69"/>
    </row>
    <row r="44" spans="1:5" x14ac:dyDescent="0.2">
      <c r="A44" s="69" t="s">
        <v>53</v>
      </c>
      <c r="B44" s="69"/>
      <c r="C44" s="3" t="s">
        <v>149</v>
      </c>
      <c r="D44" s="69"/>
      <c r="E44" s="69"/>
    </row>
    <row r="45" spans="1:5" ht="24" x14ac:dyDescent="0.2">
      <c r="A45" s="69" t="s">
        <v>54</v>
      </c>
      <c r="B45" s="69"/>
      <c r="C45" s="3" t="s">
        <v>436</v>
      </c>
      <c r="D45" s="69"/>
      <c r="E45" s="69"/>
    </row>
    <row r="46" spans="1:5" x14ac:dyDescent="0.2">
      <c r="A46" s="7"/>
      <c r="B46" s="8"/>
      <c r="C46" s="8"/>
      <c r="D46" s="8"/>
      <c r="E46" s="9"/>
    </row>
    <row r="47" spans="1:5" x14ac:dyDescent="0.2">
      <c r="A47" s="10" t="s">
        <v>58</v>
      </c>
      <c r="E47" s="11"/>
    </row>
    <row r="48" spans="1:5" x14ac:dyDescent="0.2">
      <c r="A48" s="70" t="s">
        <v>70</v>
      </c>
      <c r="B48" s="71"/>
      <c r="C48" s="71"/>
      <c r="D48" s="71"/>
      <c r="E48" s="72"/>
    </row>
    <row r="49" spans="1:5" x14ac:dyDescent="0.2">
      <c r="A49" s="70"/>
      <c r="B49" s="71"/>
      <c r="C49" s="71"/>
      <c r="D49" s="71"/>
      <c r="E49" s="72"/>
    </row>
    <row r="50" spans="1:5" x14ac:dyDescent="0.2">
      <c r="A50" s="70" t="s">
        <v>437</v>
      </c>
      <c r="B50" s="71"/>
      <c r="C50" s="71"/>
      <c r="D50" s="71"/>
      <c r="E50" s="72"/>
    </row>
    <row r="51" spans="1:5" x14ac:dyDescent="0.2">
      <c r="A51" s="70" t="s">
        <v>97</v>
      </c>
      <c r="B51" s="71"/>
      <c r="C51" s="71"/>
      <c r="D51" s="71"/>
      <c r="E51" s="72"/>
    </row>
    <row r="52" spans="1:5" x14ac:dyDescent="0.2">
      <c r="A52" s="70"/>
      <c r="B52" s="71"/>
      <c r="C52" s="71"/>
      <c r="D52" s="71"/>
      <c r="E52" s="72"/>
    </row>
    <row r="53" spans="1:5" x14ac:dyDescent="0.2">
      <c r="A53" s="70" t="s">
        <v>150</v>
      </c>
      <c r="B53" s="71"/>
      <c r="C53" s="71"/>
      <c r="D53" s="71"/>
      <c r="E53" s="72"/>
    </row>
    <row r="54" spans="1:5" ht="11.45" customHeight="1" x14ac:dyDescent="0.2">
      <c r="A54" s="70" t="s">
        <v>151</v>
      </c>
      <c r="B54" s="71"/>
      <c r="C54" s="71"/>
      <c r="D54" s="71"/>
      <c r="E54" s="72"/>
    </row>
    <row r="55" spans="1:5" x14ac:dyDescent="0.2">
      <c r="A55" s="66" t="s">
        <v>104</v>
      </c>
      <c r="B55" s="67"/>
      <c r="C55" s="67"/>
      <c r="D55" s="67"/>
      <c r="E55" s="68"/>
    </row>
  </sheetData>
  <mergeCells count="75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2"/>
    <mergeCell ref="D16:E16"/>
    <mergeCell ref="D17:E17"/>
    <mergeCell ref="D18:E18"/>
    <mergeCell ref="D19:E19"/>
    <mergeCell ref="D20:E20"/>
    <mergeCell ref="D21:E21"/>
    <mergeCell ref="D22:E22"/>
    <mergeCell ref="A23:B23"/>
    <mergeCell ref="D23:E23"/>
    <mergeCell ref="A24:A35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D35:E35"/>
    <mergeCell ref="A37:B37"/>
    <mergeCell ref="D37:E37"/>
    <mergeCell ref="A38:B38"/>
    <mergeCell ref="D38:E38"/>
    <mergeCell ref="A36:B36"/>
    <mergeCell ref="D36:E36"/>
    <mergeCell ref="A39:B39"/>
    <mergeCell ref="D39:E39"/>
    <mergeCell ref="A40:B40"/>
    <mergeCell ref="D40:E40"/>
    <mergeCell ref="A41:B41"/>
    <mergeCell ref="D41:E41"/>
    <mergeCell ref="A42:B42"/>
    <mergeCell ref="D42:E42"/>
    <mergeCell ref="A55:E55"/>
    <mergeCell ref="A43:B43"/>
    <mergeCell ref="D43:E43"/>
    <mergeCell ref="A44:B44"/>
    <mergeCell ref="D44:E44"/>
    <mergeCell ref="A45:B45"/>
    <mergeCell ref="D45:E45"/>
    <mergeCell ref="A48:E49"/>
    <mergeCell ref="A50:E50"/>
    <mergeCell ref="A51:E52"/>
    <mergeCell ref="A53:E53"/>
    <mergeCell ref="A54:E54"/>
  </mergeCells>
  <conditionalFormatting sqref="B17">
    <cfRule type="duplicateValues" dxfId="545" priority="4"/>
  </conditionalFormatting>
  <conditionalFormatting sqref="B18">
    <cfRule type="duplicateValues" dxfId="544" priority="3"/>
  </conditionalFormatting>
  <conditionalFormatting sqref="B20">
    <cfRule type="duplicateValues" dxfId="543" priority="2"/>
  </conditionalFormatting>
  <conditionalFormatting sqref="B21">
    <cfRule type="duplicateValues" dxfId="542" priority="10"/>
  </conditionalFormatting>
  <conditionalFormatting sqref="B25">
    <cfRule type="duplicateValues" dxfId="541" priority="12"/>
  </conditionalFormatting>
  <conditionalFormatting sqref="B28">
    <cfRule type="duplicateValues" dxfId="540" priority="1"/>
  </conditionalFormatting>
  <conditionalFormatting sqref="B32">
    <cfRule type="duplicateValues" dxfId="539" priority="11"/>
  </conditionalFormatting>
  <conditionalFormatting sqref="B38">
    <cfRule type="duplicateValues" dxfId="538" priority="6"/>
  </conditionalFormatting>
  <conditionalFormatting sqref="B39">
    <cfRule type="duplicateValues" dxfId="537" priority="5"/>
  </conditionalFormatting>
  <conditionalFormatting sqref="B40">
    <cfRule type="duplicateValues" dxfId="536" priority="9"/>
  </conditionalFormatting>
  <conditionalFormatting sqref="B41">
    <cfRule type="duplicateValues" dxfId="535" priority="8"/>
  </conditionalFormatting>
  <conditionalFormatting sqref="B42">
    <cfRule type="duplicateValues" dxfId="534" priority="7"/>
  </conditionalFormatting>
  <conditionalFormatting sqref="B56:B1048576 B4:B10 B26:B27 B12:B16 B33:B37 B22:B24 B43:B47 B19 B29:B31">
    <cfRule type="duplicateValues" dxfId="533" priority="13"/>
  </conditionalFormatting>
  <pageMargins left="0.7" right="0.7" top="0.75" bottom="0.75" header="0.3" footer="0.3"/>
  <pageSetup paperSize="9" scale="87" orientation="portrait" horizontalDpi="4294967295" verticalDpi="4294967295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EE6ACF-A445-4311-8BD9-D6AEA3DAA6BE}">
  <sheetPr codeName="Sheet29">
    <tabColor theme="4" tint="-0.249977111117893"/>
    <pageSetUpPr fitToPage="1"/>
  </sheetPr>
  <dimension ref="A1:E55"/>
  <sheetViews>
    <sheetView zoomScaleNormal="100" workbookViewId="0">
      <selection sqref="A1:B3"/>
    </sheetView>
  </sheetViews>
  <sheetFormatPr defaultColWidth="8.85546875" defaultRowHeight="12" x14ac:dyDescent="0.2"/>
  <cols>
    <col min="1" max="1" width="12.5703125" style="1" customWidth="1"/>
    <col min="2" max="2" width="13.42578125" style="1" bestFit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4" customFormat="1" ht="30" customHeight="1" x14ac:dyDescent="0.25">
      <c r="A1" s="77" t="e" vm="1">
        <v>#VALUE!</v>
      </c>
      <c r="B1" s="78"/>
      <c r="C1" s="83" t="s">
        <v>112</v>
      </c>
      <c r="D1" s="13" t="s">
        <v>110</v>
      </c>
      <c r="E1" s="13" t="s">
        <v>435</v>
      </c>
    </row>
    <row r="2" spans="1:5" s="14" customFormat="1" ht="30" customHeight="1" x14ac:dyDescent="0.25">
      <c r="A2" s="79"/>
      <c r="B2" s="80"/>
      <c r="C2" s="84"/>
      <c r="D2" s="15" t="s">
        <v>109</v>
      </c>
      <c r="E2" s="16" t="str">
        <f>VLOOKUP(C4,Index!B:J,9,FALSE)</f>
        <v>C0</v>
      </c>
    </row>
    <row r="3" spans="1:5" s="14" customFormat="1" ht="30" customHeight="1" x14ac:dyDescent="0.25">
      <c r="A3" s="81"/>
      <c r="B3" s="82"/>
      <c r="C3" s="85"/>
      <c r="D3" s="15" t="s">
        <v>111</v>
      </c>
      <c r="E3" s="17">
        <f>VLOOKUP(C4,Index!B:I,8,FALSE)</f>
        <v>338</v>
      </c>
    </row>
    <row r="4" spans="1:5" x14ac:dyDescent="0.2">
      <c r="A4" s="86" t="s">
        <v>74</v>
      </c>
      <c r="B4" s="86"/>
      <c r="C4" s="2" t="s">
        <v>212</v>
      </c>
      <c r="D4" s="86" t="s">
        <v>55</v>
      </c>
      <c r="E4" s="86"/>
    </row>
    <row r="5" spans="1:5" x14ac:dyDescent="0.2">
      <c r="A5" s="69" t="s">
        <v>26</v>
      </c>
      <c r="B5" s="69"/>
      <c r="C5" s="3" t="s">
        <v>21</v>
      </c>
      <c r="D5" s="69"/>
      <c r="E5" s="69"/>
    </row>
    <row r="6" spans="1:5" x14ac:dyDescent="0.2">
      <c r="A6" s="69" t="s">
        <v>27</v>
      </c>
      <c r="B6" s="69"/>
      <c r="C6" s="3" t="s">
        <v>78</v>
      </c>
      <c r="D6" s="69"/>
      <c r="E6" s="69"/>
    </row>
    <row r="7" spans="1:5" x14ac:dyDescent="0.2">
      <c r="A7" s="69" t="s">
        <v>28</v>
      </c>
      <c r="B7" s="69"/>
      <c r="C7" s="3" t="s">
        <v>82</v>
      </c>
      <c r="D7" s="69"/>
      <c r="E7" s="69"/>
    </row>
    <row r="8" spans="1:5" x14ac:dyDescent="0.2">
      <c r="A8" s="69" t="s">
        <v>29</v>
      </c>
      <c r="B8" s="69"/>
      <c r="C8" s="3" t="str">
        <f>VLOOKUP(C5,Index!N:W,6,FALSE)</f>
        <v>Gas Lift, Corrosive HC service (Low Temp)</v>
      </c>
      <c r="D8" s="69"/>
      <c r="E8" s="69"/>
    </row>
    <row r="9" spans="1:5" x14ac:dyDescent="0.2">
      <c r="A9" s="69" t="s">
        <v>30</v>
      </c>
      <c r="B9" s="69"/>
      <c r="C9" s="3" t="s">
        <v>148</v>
      </c>
      <c r="D9" s="69"/>
      <c r="E9" s="69"/>
    </row>
    <row r="10" spans="1:5" x14ac:dyDescent="0.2">
      <c r="A10" s="69" t="s">
        <v>31</v>
      </c>
      <c r="B10" s="69"/>
      <c r="C10" s="3" t="s">
        <v>64</v>
      </c>
      <c r="D10" s="69"/>
      <c r="E10" s="69"/>
    </row>
    <row r="11" spans="1:5" x14ac:dyDescent="0.2">
      <c r="A11" s="73" t="s">
        <v>119</v>
      </c>
      <c r="B11" s="74"/>
      <c r="C11" s="12" t="str">
        <f>VLOOKUP(C5,Index!N:W,10,FALSE)</f>
        <v>399.8 @ -29°C' 342.9 @ 200°C</v>
      </c>
      <c r="D11" s="75"/>
      <c r="E11" s="76"/>
    </row>
    <row r="12" spans="1:5" x14ac:dyDescent="0.2">
      <c r="A12" s="69" t="s">
        <v>32</v>
      </c>
      <c r="B12" s="69"/>
      <c r="C12" s="3" t="str">
        <f>VLOOKUP(C5,Index!N:W,5,FALSE)</f>
        <v>3 mm</v>
      </c>
      <c r="D12" s="69"/>
      <c r="E12" s="69"/>
    </row>
    <row r="13" spans="1:5" ht="24" x14ac:dyDescent="0.2">
      <c r="A13" s="69" t="s">
        <v>33</v>
      </c>
      <c r="B13" s="69"/>
      <c r="C13" s="3" t="s">
        <v>98</v>
      </c>
      <c r="D13" s="69"/>
      <c r="E13" s="69"/>
    </row>
    <row r="14" spans="1:5" ht="24" x14ac:dyDescent="0.2">
      <c r="A14" s="69" t="s">
        <v>35</v>
      </c>
      <c r="B14" s="69"/>
      <c r="C14" s="3" t="s">
        <v>316</v>
      </c>
      <c r="D14" s="69"/>
      <c r="E14" s="69"/>
    </row>
    <row r="15" spans="1:5" x14ac:dyDescent="0.2">
      <c r="A15" s="69" t="s">
        <v>36</v>
      </c>
      <c r="B15" s="69"/>
      <c r="C15" s="3" t="s">
        <v>67</v>
      </c>
      <c r="D15" s="69"/>
      <c r="E15" s="69"/>
    </row>
    <row r="16" spans="1:5" x14ac:dyDescent="0.2">
      <c r="A16" s="69" t="s">
        <v>37</v>
      </c>
      <c r="B16" s="4" t="s">
        <v>38</v>
      </c>
      <c r="C16" s="3" t="s">
        <v>73</v>
      </c>
      <c r="D16" s="69"/>
      <c r="E16" s="69"/>
    </row>
    <row r="17" spans="1:5" ht="24" x14ac:dyDescent="0.2">
      <c r="A17" s="69"/>
      <c r="B17" s="4" t="s">
        <v>75</v>
      </c>
      <c r="C17" s="3" t="s">
        <v>77</v>
      </c>
      <c r="D17" s="69"/>
      <c r="E17" s="69"/>
    </row>
    <row r="18" spans="1:5" ht="24" x14ac:dyDescent="0.2">
      <c r="A18" s="69"/>
      <c r="B18" s="4" t="s">
        <v>39</v>
      </c>
      <c r="C18" s="3" t="s">
        <v>87</v>
      </c>
      <c r="D18" s="69"/>
      <c r="E18" s="69"/>
    </row>
    <row r="19" spans="1:5" x14ac:dyDescent="0.2">
      <c r="A19" s="69"/>
      <c r="B19" s="4" t="s">
        <v>68</v>
      </c>
      <c r="C19" s="3" t="s">
        <v>143</v>
      </c>
      <c r="D19" s="69"/>
      <c r="E19" s="69"/>
    </row>
    <row r="20" spans="1:5" x14ac:dyDescent="0.2">
      <c r="A20" s="69"/>
      <c r="B20" s="4" t="s">
        <v>141</v>
      </c>
      <c r="C20" s="3" t="s">
        <v>142</v>
      </c>
      <c r="D20" s="69"/>
      <c r="E20" s="69"/>
    </row>
    <row r="21" spans="1:5" x14ac:dyDescent="0.2">
      <c r="A21" s="69"/>
      <c r="B21" s="4" t="s">
        <v>69</v>
      </c>
      <c r="C21" s="3" t="s">
        <v>106</v>
      </c>
      <c r="D21" s="69"/>
      <c r="E21" s="69"/>
    </row>
    <row r="22" spans="1:5" ht="24" x14ac:dyDescent="0.2">
      <c r="A22" s="69"/>
      <c r="B22" s="4" t="s">
        <v>40</v>
      </c>
      <c r="C22" s="3" t="s">
        <v>86</v>
      </c>
      <c r="D22" s="69"/>
      <c r="E22" s="69"/>
    </row>
    <row r="23" spans="1:5" ht="24" x14ac:dyDescent="0.2">
      <c r="A23" s="69" t="s">
        <v>41</v>
      </c>
      <c r="B23" s="69"/>
      <c r="C23" s="3" t="s">
        <v>122</v>
      </c>
      <c r="D23" s="69"/>
      <c r="E23" s="69"/>
    </row>
    <row r="24" spans="1:5" ht="24" x14ac:dyDescent="0.2">
      <c r="A24" s="69" t="s">
        <v>42</v>
      </c>
      <c r="B24" s="4" t="s">
        <v>91</v>
      </c>
      <c r="C24" s="3" t="s">
        <v>79</v>
      </c>
      <c r="D24" s="69"/>
      <c r="E24" s="69"/>
    </row>
    <row r="25" spans="1:5" x14ac:dyDescent="0.2">
      <c r="A25" s="69"/>
      <c r="B25" s="4" t="s">
        <v>93</v>
      </c>
      <c r="C25" s="3" t="s">
        <v>132</v>
      </c>
      <c r="D25" s="69"/>
      <c r="E25" s="69"/>
    </row>
    <row r="26" spans="1:5" x14ac:dyDescent="0.2">
      <c r="A26" s="69"/>
      <c r="B26" s="4" t="s">
        <v>94</v>
      </c>
      <c r="C26" s="3" t="s">
        <v>102</v>
      </c>
      <c r="D26" s="69"/>
      <c r="E26" s="69"/>
    </row>
    <row r="27" spans="1:5" x14ac:dyDescent="0.2">
      <c r="A27" s="69"/>
      <c r="B27" s="4" t="s">
        <v>95</v>
      </c>
      <c r="C27" s="3" t="s">
        <v>105</v>
      </c>
      <c r="D27" s="69"/>
      <c r="E27" s="69"/>
    </row>
    <row r="28" spans="1:5" x14ac:dyDescent="0.2">
      <c r="A28" s="69"/>
      <c r="B28" s="4" t="s">
        <v>144</v>
      </c>
      <c r="C28" s="3" t="s">
        <v>105</v>
      </c>
      <c r="D28" s="69"/>
      <c r="E28" s="69"/>
    </row>
    <row r="29" spans="1:5" x14ac:dyDescent="0.2">
      <c r="A29" s="69"/>
      <c r="B29" s="4" t="s">
        <v>92</v>
      </c>
      <c r="C29" s="3" t="s">
        <v>102</v>
      </c>
      <c r="D29" s="69"/>
      <c r="E29" s="69"/>
    </row>
    <row r="30" spans="1:5" x14ac:dyDescent="0.2">
      <c r="A30" s="69"/>
      <c r="B30" s="4" t="s">
        <v>96</v>
      </c>
      <c r="C30" s="3" t="s">
        <v>134</v>
      </c>
      <c r="D30" s="69"/>
      <c r="E30" s="69"/>
    </row>
    <row r="31" spans="1:5" ht="36" x14ac:dyDescent="0.2">
      <c r="A31" s="69"/>
      <c r="B31" s="4" t="s">
        <v>72</v>
      </c>
      <c r="C31" s="3" t="s">
        <v>139</v>
      </c>
      <c r="D31" s="69"/>
      <c r="E31" s="69"/>
    </row>
    <row r="32" spans="1:5" ht="24" x14ac:dyDescent="0.2">
      <c r="A32" s="69"/>
      <c r="B32" s="6" t="s">
        <v>140</v>
      </c>
      <c r="C32" s="5" t="s">
        <v>99</v>
      </c>
      <c r="D32" s="69"/>
      <c r="E32" s="69"/>
    </row>
    <row r="33" spans="1:5" ht="24" x14ac:dyDescent="0.2">
      <c r="A33" s="69"/>
      <c r="B33" s="4" t="s">
        <v>43</v>
      </c>
      <c r="C33" s="3" t="s">
        <v>186</v>
      </c>
      <c r="D33" s="69"/>
      <c r="E33" s="69"/>
    </row>
    <row r="34" spans="1:5" ht="36" x14ac:dyDescent="0.2">
      <c r="A34" s="69"/>
      <c r="B34" s="4" t="s">
        <v>44</v>
      </c>
      <c r="C34" s="3" t="s">
        <v>194</v>
      </c>
      <c r="D34" s="69"/>
      <c r="E34" s="69"/>
    </row>
    <row r="35" spans="1:5" ht="36" x14ac:dyDescent="0.2">
      <c r="A35" s="69"/>
      <c r="B35" s="4" t="s">
        <v>45</v>
      </c>
      <c r="C35" s="3" t="s">
        <v>184</v>
      </c>
      <c r="D35" s="69"/>
      <c r="E35" s="69"/>
    </row>
    <row r="36" spans="1:5" ht="36" x14ac:dyDescent="0.2">
      <c r="A36" s="69" t="s">
        <v>46</v>
      </c>
      <c r="B36" s="69"/>
      <c r="C36" s="3" t="s">
        <v>47</v>
      </c>
      <c r="D36" s="69"/>
      <c r="E36" s="69"/>
    </row>
    <row r="37" spans="1:5" x14ac:dyDescent="0.2">
      <c r="A37" s="69" t="s">
        <v>48</v>
      </c>
      <c r="B37" s="69"/>
      <c r="C37" s="3" t="s">
        <v>49</v>
      </c>
      <c r="D37" s="69"/>
      <c r="E37" s="69"/>
    </row>
    <row r="38" spans="1:5" x14ac:dyDescent="0.2">
      <c r="A38" s="69" t="s">
        <v>129</v>
      </c>
      <c r="B38" s="69"/>
      <c r="C38" s="3" t="s">
        <v>50</v>
      </c>
      <c r="D38" s="69"/>
      <c r="E38" s="69"/>
    </row>
    <row r="39" spans="1:5" x14ac:dyDescent="0.2">
      <c r="A39" s="69" t="s">
        <v>128</v>
      </c>
      <c r="B39" s="69"/>
      <c r="C39" s="3" t="s">
        <v>127</v>
      </c>
      <c r="D39" s="69"/>
      <c r="E39" s="69"/>
    </row>
    <row r="40" spans="1:5" x14ac:dyDescent="0.2">
      <c r="A40" s="64" t="s">
        <v>124</v>
      </c>
      <c r="B40" s="65"/>
      <c r="C40" s="3" t="s">
        <v>282</v>
      </c>
      <c r="D40" s="64"/>
      <c r="E40" s="65"/>
    </row>
    <row r="41" spans="1:5" x14ac:dyDescent="0.2">
      <c r="A41" s="64" t="s">
        <v>125</v>
      </c>
      <c r="B41" s="65"/>
      <c r="C41" s="3" t="s">
        <v>283</v>
      </c>
      <c r="D41" s="64"/>
      <c r="E41" s="65"/>
    </row>
    <row r="42" spans="1:5" x14ac:dyDescent="0.2">
      <c r="A42" s="64" t="s">
        <v>126</v>
      </c>
      <c r="B42" s="65"/>
      <c r="C42" s="3" t="s">
        <v>195</v>
      </c>
      <c r="D42" s="64"/>
      <c r="E42" s="65"/>
    </row>
    <row r="43" spans="1:5" ht="24" x14ac:dyDescent="0.2">
      <c r="A43" s="69" t="s">
        <v>51</v>
      </c>
      <c r="B43" s="69"/>
      <c r="C43" s="3" t="s">
        <v>52</v>
      </c>
      <c r="D43" s="69"/>
      <c r="E43" s="69"/>
    </row>
    <row r="44" spans="1:5" x14ac:dyDescent="0.2">
      <c r="A44" s="69" t="s">
        <v>53</v>
      </c>
      <c r="B44" s="69"/>
      <c r="C44" s="3" t="s">
        <v>149</v>
      </c>
      <c r="D44" s="69"/>
      <c r="E44" s="69"/>
    </row>
    <row r="45" spans="1:5" ht="24" x14ac:dyDescent="0.2">
      <c r="A45" s="69" t="s">
        <v>54</v>
      </c>
      <c r="B45" s="69"/>
      <c r="C45" s="3" t="s">
        <v>436</v>
      </c>
      <c r="D45" s="69"/>
      <c r="E45" s="69"/>
    </row>
    <row r="46" spans="1:5" x14ac:dyDescent="0.2">
      <c r="A46" s="7"/>
      <c r="B46" s="8"/>
      <c r="C46" s="8"/>
      <c r="D46" s="8"/>
      <c r="E46" s="9"/>
    </row>
    <row r="47" spans="1:5" x14ac:dyDescent="0.2">
      <c r="A47" s="10" t="s">
        <v>58</v>
      </c>
      <c r="E47" s="11"/>
    </row>
    <row r="48" spans="1:5" x14ac:dyDescent="0.2">
      <c r="A48" s="70" t="s">
        <v>70</v>
      </c>
      <c r="B48" s="71"/>
      <c r="C48" s="71"/>
      <c r="D48" s="71"/>
      <c r="E48" s="72"/>
    </row>
    <row r="49" spans="1:5" x14ac:dyDescent="0.2">
      <c r="A49" s="70"/>
      <c r="B49" s="71"/>
      <c r="C49" s="71"/>
      <c r="D49" s="71"/>
      <c r="E49" s="72"/>
    </row>
    <row r="50" spans="1:5" x14ac:dyDescent="0.2">
      <c r="A50" s="70" t="s">
        <v>437</v>
      </c>
      <c r="B50" s="71"/>
      <c r="C50" s="71"/>
      <c r="D50" s="71"/>
      <c r="E50" s="72"/>
    </row>
    <row r="51" spans="1:5" x14ac:dyDescent="0.2">
      <c r="A51" s="70" t="s">
        <v>97</v>
      </c>
      <c r="B51" s="71"/>
      <c r="C51" s="71"/>
      <c r="D51" s="71"/>
      <c r="E51" s="72"/>
    </row>
    <row r="52" spans="1:5" x14ac:dyDescent="0.2">
      <c r="A52" s="70"/>
      <c r="B52" s="71"/>
      <c r="C52" s="71"/>
      <c r="D52" s="71"/>
      <c r="E52" s="72"/>
    </row>
    <row r="53" spans="1:5" x14ac:dyDescent="0.2">
      <c r="A53" s="70" t="s">
        <v>150</v>
      </c>
      <c r="B53" s="71"/>
      <c r="C53" s="71"/>
      <c r="D53" s="71"/>
      <c r="E53" s="72"/>
    </row>
    <row r="54" spans="1:5" ht="11.45" customHeight="1" x14ac:dyDescent="0.2">
      <c r="A54" s="70" t="s">
        <v>151</v>
      </c>
      <c r="B54" s="71"/>
      <c r="C54" s="71"/>
      <c r="D54" s="71"/>
      <c r="E54" s="72"/>
    </row>
    <row r="55" spans="1:5" x14ac:dyDescent="0.2">
      <c r="A55" s="66" t="s">
        <v>104</v>
      </c>
      <c r="B55" s="67"/>
      <c r="C55" s="67"/>
      <c r="D55" s="67"/>
      <c r="E55" s="68"/>
    </row>
  </sheetData>
  <mergeCells count="75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2"/>
    <mergeCell ref="D16:E16"/>
    <mergeCell ref="D17:E17"/>
    <mergeCell ref="D18:E18"/>
    <mergeCell ref="D19:E19"/>
    <mergeCell ref="D20:E20"/>
    <mergeCell ref="D21:E21"/>
    <mergeCell ref="D22:E22"/>
    <mergeCell ref="A23:B23"/>
    <mergeCell ref="D23:E23"/>
    <mergeCell ref="A24:A35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D35:E35"/>
    <mergeCell ref="A37:B37"/>
    <mergeCell ref="D37:E37"/>
    <mergeCell ref="A38:B38"/>
    <mergeCell ref="D38:E38"/>
    <mergeCell ref="A36:B36"/>
    <mergeCell ref="D36:E36"/>
    <mergeCell ref="A39:B39"/>
    <mergeCell ref="D39:E39"/>
    <mergeCell ref="A40:B40"/>
    <mergeCell ref="D40:E40"/>
    <mergeCell ref="A41:B41"/>
    <mergeCell ref="D41:E41"/>
    <mergeCell ref="A42:B42"/>
    <mergeCell ref="D42:E42"/>
    <mergeCell ref="A55:E55"/>
    <mergeCell ref="A43:B43"/>
    <mergeCell ref="D43:E43"/>
    <mergeCell ref="A44:B44"/>
    <mergeCell ref="D44:E44"/>
    <mergeCell ref="A45:B45"/>
    <mergeCell ref="D45:E45"/>
    <mergeCell ref="A48:E49"/>
    <mergeCell ref="A50:E50"/>
    <mergeCell ref="A51:E52"/>
    <mergeCell ref="A53:E53"/>
    <mergeCell ref="A54:E54"/>
  </mergeCells>
  <conditionalFormatting sqref="B17">
    <cfRule type="duplicateValues" dxfId="532" priority="4"/>
  </conditionalFormatting>
  <conditionalFormatting sqref="B18">
    <cfRule type="duplicateValues" dxfId="531" priority="3"/>
  </conditionalFormatting>
  <conditionalFormatting sqref="B20">
    <cfRule type="duplicateValues" dxfId="530" priority="2"/>
  </conditionalFormatting>
  <conditionalFormatting sqref="B21">
    <cfRule type="duplicateValues" dxfId="529" priority="10"/>
  </conditionalFormatting>
  <conditionalFormatting sqref="B25">
    <cfRule type="duplicateValues" dxfId="528" priority="12"/>
  </conditionalFormatting>
  <conditionalFormatting sqref="B28">
    <cfRule type="duplicateValues" dxfId="527" priority="1"/>
  </conditionalFormatting>
  <conditionalFormatting sqref="B32">
    <cfRule type="duplicateValues" dxfId="526" priority="11"/>
  </conditionalFormatting>
  <conditionalFormatting sqref="B38">
    <cfRule type="duplicateValues" dxfId="525" priority="6"/>
  </conditionalFormatting>
  <conditionalFormatting sqref="B39">
    <cfRule type="duplicateValues" dxfId="524" priority="5"/>
  </conditionalFormatting>
  <conditionalFormatting sqref="B40">
    <cfRule type="duplicateValues" dxfId="523" priority="9"/>
  </conditionalFormatting>
  <conditionalFormatting sqref="B41">
    <cfRule type="duplicateValues" dxfId="522" priority="8"/>
  </conditionalFormatting>
  <conditionalFormatting sqref="B42">
    <cfRule type="duplicateValues" dxfId="521" priority="7"/>
  </conditionalFormatting>
  <conditionalFormatting sqref="B56:B1048576 B4:B10 B26:B27 B12:B16 B33:B37 B22:B24 B43:B47 B19 B29:B31">
    <cfRule type="duplicateValues" dxfId="520" priority="13"/>
  </conditionalFormatting>
  <pageMargins left="0.7" right="0.7" top="0.75" bottom="0.75" header="0.3" footer="0.3"/>
  <pageSetup paperSize="9" scale="87" orientation="portrait" horizontalDpi="4294967295" verticalDpi="4294967295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6FAF00-643E-45F4-BC2D-6F666063C86D}">
  <sheetPr codeName="Sheet30">
    <tabColor theme="4" tint="-0.249977111117893"/>
    <pageSetUpPr fitToPage="1"/>
  </sheetPr>
  <dimension ref="A1:E55"/>
  <sheetViews>
    <sheetView zoomScaleNormal="100" workbookViewId="0">
      <selection sqref="A1:B3"/>
    </sheetView>
  </sheetViews>
  <sheetFormatPr defaultColWidth="8.85546875" defaultRowHeight="12" x14ac:dyDescent="0.2"/>
  <cols>
    <col min="1" max="1" width="12.5703125" style="1" customWidth="1"/>
    <col min="2" max="2" width="13.42578125" style="1" bestFit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4" customFormat="1" ht="30" customHeight="1" x14ac:dyDescent="0.25">
      <c r="A1" s="77" t="e" vm="1">
        <v>#VALUE!</v>
      </c>
      <c r="B1" s="78"/>
      <c r="C1" s="83" t="s">
        <v>112</v>
      </c>
      <c r="D1" s="13" t="s">
        <v>110</v>
      </c>
      <c r="E1" s="13" t="s">
        <v>435</v>
      </c>
    </row>
    <row r="2" spans="1:5" s="14" customFormat="1" ht="30" customHeight="1" x14ac:dyDescent="0.25">
      <c r="A2" s="79"/>
      <c r="B2" s="80"/>
      <c r="C2" s="84"/>
      <c r="D2" s="15" t="s">
        <v>109</v>
      </c>
      <c r="E2" s="16" t="str">
        <f>VLOOKUP(C4,Index!B:J,9,FALSE)</f>
        <v>C0</v>
      </c>
    </row>
    <row r="3" spans="1:5" s="14" customFormat="1" ht="30" customHeight="1" x14ac:dyDescent="0.25">
      <c r="A3" s="81"/>
      <c r="B3" s="82"/>
      <c r="C3" s="85"/>
      <c r="D3" s="15" t="s">
        <v>111</v>
      </c>
      <c r="E3" s="17">
        <f>VLOOKUP(C4,Index!B:I,8,FALSE)</f>
        <v>339</v>
      </c>
    </row>
    <row r="4" spans="1:5" x14ac:dyDescent="0.2">
      <c r="A4" s="86" t="s">
        <v>74</v>
      </c>
      <c r="B4" s="86"/>
      <c r="C4" s="2" t="s">
        <v>213</v>
      </c>
      <c r="D4" s="86" t="s">
        <v>55</v>
      </c>
      <c r="E4" s="86"/>
    </row>
    <row r="5" spans="1:5" x14ac:dyDescent="0.2">
      <c r="A5" s="69" t="s">
        <v>26</v>
      </c>
      <c r="B5" s="69"/>
      <c r="C5" s="3" t="s">
        <v>3</v>
      </c>
      <c r="D5" s="69"/>
      <c r="E5" s="69"/>
    </row>
    <row r="6" spans="1:5" x14ac:dyDescent="0.2">
      <c r="A6" s="69" t="s">
        <v>27</v>
      </c>
      <c r="B6" s="69"/>
      <c r="C6" s="3" t="s">
        <v>78</v>
      </c>
      <c r="D6" s="69"/>
      <c r="E6" s="69"/>
    </row>
    <row r="7" spans="1:5" x14ac:dyDescent="0.2">
      <c r="A7" s="69" t="s">
        <v>28</v>
      </c>
      <c r="B7" s="69"/>
      <c r="C7" s="3" t="s">
        <v>82</v>
      </c>
      <c r="D7" s="69"/>
      <c r="E7" s="69"/>
    </row>
    <row r="8" spans="1:5" x14ac:dyDescent="0.2">
      <c r="A8" s="69" t="s">
        <v>29</v>
      </c>
      <c r="B8" s="69"/>
      <c r="C8" s="3" t="str">
        <f>VLOOKUP(C5,Index!N:W,6,FALSE)</f>
        <v>Glycol, FG, HC service</v>
      </c>
      <c r="D8" s="69"/>
      <c r="E8" s="69"/>
    </row>
    <row r="9" spans="1:5" x14ac:dyDescent="0.2">
      <c r="A9" s="69" t="s">
        <v>30</v>
      </c>
      <c r="B9" s="69"/>
      <c r="C9" s="3" t="s">
        <v>148</v>
      </c>
      <c r="D9" s="69"/>
      <c r="E9" s="69"/>
    </row>
    <row r="10" spans="1:5" x14ac:dyDescent="0.2">
      <c r="A10" s="69" t="s">
        <v>31</v>
      </c>
      <c r="B10" s="69"/>
      <c r="C10" s="3" t="s">
        <v>56</v>
      </c>
      <c r="D10" s="69"/>
      <c r="E10" s="69"/>
    </row>
    <row r="11" spans="1:5" x14ac:dyDescent="0.2">
      <c r="A11" s="73" t="s">
        <v>119</v>
      </c>
      <c r="B11" s="74"/>
      <c r="C11" s="12" t="str">
        <f>VLOOKUP(C5,Index!N:W,10,FALSE)</f>
        <v>19.6 @ -29°C' 13.8 @ 250°C</v>
      </c>
      <c r="D11" s="75"/>
      <c r="E11" s="76"/>
    </row>
    <row r="12" spans="1:5" x14ac:dyDescent="0.2">
      <c r="A12" s="69" t="s">
        <v>32</v>
      </c>
      <c r="B12" s="69"/>
      <c r="C12" s="3" t="str">
        <f>VLOOKUP(C5,Index!N:W,5,FALSE)</f>
        <v>3 mm</v>
      </c>
      <c r="D12" s="69"/>
      <c r="E12" s="69"/>
    </row>
    <row r="13" spans="1:5" ht="24" x14ac:dyDescent="0.2">
      <c r="A13" s="69" t="s">
        <v>33</v>
      </c>
      <c r="B13" s="69"/>
      <c r="C13" s="3" t="s">
        <v>98</v>
      </c>
      <c r="D13" s="69"/>
      <c r="E13" s="69"/>
    </row>
    <row r="14" spans="1:5" x14ac:dyDescent="0.2">
      <c r="A14" s="69" t="s">
        <v>35</v>
      </c>
      <c r="B14" s="69"/>
      <c r="C14" s="3" t="s">
        <v>245</v>
      </c>
      <c r="D14" s="69"/>
      <c r="E14" s="69"/>
    </row>
    <row r="15" spans="1:5" x14ac:dyDescent="0.2">
      <c r="A15" s="69" t="s">
        <v>36</v>
      </c>
      <c r="B15" s="69"/>
      <c r="C15" s="3" t="s">
        <v>67</v>
      </c>
      <c r="D15" s="69"/>
      <c r="E15" s="69"/>
    </row>
    <row r="16" spans="1:5" x14ac:dyDescent="0.2">
      <c r="A16" s="69" t="s">
        <v>37</v>
      </c>
      <c r="B16" s="4" t="s">
        <v>38</v>
      </c>
      <c r="C16" s="3" t="s">
        <v>73</v>
      </c>
      <c r="D16" s="69"/>
      <c r="E16" s="69"/>
    </row>
    <row r="17" spans="1:5" ht="24" x14ac:dyDescent="0.2">
      <c r="A17" s="69"/>
      <c r="B17" s="4" t="s">
        <v>75</v>
      </c>
      <c r="C17" s="3" t="s">
        <v>77</v>
      </c>
      <c r="D17" s="69"/>
      <c r="E17" s="69"/>
    </row>
    <row r="18" spans="1:5" ht="24" x14ac:dyDescent="0.2">
      <c r="A18" s="69"/>
      <c r="B18" s="4" t="s">
        <v>39</v>
      </c>
      <c r="C18" s="3" t="s">
        <v>87</v>
      </c>
      <c r="D18" s="69"/>
      <c r="E18" s="69"/>
    </row>
    <row r="19" spans="1:5" x14ac:dyDescent="0.2">
      <c r="A19" s="69"/>
      <c r="B19" s="4" t="s">
        <v>68</v>
      </c>
      <c r="C19" s="3" t="s">
        <v>143</v>
      </c>
      <c r="D19" s="69"/>
      <c r="E19" s="69"/>
    </row>
    <row r="20" spans="1:5" x14ac:dyDescent="0.2">
      <c r="A20" s="69"/>
      <c r="B20" s="4" t="s">
        <v>141</v>
      </c>
      <c r="C20" s="3" t="s">
        <v>142</v>
      </c>
      <c r="D20" s="69"/>
      <c r="E20" s="69"/>
    </row>
    <row r="21" spans="1:5" x14ac:dyDescent="0.2">
      <c r="A21" s="69"/>
      <c r="B21" s="4" t="s">
        <v>69</v>
      </c>
      <c r="C21" s="3" t="s">
        <v>106</v>
      </c>
      <c r="D21" s="69"/>
      <c r="E21" s="69"/>
    </row>
    <row r="22" spans="1:5" ht="24" x14ac:dyDescent="0.2">
      <c r="A22" s="69"/>
      <c r="B22" s="4" t="s">
        <v>40</v>
      </c>
      <c r="C22" s="3" t="s">
        <v>86</v>
      </c>
      <c r="D22" s="69"/>
      <c r="E22" s="69"/>
    </row>
    <row r="23" spans="1:5" ht="24" x14ac:dyDescent="0.2">
      <c r="A23" s="69" t="s">
        <v>41</v>
      </c>
      <c r="B23" s="69"/>
      <c r="C23" s="3" t="s">
        <v>121</v>
      </c>
      <c r="D23" s="69"/>
      <c r="E23" s="69"/>
    </row>
    <row r="24" spans="1:5" ht="24" x14ac:dyDescent="0.2">
      <c r="A24" s="69" t="s">
        <v>42</v>
      </c>
      <c r="B24" s="4" t="s">
        <v>91</v>
      </c>
      <c r="C24" s="3" t="s">
        <v>88</v>
      </c>
      <c r="D24" s="69"/>
      <c r="E24" s="69"/>
    </row>
    <row r="25" spans="1:5" x14ac:dyDescent="0.2">
      <c r="A25" s="69"/>
      <c r="B25" s="4" t="s">
        <v>93</v>
      </c>
      <c r="C25" s="3" t="s">
        <v>132</v>
      </c>
      <c r="D25" s="69"/>
      <c r="E25" s="69"/>
    </row>
    <row r="26" spans="1:5" x14ac:dyDescent="0.2">
      <c r="A26" s="69"/>
      <c r="B26" s="4" t="s">
        <v>94</v>
      </c>
      <c r="C26" s="3" t="s">
        <v>102</v>
      </c>
      <c r="D26" s="69"/>
      <c r="E26" s="69"/>
    </row>
    <row r="27" spans="1:5" x14ac:dyDescent="0.2">
      <c r="A27" s="69"/>
      <c r="B27" s="4" t="s">
        <v>95</v>
      </c>
      <c r="C27" s="3" t="s">
        <v>105</v>
      </c>
      <c r="D27" s="69"/>
      <c r="E27" s="69"/>
    </row>
    <row r="28" spans="1:5" x14ac:dyDescent="0.2">
      <c r="A28" s="69"/>
      <c r="B28" s="4" t="s">
        <v>144</v>
      </c>
      <c r="C28" s="3" t="s">
        <v>105</v>
      </c>
      <c r="D28" s="69"/>
      <c r="E28" s="69"/>
    </row>
    <row r="29" spans="1:5" x14ac:dyDescent="0.2">
      <c r="A29" s="69"/>
      <c r="B29" s="4" t="s">
        <v>92</v>
      </c>
      <c r="C29" s="3" t="s">
        <v>102</v>
      </c>
      <c r="D29" s="69"/>
      <c r="E29" s="69"/>
    </row>
    <row r="30" spans="1:5" x14ac:dyDescent="0.2">
      <c r="A30" s="69"/>
      <c r="B30" s="4" t="s">
        <v>96</v>
      </c>
      <c r="C30" s="3" t="s">
        <v>137</v>
      </c>
      <c r="D30" s="69"/>
      <c r="E30" s="69"/>
    </row>
    <row r="31" spans="1:5" ht="36" x14ac:dyDescent="0.2">
      <c r="A31" s="69"/>
      <c r="B31" s="4" t="s">
        <v>72</v>
      </c>
      <c r="C31" s="3" t="s">
        <v>139</v>
      </c>
      <c r="D31" s="69"/>
      <c r="E31" s="69"/>
    </row>
    <row r="32" spans="1:5" ht="24" x14ac:dyDescent="0.2">
      <c r="A32" s="69"/>
      <c r="B32" s="6" t="s">
        <v>140</v>
      </c>
      <c r="C32" s="5" t="s">
        <v>99</v>
      </c>
      <c r="D32" s="69"/>
      <c r="E32" s="69"/>
    </row>
    <row r="33" spans="1:5" ht="24" x14ac:dyDescent="0.2">
      <c r="A33" s="69"/>
      <c r="B33" s="4" t="s">
        <v>43</v>
      </c>
      <c r="C33" s="3" t="s">
        <v>182</v>
      </c>
      <c r="D33" s="69"/>
      <c r="E33" s="69"/>
    </row>
    <row r="34" spans="1:5" ht="36" x14ac:dyDescent="0.2">
      <c r="A34" s="69"/>
      <c r="B34" s="4" t="s">
        <v>44</v>
      </c>
      <c r="C34" s="3" t="s">
        <v>192</v>
      </c>
      <c r="D34" s="69"/>
      <c r="E34" s="69"/>
    </row>
    <row r="35" spans="1:5" ht="36" x14ac:dyDescent="0.2">
      <c r="A35" s="69"/>
      <c r="B35" s="4" t="s">
        <v>45</v>
      </c>
      <c r="C35" s="3" t="s">
        <v>181</v>
      </c>
      <c r="D35" s="69"/>
      <c r="E35" s="69"/>
    </row>
    <row r="36" spans="1:5" ht="36" x14ac:dyDescent="0.2">
      <c r="A36" s="69" t="s">
        <v>46</v>
      </c>
      <c r="B36" s="69"/>
      <c r="C36" s="3" t="s">
        <v>47</v>
      </c>
      <c r="D36" s="69"/>
      <c r="E36" s="69"/>
    </row>
    <row r="37" spans="1:5" x14ac:dyDescent="0.2">
      <c r="A37" s="69" t="s">
        <v>48</v>
      </c>
      <c r="B37" s="69"/>
      <c r="C37" s="3" t="s">
        <v>49</v>
      </c>
      <c r="D37" s="69"/>
      <c r="E37" s="69"/>
    </row>
    <row r="38" spans="1:5" x14ac:dyDescent="0.2">
      <c r="A38" s="69" t="s">
        <v>129</v>
      </c>
      <c r="B38" s="69"/>
      <c r="C38" s="3" t="s">
        <v>50</v>
      </c>
      <c r="D38" s="69"/>
      <c r="E38" s="69"/>
    </row>
    <row r="39" spans="1:5" x14ac:dyDescent="0.2">
      <c r="A39" s="69" t="s">
        <v>128</v>
      </c>
      <c r="B39" s="69"/>
      <c r="C39" s="3" t="s">
        <v>127</v>
      </c>
      <c r="D39" s="69"/>
      <c r="E39" s="69"/>
    </row>
    <row r="40" spans="1:5" x14ac:dyDescent="0.2">
      <c r="A40" s="64" t="s">
        <v>124</v>
      </c>
      <c r="B40" s="65"/>
      <c r="C40" s="3" t="s">
        <v>292</v>
      </c>
      <c r="D40" s="64"/>
      <c r="E40" s="65"/>
    </row>
    <row r="41" spans="1:5" x14ac:dyDescent="0.2">
      <c r="A41" s="64" t="s">
        <v>125</v>
      </c>
      <c r="B41" s="65"/>
      <c r="C41" s="3" t="s">
        <v>293</v>
      </c>
      <c r="D41" s="64"/>
      <c r="E41" s="65"/>
    </row>
    <row r="42" spans="1:5" x14ac:dyDescent="0.2">
      <c r="A42" s="64" t="s">
        <v>126</v>
      </c>
      <c r="B42" s="65"/>
      <c r="C42" s="3" t="s">
        <v>195</v>
      </c>
      <c r="D42" s="64"/>
      <c r="E42" s="65"/>
    </row>
    <row r="43" spans="1:5" ht="24" x14ac:dyDescent="0.2">
      <c r="A43" s="69" t="s">
        <v>51</v>
      </c>
      <c r="B43" s="69"/>
      <c r="C43" s="3" t="s">
        <v>52</v>
      </c>
      <c r="D43" s="69"/>
      <c r="E43" s="69"/>
    </row>
    <row r="44" spans="1:5" x14ac:dyDescent="0.2">
      <c r="A44" s="69" t="s">
        <v>53</v>
      </c>
      <c r="B44" s="69"/>
      <c r="C44" s="3" t="s">
        <v>149</v>
      </c>
      <c r="D44" s="69"/>
      <c r="E44" s="69"/>
    </row>
    <row r="45" spans="1:5" ht="24" x14ac:dyDescent="0.2">
      <c r="A45" s="69" t="s">
        <v>54</v>
      </c>
      <c r="B45" s="69"/>
      <c r="C45" s="3" t="s">
        <v>436</v>
      </c>
      <c r="D45" s="69"/>
      <c r="E45" s="69"/>
    </row>
    <row r="46" spans="1:5" x14ac:dyDescent="0.2">
      <c r="A46" s="7"/>
      <c r="B46" s="8"/>
      <c r="C46" s="8"/>
      <c r="D46" s="8"/>
      <c r="E46" s="9"/>
    </row>
    <row r="47" spans="1:5" x14ac:dyDescent="0.2">
      <c r="A47" s="10" t="s">
        <v>58</v>
      </c>
      <c r="E47" s="11"/>
    </row>
    <row r="48" spans="1:5" x14ac:dyDescent="0.2">
      <c r="A48" s="70" t="s">
        <v>70</v>
      </c>
      <c r="B48" s="71"/>
      <c r="C48" s="71"/>
      <c r="D48" s="71"/>
      <c r="E48" s="72"/>
    </row>
    <row r="49" spans="1:5" x14ac:dyDescent="0.2">
      <c r="A49" s="70"/>
      <c r="B49" s="71"/>
      <c r="C49" s="71"/>
      <c r="D49" s="71"/>
      <c r="E49" s="72"/>
    </row>
    <row r="50" spans="1:5" x14ac:dyDescent="0.2">
      <c r="A50" s="70" t="s">
        <v>437</v>
      </c>
      <c r="B50" s="71"/>
      <c r="C50" s="71"/>
      <c r="D50" s="71"/>
      <c r="E50" s="72"/>
    </row>
    <row r="51" spans="1:5" x14ac:dyDescent="0.2">
      <c r="A51" s="70" t="s">
        <v>97</v>
      </c>
      <c r="B51" s="71"/>
      <c r="C51" s="71"/>
      <c r="D51" s="71"/>
      <c r="E51" s="72"/>
    </row>
    <row r="52" spans="1:5" x14ac:dyDescent="0.2">
      <c r="A52" s="70"/>
      <c r="B52" s="71"/>
      <c r="C52" s="71"/>
      <c r="D52" s="71"/>
      <c r="E52" s="72"/>
    </row>
    <row r="53" spans="1:5" x14ac:dyDescent="0.2">
      <c r="A53" s="70" t="s">
        <v>150</v>
      </c>
      <c r="B53" s="71"/>
      <c r="C53" s="71"/>
      <c r="D53" s="71"/>
      <c r="E53" s="72"/>
    </row>
    <row r="54" spans="1:5" ht="11.45" customHeight="1" x14ac:dyDescent="0.2">
      <c r="A54" s="70" t="s">
        <v>151</v>
      </c>
      <c r="B54" s="71"/>
      <c r="C54" s="71"/>
      <c r="D54" s="71"/>
      <c r="E54" s="72"/>
    </row>
    <row r="55" spans="1:5" x14ac:dyDescent="0.2">
      <c r="A55" s="66" t="s">
        <v>104</v>
      </c>
      <c r="B55" s="67"/>
      <c r="C55" s="67"/>
      <c r="D55" s="67"/>
      <c r="E55" s="68"/>
    </row>
  </sheetData>
  <mergeCells count="75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2"/>
    <mergeCell ref="D16:E16"/>
    <mergeCell ref="D17:E17"/>
    <mergeCell ref="D18:E18"/>
    <mergeCell ref="D19:E19"/>
    <mergeCell ref="D20:E20"/>
    <mergeCell ref="D21:E21"/>
    <mergeCell ref="D22:E22"/>
    <mergeCell ref="A23:B23"/>
    <mergeCell ref="D23:E23"/>
    <mergeCell ref="A24:A35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D35:E35"/>
    <mergeCell ref="A37:B37"/>
    <mergeCell ref="D37:E37"/>
    <mergeCell ref="A38:B38"/>
    <mergeCell ref="D38:E38"/>
    <mergeCell ref="A36:B36"/>
    <mergeCell ref="D36:E36"/>
    <mergeCell ref="A39:B39"/>
    <mergeCell ref="D39:E39"/>
    <mergeCell ref="A40:B40"/>
    <mergeCell ref="D40:E40"/>
    <mergeCell ref="A41:B41"/>
    <mergeCell ref="D41:E41"/>
    <mergeCell ref="A42:B42"/>
    <mergeCell ref="D42:E42"/>
    <mergeCell ref="A55:E55"/>
    <mergeCell ref="A43:B43"/>
    <mergeCell ref="D43:E43"/>
    <mergeCell ref="A44:B44"/>
    <mergeCell ref="D44:E44"/>
    <mergeCell ref="A45:B45"/>
    <mergeCell ref="D45:E45"/>
    <mergeCell ref="A48:E49"/>
    <mergeCell ref="A50:E50"/>
    <mergeCell ref="A51:E52"/>
    <mergeCell ref="A53:E53"/>
    <mergeCell ref="A54:E54"/>
  </mergeCells>
  <conditionalFormatting sqref="B17">
    <cfRule type="duplicateValues" dxfId="519" priority="4"/>
  </conditionalFormatting>
  <conditionalFormatting sqref="B18">
    <cfRule type="duplicateValues" dxfId="518" priority="3"/>
  </conditionalFormatting>
  <conditionalFormatting sqref="B20">
    <cfRule type="duplicateValues" dxfId="517" priority="2"/>
  </conditionalFormatting>
  <conditionalFormatting sqref="B21">
    <cfRule type="duplicateValues" dxfId="516" priority="10"/>
  </conditionalFormatting>
  <conditionalFormatting sqref="B25">
    <cfRule type="duplicateValues" dxfId="515" priority="12"/>
  </conditionalFormatting>
  <conditionalFormatting sqref="B28">
    <cfRule type="duplicateValues" dxfId="514" priority="1"/>
  </conditionalFormatting>
  <conditionalFormatting sqref="B32">
    <cfRule type="duplicateValues" dxfId="513" priority="11"/>
  </conditionalFormatting>
  <conditionalFormatting sqref="B38">
    <cfRule type="duplicateValues" dxfId="512" priority="6"/>
  </conditionalFormatting>
  <conditionalFormatting sqref="B39">
    <cfRule type="duplicateValues" dxfId="511" priority="5"/>
  </conditionalFormatting>
  <conditionalFormatting sqref="B40">
    <cfRule type="duplicateValues" dxfId="510" priority="9"/>
  </conditionalFormatting>
  <conditionalFormatting sqref="B41">
    <cfRule type="duplicateValues" dxfId="509" priority="8"/>
  </conditionalFormatting>
  <conditionalFormatting sqref="B42">
    <cfRule type="duplicateValues" dxfId="508" priority="7"/>
  </conditionalFormatting>
  <conditionalFormatting sqref="B56:B1048576 B4:B10 B26:B27 B12:B16 B33:B37 B22:B24 B43:B47 B19 B29:B31">
    <cfRule type="duplicateValues" dxfId="507" priority="13"/>
  </conditionalFormatting>
  <pageMargins left="0.7" right="0.7" top="0.75" bottom="0.75" header="0.3" footer="0.3"/>
  <pageSetup paperSize="9" scale="88" orientation="portrait" horizontalDpi="4294967295" verticalDpi="4294967295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6A7736-A28F-435F-978F-082709EC6ED3}">
  <sheetPr codeName="Sheet31">
    <tabColor theme="4" tint="-0.249977111117893"/>
    <pageSetUpPr fitToPage="1"/>
  </sheetPr>
  <dimension ref="A1:E55"/>
  <sheetViews>
    <sheetView zoomScaleNormal="100" workbookViewId="0">
      <selection sqref="A1:B3"/>
    </sheetView>
  </sheetViews>
  <sheetFormatPr defaultColWidth="8.85546875" defaultRowHeight="12" x14ac:dyDescent="0.2"/>
  <cols>
    <col min="1" max="1" width="12.5703125" style="1" customWidth="1"/>
    <col min="2" max="2" width="13.42578125" style="1" bestFit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4" customFormat="1" ht="30" customHeight="1" x14ac:dyDescent="0.25">
      <c r="A1" s="77" t="e" vm="1">
        <v>#VALUE!</v>
      </c>
      <c r="B1" s="78"/>
      <c r="C1" s="83" t="s">
        <v>112</v>
      </c>
      <c r="D1" s="13" t="s">
        <v>110</v>
      </c>
      <c r="E1" s="13" t="s">
        <v>435</v>
      </c>
    </row>
    <row r="2" spans="1:5" s="14" customFormat="1" ht="30" customHeight="1" x14ac:dyDescent="0.25">
      <c r="A2" s="79"/>
      <c r="B2" s="80"/>
      <c r="C2" s="84"/>
      <c r="D2" s="15" t="s">
        <v>109</v>
      </c>
      <c r="E2" s="16" t="str">
        <f>VLOOKUP(C4,Index!B:J,9,FALSE)</f>
        <v>C0</v>
      </c>
    </row>
    <row r="3" spans="1:5" s="14" customFormat="1" ht="30" customHeight="1" x14ac:dyDescent="0.25">
      <c r="A3" s="81"/>
      <c r="B3" s="82"/>
      <c r="C3" s="85"/>
      <c r="D3" s="15" t="s">
        <v>111</v>
      </c>
      <c r="E3" s="17">
        <f>VLOOKUP(C4,Index!B:I,8,FALSE)</f>
        <v>340</v>
      </c>
    </row>
    <row r="4" spans="1:5" x14ac:dyDescent="0.2">
      <c r="A4" s="86" t="s">
        <v>74</v>
      </c>
      <c r="B4" s="86"/>
      <c r="C4" s="2" t="s">
        <v>214</v>
      </c>
      <c r="D4" s="86" t="s">
        <v>55</v>
      </c>
      <c r="E4" s="86"/>
    </row>
    <row r="5" spans="1:5" x14ac:dyDescent="0.2">
      <c r="A5" s="69" t="s">
        <v>26</v>
      </c>
      <c r="B5" s="69"/>
      <c r="C5" s="3" t="s">
        <v>8</v>
      </c>
      <c r="D5" s="69"/>
      <c r="E5" s="69"/>
    </row>
    <row r="6" spans="1:5" x14ac:dyDescent="0.2">
      <c r="A6" s="69" t="s">
        <v>27</v>
      </c>
      <c r="B6" s="69"/>
      <c r="C6" s="3" t="s">
        <v>78</v>
      </c>
      <c r="D6" s="69"/>
      <c r="E6" s="69"/>
    </row>
    <row r="7" spans="1:5" x14ac:dyDescent="0.2">
      <c r="A7" s="69" t="s">
        <v>28</v>
      </c>
      <c r="B7" s="69"/>
      <c r="C7" s="3" t="s">
        <v>82</v>
      </c>
      <c r="D7" s="69"/>
      <c r="E7" s="69"/>
    </row>
    <row r="8" spans="1:5" x14ac:dyDescent="0.2">
      <c r="A8" s="69" t="s">
        <v>29</v>
      </c>
      <c r="B8" s="69"/>
      <c r="C8" s="3" t="str">
        <f>VLOOKUP(C5,Index!N:W,6,FALSE)</f>
        <v>Glycol, FG, HC service</v>
      </c>
      <c r="D8" s="69"/>
      <c r="E8" s="69"/>
    </row>
    <row r="9" spans="1:5" x14ac:dyDescent="0.2">
      <c r="A9" s="69" t="s">
        <v>30</v>
      </c>
      <c r="B9" s="69"/>
      <c r="C9" s="3" t="s">
        <v>148</v>
      </c>
      <c r="D9" s="69"/>
      <c r="E9" s="69"/>
    </row>
    <row r="10" spans="1:5" x14ac:dyDescent="0.2">
      <c r="A10" s="69" t="s">
        <v>31</v>
      </c>
      <c r="B10" s="69"/>
      <c r="C10" s="3" t="s">
        <v>59</v>
      </c>
      <c r="D10" s="69"/>
      <c r="E10" s="69"/>
    </row>
    <row r="11" spans="1:5" x14ac:dyDescent="0.2">
      <c r="A11" s="73" t="s">
        <v>119</v>
      </c>
      <c r="B11" s="74"/>
      <c r="C11" s="12" t="str">
        <f>VLOOKUP(C5,Index!N:W,10,FALSE)</f>
        <v>51.1 @ -29°C' 43.8 @ 250°C</v>
      </c>
      <c r="D11" s="75"/>
      <c r="E11" s="76"/>
    </row>
    <row r="12" spans="1:5" x14ac:dyDescent="0.2">
      <c r="A12" s="69" t="s">
        <v>32</v>
      </c>
      <c r="B12" s="69"/>
      <c r="C12" s="3" t="str">
        <f>VLOOKUP(C5,Index!N:W,5,FALSE)</f>
        <v>3 mm</v>
      </c>
      <c r="D12" s="69"/>
      <c r="E12" s="69"/>
    </row>
    <row r="13" spans="1:5" ht="24" x14ac:dyDescent="0.2">
      <c r="A13" s="69" t="s">
        <v>33</v>
      </c>
      <c r="B13" s="69"/>
      <c r="C13" s="3" t="s">
        <v>98</v>
      </c>
      <c r="D13" s="69"/>
      <c r="E13" s="69"/>
    </row>
    <row r="14" spans="1:5" x14ac:dyDescent="0.2">
      <c r="A14" s="69" t="s">
        <v>35</v>
      </c>
      <c r="B14" s="69"/>
      <c r="C14" s="3" t="s">
        <v>245</v>
      </c>
      <c r="D14" s="69"/>
      <c r="E14" s="69"/>
    </row>
    <row r="15" spans="1:5" x14ac:dyDescent="0.2">
      <c r="A15" s="69" t="s">
        <v>36</v>
      </c>
      <c r="B15" s="69"/>
      <c r="C15" s="3" t="s">
        <v>67</v>
      </c>
      <c r="D15" s="69"/>
      <c r="E15" s="69"/>
    </row>
    <row r="16" spans="1:5" x14ac:dyDescent="0.2">
      <c r="A16" s="69" t="s">
        <v>37</v>
      </c>
      <c r="B16" s="4" t="s">
        <v>38</v>
      </c>
      <c r="C16" s="3" t="s">
        <v>73</v>
      </c>
      <c r="D16" s="69"/>
      <c r="E16" s="69"/>
    </row>
    <row r="17" spans="1:5" ht="24" x14ac:dyDescent="0.2">
      <c r="A17" s="69"/>
      <c r="B17" s="4" t="s">
        <v>75</v>
      </c>
      <c r="C17" s="3" t="s">
        <v>77</v>
      </c>
      <c r="D17" s="69"/>
      <c r="E17" s="69"/>
    </row>
    <row r="18" spans="1:5" ht="24" x14ac:dyDescent="0.2">
      <c r="A18" s="69"/>
      <c r="B18" s="4" t="s">
        <v>39</v>
      </c>
      <c r="C18" s="3" t="s">
        <v>87</v>
      </c>
      <c r="D18" s="69"/>
      <c r="E18" s="69"/>
    </row>
    <row r="19" spans="1:5" x14ac:dyDescent="0.2">
      <c r="A19" s="69"/>
      <c r="B19" s="4" t="s">
        <v>68</v>
      </c>
      <c r="C19" s="3" t="s">
        <v>143</v>
      </c>
      <c r="D19" s="69"/>
      <c r="E19" s="69"/>
    </row>
    <row r="20" spans="1:5" x14ac:dyDescent="0.2">
      <c r="A20" s="69"/>
      <c r="B20" s="4" t="s">
        <v>141</v>
      </c>
      <c r="C20" s="3" t="s">
        <v>142</v>
      </c>
      <c r="D20" s="69"/>
      <c r="E20" s="69"/>
    </row>
    <row r="21" spans="1:5" x14ac:dyDescent="0.2">
      <c r="A21" s="69"/>
      <c r="B21" s="4" t="s">
        <v>69</v>
      </c>
      <c r="C21" s="3" t="s">
        <v>106</v>
      </c>
      <c r="D21" s="69"/>
      <c r="E21" s="69"/>
    </row>
    <row r="22" spans="1:5" ht="24" x14ac:dyDescent="0.2">
      <c r="A22" s="69"/>
      <c r="B22" s="4" t="s">
        <v>40</v>
      </c>
      <c r="C22" s="3" t="s">
        <v>86</v>
      </c>
      <c r="D22" s="69"/>
      <c r="E22" s="69"/>
    </row>
    <row r="23" spans="1:5" ht="24" x14ac:dyDescent="0.2">
      <c r="A23" s="69" t="s">
        <v>41</v>
      </c>
      <c r="B23" s="69"/>
      <c r="C23" s="3" t="s">
        <v>121</v>
      </c>
      <c r="D23" s="69"/>
      <c r="E23" s="69"/>
    </row>
    <row r="24" spans="1:5" ht="24" x14ac:dyDescent="0.2">
      <c r="A24" s="69" t="s">
        <v>42</v>
      </c>
      <c r="B24" s="4" t="s">
        <v>91</v>
      </c>
      <c r="C24" s="3" t="s">
        <v>88</v>
      </c>
      <c r="D24" s="69"/>
      <c r="E24" s="69"/>
    </row>
    <row r="25" spans="1:5" x14ac:dyDescent="0.2">
      <c r="A25" s="69"/>
      <c r="B25" s="4" t="s">
        <v>93</v>
      </c>
      <c r="C25" s="3" t="s">
        <v>132</v>
      </c>
      <c r="D25" s="69"/>
      <c r="E25" s="69"/>
    </row>
    <row r="26" spans="1:5" x14ac:dyDescent="0.2">
      <c r="A26" s="69"/>
      <c r="B26" s="4" t="s">
        <v>94</v>
      </c>
      <c r="C26" s="3" t="s">
        <v>102</v>
      </c>
      <c r="D26" s="69"/>
      <c r="E26" s="69"/>
    </row>
    <row r="27" spans="1:5" x14ac:dyDescent="0.2">
      <c r="A27" s="69"/>
      <c r="B27" s="4" t="s">
        <v>95</v>
      </c>
      <c r="C27" s="3" t="s">
        <v>105</v>
      </c>
      <c r="D27" s="69"/>
      <c r="E27" s="69"/>
    </row>
    <row r="28" spans="1:5" x14ac:dyDescent="0.2">
      <c r="A28" s="69"/>
      <c r="B28" s="4" t="s">
        <v>144</v>
      </c>
      <c r="C28" s="3" t="s">
        <v>105</v>
      </c>
      <c r="D28" s="69"/>
      <c r="E28" s="69"/>
    </row>
    <row r="29" spans="1:5" x14ac:dyDescent="0.2">
      <c r="A29" s="69"/>
      <c r="B29" s="4" t="s">
        <v>92</v>
      </c>
      <c r="C29" s="3" t="s">
        <v>102</v>
      </c>
      <c r="D29" s="69"/>
      <c r="E29" s="69"/>
    </row>
    <row r="30" spans="1:5" x14ac:dyDescent="0.2">
      <c r="A30" s="69"/>
      <c r="B30" s="4" t="s">
        <v>96</v>
      </c>
      <c r="C30" s="3" t="s">
        <v>137</v>
      </c>
      <c r="D30" s="69"/>
      <c r="E30" s="69"/>
    </row>
    <row r="31" spans="1:5" ht="36" x14ac:dyDescent="0.2">
      <c r="A31" s="69"/>
      <c r="B31" s="4" t="s">
        <v>72</v>
      </c>
      <c r="C31" s="3" t="s">
        <v>139</v>
      </c>
      <c r="D31" s="69"/>
      <c r="E31" s="69"/>
    </row>
    <row r="32" spans="1:5" ht="24" x14ac:dyDescent="0.2">
      <c r="A32" s="69"/>
      <c r="B32" s="6" t="s">
        <v>140</v>
      </c>
      <c r="C32" s="5" t="s">
        <v>99</v>
      </c>
      <c r="D32" s="69"/>
      <c r="E32" s="69"/>
    </row>
    <row r="33" spans="1:5" ht="24" x14ac:dyDescent="0.2">
      <c r="A33" s="69"/>
      <c r="B33" s="4" t="s">
        <v>43</v>
      </c>
      <c r="C33" s="3" t="s">
        <v>182</v>
      </c>
      <c r="D33" s="69"/>
      <c r="E33" s="69"/>
    </row>
    <row r="34" spans="1:5" x14ac:dyDescent="0.2">
      <c r="A34" s="69"/>
      <c r="B34" s="4" t="s">
        <v>44</v>
      </c>
      <c r="C34" s="3" t="s">
        <v>89</v>
      </c>
      <c r="D34" s="69"/>
      <c r="E34" s="69"/>
    </row>
    <row r="35" spans="1:5" x14ac:dyDescent="0.2">
      <c r="A35" s="69"/>
      <c r="B35" s="4" t="s">
        <v>45</v>
      </c>
      <c r="C35" s="3" t="s">
        <v>90</v>
      </c>
      <c r="D35" s="69"/>
      <c r="E35" s="69"/>
    </row>
    <row r="36" spans="1:5" ht="36" x14ac:dyDescent="0.2">
      <c r="A36" s="69" t="s">
        <v>46</v>
      </c>
      <c r="B36" s="69"/>
      <c r="C36" s="3" t="s">
        <v>47</v>
      </c>
      <c r="D36" s="69"/>
      <c r="E36" s="69"/>
    </row>
    <row r="37" spans="1:5" x14ac:dyDescent="0.2">
      <c r="A37" s="69" t="s">
        <v>48</v>
      </c>
      <c r="B37" s="69"/>
      <c r="C37" s="3" t="s">
        <v>49</v>
      </c>
      <c r="D37" s="69"/>
      <c r="E37" s="69"/>
    </row>
    <row r="38" spans="1:5" x14ac:dyDescent="0.2">
      <c r="A38" s="69" t="s">
        <v>129</v>
      </c>
      <c r="B38" s="69"/>
      <c r="C38" s="3" t="s">
        <v>50</v>
      </c>
      <c r="D38" s="69"/>
      <c r="E38" s="69"/>
    </row>
    <row r="39" spans="1:5" x14ac:dyDescent="0.2">
      <c r="A39" s="69" t="s">
        <v>128</v>
      </c>
      <c r="B39" s="69"/>
      <c r="C39" s="3" t="s">
        <v>127</v>
      </c>
      <c r="D39" s="69"/>
      <c r="E39" s="69"/>
    </row>
    <row r="40" spans="1:5" x14ac:dyDescent="0.2">
      <c r="A40" s="64" t="s">
        <v>124</v>
      </c>
      <c r="B40" s="65"/>
      <c r="C40" s="3" t="s">
        <v>290</v>
      </c>
      <c r="D40" s="64"/>
      <c r="E40" s="65"/>
    </row>
    <row r="41" spans="1:5" x14ac:dyDescent="0.2">
      <c r="A41" s="64" t="s">
        <v>125</v>
      </c>
      <c r="B41" s="65"/>
      <c r="C41" s="3" t="s">
        <v>291</v>
      </c>
      <c r="D41" s="64"/>
      <c r="E41" s="65"/>
    </row>
    <row r="42" spans="1:5" x14ac:dyDescent="0.2">
      <c r="A42" s="64" t="s">
        <v>126</v>
      </c>
      <c r="B42" s="65"/>
      <c r="C42" s="3" t="s">
        <v>195</v>
      </c>
      <c r="D42" s="64"/>
      <c r="E42" s="65"/>
    </row>
    <row r="43" spans="1:5" ht="24" x14ac:dyDescent="0.2">
      <c r="A43" s="69" t="s">
        <v>51</v>
      </c>
      <c r="B43" s="69"/>
      <c r="C43" s="3" t="s">
        <v>52</v>
      </c>
      <c r="D43" s="69"/>
      <c r="E43" s="69"/>
    </row>
    <row r="44" spans="1:5" x14ac:dyDescent="0.2">
      <c r="A44" s="69" t="s">
        <v>53</v>
      </c>
      <c r="B44" s="69"/>
      <c r="C44" s="3" t="s">
        <v>149</v>
      </c>
      <c r="D44" s="69"/>
      <c r="E44" s="69"/>
    </row>
    <row r="45" spans="1:5" ht="24" x14ac:dyDescent="0.2">
      <c r="A45" s="69" t="s">
        <v>54</v>
      </c>
      <c r="B45" s="69"/>
      <c r="C45" s="3" t="s">
        <v>436</v>
      </c>
      <c r="D45" s="69"/>
      <c r="E45" s="69"/>
    </row>
    <row r="46" spans="1:5" x14ac:dyDescent="0.2">
      <c r="A46" s="7"/>
      <c r="B46" s="8"/>
      <c r="C46" s="8"/>
      <c r="D46" s="8"/>
      <c r="E46" s="9"/>
    </row>
    <row r="47" spans="1:5" x14ac:dyDescent="0.2">
      <c r="A47" s="10" t="s">
        <v>58</v>
      </c>
      <c r="E47" s="11"/>
    </row>
    <row r="48" spans="1:5" x14ac:dyDescent="0.2">
      <c r="A48" s="70" t="s">
        <v>70</v>
      </c>
      <c r="B48" s="71"/>
      <c r="C48" s="71"/>
      <c r="D48" s="71"/>
      <c r="E48" s="72"/>
    </row>
    <row r="49" spans="1:5" x14ac:dyDescent="0.2">
      <c r="A49" s="70"/>
      <c r="B49" s="71"/>
      <c r="C49" s="71"/>
      <c r="D49" s="71"/>
      <c r="E49" s="72"/>
    </row>
    <row r="50" spans="1:5" x14ac:dyDescent="0.2">
      <c r="A50" s="70" t="s">
        <v>437</v>
      </c>
      <c r="B50" s="71"/>
      <c r="C50" s="71"/>
      <c r="D50" s="71"/>
      <c r="E50" s="72"/>
    </row>
    <row r="51" spans="1:5" x14ac:dyDescent="0.2">
      <c r="A51" s="70" t="s">
        <v>97</v>
      </c>
      <c r="B51" s="71"/>
      <c r="C51" s="71"/>
      <c r="D51" s="71"/>
      <c r="E51" s="72"/>
    </row>
    <row r="52" spans="1:5" x14ac:dyDescent="0.2">
      <c r="A52" s="70"/>
      <c r="B52" s="71"/>
      <c r="C52" s="71"/>
      <c r="D52" s="71"/>
      <c r="E52" s="72"/>
    </row>
    <row r="53" spans="1:5" x14ac:dyDescent="0.2">
      <c r="A53" s="70" t="s">
        <v>150</v>
      </c>
      <c r="B53" s="71"/>
      <c r="C53" s="71"/>
      <c r="D53" s="71"/>
      <c r="E53" s="72"/>
    </row>
    <row r="54" spans="1:5" ht="11.45" customHeight="1" x14ac:dyDescent="0.2">
      <c r="A54" s="70" t="s">
        <v>151</v>
      </c>
      <c r="B54" s="71"/>
      <c r="C54" s="71"/>
      <c r="D54" s="71"/>
      <c r="E54" s="72"/>
    </row>
    <row r="55" spans="1:5" x14ac:dyDescent="0.2">
      <c r="A55" s="66" t="s">
        <v>104</v>
      </c>
      <c r="B55" s="67"/>
      <c r="C55" s="67"/>
      <c r="D55" s="67"/>
      <c r="E55" s="68"/>
    </row>
  </sheetData>
  <mergeCells count="75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2"/>
    <mergeCell ref="D16:E16"/>
    <mergeCell ref="D17:E17"/>
    <mergeCell ref="D18:E18"/>
    <mergeCell ref="D19:E19"/>
    <mergeCell ref="D20:E20"/>
    <mergeCell ref="D21:E21"/>
    <mergeCell ref="D22:E22"/>
    <mergeCell ref="A23:B23"/>
    <mergeCell ref="D23:E23"/>
    <mergeCell ref="A24:A35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D35:E35"/>
    <mergeCell ref="A37:B37"/>
    <mergeCell ref="D37:E37"/>
    <mergeCell ref="A38:B38"/>
    <mergeCell ref="D38:E38"/>
    <mergeCell ref="A36:B36"/>
    <mergeCell ref="D36:E36"/>
    <mergeCell ref="A39:B39"/>
    <mergeCell ref="D39:E39"/>
    <mergeCell ref="A40:B40"/>
    <mergeCell ref="D40:E40"/>
    <mergeCell ref="A41:B41"/>
    <mergeCell ref="D41:E41"/>
    <mergeCell ref="A42:B42"/>
    <mergeCell ref="D42:E42"/>
    <mergeCell ref="A55:E55"/>
    <mergeCell ref="A43:B43"/>
    <mergeCell ref="D43:E43"/>
    <mergeCell ref="A44:B44"/>
    <mergeCell ref="D44:E44"/>
    <mergeCell ref="A45:B45"/>
    <mergeCell ref="D45:E45"/>
    <mergeCell ref="A48:E49"/>
    <mergeCell ref="A50:E50"/>
    <mergeCell ref="A51:E52"/>
    <mergeCell ref="A53:E53"/>
    <mergeCell ref="A54:E54"/>
  </mergeCells>
  <conditionalFormatting sqref="B17">
    <cfRule type="duplicateValues" dxfId="506" priority="4"/>
  </conditionalFormatting>
  <conditionalFormatting sqref="B18">
    <cfRule type="duplicateValues" dxfId="505" priority="3"/>
  </conditionalFormatting>
  <conditionalFormatting sqref="B20">
    <cfRule type="duplicateValues" dxfId="504" priority="2"/>
  </conditionalFormatting>
  <conditionalFormatting sqref="B21">
    <cfRule type="duplicateValues" dxfId="503" priority="10"/>
  </conditionalFormatting>
  <conditionalFormatting sqref="B25">
    <cfRule type="duplicateValues" dxfId="502" priority="12"/>
  </conditionalFormatting>
  <conditionalFormatting sqref="B28">
    <cfRule type="duplicateValues" dxfId="501" priority="1"/>
  </conditionalFormatting>
  <conditionalFormatting sqref="B32">
    <cfRule type="duplicateValues" dxfId="500" priority="11"/>
  </conditionalFormatting>
  <conditionalFormatting sqref="B38">
    <cfRule type="duplicateValues" dxfId="499" priority="6"/>
  </conditionalFormatting>
  <conditionalFormatting sqref="B39">
    <cfRule type="duplicateValues" dxfId="498" priority="5"/>
  </conditionalFormatting>
  <conditionalFormatting sqref="B40">
    <cfRule type="duplicateValues" dxfId="497" priority="9"/>
  </conditionalFormatting>
  <conditionalFormatting sqref="B41">
    <cfRule type="duplicateValues" dxfId="496" priority="8"/>
  </conditionalFormatting>
  <conditionalFormatting sqref="B42">
    <cfRule type="duplicateValues" dxfId="495" priority="7"/>
  </conditionalFormatting>
  <conditionalFormatting sqref="B56:B1048576 B4:B10 B26:B27 B12:B16 B33:B37 B22:B24 B43:B47 B19 B29:B31">
    <cfRule type="duplicateValues" dxfId="494" priority="13"/>
  </conditionalFormatting>
  <pageMargins left="0.7" right="0.7" top="0.75" bottom="0.75" header="0.3" footer="0.3"/>
  <pageSetup paperSize="9" scale="88" orientation="portrait" horizontalDpi="4294967295" verticalDpi="4294967295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0C4FC2-AFA1-4772-9416-C60DCCD4EEF8}">
  <sheetPr codeName="Sheet32">
    <tabColor theme="4" tint="-0.249977111117893"/>
    <pageSetUpPr fitToPage="1"/>
  </sheetPr>
  <dimension ref="A1:E55"/>
  <sheetViews>
    <sheetView zoomScaleNormal="100" workbookViewId="0">
      <selection sqref="A1:B3"/>
    </sheetView>
  </sheetViews>
  <sheetFormatPr defaultColWidth="8.85546875" defaultRowHeight="12" x14ac:dyDescent="0.2"/>
  <cols>
    <col min="1" max="1" width="12.5703125" style="1" customWidth="1"/>
    <col min="2" max="2" width="13.42578125" style="1" bestFit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4" customFormat="1" ht="30" customHeight="1" x14ac:dyDescent="0.25">
      <c r="A1" s="77" t="e" vm="1">
        <v>#VALUE!</v>
      </c>
      <c r="B1" s="78"/>
      <c r="C1" s="83" t="s">
        <v>112</v>
      </c>
      <c r="D1" s="13" t="s">
        <v>110</v>
      </c>
      <c r="E1" s="13" t="s">
        <v>435</v>
      </c>
    </row>
    <row r="2" spans="1:5" s="14" customFormat="1" ht="30" customHeight="1" x14ac:dyDescent="0.25">
      <c r="A2" s="79"/>
      <c r="B2" s="80"/>
      <c r="C2" s="84"/>
      <c r="D2" s="15" t="s">
        <v>109</v>
      </c>
      <c r="E2" s="16" t="str">
        <f>VLOOKUP(C4,Index!B:J,9,FALSE)</f>
        <v>C0</v>
      </c>
    </row>
    <row r="3" spans="1:5" s="14" customFormat="1" ht="30" customHeight="1" x14ac:dyDescent="0.25">
      <c r="A3" s="81"/>
      <c r="B3" s="82"/>
      <c r="C3" s="85"/>
      <c r="D3" s="15" t="s">
        <v>111</v>
      </c>
      <c r="E3" s="17">
        <f>VLOOKUP(C4,Index!B:I,8,FALSE)</f>
        <v>341</v>
      </c>
    </row>
    <row r="4" spans="1:5" x14ac:dyDescent="0.2">
      <c r="A4" s="86" t="s">
        <v>74</v>
      </c>
      <c r="B4" s="86"/>
      <c r="C4" s="2" t="s">
        <v>215</v>
      </c>
      <c r="D4" s="86" t="s">
        <v>55</v>
      </c>
      <c r="E4" s="86"/>
    </row>
    <row r="5" spans="1:5" x14ac:dyDescent="0.2">
      <c r="A5" s="69" t="s">
        <v>26</v>
      </c>
      <c r="B5" s="69"/>
      <c r="C5" s="3" t="s">
        <v>9</v>
      </c>
      <c r="D5" s="69"/>
      <c r="E5" s="69"/>
    </row>
    <row r="6" spans="1:5" x14ac:dyDescent="0.2">
      <c r="A6" s="69" t="s">
        <v>27</v>
      </c>
      <c r="B6" s="69"/>
      <c r="C6" s="3" t="s">
        <v>78</v>
      </c>
      <c r="D6" s="69"/>
      <c r="E6" s="69"/>
    </row>
    <row r="7" spans="1:5" x14ac:dyDescent="0.2">
      <c r="A7" s="69" t="s">
        <v>28</v>
      </c>
      <c r="B7" s="69"/>
      <c r="C7" s="3" t="s">
        <v>82</v>
      </c>
      <c r="D7" s="69"/>
      <c r="E7" s="69"/>
    </row>
    <row r="8" spans="1:5" x14ac:dyDescent="0.2">
      <c r="A8" s="69" t="s">
        <v>29</v>
      </c>
      <c r="B8" s="69"/>
      <c r="C8" s="3" t="str">
        <f>VLOOKUP(C5,Index!N:W,6,FALSE)</f>
        <v>Glycol, FG, HC service</v>
      </c>
      <c r="D8" s="69"/>
      <c r="E8" s="69"/>
    </row>
    <row r="9" spans="1:5" x14ac:dyDescent="0.2">
      <c r="A9" s="69" t="s">
        <v>30</v>
      </c>
      <c r="B9" s="69"/>
      <c r="C9" s="3" t="s">
        <v>148</v>
      </c>
      <c r="D9" s="69"/>
      <c r="E9" s="69"/>
    </row>
    <row r="10" spans="1:5" x14ac:dyDescent="0.2">
      <c r="A10" s="69" t="s">
        <v>31</v>
      </c>
      <c r="B10" s="69"/>
      <c r="C10" s="3" t="s">
        <v>60</v>
      </c>
      <c r="D10" s="69"/>
      <c r="E10" s="69"/>
    </row>
    <row r="11" spans="1:5" x14ac:dyDescent="0.2">
      <c r="A11" s="73" t="s">
        <v>119</v>
      </c>
      <c r="B11" s="74"/>
      <c r="C11" s="12" t="str">
        <f>VLOOKUP(C5,Index!N:W,10,FALSE)</f>
        <v>102.1 @ -29°C' 87.6 @ 250°C</v>
      </c>
      <c r="D11" s="75"/>
      <c r="E11" s="76"/>
    </row>
    <row r="12" spans="1:5" x14ac:dyDescent="0.2">
      <c r="A12" s="69" t="s">
        <v>32</v>
      </c>
      <c r="B12" s="69"/>
      <c r="C12" s="3" t="str">
        <f>VLOOKUP(C5,Index!N:W,5,FALSE)</f>
        <v>3 mm</v>
      </c>
      <c r="D12" s="69"/>
      <c r="E12" s="69"/>
    </row>
    <row r="13" spans="1:5" ht="24" x14ac:dyDescent="0.2">
      <c r="A13" s="69" t="s">
        <v>33</v>
      </c>
      <c r="B13" s="69"/>
      <c r="C13" s="3" t="s">
        <v>98</v>
      </c>
      <c r="D13" s="69"/>
      <c r="E13" s="69"/>
    </row>
    <row r="14" spans="1:5" x14ac:dyDescent="0.2">
      <c r="A14" s="69" t="s">
        <v>35</v>
      </c>
      <c r="B14" s="69"/>
      <c r="C14" s="3" t="s">
        <v>245</v>
      </c>
      <c r="D14" s="69"/>
      <c r="E14" s="69"/>
    </row>
    <row r="15" spans="1:5" x14ac:dyDescent="0.2">
      <c r="A15" s="69" t="s">
        <v>36</v>
      </c>
      <c r="B15" s="69"/>
      <c r="C15" s="3" t="s">
        <v>67</v>
      </c>
      <c r="D15" s="69"/>
      <c r="E15" s="69"/>
    </row>
    <row r="16" spans="1:5" x14ac:dyDescent="0.2">
      <c r="A16" s="69" t="s">
        <v>37</v>
      </c>
      <c r="B16" s="4" t="s">
        <v>38</v>
      </c>
      <c r="C16" s="3" t="s">
        <v>73</v>
      </c>
      <c r="D16" s="69"/>
      <c r="E16" s="69"/>
    </row>
    <row r="17" spans="1:5" ht="24" x14ac:dyDescent="0.2">
      <c r="A17" s="69"/>
      <c r="B17" s="4" t="s">
        <v>75</v>
      </c>
      <c r="C17" s="3" t="s">
        <v>77</v>
      </c>
      <c r="D17" s="69"/>
      <c r="E17" s="69"/>
    </row>
    <row r="18" spans="1:5" ht="24" x14ac:dyDescent="0.2">
      <c r="A18" s="69"/>
      <c r="B18" s="4" t="s">
        <v>39</v>
      </c>
      <c r="C18" s="3" t="s">
        <v>87</v>
      </c>
      <c r="D18" s="69"/>
      <c r="E18" s="69"/>
    </row>
    <row r="19" spans="1:5" x14ac:dyDescent="0.2">
      <c r="A19" s="69"/>
      <c r="B19" s="4" t="s">
        <v>68</v>
      </c>
      <c r="C19" s="3" t="s">
        <v>143</v>
      </c>
      <c r="D19" s="69"/>
      <c r="E19" s="69"/>
    </row>
    <row r="20" spans="1:5" x14ac:dyDescent="0.2">
      <c r="A20" s="69"/>
      <c r="B20" s="4" t="s">
        <v>141</v>
      </c>
      <c r="C20" s="3" t="s">
        <v>142</v>
      </c>
      <c r="D20" s="69"/>
      <c r="E20" s="69"/>
    </row>
    <row r="21" spans="1:5" x14ac:dyDescent="0.2">
      <c r="A21" s="69"/>
      <c r="B21" s="4" t="s">
        <v>69</v>
      </c>
      <c r="C21" s="3" t="s">
        <v>106</v>
      </c>
      <c r="D21" s="69"/>
      <c r="E21" s="69"/>
    </row>
    <row r="22" spans="1:5" ht="24" x14ac:dyDescent="0.2">
      <c r="A22" s="69"/>
      <c r="B22" s="4" t="s">
        <v>40</v>
      </c>
      <c r="C22" s="3" t="s">
        <v>86</v>
      </c>
      <c r="D22" s="69"/>
      <c r="E22" s="69"/>
    </row>
    <row r="23" spans="1:5" ht="24" x14ac:dyDescent="0.2">
      <c r="A23" s="69" t="s">
        <v>41</v>
      </c>
      <c r="B23" s="69"/>
      <c r="C23" s="3" t="s">
        <v>120</v>
      </c>
      <c r="D23" s="69"/>
      <c r="E23" s="69"/>
    </row>
    <row r="24" spans="1:5" ht="24" x14ac:dyDescent="0.2">
      <c r="A24" s="69" t="s">
        <v>42</v>
      </c>
      <c r="B24" s="4" t="s">
        <v>91</v>
      </c>
      <c r="C24" s="3" t="s">
        <v>88</v>
      </c>
      <c r="D24" s="69"/>
      <c r="E24" s="69"/>
    </row>
    <row r="25" spans="1:5" x14ac:dyDescent="0.2">
      <c r="A25" s="69"/>
      <c r="B25" s="4" t="s">
        <v>93</v>
      </c>
      <c r="C25" s="3" t="s">
        <v>132</v>
      </c>
      <c r="D25" s="69"/>
      <c r="E25" s="69"/>
    </row>
    <row r="26" spans="1:5" x14ac:dyDescent="0.2">
      <c r="A26" s="69"/>
      <c r="B26" s="4" t="s">
        <v>94</v>
      </c>
      <c r="C26" s="3" t="s">
        <v>102</v>
      </c>
      <c r="D26" s="69"/>
      <c r="E26" s="69"/>
    </row>
    <row r="27" spans="1:5" x14ac:dyDescent="0.2">
      <c r="A27" s="69"/>
      <c r="B27" s="4" t="s">
        <v>95</v>
      </c>
      <c r="C27" s="3" t="s">
        <v>105</v>
      </c>
      <c r="D27" s="69"/>
      <c r="E27" s="69"/>
    </row>
    <row r="28" spans="1:5" x14ac:dyDescent="0.2">
      <c r="A28" s="69"/>
      <c r="B28" s="4" t="s">
        <v>144</v>
      </c>
      <c r="C28" s="3" t="s">
        <v>105</v>
      </c>
      <c r="D28" s="69"/>
      <c r="E28" s="69"/>
    </row>
    <row r="29" spans="1:5" x14ac:dyDescent="0.2">
      <c r="A29" s="69"/>
      <c r="B29" s="4" t="s">
        <v>92</v>
      </c>
      <c r="C29" s="3" t="s">
        <v>102</v>
      </c>
      <c r="D29" s="69"/>
      <c r="E29" s="69"/>
    </row>
    <row r="30" spans="1:5" x14ac:dyDescent="0.2">
      <c r="A30" s="69"/>
      <c r="B30" s="4" t="s">
        <v>96</v>
      </c>
      <c r="C30" s="3" t="s">
        <v>137</v>
      </c>
      <c r="D30" s="69"/>
      <c r="E30" s="69"/>
    </row>
    <row r="31" spans="1:5" ht="36" x14ac:dyDescent="0.2">
      <c r="A31" s="69"/>
      <c r="B31" s="4" t="s">
        <v>72</v>
      </c>
      <c r="C31" s="3" t="s">
        <v>139</v>
      </c>
      <c r="D31" s="69"/>
      <c r="E31" s="69"/>
    </row>
    <row r="32" spans="1:5" ht="24" x14ac:dyDescent="0.2">
      <c r="A32" s="69"/>
      <c r="B32" s="6" t="s">
        <v>140</v>
      </c>
      <c r="C32" s="5" t="s">
        <v>99</v>
      </c>
      <c r="D32" s="69"/>
      <c r="E32" s="69"/>
    </row>
    <row r="33" spans="1:5" ht="24" x14ac:dyDescent="0.2">
      <c r="A33" s="69"/>
      <c r="B33" s="4" t="s">
        <v>43</v>
      </c>
      <c r="C33" s="3" t="s">
        <v>182</v>
      </c>
      <c r="D33" s="69"/>
      <c r="E33" s="69"/>
    </row>
    <row r="34" spans="1:5" x14ac:dyDescent="0.2">
      <c r="A34" s="69"/>
      <c r="B34" s="4" t="s">
        <v>44</v>
      </c>
      <c r="C34" s="3" t="s">
        <v>89</v>
      </c>
      <c r="D34" s="69"/>
      <c r="E34" s="69"/>
    </row>
    <row r="35" spans="1:5" x14ac:dyDescent="0.2">
      <c r="A35" s="69"/>
      <c r="B35" s="4" t="s">
        <v>45</v>
      </c>
      <c r="C35" s="3" t="s">
        <v>90</v>
      </c>
      <c r="D35" s="69"/>
      <c r="E35" s="69"/>
    </row>
    <row r="36" spans="1:5" ht="36" x14ac:dyDescent="0.2">
      <c r="A36" s="69" t="s">
        <v>46</v>
      </c>
      <c r="B36" s="69"/>
      <c r="C36" s="3" t="s">
        <v>47</v>
      </c>
      <c r="D36" s="69"/>
      <c r="E36" s="69"/>
    </row>
    <row r="37" spans="1:5" x14ac:dyDescent="0.2">
      <c r="A37" s="69" t="s">
        <v>48</v>
      </c>
      <c r="B37" s="69"/>
      <c r="C37" s="3" t="s">
        <v>49</v>
      </c>
      <c r="D37" s="69"/>
      <c r="E37" s="69"/>
    </row>
    <row r="38" spans="1:5" x14ac:dyDescent="0.2">
      <c r="A38" s="69" t="s">
        <v>129</v>
      </c>
      <c r="B38" s="69"/>
      <c r="C38" s="3" t="s">
        <v>50</v>
      </c>
      <c r="D38" s="69"/>
      <c r="E38" s="69"/>
    </row>
    <row r="39" spans="1:5" x14ac:dyDescent="0.2">
      <c r="A39" s="69" t="s">
        <v>128</v>
      </c>
      <c r="B39" s="69"/>
      <c r="C39" s="3" t="s">
        <v>127</v>
      </c>
      <c r="D39" s="69"/>
      <c r="E39" s="69"/>
    </row>
    <row r="40" spans="1:5" x14ac:dyDescent="0.2">
      <c r="A40" s="64" t="s">
        <v>124</v>
      </c>
      <c r="B40" s="65"/>
      <c r="C40" s="3" t="s">
        <v>288</v>
      </c>
      <c r="D40" s="64"/>
      <c r="E40" s="65"/>
    </row>
    <row r="41" spans="1:5" x14ac:dyDescent="0.2">
      <c r="A41" s="64" t="s">
        <v>125</v>
      </c>
      <c r="B41" s="65"/>
      <c r="C41" s="3" t="s">
        <v>289</v>
      </c>
      <c r="D41" s="64"/>
      <c r="E41" s="65"/>
    </row>
    <row r="42" spans="1:5" x14ac:dyDescent="0.2">
      <c r="A42" s="64" t="s">
        <v>126</v>
      </c>
      <c r="B42" s="65"/>
      <c r="C42" s="3" t="s">
        <v>195</v>
      </c>
      <c r="D42" s="64"/>
      <c r="E42" s="65"/>
    </row>
    <row r="43" spans="1:5" ht="24" x14ac:dyDescent="0.2">
      <c r="A43" s="69" t="s">
        <v>51</v>
      </c>
      <c r="B43" s="69"/>
      <c r="C43" s="3" t="s">
        <v>52</v>
      </c>
      <c r="D43" s="69"/>
      <c r="E43" s="69"/>
    </row>
    <row r="44" spans="1:5" x14ac:dyDescent="0.2">
      <c r="A44" s="69" t="s">
        <v>53</v>
      </c>
      <c r="B44" s="69"/>
      <c r="C44" s="3" t="s">
        <v>149</v>
      </c>
      <c r="D44" s="69"/>
      <c r="E44" s="69"/>
    </row>
    <row r="45" spans="1:5" ht="24" x14ac:dyDescent="0.2">
      <c r="A45" s="69" t="s">
        <v>54</v>
      </c>
      <c r="B45" s="69"/>
      <c r="C45" s="3" t="s">
        <v>436</v>
      </c>
      <c r="D45" s="69"/>
      <c r="E45" s="69"/>
    </row>
    <row r="46" spans="1:5" x14ac:dyDescent="0.2">
      <c r="A46" s="7"/>
      <c r="B46" s="8"/>
      <c r="C46" s="8"/>
      <c r="D46" s="8"/>
      <c r="E46" s="9"/>
    </row>
    <row r="47" spans="1:5" x14ac:dyDescent="0.2">
      <c r="A47" s="10" t="s">
        <v>58</v>
      </c>
      <c r="E47" s="11"/>
    </row>
    <row r="48" spans="1:5" x14ac:dyDescent="0.2">
      <c r="A48" s="70" t="s">
        <v>70</v>
      </c>
      <c r="B48" s="71"/>
      <c r="C48" s="71"/>
      <c r="D48" s="71"/>
      <c r="E48" s="72"/>
    </row>
    <row r="49" spans="1:5" x14ac:dyDescent="0.2">
      <c r="A49" s="70"/>
      <c r="B49" s="71"/>
      <c r="C49" s="71"/>
      <c r="D49" s="71"/>
      <c r="E49" s="72"/>
    </row>
    <row r="50" spans="1:5" x14ac:dyDescent="0.2">
      <c r="A50" s="70" t="s">
        <v>437</v>
      </c>
      <c r="B50" s="71"/>
      <c r="C50" s="71"/>
      <c r="D50" s="71"/>
      <c r="E50" s="72"/>
    </row>
    <row r="51" spans="1:5" x14ac:dyDescent="0.2">
      <c r="A51" s="70" t="s">
        <v>97</v>
      </c>
      <c r="B51" s="71"/>
      <c r="C51" s="71"/>
      <c r="D51" s="71"/>
      <c r="E51" s="72"/>
    </row>
    <row r="52" spans="1:5" x14ac:dyDescent="0.2">
      <c r="A52" s="70"/>
      <c r="B52" s="71"/>
      <c r="C52" s="71"/>
      <c r="D52" s="71"/>
      <c r="E52" s="72"/>
    </row>
    <row r="53" spans="1:5" x14ac:dyDescent="0.2">
      <c r="A53" s="70" t="s">
        <v>150</v>
      </c>
      <c r="B53" s="71"/>
      <c r="C53" s="71"/>
      <c r="D53" s="71"/>
      <c r="E53" s="72"/>
    </row>
    <row r="54" spans="1:5" ht="11.45" customHeight="1" x14ac:dyDescent="0.2">
      <c r="A54" s="70" t="s">
        <v>151</v>
      </c>
      <c r="B54" s="71"/>
      <c r="C54" s="71"/>
      <c r="D54" s="71"/>
      <c r="E54" s="72"/>
    </row>
    <row r="55" spans="1:5" x14ac:dyDescent="0.2">
      <c r="A55" s="66" t="s">
        <v>104</v>
      </c>
      <c r="B55" s="67"/>
      <c r="C55" s="67"/>
      <c r="D55" s="67"/>
      <c r="E55" s="68"/>
    </row>
  </sheetData>
  <mergeCells count="75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2"/>
    <mergeCell ref="D16:E16"/>
    <mergeCell ref="D17:E17"/>
    <mergeCell ref="D18:E18"/>
    <mergeCell ref="D19:E19"/>
    <mergeCell ref="D20:E20"/>
    <mergeCell ref="D21:E21"/>
    <mergeCell ref="D22:E22"/>
    <mergeCell ref="A23:B23"/>
    <mergeCell ref="D23:E23"/>
    <mergeCell ref="A24:A35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D35:E35"/>
    <mergeCell ref="A37:B37"/>
    <mergeCell ref="D37:E37"/>
    <mergeCell ref="A38:B38"/>
    <mergeCell ref="D38:E38"/>
    <mergeCell ref="A36:B36"/>
    <mergeCell ref="D36:E36"/>
    <mergeCell ref="A39:B39"/>
    <mergeCell ref="D39:E39"/>
    <mergeCell ref="A40:B40"/>
    <mergeCell ref="D40:E40"/>
    <mergeCell ref="A41:B41"/>
    <mergeCell ref="D41:E41"/>
    <mergeCell ref="A42:B42"/>
    <mergeCell ref="D42:E42"/>
    <mergeCell ref="A55:E55"/>
    <mergeCell ref="A43:B43"/>
    <mergeCell ref="D43:E43"/>
    <mergeCell ref="A44:B44"/>
    <mergeCell ref="D44:E44"/>
    <mergeCell ref="A45:B45"/>
    <mergeCell ref="D45:E45"/>
    <mergeCell ref="A48:E49"/>
    <mergeCell ref="A50:E50"/>
    <mergeCell ref="A51:E52"/>
    <mergeCell ref="A53:E53"/>
    <mergeCell ref="A54:E54"/>
  </mergeCells>
  <conditionalFormatting sqref="B17">
    <cfRule type="duplicateValues" dxfId="493" priority="4"/>
  </conditionalFormatting>
  <conditionalFormatting sqref="B18">
    <cfRule type="duplicateValues" dxfId="492" priority="3"/>
  </conditionalFormatting>
  <conditionalFormatting sqref="B20">
    <cfRule type="duplicateValues" dxfId="491" priority="2"/>
  </conditionalFormatting>
  <conditionalFormatting sqref="B21">
    <cfRule type="duplicateValues" dxfId="490" priority="10"/>
  </conditionalFormatting>
  <conditionalFormatting sqref="B25">
    <cfRule type="duplicateValues" dxfId="489" priority="12"/>
  </conditionalFormatting>
  <conditionalFormatting sqref="B28">
    <cfRule type="duplicateValues" dxfId="488" priority="1"/>
  </conditionalFormatting>
  <conditionalFormatting sqref="B32">
    <cfRule type="duplicateValues" dxfId="487" priority="11"/>
  </conditionalFormatting>
  <conditionalFormatting sqref="B38">
    <cfRule type="duplicateValues" dxfId="486" priority="6"/>
  </conditionalFormatting>
  <conditionalFormatting sqref="B39">
    <cfRule type="duplicateValues" dxfId="485" priority="5"/>
  </conditionalFormatting>
  <conditionalFormatting sqref="B40">
    <cfRule type="duplicateValues" dxfId="484" priority="9"/>
  </conditionalFormatting>
  <conditionalFormatting sqref="B41">
    <cfRule type="duplicateValues" dxfId="483" priority="8"/>
  </conditionalFormatting>
  <conditionalFormatting sqref="B42">
    <cfRule type="duplicateValues" dxfId="482" priority="7"/>
  </conditionalFormatting>
  <conditionalFormatting sqref="B56:B1048576 B4:B10 B26:B27 B12:B16 B33:B37 B22:B24 B43:B47 B19 B29:B31">
    <cfRule type="duplicateValues" dxfId="481" priority="13"/>
  </conditionalFormatting>
  <pageMargins left="0.7" right="0.7" top="0.75" bottom="0.75" header="0.3" footer="0.3"/>
  <pageSetup paperSize="9" scale="88" orientation="portrait" horizontalDpi="4294967295" verticalDpi="4294967295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9C7837-6C40-4E38-8EC6-16DF764E5A2C}">
  <sheetPr codeName="Sheet33">
    <tabColor theme="4" tint="-0.249977111117893"/>
    <pageSetUpPr fitToPage="1"/>
  </sheetPr>
  <dimension ref="A1:E55"/>
  <sheetViews>
    <sheetView zoomScaleNormal="100" workbookViewId="0">
      <selection sqref="A1:B3"/>
    </sheetView>
  </sheetViews>
  <sheetFormatPr defaultColWidth="8.85546875" defaultRowHeight="12" x14ac:dyDescent="0.2"/>
  <cols>
    <col min="1" max="1" width="12.5703125" style="1" customWidth="1"/>
    <col min="2" max="2" width="13.42578125" style="1" bestFit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4" customFormat="1" ht="30" customHeight="1" x14ac:dyDescent="0.25">
      <c r="A1" s="77" t="e" vm="1">
        <v>#VALUE!</v>
      </c>
      <c r="B1" s="78"/>
      <c r="C1" s="83" t="s">
        <v>112</v>
      </c>
      <c r="D1" s="13" t="s">
        <v>110</v>
      </c>
      <c r="E1" s="13" t="s">
        <v>435</v>
      </c>
    </row>
    <row r="2" spans="1:5" s="14" customFormat="1" ht="30" customHeight="1" x14ac:dyDescent="0.25">
      <c r="A2" s="79"/>
      <c r="B2" s="80"/>
      <c r="C2" s="84"/>
      <c r="D2" s="15" t="s">
        <v>109</v>
      </c>
      <c r="E2" s="16" t="str">
        <f>VLOOKUP(C4,Index!B:J,9,FALSE)</f>
        <v>C0</v>
      </c>
    </row>
    <row r="3" spans="1:5" s="14" customFormat="1" ht="30" customHeight="1" x14ac:dyDescent="0.25">
      <c r="A3" s="81"/>
      <c r="B3" s="82"/>
      <c r="C3" s="85"/>
      <c r="D3" s="15" t="s">
        <v>111</v>
      </c>
      <c r="E3" s="17">
        <f>VLOOKUP(C4,Index!B:I,8,FALSE)</f>
        <v>342</v>
      </c>
    </row>
    <row r="4" spans="1:5" x14ac:dyDescent="0.2">
      <c r="A4" s="86" t="s">
        <v>74</v>
      </c>
      <c r="B4" s="86"/>
      <c r="C4" s="2" t="s">
        <v>216</v>
      </c>
      <c r="D4" s="86" t="s">
        <v>55</v>
      </c>
      <c r="E4" s="86"/>
    </row>
    <row r="5" spans="1:5" x14ac:dyDescent="0.2">
      <c r="A5" s="69" t="s">
        <v>26</v>
      </c>
      <c r="B5" s="69"/>
      <c r="C5" s="3" t="s">
        <v>10</v>
      </c>
      <c r="D5" s="69"/>
      <c r="E5" s="69"/>
    </row>
    <row r="6" spans="1:5" x14ac:dyDescent="0.2">
      <c r="A6" s="69" t="s">
        <v>27</v>
      </c>
      <c r="B6" s="69"/>
      <c r="C6" s="3" t="s">
        <v>78</v>
      </c>
      <c r="D6" s="69"/>
      <c r="E6" s="69"/>
    </row>
    <row r="7" spans="1:5" x14ac:dyDescent="0.2">
      <c r="A7" s="69" t="s">
        <v>28</v>
      </c>
      <c r="B7" s="69"/>
      <c r="C7" s="3" t="s">
        <v>82</v>
      </c>
      <c r="D7" s="69"/>
      <c r="E7" s="69"/>
    </row>
    <row r="8" spans="1:5" x14ac:dyDescent="0.2">
      <c r="A8" s="69" t="s">
        <v>29</v>
      </c>
      <c r="B8" s="69"/>
      <c r="C8" s="3" t="str">
        <f>VLOOKUP(C5,Index!N:W,6,FALSE)</f>
        <v>Glycol, FG, HC service</v>
      </c>
      <c r="D8" s="69"/>
      <c r="E8" s="69"/>
    </row>
    <row r="9" spans="1:5" x14ac:dyDescent="0.2">
      <c r="A9" s="69" t="s">
        <v>30</v>
      </c>
      <c r="B9" s="69"/>
      <c r="C9" s="3" t="s">
        <v>148</v>
      </c>
      <c r="D9" s="69"/>
      <c r="E9" s="69"/>
    </row>
    <row r="10" spans="1:5" x14ac:dyDescent="0.2">
      <c r="A10" s="69" t="s">
        <v>31</v>
      </c>
      <c r="B10" s="69"/>
      <c r="C10" s="3" t="s">
        <v>61</v>
      </c>
      <c r="D10" s="69"/>
      <c r="E10" s="69"/>
    </row>
    <row r="11" spans="1:5" x14ac:dyDescent="0.2">
      <c r="A11" s="73" t="s">
        <v>119</v>
      </c>
      <c r="B11" s="74"/>
      <c r="C11" s="12" t="str">
        <f>VLOOKUP(C5,Index!N:W,10,FALSE)</f>
        <v>153.2 @ -29°C' 131.4 @ 250°C</v>
      </c>
      <c r="D11" s="75"/>
      <c r="E11" s="76"/>
    </row>
    <row r="12" spans="1:5" x14ac:dyDescent="0.2">
      <c r="A12" s="69" t="s">
        <v>32</v>
      </c>
      <c r="B12" s="69"/>
      <c r="C12" s="3" t="str">
        <f>VLOOKUP(C5,Index!N:W,5,FALSE)</f>
        <v>3 mm</v>
      </c>
      <c r="D12" s="69"/>
      <c r="E12" s="69"/>
    </row>
    <row r="13" spans="1:5" ht="24" x14ac:dyDescent="0.2">
      <c r="A13" s="69" t="s">
        <v>33</v>
      </c>
      <c r="B13" s="69"/>
      <c r="C13" s="3" t="s">
        <v>98</v>
      </c>
      <c r="D13" s="69"/>
      <c r="E13" s="69"/>
    </row>
    <row r="14" spans="1:5" x14ac:dyDescent="0.2">
      <c r="A14" s="69" t="s">
        <v>35</v>
      </c>
      <c r="B14" s="69"/>
      <c r="C14" s="3" t="s">
        <v>62</v>
      </c>
      <c r="D14" s="69"/>
      <c r="E14" s="69"/>
    </row>
    <row r="15" spans="1:5" x14ac:dyDescent="0.2">
      <c r="A15" s="69" t="s">
        <v>36</v>
      </c>
      <c r="B15" s="69"/>
      <c r="C15" s="3" t="s">
        <v>67</v>
      </c>
      <c r="D15" s="69"/>
      <c r="E15" s="69"/>
    </row>
    <row r="16" spans="1:5" x14ac:dyDescent="0.2">
      <c r="A16" s="69" t="s">
        <v>37</v>
      </c>
      <c r="B16" s="4" t="s">
        <v>38</v>
      </c>
      <c r="C16" s="3" t="s">
        <v>73</v>
      </c>
      <c r="D16" s="69"/>
      <c r="E16" s="69"/>
    </row>
    <row r="17" spans="1:5" ht="24" x14ac:dyDescent="0.2">
      <c r="A17" s="69"/>
      <c r="B17" s="4" t="s">
        <v>75</v>
      </c>
      <c r="C17" s="3" t="s">
        <v>77</v>
      </c>
      <c r="D17" s="69"/>
      <c r="E17" s="69"/>
    </row>
    <row r="18" spans="1:5" ht="24" x14ac:dyDescent="0.2">
      <c r="A18" s="69"/>
      <c r="B18" s="4" t="s">
        <v>39</v>
      </c>
      <c r="C18" s="3" t="s">
        <v>87</v>
      </c>
      <c r="D18" s="69"/>
      <c r="E18" s="69"/>
    </row>
    <row r="19" spans="1:5" x14ac:dyDescent="0.2">
      <c r="A19" s="69"/>
      <c r="B19" s="4" t="s">
        <v>68</v>
      </c>
      <c r="C19" s="3" t="s">
        <v>143</v>
      </c>
      <c r="D19" s="69"/>
      <c r="E19" s="69"/>
    </row>
    <row r="20" spans="1:5" x14ac:dyDescent="0.2">
      <c r="A20" s="69"/>
      <c r="B20" s="4" t="s">
        <v>141</v>
      </c>
      <c r="C20" s="3" t="s">
        <v>142</v>
      </c>
      <c r="D20" s="69"/>
      <c r="E20" s="69"/>
    </row>
    <row r="21" spans="1:5" x14ac:dyDescent="0.2">
      <c r="A21" s="69"/>
      <c r="B21" s="4" t="s">
        <v>69</v>
      </c>
      <c r="C21" s="3" t="s">
        <v>106</v>
      </c>
      <c r="D21" s="69"/>
      <c r="E21" s="69"/>
    </row>
    <row r="22" spans="1:5" ht="24" x14ac:dyDescent="0.2">
      <c r="A22" s="69"/>
      <c r="B22" s="4" t="s">
        <v>40</v>
      </c>
      <c r="C22" s="3" t="s">
        <v>86</v>
      </c>
      <c r="D22" s="69"/>
      <c r="E22" s="69"/>
    </row>
    <row r="23" spans="1:5" ht="24" x14ac:dyDescent="0.2">
      <c r="A23" s="69" t="s">
        <v>41</v>
      </c>
      <c r="B23" s="69"/>
      <c r="C23" s="3" t="s">
        <v>123</v>
      </c>
      <c r="D23" s="69"/>
      <c r="E23" s="69"/>
    </row>
    <row r="24" spans="1:5" ht="24" x14ac:dyDescent="0.2">
      <c r="A24" s="69" t="s">
        <v>42</v>
      </c>
      <c r="B24" s="4" t="s">
        <v>91</v>
      </c>
      <c r="C24" s="3" t="s">
        <v>88</v>
      </c>
      <c r="D24" s="69"/>
      <c r="E24" s="69"/>
    </row>
    <row r="25" spans="1:5" x14ac:dyDescent="0.2">
      <c r="A25" s="69"/>
      <c r="B25" s="4" t="s">
        <v>93</v>
      </c>
      <c r="C25" s="3" t="s">
        <v>132</v>
      </c>
      <c r="D25" s="69"/>
      <c r="E25" s="69"/>
    </row>
    <row r="26" spans="1:5" x14ac:dyDescent="0.2">
      <c r="A26" s="69"/>
      <c r="B26" s="4" t="s">
        <v>94</v>
      </c>
      <c r="C26" s="3" t="s">
        <v>102</v>
      </c>
      <c r="D26" s="69"/>
      <c r="E26" s="69"/>
    </row>
    <row r="27" spans="1:5" x14ac:dyDescent="0.2">
      <c r="A27" s="69"/>
      <c r="B27" s="4" t="s">
        <v>95</v>
      </c>
      <c r="C27" s="3" t="s">
        <v>105</v>
      </c>
      <c r="D27" s="69"/>
      <c r="E27" s="69"/>
    </row>
    <row r="28" spans="1:5" x14ac:dyDescent="0.2">
      <c r="A28" s="69"/>
      <c r="B28" s="4" t="s">
        <v>144</v>
      </c>
      <c r="C28" s="3" t="s">
        <v>105</v>
      </c>
      <c r="D28" s="69"/>
      <c r="E28" s="69"/>
    </row>
    <row r="29" spans="1:5" x14ac:dyDescent="0.2">
      <c r="A29" s="69"/>
      <c r="B29" s="4" t="s">
        <v>92</v>
      </c>
      <c r="C29" s="3" t="s">
        <v>102</v>
      </c>
      <c r="D29" s="69"/>
      <c r="E29" s="69"/>
    </row>
    <row r="30" spans="1:5" x14ac:dyDescent="0.2">
      <c r="A30" s="69"/>
      <c r="B30" s="4" t="s">
        <v>96</v>
      </c>
      <c r="C30" s="3" t="s">
        <v>137</v>
      </c>
      <c r="D30" s="69"/>
      <c r="E30" s="69"/>
    </row>
    <row r="31" spans="1:5" ht="36" x14ac:dyDescent="0.2">
      <c r="A31" s="69"/>
      <c r="B31" s="4" t="s">
        <v>72</v>
      </c>
      <c r="C31" s="3" t="s">
        <v>139</v>
      </c>
      <c r="D31" s="69"/>
      <c r="E31" s="69"/>
    </row>
    <row r="32" spans="1:5" ht="24" x14ac:dyDescent="0.2">
      <c r="A32" s="69"/>
      <c r="B32" s="6" t="s">
        <v>140</v>
      </c>
      <c r="C32" s="5" t="s">
        <v>99</v>
      </c>
      <c r="D32" s="69"/>
      <c r="E32" s="69"/>
    </row>
    <row r="33" spans="1:5" ht="24" x14ac:dyDescent="0.2">
      <c r="A33" s="69"/>
      <c r="B33" s="4" t="s">
        <v>43</v>
      </c>
      <c r="C33" s="3" t="s">
        <v>183</v>
      </c>
      <c r="D33" s="69"/>
      <c r="E33" s="69"/>
    </row>
    <row r="34" spans="1:5" x14ac:dyDescent="0.2">
      <c r="A34" s="69"/>
      <c r="B34" s="4" t="s">
        <v>44</v>
      </c>
      <c r="C34" s="3" t="s">
        <v>89</v>
      </c>
      <c r="D34" s="69"/>
      <c r="E34" s="69"/>
    </row>
    <row r="35" spans="1:5" x14ac:dyDescent="0.2">
      <c r="A35" s="69"/>
      <c r="B35" s="4" t="s">
        <v>45</v>
      </c>
      <c r="C35" s="3" t="s">
        <v>90</v>
      </c>
      <c r="D35" s="69"/>
      <c r="E35" s="69"/>
    </row>
    <row r="36" spans="1:5" ht="36" x14ac:dyDescent="0.2">
      <c r="A36" s="69" t="s">
        <v>46</v>
      </c>
      <c r="B36" s="69"/>
      <c r="C36" s="3" t="s">
        <v>47</v>
      </c>
      <c r="D36" s="69"/>
      <c r="E36" s="69"/>
    </row>
    <row r="37" spans="1:5" x14ac:dyDescent="0.2">
      <c r="A37" s="69" t="s">
        <v>48</v>
      </c>
      <c r="B37" s="69"/>
      <c r="C37" s="3" t="s">
        <v>49</v>
      </c>
      <c r="D37" s="69"/>
      <c r="E37" s="69"/>
    </row>
    <row r="38" spans="1:5" x14ac:dyDescent="0.2">
      <c r="A38" s="69" t="s">
        <v>129</v>
      </c>
      <c r="B38" s="69"/>
      <c r="C38" s="3" t="s">
        <v>50</v>
      </c>
      <c r="D38" s="69"/>
      <c r="E38" s="69"/>
    </row>
    <row r="39" spans="1:5" x14ac:dyDescent="0.2">
      <c r="A39" s="69" t="s">
        <v>128</v>
      </c>
      <c r="B39" s="69"/>
      <c r="C39" s="3" t="s">
        <v>127</v>
      </c>
      <c r="D39" s="69"/>
      <c r="E39" s="69"/>
    </row>
    <row r="40" spans="1:5" x14ac:dyDescent="0.2">
      <c r="A40" s="64" t="s">
        <v>124</v>
      </c>
      <c r="B40" s="65"/>
      <c r="C40" s="3" t="s">
        <v>286</v>
      </c>
      <c r="D40" s="64"/>
      <c r="E40" s="65"/>
    </row>
    <row r="41" spans="1:5" x14ac:dyDescent="0.2">
      <c r="A41" s="64" t="s">
        <v>125</v>
      </c>
      <c r="B41" s="65"/>
      <c r="C41" s="3" t="s">
        <v>287</v>
      </c>
      <c r="D41" s="64"/>
      <c r="E41" s="65"/>
    </row>
    <row r="42" spans="1:5" x14ac:dyDescent="0.2">
      <c r="A42" s="64" t="s">
        <v>126</v>
      </c>
      <c r="B42" s="65"/>
      <c r="C42" s="3" t="s">
        <v>195</v>
      </c>
      <c r="D42" s="64"/>
      <c r="E42" s="65"/>
    </row>
    <row r="43" spans="1:5" ht="24" x14ac:dyDescent="0.2">
      <c r="A43" s="69" t="s">
        <v>51</v>
      </c>
      <c r="B43" s="69"/>
      <c r="C43" s="3" t="s">
        <v>52</v>
      </c>
      <c r="D43" s="69"/>
      <c r="E43" s="69"/>
    </row>
    <row r="44" spans="1:5" x14ac:dyDescent="0.2">
      <c r="A44" s="69" t="s">
        <v>53</v>
      </c>
      <c r="B44" s="69"/>
      <c r="C44" s="3" t="s">
        <v>149</v>
      </c>
      <c r="D44" s="69"/>
      <c r="E44" s="69"/>
    </row>
    <row r="45" spans="1:5" ht="24" x14ac:dyDescent="0.2">
      <c r="A45" s="69" t="s">
        <v>54</v>
      </c>
      <c r="B45" s="69"/>
      <c r="C45" s="3" t="s">
        <v>436</v>
      </c>
      <c r="D45" s="69"/>
      <c r="E45" s="69"/>
    </row>
    <row r="46" spans="1:5" x14ac:dyDescent="0.2">
      <c r="A46" s="7"/>
      <c r="B46" s="8"/>
      <c r="C46" s="8"/>
      <c r="D46" s="8"/>
      <c r="E46" s="9"/>
    </row>
    <row r="47" spans="1:5" x14ac:dyDescent="0.2">
      <c r="A47" s="10" t="s">
        <v>58</v>
      </c>
      <c r="E47" s="11"/>
    </row>
    <row r="48" spans="1:5" x14ac:dyDescent="0.2">
      <c r="A48" s="70" t="s">
        <v>70</v>
      </c>
      <c r="B48" s="71"/>
      <c r="C48" s="71"/>
      <c r="D48" s="71"/>
      <c r="E48" s="72"/>
    </row>
    <row r="49" spans="1:5" x14ac:dyDescent="0.2">
      <c r="A49" s="70"/>
      <c r="B49" s="71"/>
      <c r="C49" s="71"/>
      <c r="D49" s="71"/>
      <c r="E49" s="72"/>
    </row>
    <row r="50" spans="1:5" x14ac:dyDescent="0.2">
      <c r="A50" s="70" t="s">
        <v>437</v>
      </c>
      <c r="B50" s="71"/>
      <c r="C50" s="71"/>
      <c r="D50" s="71"/>
      <c r="E50" s="72"/>
    </row>
    <row r="51" spans="1:5" x14ac:dyDescent="0.2">
      <c r="A51" s="70" t="s">
        <v>97</v>
      </c>
      <c r="B51" s="71"/>
      <c r="C51" s="71"/>
      <c r="D51" s="71"/>
      <c r="E51" s="72"/>
    </row>
    <row r="52" spans="1:5" x14ac:dyDescent="0.2">
      <c r="A52" s="70"/>
      <c r="B52" s="71"/>
      <c r="C52" s="71"/>
      <c r="D52" s="71"/>
      <c r="E52" s="72"/>
    </row>
    <row r="53" spans="1:5" x14ac:dyDescent="0.2">
      <c r="A53" s="70" t="s">
        <v>150</v>
      </c>
      <c r="B53" s="71"/>
      <c r="C53" s="71"/>
      <c r="D53" s="71"/>
      <c r="E53" s="72"/>
    </row>
    <row r="54" spans="1:5" ht="11.45" customHeight="1" x14ac:dyDescent="0.2">
      <c r="A54" s="70" t="s">
        <v>151</v>
      </c>
      <c r="B54" s="71"/>
      <c r="C54" s="71"/>
      <c r="D54" s="71"/>
      <c r="E54" s="72"/>
    </row>
    <row r="55" spans="1:5" x14ac:dyDescent="0.2">
      <c r="A55" s="66" t="s">
        <v>104</v>
      </c>
      <c r="B55" s="67"/>
      <c r="C55" s="67"/>
      <c r="D55" s="67"/>
      <c r="E55" s="68"/>
    </row>
  </sheetData>
  <mergeCells count="75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2"/>
    <mergeCell ref="D16:E16"/>
    <mergeCell ref="D17:E17"/>
    <mergeCell ref="D18:E18"/>
    <mergeCell ref="D19:E19"/>
    <mergeCell ref="D20:E20"/>
    <mergeCell ref="D21:E21"/>
    <mergeCell ref="D22:E22"/>
    <mergeCell ref="A23:B23"/>
    <mergeCell ref="D23:E23"/>
    <mergeCell ref="A24:A35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D35:E35"/>
    <mergeCell ref="A37:B37"/>
    <mergeCell ref="D37:E37"/>
    <mergeCell ref="A38:B38"/>
    <mergeCell ref="D38:E38"/>
    <mergeCell ref="A36:B36"/>
    <mergeCell ref="D36:E36"/>
    <mergeCell ref="A39:B39"/>
    <mergeCell ref="D39:E39"/>
    <mergeCell ref="A40:B40"/>
    <mergeCell ref="D40:E40"/>
    <mergeCell ref="A41:B41"/>
    <mergeCell ref="D41:E41"/>
    <mergeCell ref="A42:B42"/>
    <mergeCell ref="D42:E42"/>
    <mergeCell ref="A55:E55"/>
    <mergeCell ref="A43:B43"/>
    <mergeCell ref="D43:E43"/>
    <mergeCell ref="A44:B44"/>
    <mergeCell ref="D44:E44"/>
    <mergeCell ref="A45:B45"/>
    <mergeCell ref="D45:E45"/>
    <mergeCell ref="A48:E49"/>
    <mergeCell ref="A50:E50"/>
    <mergeCell ref="A51:E52"/>
    <mergeCell ref="A53:E53"/>
    <mergeCell ref="A54:E54"/>
  </mergeCells>
  <conditionalFormatting sqref="B17">
    <cfRule type="duplicateValues" dxfId="480" priority="4"/>
  </conditionalFormatting>
  <conditionalFormatting sqref="B18">
    <cfRule type="duplicateValues" dxfId="479" priority="3"/>
  </conditionalFormatting>
  <conditionalFormatting sqref="B20">
    <cfRule type="duplicateValues" dxfId="478" priority="2"/>
  </conditionalFormatting>
  <conditionalFormatting sqref="B21">
    <cfRule type="duplicateValues" dxfId="477" priority="10"/>
  </conditionalFormatting>
  <conditionalFormatting sqref="B25">
    <cfRule type="duplicateValues" dxfId="476" priority="12"/>
  </conditionalFormatting>
  <conditionalFormatting sqref="B28">
    <cfRule type="duplicateValues" dxfId="475" priority="1"/>
  </conditionalFormatting>
  <conditionalFormatting sqref="B32">
    <cfRule type="duplicateValues" dxfId="474" priority="11"/>
  </conditionalFormatting>
  <conditionalFormatting sqref="B38">
    <cfRule type="duplicateValues" dxfId="473" priority="6"/>
  </conditionalFormatting>
  <conditionalFormatting sqref="B39">
    <cfRule type="duplicateValues" dxfId="472" priority="5"/>
  </conditionalFormatting>
  <conditionalFormatting sqref="B40">
    <cfRule type="duplicateValues" dxfId="471" priority="9"/>
  </conditionalFormatting>
  <conditionalFormatting sqref="B41">
    <cfRule type="duplicateValues" dxfId="470" priority="8"/>
  </conditionalFormatting>
  <conditionalFormatting sqref="B42">
    <cfRule type="duplicateValues" dxfId="469" priority="7"/>
  </conditionalFormatting>
  <conditionalFormatting sqref="B56:B1048576 B4:B10 B26:B27 B12:B16 B33:B37 B22:B24 B43:B47 B19 B29:B31">
    <cfRule type="duplicateValues" dxfId="468" priority="13"/>
  </conditionalFormatting>
  <pageMargins left="0.7" right="0.7" top="0.75" bottom="0.75" header="0.3" footer="0.3"/>
  <pageSetup paperSize="9" scale="88" orientation="portrait" horizontalDpi="4294967295" verticalDpi="4294967295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8C99D-EA94-480F-BD7C-FFB57FA4BCB1}">
  <sheetPr codeName="Sheet34">
    <tabColor theme="4" tint="-0.249977111117893"/>
    <pageSetUpPr fitToPage="1"/>
  </sheetPr>
  <dimension ref="A1:E55"/>
  <sheetViews>
    <sheetView zoomScaleNormal="100" workbookViewId="0">
      <selection sqref="A1:B3"/>
    </sheetView>
  </sheetViews>
  <sheetFormatPr defaultColWidth="8.85546875" defaultRowHeight="12" x14ac:dyDescent="0.2"/>
  <cols>
    <col min="1" max="1" width="12.5703125" style="1" customWidth="1"/>
    <col min="2" max="2" width="13.42578125" style="1" bestFit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4" customFormat="1" ht="30" customHeight="1" x14ac:dyDescent="0.25">
      <c r="A1" s="77" t="e" vm="1">
        <v>#VALUE!</v>
      </c>
      <c r="B1" s="78"/>
      <c r="C1" s="83" t="s">
        <v>112</v>
      </c>
      <c r="D1" s="13" t="s">
        <v>110</v>
      </c>
      <c r="E1" s="13" t="s">
        <v>435</v>
      </c>
    </row>
    <row r="2" spans="1:5" s="14" customFormat="1" ht="30" customHeight="1" x14ac:dyDescent="0.25">
      <c r="A2" s="79"/>
      <c r="B2" s="80"/>
      <c r="C2" s="84"/>
      <c r="D2" s="15" t="s">
        <v>109</v>
      </c>
      <c r="E2" s="16" t="str">
        <f>VLOOKUP(C4,Index!B:J,9,FALSE)</f>
        <v>C0</v>
      </c>
    </row>
    <row r="3" spans="1:5" s="14" customFormat="1" ht="30" customHeight="1" x14ac:dyDescent="0.25">
      <c r="A3" s="81"/>
      <c r="B3" s="82"/>
      <c r="C3" s="85"/>
      <c r="D3" s="15" t="s">
        <v>111</v>
      </c>
      <c r="E3" s="17">
        <f>VLOOKUP(C4,Index!B:I,8,FALSE)</f>
        <v>343</v>
      </c>
    </row>
    <row r="4" spans="1:5" x14ac:dyDescent="0.2">
      <c r="A4" s="86" t="s">
        <v>74</v>
      </c>
      <c r="B4" s="86"/>
      <c r="C4" s="2" t="s">
        <v>217</v>
      </c>
      <c r="D4" s="86" t="s">
        <v>55</v>
      </c>
      <c r="E4" s="86"/>
    </row>
    <row r="5" spans="1:5" x14ac:dyDescent="0.2">
      <c r="A5" s="69" t="s">
        <v>26</v>
      </c>
      <c r="B5" s="69"/>
      <c r="C5" s="3" t="s">
        <v>11</v>
      </c>
      <c r="D5" s="69"/>
      <c r="E5" s="69"/>
    </row>
    <row r="6" spans="1:5" x14ac:dyDescent="0.2">
      <c r="A6" s="69" t="s">
        <v>27</v>
      </c>
      <c r="B6" s="69"/>
      <c r="C6" s="3" t="s">
        <v>78</v>
      </c>
      <c r="D6" s="69"/>
      <c r="E6" s="69"/>
    </row>
    <row r="7" spans="1:5" x14ac:dyDescent="0.2">
      <c r="A7" s="69" t="s">
        <v>28</v>
      </c>
      <c r="B7" s="69"/>
      <c r="C7" s="3" t="s">
        <v>82</v>
      </c>
      <c r="D7" s="69"/>
      <c r="E7" s="69"/>
    </row>
    <row r="8" spans="1:5" x14ac:dyDescent="0.2">
      <c r="A8" s="69" t="s">
        <v>29</v>
      </c>
      <c r="B8" s="69"/>
      <c r="C8" s="3" t="str">
        <f>VLOOKUP(C5,Index!N:W,6,FALSE)</f>
        <v>Glycol, FG, HC service</v>
      </c>
      <c r="D8" s="69"/>
      <c r="E8" s="69"/>
    </row>
    <row r="9" spans="1:5" x14ac:dyDescent="0.2">
      <c r="A9" s="69" t="s">
        <v>30</v>
      </c>
      <c r="B9" s="69"/>
      <c r="C9" s="3" t="s">
        <v>148</v>
      </c>
      <c r="D9" s="69"/>
      <c r="E9" s="69"/>
    </row>
    <row r="10" spans="1:5" x14ac:dyDescent="0.2">
      <c r="A10" s="69" t="s">
        <v>31</v>
      </c>
      <c r="B10" s="69"/>
      <c r="C10" s="3" t="s">
        <v>63</v>
      </c>
      <c r="D10" s="69"/>
      <c r="E10" s="69"/>
    </row>
    <row r="11" spans="1:5" x14ac:dyDescent="0.2">
      <c r="A11" s="73" t="s">
        <v>119</v>
      </c>
      <c r="B11" s="74"/>
      <c r="C11" s="12" t="str">
        <f>VLOOKUP(C5,Index!N:W,10,FALSE)</f>
        <v>255.3 @ -29°C' 219 @ 200°C</v>
      </c>
      <c r="D11" s="75"/>
      <c r="E11" s="76"/>
    </row>
    <row r="12" spans="1:5" x14ac:dyDescent="0.2">
      <c r="A12" s="69" t="s">
        <v>32</v>
      </c>
      <c r="B12" s="69"/>
      <c r="C12" s="3" t="str">
        <f>VLOOKUP(C5,Index!N:W,5,FALSE)</f>
        <v>3 mm</v>
      </c>
      <c r="D12" s="69"/>
      <c r="E12" s="69"/>
    </row>
    <row r="13" spans="1:5" ht="24" x14ac:dyDescent="0.2">
      <c r="A13" s="69" t="s">
        <v>33</v>
      </c>
      <c r="B13" s="69"/>
      <c r="C13" s="3" t="s">
        <v>98</v>
      </c>
      <c r="D13" s="69"/>
      <c r="E13" s="69"/>
    </row>
    <row r="14" spans="1:5" ht="24" x14ac:dyDescent="0.2">
      <c r="A14" s="69" t="s">
        <v>35</v>
      </c>
      <c r="B14" s="69"/>
      <c r="C14" s="3" t="s">
        <v>316</v>
      </c>
      <c r="D14" s="69"/>
      <c r="E14" s="69"/>
    </row>
    <row r="15" spans="1:5" x14ac:dyDescent="0.2">
      <c r="A15" s="69" t="s">
        <v>36</v>
      </c>
      <c r="B15" s="69"/>
      <c r="C15" s="3" t="s">
        <v>67</v>
      </c>
      <c r="D15" s="69"/>
      <c r="E15" s="69"/>
    </row>
    <row r="16" spans="1:5" x14ac:dyDescent="0.2">
      <c r="A16" s="69" t="s">
        <v>37</v>
      </c>
      <c r="B16" s="4" t="s">
        <v>38</v>
      </c>
      <c r="C16" s="3" t="s">
        <v>73</v>
      </c>
      <c r="D16" s="69"/>
      <c r="E16" s="69"/>
    </row>
    <row r="17" spans="1:5" ht="24" x14ac:dyDescent="0.2">
      <c r="A17" s="69"/>
      <c r="B17" s="4" t="s">
        <v>75</v>
      </c>
      <c r="C17" s="3" t="s">
        <v>77</v>
      </c>
      <c r="D17" s="69"/>
      <c r="E17" s="69"/>
    </row>
    <row r="18" spans="1:5" ht="24" x14ac:dyDescent="0.2">
      <c r="A18" s="69"/>
      <c r="B18" s="4" t="s">
        <v>39</v>
      </c>
      <c r="C18" s="3" t="s">
        <v>87</v>
      </c>
      <c r="D18" s="69"/>
      <c r="E18" s="69"/>
    </row>
    <row r="19" spans="1:5" x14ac:dyDescent="0.2">
      <c r="A19" s="69"/>
      <c r="B19" s="4" t="s">
        <v>68</v>
      </c>
      <c r="C19" s="3" t="s">
        <v>143</v>
      </c>
      <c r="D19" s="69"/>
      <c r="E19" s="69"/>
    </row>
    <row r="20" spans="1:5" x14ac:dyDescent="0.2">
      <c r="A20" s="69"/>
      <c r="B20" s="4" t="s">
        <v>141</v>
      </c>
      <c r="C20" s="3" t="s">
        <v>142</v>
      </c>
      <c r="D20" s="69"/>
      <c r="E20" s="69"/>
    </row>
    <row r="21" spans="1:5" x14ac:dyDescent="0.2">
      <c r="A21" s="69"/>
      <c r="B21" s="4" t="s">
        <v>69</v>
      </c>
      <c r="C21" s="3" t="s">
        <v>106</v>
      </c>
      <c r="D21" s="69"/>
      <c r="E21" s="69"/>
    </row>
    <row r="22" spans="1:5" ht="24" x14ac:dyDescent="0.2">
      <c r="A22" s="69"/>
      <c r="B22" s="4" t="s">
        <v>40</v>
      </c>
      <c r="C22" s="3" t="s">
        <v>86</v>
      </c>
      <c r="D22" s="69"/>
      <c r="E22" s="69"/>
    </row>
    <row r="23" spans="1:5" ht="24" x14ac:dyDescent="0.2">
      <c r="A23" s="69" t="s">
        <v>41</v>
      </c>
      <c r="B23" s="69"/>
      <c r="C23" s="3" t="s">
        <v>122</v>
      </c>
      <c r="D23" s="69"/>
      <c r="E23" s="69"/>
    </row>
    <row r="24" spans="1:5" ht="24" x14ac:dyDescent="0.2">
      <c r="A24" s="69" t="s">
        <v>42</v>
      </c>
      <c r="B24" s="4" t="s">
        <v>91</v>
      </c>
      <c r="C24" s="3" t="s">
        <v>88</v>
      </c>
      <c r="D24" s="69"/>
      <c r="E24" s="69"/>
    </row>
    <row r="25" spans="1:5" x14ac:dyDescent="0.2">
      <c r="A25" s="69"/>
      <c r="B25" s="4" t="s">
        <v>93</v>
      </c>
      <c r="C25" s="3" t="s">
        <v>132</v>
      </c>
      <c r="D25" s="69"/>
      <c r="E25" s="69"/>
    </row>
    <row r="26" spans="1:5" x14ac:dyDescent="0.2">
      <c r="A26" s="69"/>
      <c r="B26" s="4" t="s">
        <v>94</v>
      </c>
      <c r="C26" s="3" t="s">
        <v>102</v>
      </c>
      <c r="D26" s="69"/>
      <c r="E26" s="69"/>
    </row>
    <row r="27" spans="1:5" x14ac:dyDescent="0.2">
      <c r="A27" s="69"/>
      <c r="B27" s="4" t="s">
        <v>95</v>
      </c>
      <c r="C27" s="3" t="s">
        <v>105</v>
      </c>
      <c r="D27" s="69"/>
      <c r="E27" s="69"/>
    </row>
    <row r="28" spans="1:5" x14ac:dyDescent="0.2">
      <c r="A28" s="69"/>
      <c r="B28" s="4" t="s">
        <v>144</v>
      </c>
      <c r="C28" s="3" t="s">
        <v>105</v>
      </c>
      <c r="D28" s="69"/>
      <c r="E28" s="69"/>
    </row>
    <row r="29" spans="1:5" x14ac:dyDescent="0.2">
      <c r="A29" s="69"/>
      <c r="B29" s="4" t="s">
        <v>92</v>
      </c>
      <c r="C29" s="3" t="s">
        <v>102</v>
      </c>
      <c r="D29" s="69"/>
      <c r="E29" s="69"/>
    </row>
    <row r="30" spans="1:5" x14ac:dyDescent="0.2">
      <c r="A30" s="69"/>
      <c r="B30" s="4" t="s">
        <v>96</v>
      </c>
      <c r="C30" s="3" t="s">
        <v>137</v>
      </c>
      <c r="D30" s="69"/>
      <c r="E30" s="69"/>
    </row>
    <row r="31" spans="1:5" ht="36" x14ac:dyDescent="0.2">
      <c r="A31" s="69"/>
      <c r="B31" s="4" t="s">
        <v>72</v>
      </c>
      <c r="C31" s="3" t="s">
        <v>139</v>
      </c>
      <c r="D31" s="69"/>
      <c r="E31" s="69"/>
    </row>
    <row r="32" spans="1:5" ht="24" x14ac:dyDescent="0.2">
      <c r="A32" s="69"/>
      <c r="B32" s="6" t="s">
        <v>140</v>
      </c>
      <c r="C32" s="5" t="s">
        <v>99</v>
      </c>
      <c r="D32" s="69"/>
      <c r="E32" s="69"/>
    </row>
    <row r="33" spans="1:5" ht="24" x14ac:dyDescent="0.2">
      <c r="A33" s="69"/>
      <c r="B33" s="4" t="s">
        <v>43</v>
      </c>
      <c r="C33" s="3" t="s">
        <v>183</v>
      </c>
      <c r="D33" s="69"/>
      <c r="E33" s="69"/>
    </row>
    <row r="34" spans="1:5" x14ac:dyDescent="0.2">
      <c r="A34" s="69"/>
      <c r="B34" s="4" t="s">
        <v>44</v>
      </c>
      <c r="C34" s="3" t="s">
        <v>89</v>
      </c>
      <c r="D34" s="69"/>
      <c r="E34" s="69"/>
    </row>
    <row r="35" spans="1:5" x14ac:dyDescent="0.2">
      <c r="A35" s="69"/>
      <c r="B35" s="4" t="s">
        <v>45</v>
      </c>
      <c r="C35" s="3" t="s">
        <v>90</v>
      </c>
      <c r="D35" s="69"/>
      <c r="E35" s="69"/>
    </row>
    <row r="36" spans="1:5" ht="36" x14ac:dyDescent="0.2">
      <c r="A36" s="69" t="s">
        <v>46</v>
      </c>
      <c r="B36" s="69"/>
      <c r="C36" s="3" t="s">
        <v>47</v>
      </c>
      <c r="D36" s="69"/>
      <c r="E36" s="69"/>
    </row>
    <row r="37" spans="1:5" x14ac:dyDescent="0.2">
      <c r="A37" s="69" t="s">
        <v>48</v>
      </c>
      <c r="B37" s="69"/>
      <c r="C37" s="3" t="s">
        <v>49</v>
      </c>
      <c r="D37" s="69"/>
      <c r="E37" s="69"/>
    </row>
    <row r="38" spans="1:5" x14ac:dyDescent="0.2">
      <c r="A38" s="69" t="s">
        <v>129</v>
      </c>
      <c r="B38" s="69"/>
      <c r="C38" s="3" t="s">
        <v>50</v>
      </c>
      <c r="D38" s="69"/>
      <c r="E38" s="69"/>
    </row>
    <row r="39" spans="1:5" x14ac:dyDescent="0.2">
      <c r="A39" s="69" t="s">
        <v>128</v>
      </c>
      <c r="B39" s="69"/>
      <c r="C39" s="3" t="s">
        <v>127</v>
      </c>
      <c r="D39" s="69"/>
      <c r="E39" s="69"/>
    </row>
    <row r="40" spans="1:5" x14ac:dyDescent="0.2">
      <c r="A40" s="64" t="s">
        <v>124</v>
      </c>
      <c r="B40" s="65"/>
      <c r="C40" s="3" t="s">
        <v>284</v>
      </c>
      <c r="D40" s="64"/>
      <c r="E40" s="65"/>
    </row>
    <row r="41" spans="1:5" x14ac:dyDescent="0.2">
      <c r="A41" s="64" t="s">
        <v>125</v>
      </c>
      <c r="B41" s="65"/>
      <c r="C41" s="3" t="s">
        <v>285</v>
      </c>
      <c r="D41" s="64"/>
      <c r="E41" s="65"/>
    </row>
    <row r="42" spans="1:5" x14ac:dyDescent="0.2">
      <c r="A42" s="64" t="s">
        <v>126</v>
      </c>
      <c r="B42" s="65"/>
      <c r="C42" s="3" t="s">
        <v>195</v>
      </c>
      <c r="D42" s="64"/>
      <c r="E42" s="65"/>
    </row>
    <row r="43" spans="1:5" ht="24" x14ac:dyDescent="0.2">
      <c r="A43" s="69" t="s">
        <v>51</v>
      </c>
      <c r="B43" s="69"/>
      <c r="C43" s="3" t="s">
        <v>52</v>
      </c>
      <c r="D43" s="69"/>
      <c r="E43" s="69"/>
    </row>
    <row r="44" spans="1:5" x14ac:dyDescent="0.2">
      <c r="A44" s="69" t="s">
        <v>53</v>
      </c>
      <c r="B44" s="69"/>
      <c r="C44" s="3" t="s">
        <v>149</v>
      </c>
      <c r="D44" s="69"/>
      <c r="E44" s="69"/>
    </row>
    <row r="45" spans="1:5" ht="24" x14ac:dyDescent="0.2">
      <c r="A45" s="69" t="s">
        <v>54</v>
      </c>
      <c r="B45" s="69"/>
      <c r="C45" s="3" t="s">
        <v>436</v>
      </c>
      <c r="D45" s="69"/>
      <c r="E45" s="69"/>
    </row>
    <row r="46" spans="1:5" x14ac:dyDescent="0.2">
      <c r="A46" s="7"/>
      <c r="B46" s="8"/>
      <c r="C46" s="8"/>
      <c r="D46" s="8"/>
      <c r="E46" s="9"/>
    </row>
    <row r="47" spans="1:5" x14ac:dyDescent="0.2">
      <c r="A47" s="10" t="s">
        <v>58</v>
      </c>
      <c r="E47" s="11"/>
    </row>
    <row r="48" spans="1:5" x14ac:dyDescent="0.2">
      <c r="A48" s="70" t="s">
        <v>70</v>
      </c>
      <c r="B48" s="71"/>
      <c r="C48" s="71"/>
      <c r="D48" s="71"/>
      <c r="E48" s="72"/>
    </row>
    <row r="49" spans="1:5" x14ac:dyDescent="0.2">
      <c r="A49" s="70"/>
      <c r="B49" s="71"/>
      <c r="C49" s="71"/>
      <c r="D49" s="71"/>
      <c r="E49" s="72"/>
    </row>
    <row r="50" spans="1:5" x14ac:dyDescent="0.2">
      <c r="A50" s="70" t="s">
        <v>437</v>
      </c>
      <c r="B50" s="71"/>
      <c r="C50" s="71"/>
      <c r="D50" s="71"/>
      <c r="E50" s="72"/>
    </row>
    <row r="51" spans="1:5" x14ac:dyDescent="0.2">
      <c r="A51" s="70" t="s">
        <v>97</v>
      </c>
      <c r="B51" s="71"/>
      <c r="C51" s="71"/>
      <c r="D51" s="71"/>
      <c r="E51" s="72"/>
    </row>
    <row r="52" spans="1:5" x14ac:dyDescent="0.2">
      <c r="A52" s="70"/>
      <c r="B52" s="71"/>
      <c r="C52" s="71"/>
      <c r="D52" s="71"/>
      <c r="E52" s="72"/>
    </row>
    <row r="53" spans="1:5" x14ac:dyDescent="0.2">
      <c r="A53" s="70" t="s">
        <v>150</v>
      </c>
      <c r="B53" s="71"/>
      <c r="C53" s="71"/>
      <c r="D53" s="71"/>
      <c r="E53" s="72"/>
    </row>
    <row r="54" spans="1:5" ht="11.45" customHeight="1" x14ac:dyDescent="0.2">
      <c r="A54" s="70" t="s">
        <v>151</v>
      </c>
      <c r="B54" s="71"/>
      <c r="C54" s="71"/>
      <c r="D54" s="71"/>
      <c r="E54" s="72"/>
    </row>
    <row r="55" spans="1:5" x14ac:dyDescent="0.2">
      <c r="A55" s="66" t="s">
        <v>104</v>
      </c>
      <c r="B55" s="67"/>
      <c r="C55" s="67"/>
      <c r="D55" s="67"/>
      <c r="E55" s="68"/>
    </row>
  </sheetData>
  <mergeCells count="75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2"/>
    <mergeCell ref="D16:E16"/>
    <mergeCell ref="D17:E17"/>
    <mergeCell ref="D18:E18"/>
    <mergeCell ref="D19:E19"/>
    <mergeCell ref="D20:E20"/>
    <mergeCell ref="D21:E21"/>
    <mergeCell ref="D22:E22"/>
    <mergeCell ref="A23:B23"/>
    <mergeCell ref="D23:E23"/>
    <mergeCell ref="A24:A35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D35:E35"/>
    <mergeCell ref="A37:B37"/>
    <mergeCell ref="D37:E37"/>
    <mergeCell ref="A38:B38"/>
    <mergeCell ref="D38:E38"/>
    <mergeCell ref="A36:B36"/>
    <mergeCell ref="D36:E36"/>
    <mergeCell ref="A39:B39"/>
    <mergeCell ref="D39:E39"/>
    <mergeCell ref="A40:B40"/>
    <mergeCell ref="D40:E40"/>
    <mergeCell ref="A41:B41"/>
    <mergeCell ref="D41:E41"/>
    <mergeCell ref="A42:B42"/>
    <mergeCell ref="D42:E42"/>
    <mergeCell ref="A55:E55"/>
    <mergeCell ref="A43:B43"/>
    <mergeCell ref="D43:E43"/>
    <mergeCell ref="A44:B44"/>
    <mergeCell ref="D44:E44"/>
    <mergeCell ref="A45:B45"/>
    <mergeCell ref="D45:E45"/>
    <mergeCell ref="A48:E49"/>
    <mergeCell ref="A50:E50"/>
    <mergeCell ref="A51:E52"/>
    <mergeCell ref="A53:E53"/>
    <mergeCell ref="A54:E54"/>
  </mergeCells>
  <conditionalFormatting sqref="B17">
    <cfRule type="duplicateValues" dxfId="467" priority="4"/>
  </conditionalFormatting>
  <conditionalFormatting sqref="B18">
    <cfRule type="duplicateValues" dxfId="466" priority="3"/>
  </conditionalFormatting>
  <conditionalFormatting sqref="B20">
    <cfRule type="duplicateValues" dxfId="465" priority="2"/>
  </conditionalFormatting>
  <conditionalFormatting sqref="B21">
    <cfRule type="duplicateValues" dxfId="464" priority="10"/>
  </conditionalFormatting>
  <conditionalFormatting sqref="B25">
    <cfRule type="duplicateValues" dxfId="463" priority="12"/>
  </conditionalFormatting>
  <conditionalFormatting sqref="B28">
    <cfRule type="duplicateValues" dxfId="462" priority="1"/>
  </conditionalFormatting>
  <conditionalFormatting sqref="B32">
    <cfRule type="duplicateValues" dxfId="461" priority="11"/>
  </conditionalFormatting>
  <conditionalFormatting sqref="B38">
    <cfRule type="duplicateValues" dxfId="460" priority="6"/>
  </conditionalFormatting>
  <conditionalFormatting sqref="B39">
    <cfRule type="duplicateValues" dxfId="459" priority="5"/>
  </conditionalFormatting>
  <conditionalFormatting sqref="B40">
    <cfRule type="duplicateValues" dxfId="458" priority="9"/>
  </conditionalFormatting>
  <conditionalFormatting sqref="B41">
    <cfRule type="duplicateValues" dxfId="457" priority="8"/>
  </conditionalFormatting>
  <conditionalFormatting sqref="B42">
    <cfRule type="duplicateValues" dxfId="456" priority="7"/>
  </conditionalFormatting>
  <conditionalFormatting sqref="B56:B1048576 B4:B10 B26:B27 B12:B16 B33:B37 B22:B24 B43:B47 B19 B29:B31">
    <cfRule type="duplicateValues" dxfId="455" priority="13"/>
  </conditionalFormatting>
  <pageMargins left="0.7" right="0.7" top="0.75" bottom="0.75" header="0.3" footer="0.3"/>
  <pageSetup paperSize="9" scale="88" orientation="portrait" horizontalDpi="4294967295" verticalDpi="4294967295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0E9393-625F-49DD-B9FA-8F0508C1FFF0}">
  <sheetPr codeName="Sheet35">
    <tabColor theme="4" tint="-0.249977111117893"/>
    <pageSetUpPr fitToPage="1"/>
  </sheetPr>
  <dimension ref="A1:E55"/>
  <sheetViews>
    <sheetView zoomScaleNormal="100" workbookViewId="0">
      <selection sqref="A1:B3"/>
    </sheetView>
  </sheetViews>
  <sheetFormatPr defaultColWidth="8.85546875" defaultRowHeight="12" x14ac:dyDescent="0.2"/>
  <cols>
    <col min="1" max="1" width="12.5703125" style="1" customWidth="1"/>
    <col min="2" max="2" width="13.42578125" style="1" bestFit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4" customFormat="1" ht="30" customHeight="1" x14ac:dyDescent="0.25">
      <c r="A1" s="77" t="e" vm="1">
        <v>#VALUE!</v>
      </c>
      <c r="B1" s="78"/>
      <c r="C1" s="83" t="s">
        <v>112</v>
      </c>
      <c r="D1" s="13" t="s">
        <v>110</v>
      </c>
      <c r="E1" s="13" t="s">
        <v>435</v>
      </c>
    </row>
    <row r="2" spans="1:5" s="14" customFormat="1" ht="30" customHeight="1" x14ac:dyDescent="0.25">
      <c r="A2" s="79"/>
      <c r="B2" s="80"/>
      <c r="C2" s="84"/>
      <c r="D2" s="15" t="s">
        <v>109</v>
      </c>
      <c r="E2" s="16" t="str">
        <f>VLOOKUP(C4,Index!B:J,9,FALSE)</f>
        <v>C0</v>
      </c>
    </row>
    <row r="3" spans="1:5" s="14" customFormat="1" ht="30" customHeight="1" x14ac:dyDescent="0.25">
      <c r="A3" s="81"/>
      <c r="B3" s="82"/>
      <c r="C3" s="85"/>
      <c r="D3" s="15" t="s">
        <v>111</v>
      </c>
      <c r="E3" s="17">
        <f>VLOOKUP(C4,Index!B:I,8,FALSE)</f>
        <v>344</v>
      </c>
    </row>
    <row r="4" spans="1:5" x14ac:dyDescent="0.2">
      <c r="A4" s="86" t="s">
        <v>74</v>
      </c>
      <c r="B4" s="86"/>
      <c r="C4" s="2" t="s">
        <v>218</v>
      </c>
      <c r="D4" s="86" t="s">
        <v>55</v>
      </c>
      <c r="E4" s="86"/>
    </row>
    <row r="5" spans="1:5" x14ac:dyDescent="0.2">
      <c r="A5" s="69" t="s">
        <v>26</v>
      </c>
      <c r="B5" s="69"/>
      <c r="C5" s="3" t="s">
        <v>12</v>
      </c>
      <c r="D5" s="69"/>
      <c r="E5" s="69"/>
    </row>
    <row r="6" spans="1:5" x14ac:dyDescent="0.2">
      <c r="A6" s="69" t="s">
        <v>27</v>
      </c>
      <c r="B6" s="69"/>
      <c r="C6" s="3" t="s">
        <v>78</v>
      </c>
      <c r="D6" s="69"/>
      <c r="E6" s="69"/>
    </row>
    <row r="7" spans="1:5" x14ac:dyDescent="0.2">
      <c r="A7" s="69" t="s">
        <v>28</v>
      </c>
      <c r="B7" s="69"/>
      <c r="C7" s="3" t="s">
        <v>82</v>
      </c>
      <c r="D7" s="69"/>
      <c r="E7" s="69"/>
    </row>
    <row r="8" spans="1:5" x14ac:dyDescent="0.2">
      <c r="A8" s="69" t="s">
        <v>29</v>
      </c>
      <c r="B8" s="69"/>
      <c r="C8" s="3" t="str">
        <f>VLOOKUP(C5,Index!N:W,6,FALSE)</f>
        <v>Glycol, FG, HC service</v>
      </c>
      <c r="D8" s="69"/>
      <c r="E8" s="69"/>
    </row>
    <row r="9" spans="1:5" x14ac:dyDescent="0.2">
      <c r="A9" s="69" t="s">
        <v>30</v>
      </c>
      <c r="B9" s="69"/>
      <c r="C9" s="3" t="s">
        <v>148</v>
      </c>
      <c r="D9" s="69"/>
      <c r="E9" s="69"/>
    </row>
    <row r="10" spans="1:5" x14ac:dyDescent="0.2">
      <c r="A10" s="69" t="s">
        <v>31</v>
      </c>
      <c r="B10" s="69"/>
      <c r="C10" s="3" t="s">
        <v>64</v>
      </c>
      <c r="D10" s="69"/>
      <c r="E10" s="69"/>
    </row>
    <row r="11" spans="1:5" x14ac:dyDescent="0.2">
      <c r="A11" s="73" t="s">
        <v>119</v>
      </c>
      <c r="B11" s="74"/>
      <c r="C11" s="12" t="str">
        <f>VLOOKUP(C5,Index!N:W,10,FALSE)</f>
        <v>399.8 @ -29°C' 342.9 @ 200°C</v>
      </c>
      <c r="D11" s="75"/>
      <c r="E11" s="76"/>
    </row>
    <row r="12" spans="1:5" x14ac:dyDescent="0.2">
      <c r="A12" s="69" t="s">
        <v>32</v>
      </c>
      <c r="B12" s="69"/>
      <c r="C12" s="3" t="str">
        <f>VLOOKUP(C5,Index!N:W,5,FALSE)</f>
        <v>3 mm</v>
      </c>
      <c r="D12" s="69"/>
      <c r="E12" s="69"/>
    </row>
    <row r="13" spans="1:5" ht="24" x14ac:dyDescent="0.2">
      <c r="A13" s="69" t="s">
        <v>33</v>
      </c>
      <c r="B13" s="69"/>
      <c r="C13" s="3" t="s">
        <v>98</v>
      </c>
      <c r="D13" s="69"/>
      <c r="E13" s="69"/>
    </row>
    <row r="14" spans="1:5" ht="24" x14ac:dyDescent="0.2">
      <c r="A14" s="69" t="s">
        <v>35</v>
      </c>
      <c r="B14" s="69"/>
      <c r="C14" s="3" t="s">
        <v>316</v>
      </c>
      <c r="D14" s="69"/>
      <c r="E14" s="69"/>
    </row>
    <row r="15" spans="1:5" x14ac:dyDescent="0.2">
      <c r="A15" s="69" t="s">
        <v>36</v>
      </c>
      <c r="B15" s="69"/>
      <c r="C15" s="3" t="s">
        <v>67</v>
      </c>
      <c r="D15" s="69"/>
      <c r="E15" s="69"/>
    </row>
    <row r="16" spans="1:5" x14ac:dyDescent="0.2">
      <c r="A16" s="69" t="s">
        <v>37</v>
      </c>
      <c r="B16" s="4" t="s">
        <v>38</v>
      </c>
      <c r="C16" s="3" t="s">
        <v>73</v>
      </c>
      <c r="D16" s="69"/>
      <c r="E16" s="69"/>
    </row>
    <row r="17" spans="1:5" ht="24" x14ac:dyDescent="0.2">
      <c r="A17" s="69"/>
      <c r="B17" s="4" t="s">
        <v>75</v>
      </c>
      <c r="C17" s="3" t="s">
        <v>77</v>
      </c>
      <c r="D17" s="69"/>
      <c r="E17" s="69"/>
    </row>
    <row r="18" spans="1:5" ht="24" x14ac:dyDescent="0.2">
      <c r="A18" s="69"/>
      <c r="B18" s="4" t="s">
        <v>39</v>
      </c>
      <c r="C18" s="3" t="s">
        <v>87</v>
      </c>
      <c r="D18" s="69"/>
      <c r="E18" s="69"/>
    </row>
    <row r="19" spans="1:5" x14ac:dyDescent="0.2">
      <c r="A19" s="69"/>
      <c r="B19" s="4" t="s">
        <v>68</v>
      </c>
      <c r="C19" s="3" t="s">
        <v>143</v>
      </c>
      <c r="D19" s="69"/>
      <c r="E19" s="69"/>
    </row>
    <row r="20" spans="1:5" x14ac:dyDescent="0.2">
      <c r="A20" s="69"/>
      <c r="B20" s="4" t="s">
        <v>141</v>
      </c>
      <c r="C20" s="3" t="s">
        <v>142</v>
      </c>
      <c r="D20" s="69"/>
      <c r="E20" s="69"/>
    </row>
    <row r="21" spans="1:5" x14ac:dyDescent="0.2">
      <c r="A21" s="69"/>
      <c r="B21" s="4" t="s">
        <v>69</v>
      </c>
      <c r="C21" s="3" t="s">
        <v>106</v>
      </c>
      <c r="D21" s="69"/>
      <c r="E21" s="69"/>
    </row>
    <row r="22" spans="1:5" ht="24" x14ac:dyDescent="0.2">
      <c r="A22" s="69"/>
      <c r="B22" s="4" t="s">
        <v>40</v>
      </c>
      <c r="C22" s="3" t="s">
        <v>86</v>
      </c>
      <c r="D22" s="69"/>
      <c r="E22" s="69"/>
    </row>
    <row r="23" spans="1:5" ht="24" x14ac:dyDescent="0.2">
      <c r="A23" s="69" t="s">
        <v>41</v>
      </c>
      <c r="B23" s="69"/>
      <c r="C23" s="3" t="s">
        <v>122</v>
      </c>
      <c r="D23" s="69"/>
      <c r="E23" s="69"/>
    </row>
    <row r="24" spans="1:5" ht="24" x14ac:dyDescent="0.2">
      <c r="A24" s="69" t="s">
        <v>42</v>
      </c>
      <c r="B24" s="4" t="s">
        <v>91</v>
      </c>
      <c r="C24" s="3" t="s">
        <v>88</v>
      </c>
      <c r="D24" s="69"/>
      <c r="E24" s="69"/>
    </row>
    <row r="25" spans="1:5" x14ac:dyDescent="0.2">
      <c r="A25" s="69"/>
      <c r="B25" s="4" t="s">
        <v>93</v>
      </c>
      <c r="C25" s="3" t="s">
        <v>132</v>
      </c>
      <c r="D25" s="69"/>
      <c r="E25" s="69"/>
    </row>
    <row r="26" spans="1:5" x14ac:dyDescent="0.2">
      <c r="A26" s="69"/>
      <c r="B26" s="4" t="s">
        <v>94</v>
      </c>
      <c r="C26" s="3" t="s">
        <v>102</v>
      </c>
      <c r="D26" s="69"/>
      <c r="E26" s="69"/>
    </row>
    <row r="27" spans="1:5" x14ac:dyDescent="0.2">
      <c r="A27" s="69"/>
      <c r="B27" s="4" t="s">
        <v>95</v>
      </c>
      <c r="C27" s="3" t="s">
        <v>105</v>
      </c>
      <c r="D27" s="69"/>
      <c r="E27" s="69"/>
    </row>
    <row r="28" spans="1:5" x14ac:dyDescent="0.2">
      <c r="A28" s="69"/>
      <c r="B28" s="4" t="s">
        <v>144</v>
      </c>
      <c r="C28" s="3" t="s">
        <v>105</v>
      </c>
      <c r="D28" s="69"/>
      <c r="E28" s="69"/>
    </row>
    <row r="29" spans="1:5" x14ac:dyDescent="0.2">
      <c r="A29" s="69"/>
      <c r="B29" s="4" t="s">
        <v>92</v>
      </c>
      <c r="C29" s="3" t="s">
        <v>102</v>
      </c>
      <c r="D29" s="69"/>
      <c r="E29" s="69"/>
    </row>
    <row r="30" spans="1:5" x14ac:dyDescent="0.2">
      <c r="A30" s="69"/>
      <c r="B30" s="4" t="s">
        <v>96</v>
      </c>
      <c r="C30" s="3" t="s">
        <v>137</v>
      </c>
      <c r="D30" s="69"/>
      <c r="E30" s="69"/>
    </row>
    <row r="31" spans="1:5" ht="36" x14ac:dyDescent="0.2">
      <c r="A31" s="69"/>
      <c r="B31" s="4" t="s">
        <v>72</v>
      </c>
      <c r="C31" s="3" t="s">
        <v>139</v>
      </c>
      <c r="D31" s="69"/>
      <c r="E31" s="69"/>
    </row>
    <row r="32" spans="1:5" ht="24" x14ac:dyDescent="0.2">
      <c r="A32" s="69"/>
      <c r="B32" s="6" t="s">
        <v>140</v>
      </c>
      <c r="C32" s="5" t="s">
        <v>99</v>
      </c>
      <c r="D32" s="69"/>
      <c r="E32" s="69"/>
    </row>
    <row r="33" spans="1:5" ht="24" x14ac:dyDescent="0.2">
      <c r="A33" s="69"/>
      <c r="B33" s="4" t="s">
        <v>43</v>
      </c>
      <c r="C33" s="3" t="s">
        <v>183</v>
      </c>
      <c r="D33" s="69"/>
      <c r="E33" s="69"/>
    </row>
    <row r="34" spans="1:5" x14ac:dyDescent="0.2">
      <c r="A34" s="69"/>
      <c r="B34" s="4" t="s">
        <v>44</v>
      </c>
      <c r="C34" s="3" t="s">
        <v>89</v>
      </c>
      <c r="D34" s="69"/>
      <c r="E34" s="69"/>
    </row>
    <row r="35" spans="1:5" x14ac:dyDescent="0.2">
      <c r="A35" s="69"/>
      <c r="B35" s="4" t="s">
        <v>45</v>
      </c>
      <c r="C35" s="3" t="s">
        <v>90</v>
      </c>
      <c r="D35" s="69"/>
      <c r="E35" s="69"/>
    </row>
    <row r="36" spans="1:5" ht="36" x14ac:dyDescent="0.2">
      <c r="A36" s="69" t="s">
        <v>46</v>
      </c>
      <c r="B36" s="69"/>
      <c r="C36" s="3" t="s">
        <v>47</v>
      </c>
      <c r="D36" s="69"/>
      <c r="E36" s="69"/>
    </row>
    <row r="37" spans="1:5" x14ac:dyDescent="0.2">
      <c r="A37" s="69" t="s">
        <v>48</v>
      </c>
      <c r="B37" s="69"/>
      <c r="C37" s="3" t="s">
        <v>49</v>
      </c>
      <c r="D37" s="69"/>
      <c r="E37" s="69"/>
    </row>
    <row r="38" spans="1:5" x14ac:dyDescent="0.2">
      <c r="A38" s="69" t="s">
        <v>129</v>
      </c>
      <c r="B38" s="69"/>
      <c r="C38" s="3" t="s">
        <v>50</v>
      </c>
      <c r="D38" s="69"/>
      <c r="E38" s="69"/>
    </row>
    <row r="39" spans="1:5" x14ac:dyDescent="0.2">
      <c r="A39" s="69" t="s">
        <v>128</v>
      </c>
      <c r="B39" s="69"/>
      <c r="C39" s="3" t="s">
        <v>127</v>
      </c>
      <c r="D39" s="69"/>
      <c r="E39" s="69"/>
    </row>
    <row r="40" spans="1:5" x14ac:dyDescent="0.2">
      <c r="A40" s="64" t="s">
        <v>124</v>
      </c>
      <c r="B40" s="65"/>
      <c r="C40" s="3" t="s">
        <v>282</v>
      </c>
      <c r="D40" s="64"/>
      <c r="E40" s="65"/>
    </row>
    <row r="41" spans="1:5" x14ac:dyDescent="0.2">
      <c r="A41" s="64" t="s">
        <v>125</v>
      </c>
      <c r="B41" s="65"/>
      <c r="C41" s="3" t="s">
        <v>283</v>
      </c>
      <c r="D41" s="64"/>
      <c r="E41" s="65"/>
    </row>
    <row r="42" spans="1:5" x14ac:dyDescent="0.2">
      <c r="A42" s="64" t="s">
        <v>126</v>
      </c>
      <c r="B42" s="65"/>
      <c r="C42" s="3" t="s">
        <v>195</v>
      </c>
      <c r="D42" s="64"/>
      <c r="E42" s="65"/>
    </row>
    <row r="43" spans="1:5" ht="24" x14ac:dyDescent="0.2">
      <c r="A43" s="69" t="s">
        <v>51</v>
      </c>
      <c r="B43" s="69"/>
      <c r="C43" s="3" t="s">
        <v>52</v>
      </c>
      <c r="D43" s="69"/>
      <c r="E43" s="69"/>
    </row>
    <row r="44" spans="1:5" x14ac:dyDescent="0.2">
      <c r="A44" s="69" t="s">
        <v>53</v>
      </c>
      <c r="B44" s="69"/>
      <c r="C44" s="3" t="s">
        <v>149</v>
      </c>
      <c r="D44" s="69"/>
      <c r="E44" s="69"/>
    </row>
    <row r="45" spans="1:5" ht="24" x14ac:dyDescent="0.2">
      <c r="A45" s="69" t="s">
        <v>54</v>
      </c>
      <c r="B45" s="69"/>
      <c r="C45" s="3" t="s">
        <v>436</v>
      </c>
      <c r="D45" s="69"/>
      <c r="E45" s="69"/>
    </row>
    <row r="46" spans="1:5" x14ac:dyDescent="0.2">
      <c r="A46" s="7"/>
      <c r="B46" s="8"/>
      <c r="C46" s="8"/>
      <c r="D46" s="8"/>
      <c r="E46" s="9"/>
    </row>
    <row r="47" spans="1:5" x14ac:dyDescent="0.2">
      <c r="A47" s="10" t="s">
        <v>58</v>
      </c>
      <c r="E47" s="11"/>
    </row>
    <row r="48" spans="1:5" x14ac:dyDescent="0.2">
      <c r="A48" s="70" t="s">
        <v>70</v>
      </c>
      <c r="B48" s="71"/>
      <c r="C48" s="71"/>
      <c r="D48" s="71"/>
      <c r="E48" s="72"/>
    </row>
    <row r="49" spans="1:5" x14ac:dyDescent="0.2">
      <c r="A49" s="70"/>
      <c r="B49" s="71"/>
      <c r="C49" s="71"/>
      <c r="D49" s="71"/>
      <c r="E49" s="72"/>
    </row>
    <row r="50" spans="1:5" x14ac:dyDescent="0.2">
      <c r="A50" s="70" t="s">
        <v>437</v>
      </c>
      <c r="B50" s="71"/>
      <c r="C50" s="71"/>
      <c r="D50" s="71"/>
      <c r="E50" s="72"/>
    </row>
    <row r="51" spans="1:5" x14ac:dyDescent="0.2">
      <c r="A51" s="70" t="s">
        <v>97</v>
      </c>
      <c r="B51" s="71"/>
      <c r="C51" s="71"/>
      <c r="D51" s="71"/>
      <c r="E51" s="72"/>
    </row>
    <row r="52" spans="1:5" x14ac:dyDescent="0.2">
      <c r="A52" s="70"/>
      <c r="B52" s="71"/>
      <c r="C52" s="71"/>
      <c r="D52" s="71"/>
      <c r="E52" s="72"/>
    </row>
    <row r="53" spans="1:5" x14ac:dyDescent="0.2">
      <c r="A53" s="70" t="s">
        <v>150</v>
      </c>
      <c r="B53" s="71"/>
      <c r="C53" s="71"/>
      <c r="D53" s="71"/>
      <c r="E53" s="72"/>
    </row>
    <row r="54" spans="1:5" ht="11.45" customHeight="1" x14ac:dyDescent="0.2">
      <c r="A54" s="70" t="s">
        <v>151</v>
      </c>
      <c r="B54" s="71"/>
      <c r="C54" s="71"/>
      <c r="D54" s="71"/>
      <c r="E54" s="72"/>
    </row>
    <row r="55" spans="1:5" x14ac:dyDescent="0.2">
      <c r="A55" s="66" t="s">
        <v>104</v>
      </c>
      <c r="B55" s="67"/>
      <c r="C55" s="67"/>
      <c r="D55" s="67"/>
      <c r="E55" s="68"/>
    </row>
  </sheetData>
  <mergeCells count="75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2"/>
    <mergeCell ref="D16:E16"/>
    <mergeCell ref="D17:E17"/>
    <mergeCell ref="D18:E18"/>
    <mergeCell ref="D19:E19"/>
    <mergeCell ref="D20:E20"/>
    <mergeCell ref="D21:E21"/>
    <mergeCell ref="D22:E22"/>
    <mergeCell ref="A23:B23"/>
    <mergeCell ref="D23:E23"/>
    <mergeCell ref="A24:A35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D35:E35"/>
    <mergeCell ref="A37:B37"/>
    <mergeCell ref="D37:E37"/>
    <mergeCell ref="A38:B38"/>
    <mergeCell ref="D38:E38"/>
    <mergeCell ref="A36:B36"/>
    <mergeCell ref="D36:E36"/>
    <mergeCell ref="A39:B39"/>
    <mergeCell ref="D39:E39"/>
    <mergeCell ref="A40:B40"/>
    <mergeCell ref="D40:E40"/>
    <mergeCell ref="A41:B41"/>
    <mergeCell ref="D41:E41"/>
    <mergeCell ref="A42:B42"/>
    <mergeCell ref="D42:E42"/>
    <mergeCell ref="A55:E55"/>
    <mergeCell ref="A43:B43"/>
    <mergeCell ref="D43:E43"/>
    <mergeCell ref="A44:B44"/>
    <mergeCell ref="D44:E44"/>
    <mergeCell ref="A45:B45"/>
    <mergeCell ref="D45:E45"/>
    <mergeCell ref="A48:E49"/>
    <mergeCell ref="A50:E50"/>
    <mergeCell ref="A51:E52"/>
    <mergeCell ref="A53:E53"/>
    <mergeCell ref="A54:E54"/>
  </mergeCells>
  <conditionalFormatting sqref="B17">
    <cfRule type="duplicateValues" dxfId="454" priority="4"/>
  </conditionalFormatting>
  <conditionalFormatting sqref="B18">
    <cfRule type="duplicateValues" dxfId="453" priority="3"/>
  </conditionalFormatting>
  <conditionalFormatting sqref="B20">
    <cfRule type="duplicateValues" dxfId="452" priority="2"/>
  </conditionalFormatting>
  <conditionalFormatting sqref="B21">
    <cfRule type="duplicateValues" dxfId="451" priority="10"/>
  </conditionalFormatting>
  <conditionalFormatting sqref="B25">
    <cfRule type="duplicateValues" dxfId="450" priority="12"/>
  </conditionalFormatting>
  <conditionalFormatting sqref="B28">
    <cfRule type="duplicateValues" dxfId="449" priority="1"/>
  </conditionalFormatting>
  <conditionalFormatting sqref="B32">
    <cfRule type="duplicateValues" dxfId="448" priority="11"/>
  </conditionalFormatting>
  <conditionalFormatting sqref="B38">
    <cfRule type="duplicateValues" dxfId="447" priority="6"/>
  </conditionalFormatting>
  <conditionalFormatting sqref="B39">
    <cfRule type="duplicateValues" dxfId="446" priority="5"/>
  </conditionalFormatting>
  <conditionalFormatting sqref="B40">
    <cfRule type="duplicateValues" dxfId="445" priority="9"/>
  </conditionalFormatting>
  <conditionalFormatting sqref="B41">
    <cfRule type="duplicateValues" dxfId="444" priority="8"/>
  </conditionalFormatting>
  <conditionalFormatting sqref="B42">
    <cfRule type="duplicateValues" dxfId="443" priority="7"/>
  </conditionalFormatting>
  <conditionalFormatting sqref="B56:B1048576 B4:B10 B26:B27 B12:B16 B33:B37 B22:B24 B43:B47 B19 B29:B31">
    <cfRule type="duplicateValues" dxfId="442" priority="13"/>
  </conditionalFormatting>
  <pageMargins left="0.7" right="0.7" top="0.75" bottom="0.75" header="0.3" footer="0.3"/>
  <pageSetup paperSize="9" scale="88" orientation="portrait" horizontalDpi="4294967295" verticalDpi="4294967295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D301E6-A0A8-458F-BBF0-A849D367C1AE}">
  <sheetPr codeName="Sheet37">
    <tabColor theme="4" tint="-0.249977111117893"/>
    <pageSetUpPr fitToPage="1"/>
  </sheetPr>
  <dimension ref="A1:E55"/>
  <sheetViews>
    <sheetView zoomScaleNormal="100" workbookViewId="0">
      <selection sqref="A1:B3"/>
    </sheetView>
  </sheetViews>
  <sheetFormatPr defaultColWidth="8.85546875" defaultRowHeight="12" x14ac:dyDescent="0.2"/>
  <cols>
    <col min="1" max="1" width="12.5703125" style="1" customWidth="1"/>
    <col min="2" max="2" width="13.42578125" style="1" bestFit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4" customFormat="1" ht="30" customHeight="1" x14ac:dyDescent="0.25">
      <c r="A1" s="77" t="e" vm="1">
        <v>#VALUE!</v>
      </c>
      <c r="B1" s="78"/>
      <c r="C1" s="83" t="s">
        <v>112</v>
      </c>
      <c r="D1" s="13" t="s">
        <v>110</v>
      </c>
      <c r="E1" s="13" t="s">
        <v>435</v>
      </c>
    </row>
    <row r="2" spans="1:5" s="14" customFormat="1" ht="30" customHeight="1" x14ac:dyDescent="0.25">
      <c r="A2" s="79"/>
      <c r="B2" s="80"/>
      <c r="C2" s="84"/>
      <c r="D2" s="15" t="s">
        <v>109</v>
      </c>
      <c r="E2" s="16" t="str">
        <f>VLOOKUP(C4,Index!B:J,9,FALSE)</f>
        <v>C0</v>
      </c>
    </row>
    <row r="3" spans="1:5" s="14" customFormat="1" ht="30" customHeight="1" x14ac:dyDescent="0.25">
      <c r="A3" s="81"/>
      <c r="B3" s="82"/>
      <c r="C3" s="85"/>
      <c r="D3" s="15" t="s">
        <v>111</v>
      </c>
      <c r="E3" s="17">
        <f>VLOOKUP(C4,Index!B:I,8,FALSE)</f>
        <v>345</v>
      </c>
    </row>
    <row r="4" spans="1:5" x14ac:dyDescent="0.2">
      <c r="A4" s="86" t="s">
        <v>74</v>
      </c>
      <c r="B4" s="86"/>
      <c r="C4" s="2" t="s">
        <v>219</v>
      </c>
      <c r="D4" s="86" t="s">
        <v>55</v>
      </c>
      <c r="E4" s="86"/>
    </row>
    <row r="5" spans="1:5" x14ac:dyDescent="0.2">
      <c r="A5" s="69" t="s">
        <v>26</v>
      </c>
      <c r="B5" s="69"/>
      <c r="C5" s="3" t="s">
        <v>159</v>
      </c>
      <c r="D5" s="69"/>
      <c r="E5" s="69"/>
    </row>
    <row r="6" spans="1:5" x14ac:dyDescent="0.2">
      <c r="A6" s="69" t="s">
        <v>27</v>
      </c>
      <c r="B6" s="69"/>
      <c r="C6" s="3" t="s">
        <v>78</v>
      </c>
      <c r="D6" s="69"/>
      <c r="E6" s="69"/>
    </row>
    <row r="7" spans="1:5" x14ac:dyDescent="0.2">
      <c r="A7" s="69" t="s">
        <v>28</v>
      </c>
      <c r="B7" s="69"/>
      <c r="C7" s="3" t="s">
        <v>82</v>
      </c>
      <c r="D7" s="69"/>
      <c r="E7" s="69"/>
    </row>
    <row r="8" spans="1:5" x14ac:dyDescent="0.2">
      <c r="A8" s="69" t="s">
        <v>29</v>
      </c>
      <c r="B8" s="69"/>
      <c r="C8" s="3" t="str">
        <f>VLOOKUP(C5,Index!N:W,6,FALSE)</f>
        <v>Corrosive HC service (Low Temp)</v>
      </c>
      <c r="D8" s="69"/>
      <c r="E8" s="69"/>
    </row>
    <row r="9" spans="1:5" x14ac:dyDescent="0.2">
      <c r="A9" s="69" t="s">
        <v>30</v>
      </c>
      <c r="B9" s="69"/>
      <c r="C9" s="3" t="s">
        <v>148</v>
      </c>
      <c r="D9" s="69"/>
      <c r="E9" s="69"/>
    </row>
    <row r="10" spans="1:5" x14ac:dyDescent="0.2">
      <c r="A10" s="69" t="s">
        <v>31</v>
      </c>
      <c r="B10" s="69"/>
      <c r="C10" s="3" t="s">
        <v>56</v>
      </c>
      <c r="D10" s="69"/>
      <c r="E10" s="69"/>
    </row>
    <row r="11" spans="1:5" x14ac:dyDescent="0.2">
      <c r="A11" s="73" t="s">
        <v>119</v>
      </c>
      <c r="B11" s="74"/>
      <c r="C11" s="12" t="str">
        <f>VLOOKUP(C5,Index!N:W,10,FALSE)</f>
        <v>19.6 @ -45°C' 13.8 @ 200°C</v>
      </c>
      <c r="D11" s="75"/>
      <c r="E11" s="76"/>
    </row>
    <row r="12" spans="1:5" x14ac:dyDescent="0.2">
      <c r="A12" s="69" t="s">
        <v>32</v>
      </c>
      <c r="B12" s="69"/>
      <c r="C12" s="3" t="str">
        <f>VLOOKUP(C5,Index!N:W,5,FALSE)</f>
        <v>6 mm</v>
      </c>
      <c r="D12" s="69"/>
      <c r="E12" s="69"/>
    </row>
    <row r="13" spans="1:5" ht="24" x14ac:dyDescent="0.2">
      <c r="A13" s="69" t="s">
        <v>33</v>
      </c>
      <c r="B13" s="69"/>
      <c r="C13" s="3" t="s">
        <v>98</v>
      </c>
      <c r="D13" s="69"/>
      <c r="E13" s="69"/>
    </row>
    <row r="14" spans="1:5" x14ac:dyDescent="0.2">
      <c r="A14" s="69" t="s">
        <v>35</v>
      </c>
      <c r="B14" s="69"/>
      <c r="C14" s="3" t="s">
        <v>245</v>
      </c>
      <c r="D14" s="69"/>
      <c r="E14" s="69"/>
    </row>
    <row r="15" spans="1:5" x14ac:dyDescent="0.2">
      <c r="A15" s="69" t="s">
        <v>36</v>
      </c>
      <c r="B15" s="69"/>
      <c r="C15" s="3" t="s">
        <v>67</v>
      </c>
      <c r="D15" s="69"/>
      <c r="E15" s="69"/>
    </row>
    <row r="16" spans="1:5" x14ac:dyDescent="0.2">
      <c r="A16" s="69" t="s">
        <v>37</v>
      </c>
      <c r="B16" s="4" t="s">
        <v>38</v>
      </c>
      <c r="C16" s="3" t="s">
        <v>73</v>
      </c>
      <c r="D16" s="69"/>
      <c r="E16" s="69"/>
    </row>
    <row r="17" spans="1:5" ht="24" x14ac:dyDescent="0.2">
      <c r="A17" s="69"/>
      <c r="B17" s="4" t="s">
        <v>75</v>
      </c>
      <c r="C17" s="3" t="s">
        <v>77</v>
      </c>
      <c r="D17" s="69"/>
      <c r="E17" s="69"/>
    </row>
    <row r="18" spans="1:5" ht="24" x14ac:dyDescent="0.2">
      <c r="A18" s="69"/>
      <c r="B18" s="4" t="s">
        <v>39</v>
      </c>
      <c r="C18" s="3" t="s">
        <v>87</v>
      </c>
      <c r="D18" s="69"/>
      <c r="E18" s="69"/>
    </row>
    <row r="19" spans="1:5" x14ac:dyDescent="0.2">
      <c r="A19" s="69"/>
      <c r="B19" s="4" t="s">
        <v>68</v>
      </c>
      <c r="C19" s="3" t="s">
        <v>143</v>
      </c>
      <c r="D19" s="69"/>
      <c r="E19" s="69"/>
    </row>
    <row r="20" spans="1:5" x14ac:dyDescent="0.2">
      <c r="A20" s="69"/>
      <c r="B20" s="4" t="s">
        <v>141</v>
      </c>
      <c r="C20" s="3" t="s">
        <v>142</v>
      </c>
      <c r="D20" s="69"/>
      <c r="E20" s="69"/>
    </row>
    <row r="21" spans="1:5" x14ac:dyDescent="0.2">
      <c r="A21" s="69"/>
      <c r="B21" s="4" t="s">
        <v>69</v>
      </c>
      <c r="C21" s="3" t="s">
        <v>106</v>
      </c>
      <c r="D21" s="69"/>
      <c r="E21" s="69"/>
    </row>
    <row r="22" spans="1:5" ht="24" x14ac:dyDescent="0.2">
      <c r="A22" s="69"/>
      <c r="B22" s="4" t="s">
        <v>40</v>
      </c>
      <c r="C22" s="3" t="s">
        <v>86</v>
      </c>
      <c r="D22" s="69"/>
      <c r="E22" s="69"/>
    </row>
    <row r="23" spans="1:5" ht="24" x14ac:dyDescent="0.2">
      <c r="A23" s="69" t="s">
        <v>41</v>
      </c>
      <c r="B23" s="69"/>
      <c r="C23" s="3" t="s">
        <v>121</v>
      </c>
      <c r="D23" s="69"/>
      <c r="E23" s="69"/>
    </row>
    <row r="24" spans="1:5" ht="24" x14ac:dyDescent="0.2">
      <c r="A24" s="69" t="s">
        <v>42</v>
      </c>
      <c r="B24" s="4" t="s">
        <v>91</v>
      </c>
      <c r="C24" s="3" t="s">
        <v>79</v>
      </c>
      <c r="D24" s="69"/>
      <c r="E24" s="69"/>
    </row>
    <row r="25" spans="1:5" x14ac:dyDescent="0.2">
      <c r="A25" s="69"/>
      <c r="B25" s="4" t="s">
        <v>93</v>
      </c>
      <c r="C25" s="3" t="s">
        <v>132</v>
      </c>
      <c r="D25" s="69"/>
      <c r="E25" s="69"/>
    </row>
    <row r="26" spans="1:5" x14ac:dyDescent="0.2">
      <c r="A26" s="69"/>
      <c r="B26" s="4" t="s">
        <v>94</v>
      </c>
      <c r="C26" s="3" t="s">
        <v>102</v>
      </c>
      <c r="D26" s="69"/>
      <c r="E26" s="69"/>
    </row>
    <row r="27" spans="1:5" x14ac:dyDescent="0.2">
      <c r="A27" s="69"/>
      <c r="B27" s="4" t="s">
        <v>95</v>
      </c>
      <c r="C27" s="3" t="s">
        <v>105</v>
      </c>
      <c r="D27" s="69"/>
      <c r="E27" s="69"/>
    </row>
    <row r="28" spans="1:5" x14ac:dyDescent="0.2">
      <c r="A28" s="69"/>
      <c r="B28" s="4" t="s">
        <v>144</v>
      </c>
      <c r="C28" s="3" t="s">
        <v>105</v>
      </c>
      <c r="D28" s="69"/>
      <c r="E28" s="69"/>
    </row>
    <row r="29" spans="1:5" x14ac:dyDescent="0.2">
      <c r="A29" s="69"/>
      <c r="B29" s="4" t="s">
        <v>92</v>
      </c>
      <c r="C29" s="3" t="s">
        <v>102</v>
      </c>
      <c r="D29" s="69"/>
      <c r="E29" s="69"/>
    </row>
    <row r="30" spans="1:5" x14ac:dyDescent="0.2">
      <c r="A30" s="69"/>
      <c r="B30" s="4" t="s">
        <v>96</v>
      </c>
      <c r="C30" s="3" t="s">
        <v>134</v>
      </c>
      <c r="D30" s="69"/>
      <c r="E30" s="69"/>
    </row>
    <row r="31" spans="1:5" ht="36" x14ac:dyDescent="0.2">
      <c r="A31" s="69"/>
      <c r="B31" s="4" t="s">
        <v>72</v>
      </c>
      <c r="C31" s="3" t="s">
        <v>139</v>
      </c>
      <c r="D31" s="69"/>
      <c r="E31" s="69"/>
    </row>
    <row r="32" spans="1:5" ht="24" x14ac:dyDescent="0.2">
      <c r="A32" s="69"/>
      <c r="B32" s="6" t="s">
        <v>140</v>
      </c>
      <c r="C32" s="5" t="s">
        <v>99</v>
      </c>
      <c r="D32" s="69"/>
      <c r="E32" s="69"/>
    </row>
    <row r="33" spans="1:5" ht="24" x14ac:dyDescent="0.2">
      <c r="A33" s="69"/>
      <c r="B33" s="4" t="s">
        <v>43</v>
      </c>
      <c r="C33" s="3" t="s">
        <v>185</v>
      </c>
      <c r="D33" s="69"/>
      <c r="E33" s="69"/>
    </row>
    <row r="34" spans="1:5" ht="36" x14ac:dyDescent="0.2">
      <c r="A34" s="69"/>
      <c r="B34" s="4" t="s">
        <v>44</v>
      </c>
      <c r="C34" s="3" t="s">
        <v>194</v>
      </c>
      <c r="D34" s="69"/>
      <c r="E34" s="69"/>
    </row>
    <row r="35" spans="1:5" ht="36" x14ac:dyDescent="0.2">
      <c r="A35" s="69"/>
      <c r="B35" s="4" t="s">
        <v>45</v>
      </c>
      <c r="C35" s="3" t="s">
        <v>184</v>
      </c>
      <c r="D35" s="69"/>
      <c r="E35" s="69"/>
    </row>
    <row r="36" spans="1:5" ht="36" x14ac:dyDescent="0.2">
      <c r="A36" s="69" t="s">
        <v>46</v>
      </c>
      <c r="B36" s="69"/>
      <c r="C36" s="3" t="s">
        <v>47</v>
      </c>
      <c r="D36" s="69"/>
      <c r="E36" s="69"/>
    </row>
    <row r="37" spans="1:5" x14ac:dyDescent="0.2">
      <c r="A37" s="69" t="s">
        <v>48</v>
      </c>
      <c r="B37" s="69"/>
      <c r="C37" s="3" t="s">
        <v>49</v>
      </c>
      <c r="D37" s="69"/>
      <c r="E37" s="69"/>
    </row>
    <row r="38" spans="1:5" x14ac:dyDescent="0.2">
      <c r="A38" s="69" t="s">
        <v>129</v>
      </c>
      <c r="B38" s="69"/>
      <c r="C38" s="3" t="s">
        <v>50</v>
      </c>
      <c r="D38" s="69"/>
      <c r="E38" s="69"/>
    </row>
    <row r="39" spans="1:5" x14ac:dyDescent="0.2">
      <c r="A39" s="69" t="s">
        <v>128</v>
      </c>
      <c r="B39" s="69"/>
      <c r="C39" s="3" t="s">
        <v>127</v>
      </c>
      <c r="D39" s="69"/>
      <c r="E39" s="69"/>
    </row>
    <row r="40" spans="1:5" x14ac:dyDescent="0.2">
      <c r="A40" s="64" t="s">
        <v>124</v>
      </c>
      <c r="B40" s="65"/>
      <c r="C40" s="3" t="s">
        <v>292</v>
      </c>
      <c r="D40" s="64"/>
      <c r="E40" s="65"/>
    </row>
    <row r="41" spans="1:5" x14ac:dyDescent="0.2">
      <c r="A41" s="64" t="s">
        <v>125</v>
      </c>
      <c r="B41" s="65"/>
      <c r="C41" s="3" t="s">
        <v>293</v>
      </c>
      <c r="D41" s="64"/>
      <c r="E41" s="65"/>
    </row>
    <row r="42" spans="1:5" x14ac:dyDescent="0.2">
      <c r="A42" s="64" t="s">
        <v>126</v>
      </c>
      <c r="B42" s="65"/>
      <c r="C42" s="3" t="s">
        <v>195</v>
      </c>
      <c r="D42" s="64"/>
      <c r="E42" s="65"/>
    </row>
    <row r="43" spans="1:5" ht="24" x14ac:dyDescent="0.2">
      <c r="A43" s="69" t="s">
        <v>51</v>
      </c>
      <c r="B43" s="69"/>
      <c r="C43" s="3" t="s">
        <v>52</v>
      </c>
      <c r="D43" s="69"/>
      <c r="E43" s="69"/>
    </row>
    <row r="44" spans="1:5" x14ac:dyDescent="0.2">
      <c r="A44" s="69" t="s">
        <v>53</v>
      </c>
      <c r="B44" s="69"/>
      <c r="C44" s="3" t="s">
        <v>149</v>
      </c>
      <c r="D44" s="69"/>
      <c r="E44" s="69"/>
    </row>
    <row r="45" spans="1:5" ht="24" x14ac:dyDescent="0.2">
      <c r="A45" s="69" t="s">
        <v>54</v>
      </c>
      <c r="B45" s="69"/>
      <c r="C45" s="3" t="s">
        <v>436</v>
      </c>
      <c r="D45" s="69"/>
      <c r="E45" s="69"/>
    </row>
    <row r="46" spans="1:5" x14ac:dyDescent="0.2">
      <c r="A46" s="7"/>
      <c r="B46" s="8"/>
      <c r="C46" s="8"/>
      <c r="D46" s="8"/>
      <c r="E46" s="9"/>
    </row>
    <row r="47" spans="1:5" x14ac:dyDescent="0.2">
      <c r="A47" s="10" t="s">
        <v>58</v>
      </c>
      <c r="E47" s="11"/>
    </row>
    <row r="48" spans="1:5" x14ac:dyDescent="0.2">
      <c r="A48" s="70" t="s">
        <v>70</v>
      </c>
      <c r="B48" s="71"/>
      <c r="C48" s="71"/>
      <c r="D48" s="71"/>
      <c r="E48" s="72"/>
    </row>
    <row r="49" spans="1:5" x14ac:dyDescent="0.2">
      <c r="A49" s="70"/>
      <c r="B49" s="71"/>
      <c r="C49" s="71"/>
      <c r="D49" s="71"/>
      <c r="E49" s="72"/>
    </row>
    <row r="50" spans="1:5" x14ac:dyDescent="0.2">
      <c r="A50" s="70" t="s">
        <v>437</v>
      </c>
      <c r="B50" s="71"/>
      <c r="C50" s="71"/>
      <c r="D50" s="71"/>
      <c r="E50" s="72"/>
    </row>
    <row r="51" spans="1:5" x14ac:dyDescent="0.2">
      <c r="A51" s="70" t="s">
        <v>97</v>
      </c>
      <c r="B51" s="71"/>
      <c r="C51" s="71"/>
      <c r="D51" s="71"/>
      <c r="E51" s="72"/>
    </row>
    <row r="52" spans="1:5" x14ac:dyDescent="0.2">
      <c r="A52" s="70"/>
      <c r="B52" s="71"/>
      <c r="C52" s="71"/>
      <c r="D52" s="71"/>
      <c r="E52" s="72"/>
    </row>
    <row r="53" spans="1:5" x14ac:dyDescent="0.2">
      <c r="A53" s="70" t="s">
        <v>150</v>
      </c>
      <c r="B53" s="71"/>
      <c r="C53" s="71"/>
      <c r="D53" s="71"/>
      <c r="E53" s="72"/>
    </row>
    <row r="54" spans="1:5" ht="11.45" customHeight="1" x14ac:dyDescent="0.2">
      <c r="A54" s="70" t="s">
        <v>151</v>
      </c>
      <c r="B54" s="71"/>
      <c r="C54" s="71"/>
      <c r="D54" s="71"/>
      <c r="E54" s="72"/>
    </row>
    <row r="55" spans="1:5" x14ac:dyDescent="0.2">
      <c r="A55" s="66" t="s">
        <v>104</v>
      </c>
      <c r="B55" s="67"/>
      <c r="C55" s="67"/>
      <c r="D55" s="67"/>
      <c r="E55" s="68"/>
    </row>
  </sheetData>
  <mergeCells count="75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2"/>
    <mergeCell ref="D16:E16"/>
    <mergeCell ref="D17:E17"/>
    <mergeCell ref="D18:E18"/>
    <mergeCell ref="D19:E19"/>
    <mergeCell ref="D20:E20"/>
    <mergeCell ref="D21:E21"/>
    <mergeCell ref="D22:E22"/>
    <mergeCell ref="A23:B23"/>
    <mergeCell ref="D23:E23"/>
    <mergeCell ref="A24:A35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D35:E35"/>
    <mergeCell ref="A37:B37"/>
    <mergeCell ref="D37:E37"/>
    <mergeCell ref="A38:B38"/>
    <mergeCell ref="D38:E38"/>
    <mergeCell ref="A36:B36"/>
    <mergeCell ref="D36:E36"/>
    <mergeCell ref="A39:B39"/>
    <mergeCell ref="D39:E39"/>
    <mergeCell ref="A40:B40"/>
    <mergeCell ref="D40:E40"/>
    <mergeCell ref="A41:B41"/>
    <mergeCell ref="D41:E41"/>
    <mergeCell ref="A42:B42"/>
    <mergeCell ref="D42:E42"/>
    <mergeCell ref="A55:E55"/>
    <mergeCell ref="A43:B43"/>
    <mergeCell ref="D43:E43"/>
    <mergeCell ref="A44:B44"/>
    <mergeCell ref="D44:E44"/>
    <mergeCell ref="A45:B45"/>
    <mergeCell ref="D45:E45"/>
    <mergeCell ref="A48:E49"/>
    <mergeCell ref="A50:E50"/>
    <mergeCell ref="A51:E52"/>
    <mergeCell ref="A53:E53"/>
    <mergeCell ref="A54:E54"/>
  </mergeCells>
  <conditionalFormatting sqref="B17">
    <cfRule type="duplicateValues" dxfId="441" priority="4"/>
  </conditionalFormatting>
  <conditionalFormatting sqref="B18">
    <cfRule type="duplicateValues" dxfId="440" priority="3"/>
  </conditionalFormatting>
  <conditionalFormatting sqref="B20">
    <cfRule type="duplicateValues" dxfId="439" priority="2"/>
  </conditionalFormatting>
  <conditionalFormatting sqref="B21">
    <cfRule type="duplicateValues" dxfId="438" priority="10"/>
  </conditionalFormatting>
  <conditionalFormatting sqref="B25">
    <cfRule type="duplicateValues" dxfId="437" priority="12"/>
  </conditionalFormatting>
  <conditionalFormatting sqref="B28">
    <cfRule type="duplicateValues" dxfId="436" priority="1"/>
  </conditionalFormatting>
  <conditionalFormatting sqref="B32">
    <cfRule type="duplicateValues" dxfId="435" priority="11"/>
  </conditionalFormatting>
  <conditionalFormatting sqref="B38">
    <cfRule type="duplicateValues" dxfId="434" priority="6"/>
  </conditionalFormatting>
  <conditionalFormatting sqref="B39">
    <cfRule type="duplicateValues" dxfId="433" priority="5"/>
  </conditionalFormatting>
  <conditionalFormatting sqref="B40">
    <cfRule type="duplicateValues" dxfId="432" priority="9"/>
  </conditionalFormatting>
  <conditionalFormatting sqref="B41">
    <cfRule type="duplicateValues" dxfId="431" priority="8"/>
  </conditionalFormatting>
  <conditionalFormatting sqref="B42">
    <cfRule type="duplicateValues" dxfId="430" priority="7"/>
  </conditionalFormatting>
  <conditionalFormatting sqref="B56:B1048576 B4:B10 B26:B27 B12:B16 B33:B37 B22:B24 B43:B47 B19 B29:B31">
    <cfRule type="duplicateValues" dxfId="429" priority="13"/>
  </conditionalFormatting>
  <pageMargins left="0.7" right="0.7" top="0.75" bottom="0.75" header="0.3" footer="0.3"/>
  <pageSetup paperSize="9" scale="88" orientation="portrait" horizontalDpi="4294967295" verticalDpi="4294967295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655CC2-303C-4AB3-9AA4-0DD8B5352BC7}">
  <sheetPr codeName="Sheet38">
    <tabColor theme="4" tint="-0.249977111117893"/>
    <pageSetUpPr fitToPage="1"/>
  </sheetPr>
  <dimension ref="A1:E55"/>
  <sheetViews>
    <sheetView zoomScaleNormal="100" workbookViewId="0">
      <selection sqref="A1:B3"/>
    </sheetView>
  </sheetViews>
  <sheetFormatPr defaultColWidth="8.85546875" defaultRowHeight="12" x14ac:dyDescent="0.2"/>
  <cols>
    <col min="1" max="1" width="12.5703125" style="1" customWidth="1"/>
    <col min="2" max="2" width="13.42578125" style="1" bestFit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4" customFormat="1" ht="30" customHeight="1" x14ac:dyDescent="0.25">
      <c r="A1" s="77" t="e" vm="1">
        <v>#VALUE!</v>
      </c>
      <c r="B1" s="78"/>
      <c r="C1" s="83" t="s">
        <v>112</v>
      </c>
      <c r="D1" s="13" t="s">
        <v>110</v>
      </c>
      <c r="E1" s="13" t="s">
        <v>435</v>
      </c>
    </row>
    <row r="2" spans="1:5" s="14" customFormat="1" ht="30" customHeight="1" x14ac:dyDescent="0.25">
      <c r="A2" s="79"/>
      <c r="B2" s="80"/>
      <c r="C2" s="84"/>
      <c r="D2" s="15" t="s">
        <v>109</v>
      </c>
      <c r="E2" s="16" t="str">
        <f>VLOOKUP(C4,Index!B:J,9,FALSE)</f>
        <v>C0</v>
      </c>
    </row>
    <row r="3" spans="1:5" s="14" customFormat="1" ht="30" customHeight="1" x14ac:dyDescent="0.25">
      <c r="A3" s="81"/>
      <c r="B3" s="82"/>
      <c r="C3" s="85"/>
      <c r="D3" s="15" t="s">
        <v>111</v>
      </c>
      <c r="E3" s="17">
        <f>VLOOKUP(C4,Index!B:I,8,FALSE)</f>
        <v>346</v>
      </c>
    </row>
    <row r="4" spans="1:5" x14ac:dyDescent="0.2">
      <c r="A4" s="86" t="s">
        <v>74</v>
      </c>
      <c r="B4" s="86"/>
      <c r="C4" s="2" t="s">
        <v>220</v>
      </c>
      <c r="D4" s="86" t="s">
        <v>55</v>
      </c>
      <c r="E4" s="86"/>
    </row>
    <row r="5" spans="1:5" x14ac:dyDescent="0.2">
      <c r="A5" s="69" t="s">
        <v>26</v>
      </c>
      <c r="B5" s="69"/>
      <c r="C5" s="3" t="s">
        <v>160</v>
      </c>
      <c r="D5" s="69"/>
      <c r="E5" s="69"/>
    </row>
    <row r="6" spans="1:5" x14ac:dyDescent="0.2">
      <c r="A6" s="69" t="s">
        <v>27</v>
      </c>
      <c r="B6" s="69"/>
      <c r="C6" s="3" t="s">
        <v>78</v>
      </c>
      <c r="D6" s="69"/>
      <c r="E6" s="69"/>
    </row>
    <row r="7" spans="1:5" x14ac:dyDescent="0.2">
      <c r="A7" s="69" t="s">
        <v>28</v>
      </c>
      <c r="B7" s="69"/>
      <c r="C7" s="3" t="s">
        <v>82</v>
      </c>
      <c r="D7" s="69"/>
      <c r="E7" s="69"/>
    </row>
    <row r="8" spans="1:5" x14ac:dyDescent="0.2">
      <c r="A8" s="69" t="s">
        <v>29</v>
      </c>
      <c r="B8" s="69"/>
      <c r="C8" s="3" t="str">
        <f>VLOOKUP(C5,Index!N:W,6,FALSE)</f>
        <v>Corrosive HC service (Low Temp)</v>
      </c>
      <c r="D8" s="69"/>
      <c r="E8" s="69"/>
    </row>
    <row r="9" spans="1:5" x14ac:dyDescent="0.2">
      <c r="A9" s="69" t="s">
        <v>30</v>
      </c>
      <c r="B9" s="69"/>
      <c r="C9" s="3" t="s">
        <v>148</v>
      </c>
      <c r="D9" s="69"/>
      <c r="E9" s="69"/>
    </row>
    <row r="10" spans="1:5" x14ac:dyDescent="0.2">
      <c r="A10" s="69" t="s">
        <v>31</v>
      </c>
      <c r="B10" s="69"/>
      <c r="C10" s="3" t="s">
        <v>59</v>
      </c>
      <c r="D10" s="69"/>
      <c r="E10" s="69"/>
    </row>
    <row r="11" spans="1:5" x14ac:dyDescent="0.2">
      <c r="A11" s="73" t="s">
        <v>119</v>
      </c>
      <c r="B11" s="74"/>
      <c r="C11" s="12" t="str">
        <f>VLOOKUP(C5,Index!N:W,10,FALSE)</f>
        <v>51.1 @ -45°C' 43.8 @ 200°C</v>
      </c>
      <c r="D11" s="75"/>
      <c r="E11" s="76"/>
    </row>
    <row r="12" spans="1:5" x14ac:dyDescent="0.2">
      <c r="A12" s="69" t="s">
        <v>32</v>
      </c>
      <c r="B12" s="69"/>
      <c r="C12" s="3" t="str">
        <f>VLOOKUP(C5,Index!N:W,5,FALSE)</f>
        <v>6 mm</v>
      </c>
      <c r="D12" s="69"/>
      <c r="E12" s="69"/>
    </row>
    <row r="13" spans="1:5" ht="24" x14ac:dyDescent="0.2">
      <c r="A13" s="69" t="s">
        <v>33</v>
      </c>
      <c r="B13" s="69"/>
      <c r="C13" s="3" t="s">
        <v>98</v>
      </c>
      <c r="D13" s="69"/>
      <c r="E13" s="69"/>
    </row>
    <row r="14" spans="1:5" x14ac:dyDescent="0.2">
      <c r="A14" s="69" t="s">
        <v>35</v>
      </c>
      <c r="B14" s="69"/>
      <c r="C14" s="3" t="s">
        <v>245</v>
      </c>
      <c r="D14" s="69"/>
      <c r="E14" s="69"/>
    </row>
    <row r="15" spans="1:5" x14ac:dyDescent="0.2">
      <c r="A15" s="69" t="s">
        <v>36</v>
      </c>
      <c r="B15" s="69"/>
      <c r="C15" s="3" t="s">
        <v>67</v>
      </c>
      <c r="D15" s="69"/>
      <c r="E15" s="69"/>
    </row>
    <row r="16" spans="1:5" x14ac:dyDescent="0.2">
      <c r="A16" s="69" t="s">
        <v>37</v>
      </c>
      <c r="B16" s="4" t="s">
        <v>38</v>
      </c>
      <c r="C16" s="3" t="s">
        <v>73</v>
      </c>
      <c r="D16" s="69"/>
      <c r="E16" s="69"/>
    </row>
    <row r="17" spans="1:5" ht="24" x14ac:dyDescent="0.2">
      <c r="A17" s="69"/>
      <c r="B17" s="4" t="s">
        <v>75</v>
      </c>
      <c r="C17" s="3" t="s">
        <v>77</v>
      </c>
      <c r="D17" s="69"/>
      <c r="E17" s="69"/>
    </row>
    <row r="18" spans="1:5" ht="24" x14ac:dyDescent="0.2">
      <c r="A18" s="69"/>
      <c r="B18" s="4" t="s">
        <v>39</v>
      </c>
      <c r="C18" s="3" t="s">
        <v>87</v>
      </c>
      <c r="D18" s="69"/>
      <c r="E18" s="69"/>
    </row>
    <row r="19" spans="1:5" x14ac:dyDescent="0.2">
      <c r="A19" s="69"/>
      <c r="B19" s="4" t="s">
        <v>68</v>
      </c>
      <c r="C19" s="3" t="s">
        <v>143</v>
      </c>
      <c r="D19" s="69"/>
      <c r="E19" s="69"/>
    </row>
    <row r="20" spans="1:5" x14ac:dyDescent="0.2">
      <c r="A20" s="69"/>
      <c r="B20" s="4" t="s">
        <v>141</v>
      </c>
      <c r="C20" s="3" t="s">
        <v>142</v>
      </c>
      <c r="D20" s="69"/>
      <c r="E20" s="69"/>
    </row>
    <row r="21" spans="1:5" x14ac:dyDescent="0.2">
      <c r="A21" s="69"/>
      <c r="B21" s="4" t="s">
        <v>69</v>
      </c>
      <c r="C21" s="3" t="s">
        <v>106</v>
      </c>
      <c r="D21" s="69"/>
      <c r="E21" s="69"/>
    </row>
    <row r="22" spans="1:5" ht="24" x14ac:dyDescent="0.2">
      <c r="A22" s="69"/>
      <c r="B22" s="4" t="s">
        <v>40</v>
      </c>
      <c r="C22" s="3" t="s">
        <v>86</v>
      </c>
      <c r="D22" s="69"/>
      <c r="E22" s="69"/>
    </row>
    <row r="23" spans="1:5" ht="24" x14ac:dyDescent="0.2">
      <c r="A23" s="69" t="s">
        <v>41</v>
      </c>
      <c r="B23" s="69"/>
      <c r="C23" s="3" t="s">
        <v>121</v>
      </c>
      <c r="D23" s="69"/>
      <c r="E23" s="69"/>
    </row>
    <row r="24" spans="1:5" ht="24" x14ac:dyDescent="0.2">
      <c r="A24" s="69" t="s">
        <v>42</v>
      </c>
      <c r="B24" s="4" t="s">
        <v>91</v>
      </c>
      <c r="C24" s="3" t="s">
        <v>79</v>
      </c>
      <c r="D24" s="69"/>
      <c r="E24" s="69"/>
    </row>
    <row r="25" spans="1:5" x14ac:dyDescent="0.2">
      <c r="A25" s="69"/>
      <c r="B25" s="4" t="s">
        <v>93</v>
      </c>
      <c r="C25" s="3" t="s">
        <v>132</v>
      </c>
      <c r="D25" s="69"/>
      <c r="E25" s="69"/>
    </row>
    <row r="26" spans="1:5" x14ac:dyDescent="0.2">
      <c r="A26" s="69"/>
      <c r="B26" s="4" t="s">
        <v>94</v>
      </c>
      <c r="C26" s="3" t="s">
        <v>102</v>
      </c>
      <c r="D26" s="69"/>
      <c r="E26" s="69"/>
    </row>
    <row r="27" spans="1:5" x14ac:dyDescent="0.2">
      <c r="A27" s="69"/>
      <c r="B27" s="4" t="s">
        <v>95</v>
      </c>
      <c r="C27" s="3" t="s">
        <v>105</v>
      </c>
      <c r="D27" s="69"/>
      <c r="E27" s="69"/>
    </row>
    <row r="28" spans="1:5" x14ac:dyDescent="0.2">
      <c r="A28" s="69"/>
      <c r="B28" s="4" t="s">
        <v>144</v>
      </c>
      <c r="C28" s="3" t="s">
        <v>105</v>
      </c>
      <c r="D28" s="69"/>
      <c r="E28" s="69"/>
    </row>
    <row r="29" spans="1:5" x14ac:dyDescent="0.2">
      <c r="A29" s="69"/>
      <c r="B29" s="4" t="s">
        <v>92</v>
      </c>
      <c r="C29" s="3" t="s">
        <v>102</v>
      </c>
      <c r="D29" s="69"/>
      <c r="E29" s="69"/>
    </row>
    <row r="30" spans="1:5" x14ac:dyDescent="0.2">
      <c r="A30" s="69"/>
      <c r="B30" s="4" t="s">
        <v>96</v>
      </c>
      <c r="C30" s="3" t="s">
        <v>134</v>
      </c>
      <c r="D30" s="69"/>
      <c r="E30" s="69"/>
    </row>
    <row r="31" spans="1:5" ht="36" x14ac:dyDescent="0.2">
      <c r="A31" s="69"/>
      <c r="B31" s="4" t="s">
        <v>72</v>
      </c>
      <c r="C31" s="3" t="s">
        <v>139</v>
      </c>
      <c r="D31" s="69"/>
      <c r="E31" s="69"/>
    </row>
    <row r="32" spans="1:5" ht="24" x14ac:dyDescent="0.2">
      <c r="A32" s="69"/>
      <c r="B32" s="6" t="s">
        <v>140</v>
      </c>
      <c r="C32" s="5" t="s">
        <v>99</v>
      </c>
      <c r="D32" s="69"/>
      <c r="E32" s="69"/>
    </row>
    <row r="33" spans="1:5" ht="24" x14ac:dyDescent="0.2">
      <c r="A33" s="69"/>
      <c r="B33" s="4" t="s">
        <v>43</v>
      </c>
      <c r="C33" s="3" t="s">
        <v>185</v>
      </c>
      <c r="D33" s="69"/>
      <c r="E33" s="69"/>
    </row>
    <row r="34" spans="1:5" ht="36" x14ac:dyDescent="0.2">
      <c r="A34" s="69"/>
      <c r="B34" s="4" t="s">
        <v>44</v>
      </c>
      <c r="C34" s="3" t="s">
        <v>194</v>
      </c>
      <c r="D34" s="69"/>
      <c r="E34" s="69"/>
    </row>
    <row r="35" spans="1:5" ht="36" x14ac:dyDescent="0.2">
      <c r="A35" s="69"/>
      <c r="B35" s="4" t="s">
        <v>45</v>
      </c>
      <c r="C35" s="3" t="s">
        <v>184</v>
      </c>
      <c r="D35" s="69"/>
      <c r="E35" s="69"/>
    </row>
    <row r="36" spans="1:5" ht="36" x14ac:dyDescent="0.2">
      <c r="A36" s="69" t="s">
        <v>46</v>
      </c>
      <c r="B36" s="69"/>
      <c r="C36" s="3" t="s">
        <v>47</v>
      </c>
      <c r="D36" s="69"/>
      <c r="E36" s="69"/>
    </row>
    <row r="37" spans="1:5" x14ac:dyDescent="0.2">
      <c r="A37" s="69" t="s">
        <v>48</v>
      </c>
      <c r="B37" s="69"/>
      <c r="C37" s="3" t="s">
        <v>49</v>
      </c>
      <c r="D37" s="69"/>
      <c r="E37" s="69"/>
    </row>
    <row r="38" spans="1:5" x14ac:dyDescent="0.2">
      <c r="A38" s="69" t="s">
        <v>129</v>
      </c>
      <c r="B38" s="69"/>
      <c r="C38" s="3" t="s">
        <v>50</v>
      </c>
      <c r="D38" s="69"/>
      <c r="E38" s="69"/>
    </row>
    <row r="39" spans="1:5" x14ac:dyDescent="0.2">
      <c r="A39" s="69" t="s">
        <v>128</v>
      </c>
      <c r="B39" s="69"/>
      <c r="C39" s="3" t="s">
        <v>127</v>
      </c>
      <c r="D39" s="69"/>
      <c r="E39" s="69"/>
    </row>
    <row r="40" spans="1:5" x14ac:dyDescent="0.2">
      <c r="A40" s="64" t="s">
        <v>124</v>
      </c>
      <c r="B40" s="65"/>
      <c r="C40" s="3" t="s">
        <v>290</v>
      </c>
      <c r="D40" s="64"/>
      <c r="E40" s="65"/>
    </row>
    <row r="41" spans="1:5" x14ac:dyDescent="0.2">
      <c r="A41" s="64" t="s">
        <v>125</v>
      </c>
      <c r="B41" s="65"/>
      <c r="C41" s="3" t="s">
        <v>291</v>
      </c>
      <c r="D41" s="64"/>
      <c r="E41" s="65"/>
    </row>
    <row r="42" spans="1:5" x14ac:dyDescent="0.2">
      <c r="A42" s="64" t="s">
        <v>126</v>
      </c>
      <c r="B42" s="65"/>
      <c r="C42" s="3" t="s">
        <v>195</v>
      </c>
      <c r="D42" s="64"/>
      <c r="E42" s="65"/>
    </row>
    <row r="43" spans="1:5" ht="24" x14ac:dyDescent="0.2">
      <c r="A43" s="69" t="s">
        <v>51</v>
      </c>
      <c r="B43" s="69"/>
      <c r="C43" s="3" t="s">
        <v>52</v>
      </c>
      <c r="D43" s="69"/>
      <c r="E43" s="69"/>
    </row>
    <row r="44" spans="1:5" x14ac:dyDescent="0.2">
      <c r="A44" s="69" t="s">
        <v>53</v>
      </c>
      <c r="B44" s="69"/>
      <c r="C44" s="3" t="s">
        <v>149</v>
      </c>
      <c r="D44" s="69"/>
      <c r="E44" s="69"/>
    </row>
    <row r="45" spans="1:5" ht="24" x14ac:dyDescent="0.2">
      <c r="A45" s="69" t="s">
        <v>54</v>
      </c>
      <c r="B45" s="69"/>
      <c r="C45" s="3" t="s">
        <v>436</v>
      </c>
      <c r="D45" s="69"/>
      <c r="E45" s="69"/>
    </row>
    <row r="46" spans="1:5" x14ac:dyDescent="0.2">
      <c r="A46" s="7"/>
      <c r="B46" s="8"/>
      <c r="C46" s="8"/>
      <c r="D46" s="8"/>
      <c r="E46" s="9"/>
    </row>
    <row r="47" spans="1:5" x14ac:dyDescent="0.2">
      <c r="A47" s="10" t="s">
        <v>58</v>
      </c>
      <c r="E47" s="11"/>
    </row>
    <row r="48" spans="1:5" x14ac:dyDescent="0.2">
      <c r="A48" s="70" t="s">
        <v>70</v>
      </c>
      <c r="B48" s="71"/>
      <c r="C48" s="71"/>
      <c r="D48" s="71"/>
      <c r="E48" s="72"/>
    </row>
    <row r="49" spans="1:5" x14ac:dyDescent="0.2">
      <c r="A49" s="70"/>
      <c r="B49" s="71"/>
      <c r="C49" s="71"/>
      <c r="D49" s="71"/>
      <c r="E49" s="72"/>
    </row>
    <row r="50" spans="1:5" x14ac:dyDescent="0.2">
      <c r="A50" s="70" t="s">
        <v>437</v>
      </c>
      <c r="B50" s="71"/>
      <c r="C50" s="71"/>
      <c r="D50" s="71"/>
      <c r="E50" s="72"/>
    </row>
    <row r="51" spans="1:5" x14ac:dyDescent="0.2">
      <c r="A51" s="70" t="s">
        <v>97</v>
      </c>
      <c r="B51" s="71"/>
      <c r="C51" s="71"/>
      <c r="D51" s="71"/>
      <c r="E51" s="72"/>
    </row>
    <row r="52" spans="1:5" x14ac:dyDescent="0.2">
      <c r="A52" s="70"/>
      <c r="B52" s="71"/>
      <c r="C52" s="71"/>
      <c r="D52" s="71"/>
      <c r="E52" s="72"/>
    </row>
    <row r="53" spans="1:5" x14ac:dyDescent="0.2">
      <c r="A53" s="70" t="s">
        <v>150</v>
      </c>
      <c r="B53" s="71"/>
      <c r="C53" s="71"/>
      <c r="D53" s="71"/>
      <c r="E53" s="72"/>
    </row>
    <row r="54" spans="1:5" ht="11.45" customHeight="1" x14ac:dyDescent="0.2">
      <c r="A54" s="70" t="s">
        <v>151</v>
      </c>
      <c r="B54" s="71"/>
      <c r="C54" s="71"/>
      <c r="D54" s="71"/>
      <c r="E54" s="72"/>
    </row>
    <row r="55" spans="1:5" x14ac:dyDescent="0.2">
      <c r="A55" s="66" t="s">
        <v>104</v>
      </c>
      <c r="B55" s="67"/>
      <c r="C55" s="67"/>
      <c r="D55" s="67"/>
      <c r="E55" s="68"/>
    </row>
  </sheetData>
  <mergeCells count="75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2"/>
    <mergeCell ref="D16:E16"/>
    <mergeCell ref="D17:E17"/>
    <mergeCell ref="D18:E18"/>
    <mergeCell ref="D19:E19"/>
    <mergeCell ref="D20:E20"/>
    <mergeCell ref="D21:E21"/>
    <mergeCell ref="D22:E22"/>
    <mergeCell ref="A23:B23"/>
    <mergeCell ref="D23:E23"/>
    <mergeCell ref="A24:A35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D35:E35"/>
    <mergeCell ref="A37:B37"/>
    <mergeCell ref="D37:E37"/>
    <mergeCell ref="A38:B38"/>
    <mergeCell ref="D38:E38"/>
    <mergeCell ref="A36:B36"/>
    <mergeCell ref="D36:E36"/>
    <mergeCell ref="A39:B39"/>
    <mergeCell ref="D39:E39"/>
    <mergeCell ref="A40:B40"/>
    <mergeCell ref="D40:E40"/>
    <mergeCell ref="A41:B41"/>
    <mergeCell ref="D41:E41"/>
    <mergeCell ref="A42:B42"/>
    <mergeCell ref="D42:E42"/>
    <mergeCell ref="A55:E55"/>
    <mergeCell ref="A43:B43"/>
    <mergeCell ref="D43:E43"/>
    <mergeCell ref="A44:B44"/>
    <mergeCell ref="D44:E44"/>
    <mergeCell ref="A45:B45"/>
    <mergeCell ref="D45:E45"/>
    <mergeCell ref="A48:E49"/>
    <mergeCell ref="A50:E50"/>
    <mergeCell ref="A51:E52"/>
    <mergeCell ref="A53:E53"/>
    <mergeCell ref="A54:E54"/>
  </mergeCells>
  <conditionalFormatting sqref="B17">
    <cfRule type="duplicateValues" dxfId="428" priority="4"/>
  </conditionalFormatting>
  <conditionalFormatting sqref="B18">
    <cfRule type="duplicateValues" dxfId="427" priority="3"/>
  </conditionalFormatting>
  <conditionalFormatting sqref="B20">
    <cfRule type="duplicateValues" dxfId="426" priority="2"/>
  </conditionalFormatting>
  <conditionalFormatting sqref="B21">
    <cfRule type="duplicateValues" dxfId="425" priority="10"/>
  </conditionalFormatting>
  <conditionalFormatting sqref="B25">
    <cfRule type="duplicateValues" dxfId="424" priority="12"/>
  </conditionalFormatting>
  <conditionalFormatting sqref="B28">
    <cfRule type="duplicateValues" dxfId="423" priority="1"/>
  </conditionalFormatting>
  <conditionalFormatting sqref="B32">
    <cfRule type="duplicateValues" dxfId="422" priority="11"/>
  </conditionalFormatting>
  <conditionalFormatting sqref="B38">
    <cfRule type="duplicateValues" dxfId="421" priority="6"/>
  </conditionalFormatting>
  <conditionalFormatting sqref="B39">
    <cfRule type="duplicateValues" dxfId="420" priority="5"/>
  </conditionalFormatting>
  <conditionalFormatting sqref="B40">
    <cfRule type="duplicateValues" dxfId="419" priority="9"/>
  </conditionalFormatting>
  <conditionalFormatting sqref="B41">
    <cfRule type="duplicateValues" dxfId="418" priority="8"/>
  </conditionalFormatting>
  <conditionalFormatting sqref="B42">
    <cfRule type="duplicateValues" dxfId="417" priority="7"/>
  </conditionalFormatting>
  <conditionalFormatting sqref="B56:B1048576 B4:B10 B26:B27 B12:B16 B33:B37 B22:B24 B43:B47 B19 B29:B31">
    <cfRule type="duplicateValues" dxfId="416" priority="13"/>
  </conditionalFormatting>
  <pageMargins left="0.7" right="0.7" top="0.75" bottom="0.75" header="0.3" footer="0.3"/>
  <pageSetup paperSize="9" scale="88" orientation="portrait" horizontalDpi="4294967295" verticalDpi="4294967295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305EA9-CEF2-48B4-A9B7-45B4E5B18B4A}">
  <sheetPr codeName="Sheet39">
    <tabColor theme="4" tint="-0.249977111117893"/>
    <pageSetUpPr fitToPage="1"/>
  </sheetPr>
  <dimension ref="A1:E55"/>
  <sheetViews>
    <sheetView zoomScaleNormal="100" workbookViewId="0">
      <selection sqref="A1:B3"/>
    </sheetView>
  </sheetViews>
  <sheetFormatPr defaultColWidth="8.85546875" defaultRowHeight="12" x14ac:dyDescent="0.2"/>
  <cols>
    <col min="1" max="1" width="12.5703125" style="1" customWidth="1"/>
    <col min="2" max="2" width="13.42578125" style="1" bestFit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4" customFormat="1" ht="30" customHeight="1" x14ac:dyDescent="0.25">
      <c r="A1" s="77" t="e" vm="1">
        <v>#VALUE!</v>
      </c>
      <c r="B1" s="78"/>
      <c r="C1" s="83" t="s">
        <v>112</v>
      </c>
      <c r="D1" s="13" t="s">
        <v>110</v>
      </c>
      <c r="E1" s="13" t="s">
        <v>435</v>
      </c>
    </row>
    <row r="2" spans="1:5" s="14" customFormat="1" ht="30" customHeight="1" x14ac:dyDescent="0.25">
      <c r="A2" s="79"/>
      <c r="B2" s="80"/>
      <c r="C2" s="84"/>
      <c r="D2" s="15" t="s">
        <v>109</v>
      </c>
      <c r="E2" s="16" t="str">
        <f>VLOOKUP(C4,Index!B:J,9,FALSE)</f>
        <v>C0</v>
      </c>
    </row>
    <row r="3" spans="1:5" s="14" customFormat="1" ht="30" customHeight="1" x14ac:dyDescent="0.25">
      <c r="A3" s="81"/>
      <c r="B3" s="82"/>
      <c r="C3" s="85"/>
      <c r="D3" s="15" t="s">
        <v>111</v>
      </c>
      <c r="E3" s="17">
        <f>VLOOKUP(C4,Index!B:I,8,FALSE)</f>
        <v>347</v>
      </c>
    </row>
    <row r="4" spans="1:5" x14ac:dyDescent="0.2">
      <c r="A4" s="86" t="s">
        <v>74</v>
      </c>
      <c r="B4" s="86"/>
      <c r="C4" s="2" t="s">
        <v>221</v>
      </c>
      <c r="D4" s="86" t="s">
        <v>55</v>
      </c>
      <c r="E4" s="86"/>
    </row>
    <row r="5" spans="1:5" x14ac:dyDescent="0.2">
      <c r="A5" s="69" t="s">
        <v>26</v>
      </c>
      <c r="B5" s="69"/>
      <c r="C5" s="3" t="s">
        <v>161</v>
      </c>
      <c r="D5" s="69"/>
      <c r="E5" s="69"/>
    </row>
    <row r="6" spans="1:5" x14ac:dyDescent="0.2">
      <c r="A6" s="69" t="s">
        <v>27</v>
      </c>
      <c r="B6" s="69"/>
      <c r="C6" s="3" t="s">
        <v>78</v>
      </c>
      <c r="D6" s="69"/>
      <c r="E6" s="69"/>
    </row>
    <row r="7" spans="1:5" x14ac:dyDescent="0.2">
      <c r="A7" s="69" t="s">
        <v>28</v>
      </c>
      <c r="B7" s="69"/>
      <c r="C7" s="3" t="s">
        <v>82</v>
      </c>
      <c r="D7" s="69"/>
      <c r="E7" s="69"/>
    </row>
    <row r="8" spans="1:5" x14ac:dyDescent="0.2">
      <c r="A8" s="69" t="s">
        <v>29</v>
      </c>
      <c r="B8" s="69"/>
      <c r="C8" s="3" t="str">
        <f>VLOOKUP(C5,Index!N:W,6,FALSE)</f>
        <v>Corrosive HC service (Low Temp)</v>
      </c>
      <c r="D8" s="69"/>
      <c r="E8" s="69"/>
    </row>
    <row r="9" spans="1:5" x14ac:dyDescent="0.2">
      <c r="A9" s="69" t="s">
        <v>30</v>
      </c>
      <c r="B9" s="69"/>
      <c r="C9" s="3" t="s">
        <v>148</v>
      </c>
      <c r="D9" s="69"/>
      <c r="E9" s="69"/>
    </row>
    <row r="10" spans="1:5" x14ac:dyDescent="0.2">
      <c r="A10" s="69" t="s">
        <v>31</v>
      </c>
      <c r="B10" s="69"/>
      <c r="C10" s="3" t="s">
        <v>60</v>
      </c>
      <c r="D10" s="69"/>
      <c r="E10" s="69"/>
    </row>
    <row r="11" spans="1:5" x14ac:dyDescent="0.2">
      <c r="A11" s="73" t="s">
        <v>119</v>
      </c>
      <c r="B11" s="74"/>
      <c r="C11" s="12" t="str">
        <f>VLOOKUP(C5,Index!N:W,10,FALSE)</f>
        <v>102.1 @ -45°C' 87.6 @ 200°C</v>
      </c>
      <c r="D11" s="75"/>
      <c r="E11" s="76"/>
    </row>
    <row r="12" spans="1:5" x14ac:dyDescent="0.2">
      <c r="A12" s="69" t="s">
        <v>32</v>
      </c>
      <c r="B12" s="69"/>
      <c r="C12" s="3" t="str">
        <f>VLOOKUP(C5,Index!N:W,5,FALSE)</f>
        <v>6 mm</v>
      </c>
      <c r="D12" s="69"/>
      <c r="E12" s="69"/>
    </row>
    <row r="13" spans="1:5" ht="24" x14ac:dyDescent="0.2">
      <c r="A13" s="69" t="s">
        <v>33</v>
      </c>
      <c r="B13" s="69"/>
      <c r="C13" s="3" t="s">
        <v>98</v>
      </c>
      <c r="D13" s="69"/>
      <c r="E13" s="69"/>
    </row>
    <row r="14" spans="1:5" x14ac:dyDescent="0.2">
      <c r="A14" s="69" t="s">
        <v>35</v>
      </c>
      <c r="B14" s="69"/>
      <c r="C14" s="3" t="s">
        <v>245</v>
      </c>
      <c r="D14" s="69"/>
      <c r="E14" s="69"/>
    </row>
    <row r="15" spans="1:5" x14ac:dyDescent="0.2">
      <c r="A15" s="69" t="s">
        <v>36</v>
      </c>
      <c r="B15" s="69"/>
      <c r="C15" s="3" t="s">
        <v>67</v>
      </c>
      <c r="D15" s="69"/>
      <c r="E15" s="69"/>
    </row>
    <row r="16" spans="1:5" x14ac:dyDescent="0.2">
      <c r="A16" s="69" t="s">
        <v>37</v>
      </c>
      <c r="B16" s="4" t="s">
        <v>38</v>
      </c>
      <c r="C16" s="3" t="s">
        <v>73</v>
      </c>
      <c r="D16" s="69"/>
      <c r="E16" s="69"/>
    </row>
    <row r="17" spans="1:5" ht="24" x14ac:dyDescent="0.2">
      <c r="A17" s="69"/>
      <c r="B17" s="4" t="s">
        <v>75</v>
      </c>
      <c r="C17" s="3" t="s">
        <v>77</v>
      </c>
      <c r="D17" s="69"/>
      <c r="E17" s="69"/>
    </row>
    <row r="18" spans="1:5" ht="24" x14ac:dyDescent="0.2">
      <c r="A18" s="69"/>
      <c r="B18" s="4" t="s">
        <v>39</v>
      </c>
      <c r="C18" s="3" t="s">
        <v>87</v>
      </c>
      <c r="D18" s="69"/>
      <c r="E18" s="69"/>
    </row>
    <row r="19" spans="1:5" x14ac:dyDescent="0.2">
      <c r="A19" s="69"/>
      <c r="B19" s="4" t="s">
        <v>68</v>
      </c>
      <c r="C19" s="3" t="s">
        <v>143</v>
      </c>
      <c r="D19" s="69"/>
      <c r="E19" s="69"/>
    </row>
    <row r="20" spans="1:5" x14ac:dyDescent="0.2">
      <c r="A20" s="69"/>
      <c r="B20" s="4" t="s">
        <v>141</v>
      </c>
      <c r="C20" s="3" t="s">
        <v>142</v>
      </c>
      <c r="D20" s="69"/>
      <c r="E20" s="69"/>
    </row>
    <row r="21" spans="1:5" x14ac:dyDescent="0.2">
      <c r="A21" s="69"/>
      <c r="B21" s="4" t="s">
        <v>69</v>
      </c>
      <c r="C21" s="3" t="s">
        <v>106</v>
      </c>
      <c r="D21" s="69"/>
      <c r="E21" s="69"/>
    </row>
    <row r="22" spans="1:5" ht="24" x14ac:dyDescent="0.2">
      <c r="A22" s="69"/>
      <c r="B22" s="4" t="s">
        <v>40</v>
      </c>
      <c r="C22" s="3" t="s">
        <v>86</v>
      </c>
      <c r="D22" s="69"/>
      <c r="E22" s="69"/>
    </row>
    <row r="23" spans="1:5" ht="24" x14ac:dyDescent="0.2">
      <c r="A23" s="69" t="s">
        <v>41</v>
      </c>
      <c r="B23" s="69"/>
      <c r="C23" s="3" t="s">
        <v>120</v>
      </c>
      <c r="D23" s="69"/>
      <c r="E23" s="69"/>
    </row>
    <row r="24" spans="1:5" ht="24" x14ac:dyDescent="0.2">
      <c r="A24" s="69" t="s">
        <v>42</v>
      </c>
      <c r="B24" s="4" t="s">
        <v>91</v>
      </c>
      <c r="C24" s="3" t="s">
        <v>79</v>
      </c>
      <c r="D24" s="69"/>
      <c r="E24" s="69"/>
    </row>
    <row r="25" spans="1:5" x14ac:dyDescent="0.2">
      <c r="A25" s="69"/>
      <c r="B25" s="4" t="s">
        <v>93</v>
      </c>
      <c r="C25" s="3" t="s">
        <v>132</v>
      </c>
      <c r="D25" s="69"/>
      <c r="E25" s="69"/>
    </row>
    <row r="26" spans="1:5" x14ac:dyDescent="0.2">
      <c r="A26" s="69"/>
      <c r="B26" s="4" t="s">
        <v>94</v>
      </c>
      <c r="C26" s="3" t="s">
        <v>102</v>
      </c>
      <c r="D26" s="69"/>
      <c r="E26" s="69"/>
    </row>
    <row r="27" spans="1:5" x14ac:dyDescent="0.2">
      <c r="A27" s="69"/>
      <c r="B27" s="4" t="s">
        <v>95</v>
      </c>
      <c r="C27" s="3" t="s">
        <v>105</v>
      </c>
      <c r="D27" s="69"/>
      <c r="E27" s="69"/>
    </row>
    <row r="28" spans="1:5" x14ac:dyDescent="0.2">
      <c r="A28" s="69"/>
      <c r="B28" s="4" t="s">
        <v>144</v>
      </c>
      <c r="C28" s="3" t="s">
        <v>105</v>
      </c>
      <c r="D28" s="69"/>
      <c r="E28" s="69"/>
    </row>
    <row r="29" spans="1:5" x14ac:dyDescent="0.2">
      <c r="A29" s="69"/>
      <c r="B29" s="4" t="s">
        <v>92</v>
      </c>
      <c r="C29" s="3" t="s">
        <v>102</v>
      </c>
      <c r="D29" s="69"/>
      <c r="E29" s="69"/>
    </row>
    <row r="30" spans="1:5" x14ac:dyDescent="0.2">
      <c r="A30" s="69"/>
      <c r="B30" s="4" t="s">
        <v>96</v>
      </c>
      <c r="C30" s="3" t="s">
        <v>134</v>
      </c>
      <c r="D30" s="69"/>
      <c r="E30" s="69"/>
    </row>
    <row r="31" spans="1:5" ht="36" x14ac:dyDescent="0.2">
      <c r="A31" s="69"/>
      <c r="B31" s="4" t="s">
        <v>72</v>
      </c>
      <c r="C31" s="3" t="s">
        <v>139</v>
      </c>
      <c r="D31" s="69"/>
      <c r="E31" s="69"/>
    </row>
    <row r="32" spans="1:5" ht="24" x14ac:dyDescent="0.2">
      <c r="A32" s="69"/>
      <c r="B32" s="6" t="s">
        <v>140</v>
      </c>
      <c r="C32" s="5" t="s">
        <v>99</v>
      </c>
      <c r="D32" s="69"/>
      <c r="E32" s="69"/>
    </row>
    <row r="33" spans="1:5" ht="24" x14ac:dyDescent="0.2">
      <c r="A33" s="69"/>
      <c r="B33" s="4" t="s">
        <v>43</v>
      </c>
      <c r="C33" s="3" t="s">
        <v>185</v>
      </c>
      <c r="D33" s="69"/>
      <c r="E33" s="69"/>
    </row>
    <row r="34" spans="1:5" ht="36" x14ac:dyDescent="0.2">
      <c r="A34" s="69"/>
      <c r="B34" s="4" t="s">
        <v>44</v>
      </c>
      <c r="C34" s="3" t="s">
        <v>194</v>
      </c>
      <c r="D34" s="69"/>
      <c r="E34" s="69"/>
    </row>
    <row r="35" spans="1:5" ht="36" x14ac:dyDescent="0.2">
      <c r="A35" s="69"/>
      <c r="B35" s="4" t="s">
        <v>45</v>
      </c>
      <c r="C35" s="3" t="s">
        <v>184</v>
      </c>
      <c r="D35" s="69"/>
      <c r="E35" s="69"/>
    </row>
    <row r="36" spans="1:5" ht="36" x14ac:dyDescent="0.2">
      <c r="A36" s="69" t="s">
        <v>46</v>
      </c>
      <c r="B36" s="69"/>
      <c r="C36" s="3" t="s">
        <v>47</v>
      </c>
      <c r="D36" s="69"/>
      <c r="E36" s="69"/>
    </row>
    <row r="37" spans="1:5" x14ac:dyDescent="0.2">
      <c r="A37" s="69" t="s">
        <v>48</v>
      </c>
      <c r="B37" s="69"/>
      <c r="C37" s="3" t="s">
        <v>49</v>
      </c>
      <c r="D37" s="69"/>
      <c r="E37" s="69"/>
    </row>
    <row r="38" spans="1:5" x14ac:dyDescent="0.2">
      <c r="A38" s="69" t="s">
        <v>129</v>
      </c>
      <c r="B38" s="69"/>
      <c r="C38" s="3" t="s">
        <v>50</v>
      </c>
      <c r="D38" s="69"/>
      <c r="E38" s="69"/>
    </row>
    <row r="39" spans="1:5" x14ac:dyDescent="0.2">
      <c r="A39" s="69" t="s">
        <v>128</v>
      </c>
      <c r="B39" s="69"/>
      <c r="C39" s="3" t="s">
        <v>127</v>
      </c>
      <c r="D39" s="69"/>
      <c r="E39" s="69"/>
    </row>
    <row r="40" spans="1:5" x14ac:dyDescent="0.2">
      <c r="A40" s="64" t="s">
        <v>124</v>
      </c>
      <c r="B40" s="65"/>
      <c r="C40" s="3" t="s">
        <v>288</v>
      </c>
      <c r="D40" s="64"/>
      <c r="E40" s="65"/>
    </row>
    <row r="41" spans="1:5" x14ac:dyDescent="0.2">
      <c r="A41" s="64" t="s">
        <v>125</v>
      </c>
      <c r="B41" s="65"/>
      <c r="C41" s="3" t="s">
        <v>289</v>
      </c>
      <c r="D41" s="64"/>
      <c r="E41" s="65"/>
    </row>
    <row r="42" spans="1:5" x14ac:dyDescent="0.2">
      <c r="A42" s="64" t="s">
        <v>126</v>
      </c>
      <c r="B42" s="65"/>
      <c r="C42" s="3" t="s">
        <v>195</v>
      </c>
      <c r="D42" s="64"/>
      <c r="E42" s="65"/>
    </row>
    <row r="43" spans="1:5" ht="24" x14ac:dyDescent="0.2">
      <c r="A43" s="69" t="s">
        <v>51</v>
      </c>
      <c r="B43" s="69"/>
      <c r="C43" s="3" t="s">
        <v>52</v>
      </c>
      <c r="D43" s="69"/>
      <c r="E43" s="69"/>
    </row>
    <row r="44" spans="1:5" x14ac:dyDescent="0.2">
      <c r="A44" s="69" t="s">
        <v>53</v>
      </c>
      <c r="B44" s="69"/>
      <c r="C44" s="3" t="s">
        <v>149</v>
      </c>
      <c r="D44" s="69"/>
      <c r="E44" s="69"/>
    </row>
    <row r="45" spans="1:5" ht="24" x14ac:dyDescent="0.2">
      <c r="A45" s="69" t="s">
        <v>54</v>
      </c>
      <c r="B45" s="69"/>
      <c r="C45" s="3" t="s">
        <v>436</v>
      </c>
      <c r="D45" s="69"/>
      <c r="E45" s="69"/>
    </row>
    <row r="46" spans="1:5" x14ac:dyDescent="0.2">
      <c r="A46" s="7"/>
      <c r="B46" s="8"/>
      <c r="C46" s="8"/>
      <c r="D46" s="8"/>
      <c r="E46" s="9"/>
    </row>
    <row r="47" spans="1:5" x14ac:dyDescent="0.2">
      <c r="A47" s="10" t="s">
        <v>58</v>
      </c>
      <c r="E47" s="11"/>
    </row>
    <row r="48" spans="1:5" x14ac:dyDescent="0.2">
      <c r="A48" s="70" t="s">
        <v>70</v>
      </c>
      <c r="B48" s="71"/>
      <c r="C48" s="71"/>
      <c r="D48" s="71"/>
      <c r="E48" s="72"/>
    </row>
    <row r="49" spans="1:5" x14ac:dyDescent="0.2">
      <c r="A49" s="70"/>
      <c r="B49" s="71"/>
      <c r="C49" s="71"/>
      <c r="D49" s="71"/>
      <c r="E49" s="72"/>
    </row>
    <row r="50" spans="1:5" x14ac:dyDescent="0.2">
      <c r="A50" s="70" t="s">
        <v>437</v>
      </c>
      <c r="B50" s="71"/>
      <c r="C50" s="71"/>
      <c r="D50" s="71"/>
      <c r="E50" s="72"/>
    </row>
    <row r="51" spans="1:5" x14ac:dyDescent="0.2">
      <c r="A51" s="70" t="s">
        <v>97</v>
      </c>
      <c r="B51" s="71"/>
      <c r="C51" s="71"/>
      <c r="D51" s="71"/>
      <c r="E51" s="72"/>
    </row>
    <row r="52" spans="1:5" x14ac:dyDescent="0.2">
      <c r="A52" s="70"/>
      <c r="B52" s="71"/>
      <c r="C52" s="71"/>
      <c r="D52" s="71"/>
      <c r="E52" s="72"/>
    </row>
    <row r="53" spans="1:5" x14ac:dyDescent="0.2">
      <c r="A53" s="70" t="s">
        <v>150</v>
      </c>
      <c r="B53" s="71"/>
      <c r="C53" s="71"/>
      <c r="D53" s="71"/>
      <c r="E53" s="72"/>
    </row>
    <row r="54" spans="1:5" ht="11.45" customHeight="1" x14ac:dyDescent="0.2">
      <c r="A54" s="70" t="s">
        <v>151</v>
      </c>
      <c r="B54" s="71"/>
      <c r="C54" s="71"/>
      <c r="D54" s="71"/>
      <c r="E54" s="72"/>
    </row>
    <row r="55" spans="1:5" x14ac:dyDescent="0.2">
      <c r="A55" s="66" t="s">
        <v>104</v>
      </c>
      <c r="B55" s="67"/>
      <c r="C55" s="67"/>
      <c r="D55" s="67"/>
      <c r="E55" s="68"/>
    </row>
  </sheetData>
  <mergeCells count="75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2"/>
    <mergeCell ref="D16:E16"/>
    <mergeCell ref="D17:E17"/>
    <mergeCell ref="D18:E18"/>
    <mergeCell ref="D19:E19"/>
    <mergeCell ref="D20:E20"/>
    <mergeCell ref="D21:E21"/>
    <mergeCell ref="D22:E22"/>
    <mergeCell ref="A23:B23"/>
    <mergeCell ref="D23:E23"/>
    <mergeCell ref="A24:A35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D35:E35"/>
    <mergeCell ref="A37:B37"/>
    <mergeCell ref="D37:E37"/>
    <mergeCell ref="A38:B38"/>
    <mergeCell ref="D38:E38"/>
    <mergeCell ref="A36:B36"/>
    <mergeCell ref="D36:E36"/>
    <mergeCell ref="A39:B39"/>
    <mergeCell ref="D39:E39"/>
    <mergeCell ref="A40:B40"/>
    <mergeCell ref="D40:E40"/>
    <mergeCell ref="A41:B41"/>
    <mergeCell ref="D41:E41"/>
    <mergeCell ref="A42:B42"/>
    <mergeCell ref="D42:E42"/>
    <mergeCell ref="A55:E55"/>
    <mergeCell ref="A43:B43"/>
    <mergeCell ref="D43:E43"/>
    <mergeCell ref="A44:B44"/>
    <mergeCell ref="D44:E44"/>
    <mergeCell ref="A45:B45"/>
    <mergeCell ref="D45:E45"/>
    <mergeCell ref="A48:E49"/>
    <mergeCell ref="A50:E50"/>
    <mergeCell ref="A51:E52"/>
    <mergeCell ref="A53:E53"/>
    <mergeCell ref="A54:E54"/>
  </mergeCells>
  <conditionalFormatting sqref="B17">
    <cfRule type="duplicateValues" dxfId="415" priority="4"/>
  </conditionalFormatting>
  <conditionalFormatting sqref="B18">
    <cfRule type="duplicateValues" dxfId="414" priority="3"/>
  </conditionalFormatting>
  <conditionalFormatting sqref="B20">
    <cfRule type="duplicateValues" dxfId="413" priority="2"/>
  </conditionalFormatting>
  <conditionalFormatting sqref="B21">
    <cfRule type="duplicateValues" dxfId="412" priority="10"/>
  </conditionalFormatting>
  <conditionalFormatting sqref="B25">
    <cfRule type="duplicateValues" dxfId="411" priority="12"/>
  </conditionalFormatting>
  <conditionalFormatting sqref="B28">
    <cfRule type="duplicateValues" dxfId="410" priority="1"/>
  </conditionalFormatting>
  <conditionalFormatting sqref="B32">
    <cfRule type="duplicateValues" dxfId="409" priority="11"/>
  </conditionalFormatting>
  <conditionalFormatting sqref="B38">
    <cfRule type="duplicateValues" dxfId="408" priority="6"/>
  </conditionalFormatting>
  <conditionalFormatting sqref="B39">
    <cfRule type="duplicateValues" dxfId="407" priority="5"/>
  </conditionalFormatting>
  <conditionalFormatting sqref="B40">
    <cfRule type="duplicateValues" dxfId="406" priority="9"/>
  </conditionalFormatting>
  <conditionalFormatting sqref="B41">
    <cfRule type="duplicateValues" dxfId="405" priority="8"/>
  </conditionalFormatting>
  <conditionalFormatting sqref="B42">
    <cfRule type="duplicateValues" dxfId="404" priority="7"/>
  </conditionalFormatting>
  <conditionalFormatting sqref="B56:B1048576 B4:B10 B26:B27 B12:B16 B33:B37 B22:B24 B43:B47 B19 B29:B31">
    <cfRule type="duplicateValues" dxfId="403" priority="13"/>
  </conditionalFormatting>
  <pageMargins left="0.7" right="0.7" top="0.75" bottom="0.75" header="0.3" footer="0.3"/>
  <pageSetup paperSize="9" scale="88" orientation="portrait" horizontalDpi="4294967295" verticalDpi="4294967295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0566DC-5593-462D-BF17-4E3CE2F77DBE}">
  <sheetPr codeName="Sheet40">
    <tabColor theme="4" tint="-0.249977111117893"/>
    <pageSetUpPr fitToPage="1"/>
  </sheetPr>
  <dimension ref="A1:E55"/>
  <sheetViews>
    <sheetView zoomScaleNormal="100" workbookViewId="0">
      <selection sqref="A1:B3"/>
    </sheetView>
  </sheetViews>
  <sheetFormatPr defaultColWidth="8.85546875" defaultRowHeight="12" x14ac:dyDescent="0.2"/>
  <cols>
    <col min="1" max="1" width="12.5703125" style="1" customWidth="1"/>
    <col min="2" max="2" width="13.42578125" style="1" bestFit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4" customFormat="1" ht="30" customHeight="1" x14ac:dyDescent="0.25">
      <c r="A1" s="77" t="e" vm="1">
        <v>#VALUE!</v>
      </c>
      <c r="B1" s="78"/>
      <c r="C1" s="83" t="s">
        <v>112</v>
      </c>
      <c r="D1" s="13" t="s">
        <v>110</v>
      </c>
      <c r="E1" s="13" t="s">
        <v>435</v>
      </c>
    </row>
    <row r="2" spans="1:5" s="14" customFormat="1" ht="30" customHeight="1" x14ac:dyDescent="0.25">
      <c r="A2" s="79"/>
      <c r="B2" s="80"/>
      <c r="C2" s="84"/>
      <c r="D2" s="15" t="s">
        <v>109</v>
      </c>
      <c r="E2" s="16" t="str">
        <f>VLOOKUP(C4,Index!B:J,9,FALSE)</f>
        <v>C0</v>
      </c>
    </row>
    <row r="3" spans="1:5" s="14" customFormat="1" ht="30" customHeight="1" x14ac:dyDescent="0.25">
      <c r="A3" s="81"/>
      <c r="B3" s="82"/>
      <c r="C3" s="85"/>
      <c r="D3" s="15" t="s">
        <v>111</v>
      </c>
      <c r="E3" s="17">
        <f>VLOOKUP(C4,Index!B:I,8,FALSE)</f>
        <v>348</v>
      </c>
    </row>
    <row r="4" spans="1:5" x14ac:dyDescent="0.2">
      <c r="A4" s="86" t="s">
        <v>74</v>
      </c>
      <c r="B4" s="86"/>
      <c r="C4" s="2" t="s">
        <v>222</v>
      </c>
      <c r="D4" s="86" t="s">
        <v>55</v>
      </c>
      <c r="E4" s="86"/>
    </row>
    <row r="5" spans="1:5" x14ac:dyDescent="0.2">
      <c r="A5" s="69" t="s">
        <v>26</v>
      </c>
      <c r="B5" s="69"/>
      <c r="C5" s="3" t="s">
        <v>162</v>
      </c>
      <c r="D5" s="69"/>
      <c r="E5" s="69"/>
    </row>
    <row r="6" spans="1:5" x14ac:dyDescent="0.2">
      <c r="A6" s="69" t="s">
        <v>27</v>
      </c>
      <c r="B6" s="69"/>
      <c r="C6" s="3" t="s">
        <v>78</v>
      </c>
      <c r="D6" s="69"/>
      <c r="E6" s="69"/>
    </row>
    <row r="7" spans="1:5" x14ac:dyDescent="0.2">
      <c r="A7" s="69" t="s">
        <v>28</v>
      </c>
      <c r="B7" s="69"/>
      <c r="C7" s="3" t="s">
        <v>82</v>
      </c>
      <c r="D7" s="69"/>
      <c r="E7" s="69"/>
    </row>
    <row r="8" spans="1:5" x14ac:dyDescent="0.2">
      <c r="A8" s="69" t="s">
        <v>29</v>
      </c>
      <c r="B8" s="69"/>
      <c r="C8" s="3" t="str">
        <f>VLOOKUP(C5,Index!N:W,6,FALSE)</f>
        <v>Corrosive HC service (Low Temp)</v>
      </c>
      <c r="D8" s="69"/>
      <c r="E8" s="69"/>
    </row>
    <row r="9" spans="1:5" x14ac:dyDescent="0.2">
      <c r="A9" s="69" t="s">
        <v>30</v>
      </c>
      <c r="B9" s="69"/>
      <c r="C9" s="3" t="s">
        <v>148</v>
      </c>
      <c r="D9" s="69"/>
      <c r="E9" s="69"/>
    </row>
    <row r="10" spans="1:5" x14ac:dyDescent="0.2">
      <c r="A10" s="69" t="s">
        <v>31</v>
      </c>
      <c r="B10" s="69"/>
      <c r="C10" s="3" t="s">
        <v>61</v>
      </c>
      <c r="D10" s="69"/>
      <c r="E10" s="69"/>
    </row>
    <row r="11" spans="1:5" x14ac:dyDescent="0.2">
      <c r="A11" s="73" t="s">
        <v>119</v>
      </c>
      <c r="B11" s="74"/>
      <c r="C11" s="12" t="str">
        <f>VLOOKUP(C5,Index!N:W,10,FALSE)</f>
        <v>153.2 @ -45°C' 131.4 @ 200°C</v>
      </c>
      <c r="D11" s="75"/>
      <c r="E11" s="76"/>
    </row>
    <row r="12" spans="1:5" x14ac:dyDescent="0.2">
      <c r="A12" s="69" t="s">
        <v>32</v>
      </c>
      <c r="B12" s="69"/>
      <c r="C12" s="3" t="str">
        <f>VLOOKUP(C5,Index!N:W,5,FALSE)</f>
        <v>6 mm</v>
      </c>
      <c r="D12" s="69"/>
      <c r="E12" s="69"/>
    </row>
    <row r="13" spans="1:5" ht="24" x14ac:dyDescent="0.2">
      <c r="A13" s="69" t="s">
        <v>33</v>
      </c>
      <c r="B13" s="69"/>
      <c r="C13" s="3" t="s">
        <v>98</v>
      </c>
      <c r="D13" s="69"/>
      <c r="E13" s="69"/>
    </row>
    <row r="14" spans="1:5" x14ac:dyDescent="0.2">
      <c r="A14" s="69" t="s">
        <v>35</v>
      </c>
      <c r="B14" s="69"/>
      <c r="C14" s="3" t="s">
        <v>62</v>
      </c>
      <c r="D14" s="69"/>
      <c r="E14" s="69"/>
    </row>
    <row r="15" spans="1:5" x14ac:dyDescent="0.2">
      <c r="A15" s="69" t="s">
        <v>36</v>
      </c>
      <c r="B15" s="69"/>
      <c r="C15" s="3" t="s">
        <v>67</v>
      </c>
      <c r="D15" s="69"/>
      <c r="E15" s="69"/>
    </row>
    <row r="16" spans="1:5" x14ac:dyDescent="0.2">
      <c r="A16" s="69" t="s">
        <v>37</v>
      </c>
      <c r="B16" s="4" t="s">
        <v>38</v>
      </c>
      <c r="C16" s="3" t="s">
        <v>73</v>
      </c>
      <c r="D16" s="69"/>
      <c r="E16" s="69"/>
    </row>
    <row r="17" spans="1:5" ht="24" x14ac:dyDescent="0.2">
      <c r="A17" s="69"/>
      <c r="B17" s="4" t="s">
        <v>75</v>
      </c>
      <c r="C17" s="3" t="s">
        <v>77</v>
      </c>
      <c r="D17" s="69"/>
      <c r="E17" s="69"/>
    </row>
    <row r="18" spans="1:5" ht="24" x14ac:dyDescent="0.2">
      <c r="A18" s="69"/>
      <c r="B18" s="4" t="s">
        <v>39</v>
      </c>
      <c r="C18" s="3" t="s">
        <v>87</v>
      </c>
      <c r="D18" s="69"/>
      <c r="E18" s="69"/>
    </row>
    <row r="19" spans="1:5" x14ac:dyDescent="0.2">
      <c r="A19" s="69"/>
      <c r="B19" s="4" t="s">
        <v>68</v>
      </c>
      <c r="C19" s="3" t="s">
        <v>143</v>
      </c>
      <c r="D19" s="69"/>
      <c r="E19" s="69"/>
    </row>
    <row r="20" spans="1:5" x14ac:dyDescent="0.2">
      <c r="A20" s="69"/>
      <c r="B20" s="4" t="s">
        <v>141</v>
      </c>
      <c r="C20" s="3" t="s">
        <v>142</v>
      </c>
      <c r="D20" s="69"/>
      <c r="E20" s="69"/>
    </row>
    <row r="21" spans="1:5" x14ac:dyDescent="0.2">
      <c r="A21" s="69"/>
      <c r="B21" s="4" t="s">
        <v>69</v>
      </c>
      <c r="C21" s="3" t="s">
        <v>106</v>
      </c>
      <c r="D21" s="69"/>
      <c r="E21" s="69"/>
    </row>
    <row r="22" spans="1:5" ht="24" x14ac:dyDescent="0.2">
      <c r="A22" s="69"/>
      <c r="B22" s="4" t="s">
        <v>40</v>
      </c>
      <c r="C22" s="3" t="s">
        <v>86</v>
      </c>
      <c r="D22" s="69"/>
      <c r="E22" s="69"/>
    </row>
    <row r="23" spans="1:5" ht="24" x14ac:dyDescent="0.2">
      <c r="A23" s="69" t="s">
        <v>41</v>
      </c>
      <c r="B23" s="69"/>
      <c r="C23" s="3" t="s">
        <v>123</v>
      </c>
      <c r="D23" s="69"/>
      <c r="E23" s="69"/>
    </row>
    <row r="24" spans="1:5" ht="24" x14ac:dyDescent="0.2">
      <c r="A24" s="69" t="s">
        <v>42</v>
      </c>
      <c r="B24" s="4" t="s">
        <v>91</v>
      </c>
      <c r="C24" s="3" t="s">
        <v>79</v>
      </c>
      <c r="D24" s="69"/>
      <c r="E24" s="69"/>
    </row>
    <row r="25" spans="1:5" x14ac:dyDescent="0.2">
      <c r="A25" s="69"/>
      <c r="B25" s="4" t="s">
        <v>93</v>
      </c>
      <c r="C25" s="3" t="s">
        <v>132</v>
      </c>
      <c r="D25" s="69"/>
      <c r="E25" s="69"/>
    </row>
    <row r="26" spans="1:5" x14ac:dyDescent="0.2">
      <c r="A26" s="69"/>
      <c r="B26" s="4" t="s">
        <v>94</v>
      </c>
      <c r="C26" s="3" t="s">
        <v>102</v>
      </c>
      <c r="D26" s="69"/>
      <c r="E26" s="69"/>
    </row>
    <row r="27" spans="1:5" x14ac:dyDescent="0.2">
      <c r="A27" s="69"/>
      <c r="B27" s="4" t="s">
        <v>95</v>
      </c>
      <c r="C27" s="3" t="s">
        <v>105</v>
      </c>
      <c r="D27" s="69"/>
      <c r="E27" s="69"/>
    </row>
    <row r="28" spans="1:5" x14ac:dyDescent="0.2">
      <c r="A28" s="69"/>
      <c r="B28" s="4" t="s">
        <v>144</v>
      </c>
      <c r="C28" s="3" t="s">
        <v>105</v>
      </c>
      <c r="D28" s="69"/>
      <c r="E28" s="69"/>
    </row>
    <row r="29" spans="1:5" x14ac:dyDescent="0.2">
      <c r="A29" s="69"/>
      <c r="B29" s="4" t="s">
        <v>92</v>
      </c>
      <c r="C29" s="3" t="s">
        <v>102</v>
      </c>
      <c r="D29" s="69"/>
      <c r="E29" s="69"/>
    </row>
    <row r="30" spans="1:5" x14ac:dyDescent="0.2">
      <c r="A30" s="69"/>
      <c r="B30" s="4" t="s">
        <v>96</v>
      </c>
      <c r="C30" s="3" t="s">
        <v>134</v>
      </c>
      <c r="D30" s="69"/>
      <c r="E30" s="69"/>
    </row>
    <row r="31" spans="1:5" ht="36" x14ac:dyDescent="0.2">
      <c r="A31" s="69"/>
      <c r="B31" s="4" t="s">
        <v>72</v>
      </c>
      <c r="C31" s="3" t="s">
        <v>139</v>
      </c>
      <c r="D31" s="69"/>
      <c r="E31" s="69"/>
    </row>
    <row r="32" spans="1:5" ht="24" x14ac:dyDescent="0.2">
      <c r="A32" s="69"/>
      <c r="B32" s="6" t="s">
        <v>140</v>
      </c>
      <c r="C32" s="5" t="s">
        <v>99</v>
      </c>
      <c r="D32" s="69"/>
      <c r="E32" s="69"/>
    </row>
    <row r="33" spans="1:5" ht="24" x14ac:dyDescent="0.2">
      <c r="A33" s="69"/>
      <c r="B33" s="4" t="s">
        <v>43</v>
      </c>
      <c r="C33" s="3" t="s">
        <v>186</v>
      </c>
      <c r="D33" s="69"/>
      <c r="E33" s="69"/>
    </row>
    <row r="34" spans="1:5" ht="36" x14ac:dyDescent="0.2">
      <c r="A34" s="69"/>
      <c r="B34" s="4" t="s">
        <v>44</v>
      </c>
      <c r="C34" s="3" t="s">
        <v>194</v>
      </c>
      <c r="D34" s="69"/>
      <c r="E34" s="69"/>
    </row>
    <row r="35" spans="1:5" ht="36" x14ac:dyDescent="0.2">
      <c r="A35" s="69"/>
      <c r="B35" s="4" t="s">
        <v>45</v>
      </c>
      <c r="C35" s="3" t="s">
        <v>184</v>
      </c>
      <c r="D35" s="69"/>
      <c r="E35" s="69"/>
    </row>
    <row r="36" spans="1:5" ht="36" x14ac:dyDescent="0.2">
      <c r="A36" s="69" t="s">
        <v>46</v>
      </c>
      <c r="B36" s="69"/>
      <c r="C36" s="3" t="s">
        <v>47</v>
      </c>
      <c r="D36" s="69"/>
      <c r="E36" s="69"/>
    </row>
    <row r="37" spans="1:5" x14ac:dyDescent="0.2">
      <c r="A37" s="69" t="s">
        <v>48</v>
      </c>
      <c r="B37" s="69"/>
      <c r="C37" s="3" t="s">
        <v>49</v>
      </c>
      <c r="D37" s="69"/>
      <c r="E37" s="69"/>
    </row>
    <row r="38" spans="1:5" x14ac:dyDescent="0.2">
      <c r="A38" s="69" t="s">
        <v>129</v>
      </c>
      <c r="B38" s="69"/>
      <c r="C38" s="3" t="s">
        <v>50</v>
      </c>
      <c r="D38" s="69"/>
      <c r="E38" s="69"/>
    </row>
    <row r="39" spans="1:5" x14ac:dyDescent="0.2">
      <c r="A39" s="69" t="s">
        <v>128</v>
      </c>
      <c r="B39" s="69"/>
      <c r="C39" s="3" t="s">
        <v>127</v>
      </c>
      <c r="D39" s="69"/>
      <c r="E39" s="69"/>
    </row>
    <row r="40" spans="1:5" x14ac:dyDescent="0.2">
      <c r="A40" s="64" t="s">
        <v>124</v>
      </c>
      <c r="B40" s="65"/>
      <c r="C40" s="3" t="s">
        <v>286</v>
      </c>
      <c r="D40" s="64"/>
      <c r="E40" s="65"/>
    </row>
    <row r="41" spans="1:5" x14ac:dyDescent="0.2">
      <c r="A41" s="64" t="s">
        <v>125</v>
      </c>
      <c r="B41" s="65"/>
      <c r="C41" s="3" t="s">
        <v>287</v>
      </c>
      <c r="D41" s="64"/>
      <c r="E41" s="65"/>
    </row>
    <row r="42" spans="1:5" x14ac:dyDescent="0.2">
      <c r="A42" s="64" t="s">
        <v>126</v>
      </c>
      <c r="B42" s="65"/>
      <c r="C42" s="3" t="s">
        <v>195</v>
      </c>
      <c r="D42" s="64"/>
      <c r="E42" s="65"/>
    </row>
    <row r="43" spans="1:5" ht="24" x14ac:dyDescent="0.2">
      <c r="A43" s="69" t="s">
        <v>51</v>
      </c>
      <c r="B43" s="69"/>
      <c r="C43" s="3" t="s">
        <v>52</v>
      </c>
      <c r="D43" s="69"/>
      <c r="E43" s="69"/>
    </row>
    <row r="44" spans="1:5" x14ac:dyDescent="0.2">
      <c r="A44" s="69" t="s">
        <v>53</v>
      </c>
      <c r="B44" s="69"/>
      <c r="C44" s="3" t="s">
        <v>149</v>
      </c>
      <c r="D44" s="69"/>
      <c r="E44" s="69"/>
    </row>
    <row r="45" spans="1:5" ht="24" x14ac:dyDescent="0.2">
      <c r="A45" s="69" t="s">
        <v>54</v>
      </c>
      <c r="B45" s="69"/>
      <c r="C45" s="3" t="s">
        <v>436</v>
      </c>
      <c r="D45" s="69"/>
      <c r="E45" s="69"/>
    </row>
    <row r="46" spans="1:5" x14ac:dyDescent="0.2">
      <c r="A46" s="7"/>
      <c r="B46" s="8"/>
      <c r="C46" s="8"/>
      <c r="D46" s="8"/>
      <c r="E46" s="9"/>
    </row>
    <row r="47" spans="1:5" x14ac:dyDescent="0.2">
      <c r="A47" s="10" t="s">
        <v>58</v>
      </c>
      <c r="E47" s="11"/>
    </row>
    <row r="48" spans="1:5" x14ac:dyDescent="0.2">
      <c r="A48" s="70" t="s">
        <v>70</v>
      </c>
      <c r="B48" s="71"/>
      <c r="C48" s="71"/>
      <c r="D48" s="71"/>
      <c r="E48" s="72"/>
    </row>
    <row r="49" spans="1:5" x14ac:dyDescent="0.2">
      <c r="A49" s="70"/>
      <c r="B49" s="71"/>
      <c r="C49" s="71"/>
      <c r="D49" s="71"/>
      <c r="E49" s="72"/>
    </row>
    <row r="50" spans="1:5" x14ac:dyDescent="0.2">
      <c r="A50" s="70" t="s">
        <v>437</v>
      </c>
      <c r="B50" s="71"/>
      <c r="C50" s="71"/>
      <c r="D50" s="71"/>
      <c r="E50" s="72"/>
    </row>
    <row r="51" spans="1:5" x14ac:dyDescent="0.2">
      <c r="A51" s="70" t="s">
        <v>97</v>
      </c>
      <c r="B51" s="71"/>
      <c r="C51" s="71"/>
      <c r="D51" s="71"/>
      <c r="E51" s="72"/>
    </row>
    <row r="52" spans="1:5" x14ac:dyDescent="0.2">
      <c r="A52" s="70"/>
      <c r="B52" s="71"/>
      <c r="C52" s="71"/>
      <c r="D52" s="71"/>
      <c r="E52" s="72"/>
    </row>
    <row r="53" spans="1:5" x14ac:dyDescent="0.2">
      <c r="A53" s="70" t="s">
        <v>150</v>
      </c>
      <c r="B53" s="71"/>
      <c r="C53" s="71"/>
      <c r="D53" s="71"/>
      <c r="E53" s="72"/>
    </row>
    <row r="54" spans="1:5" ht="11.45" customHeight="1" x14ac:dyDescent="0.2">
      <c r="A54" s="70" t="s">
        <v>151</v>
      </c>
      <c r="B54" s="71"/>
      <c r="C54" s="71"/>
      <c r="D54" s="71"/>
      <c r="E54" s="72"/>
    </row>
    <row r="55" spans="1:5" x14ac:dyDescent="0.2">
      <c r="A55" s="66" t="s">
        <v>104</v>
      </c>
      <c r="B55" s="67"/>
      <c r="C55" s="67"/>
      <c r="D55" s="67"/>
      <c r="E55" s="68"/>
    </row>
  </sheetData>
  <mergeCells count="75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2"/>
    <mergeCell ref="D16:E16"/>
    <mergeCell ref="D17:E17"/>
    <mergeCell ref="D18:E18"/>
    <mergeCell ref="D19:E19"/>
    <mergeCell ref="D20:E20"/>
    <mergeCell ref="D21:E21"/>
    <mergeCell ref="D22:E22"/>
    <mergeCell ref="A23:B23"/>
    <mergeCell ref="D23:E23"/>
    <mergeCell ref="A24:A35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D35:E35"/>
    <mergeCell ref="A37:B37"/>
    <mergeCell ref="D37:E37"/>
    <mergeCell ref="A38:B38"/>
    <mergeCell ref="D38:E38"/>
    <mergeCell ref="A36:B36"/>
    <mergeCell ref="D36:E36"/>
    <mergeCell ref="A39:B39"/>
    <mergeCell ref="D39:E39"/>
    <mergeCell ref="A40:B40"/>
    <mergeCell ref="D40:E40"/>
    <mergeCell ref="A41:B41"/>
    <mergeCell ref="D41:E41"/>
    <mergeCell ref="A42:B42"/>
    <mergeCell ref="D42:E42"/>
    <mergeCell ref="A55:E55"/>
    <mergeCell ref="A43:B43"/>
    <mergeCell ref="D43:E43"/>
    <mergeCell ref="A44:B44"/>
    <mergeCell ref="D44:E44"/>
    <mergeCell ref="A45:B45"/>
    <mergeCell ref="D45:E45"/>
    <mergeCell ref="A48:E49"/>
    <mergeCell ref="A50:E50"/>
    <mergeCell ref="A51:E52"/>
    <mergeCell ref="A53:E53"/>
    <mergeCell ref="A54:E54"/>
  </mergeCells>
  <conditionalFormatting sqref="B17">
    <cfRule type="duplicateValues" dxfId="402" priority="4"/>
  </conditionalFormatting>
  <conditionalFormatting sqref="B18">
    <cfRule type="duplicateValues" dxfId="401" priority="3"/>
  </conditionalFormatting>
  <conditionalFormatting sqref="B20">
    <cfRule type="duplicateValues" dxfId="400" priority="2"/>
  </conditionalFormatting>
  <conditionalFormatting sqref="B21">
    <cfRule type="duplicateValues" dxfId="399" priority="10"/>
  </conditionalFormatting>
  <conditionalFormatting sqref="B25">
    <cfRule type="duplicateValues" dxfId="398" priority="12"/>
  </conditionalFormatting>
  <conditionalFormatting sqref="B28">
    <cfRule type="duplicateValues" dxfId="397" priority="1"/>
  </conditionalFormatting>
  <conditionalFormatting sqref="B32">
    <cfRule type="duplicateValues" dxfId="396" priority="11"/>
  </conditionalFormatting>
  <conditionalFormatting sqref="B38">
    <cfRule type="duplicateValues" dxfId="395" priority="6"/>
  </conditionalFormatting>
  <conditionalFormatting sqref="B39">
    <cfRule type="duplicateValues" dxfId="394" priority="5"/>
  </conditionalFormatting>
  <conditionalFormatting sqref="B40">
    <cfRule type="duplicateValues" dxfId="393" priority="9"/>
  </conditionalFormatting>
  <conditionalFormatting sqref="B41">
    <cfRule type="duplicateValues" dxfId="392" priority="8"/>
  </conditionalFormatting>
  <conditionalFormatting sqref="B42">
    <cfRule type="duplicateValues" dxfId="391" priority="7"/>
  </conditionalFormatting>
  <conditionalFormatting sqref="B56:B1048576 B4:B10 B26:B27 B12:B16 B33:B37 B22:B24 B43:B47 B19 B29:B31">
    <cfRule type="duplicateValues" dxfId="390" priority="13"/>
  </conditionalFormatting>
  <pageMargins left="0.7" right="0.7" top="0.75" bottom="0.75" header="0.3" footer="0.3"/>
  <pageSetup paperSize="9" scale="88" orientation="portrait" horizontalDpi="4294967295" verticalDpi="4294967295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A96CE9-2E4D-41B2-A8A2-D9F414596B2A}">
  <sheetPr codeName="Sheet41">
    <tabColor theme="4" tint="-0.249977111117893"/>
    <pageSetUpPr fitToPage="1"/>
  </sheetPr>
  <dimension ref="A1:E55"/>
  <sheetViews>
    <sheetView zoomScaleNormal="100" workbookViewId="0">
      <selection sqref="A1:B3"/>
    </sheetView>
  </sheetViews>
  <sheetFormatPr defaultColWidth="8.85546875" defaultRowHeight="12" x14ac:dyDescent="0.2"/>
  <cols>
    <col min="1" max="1" width="12.5703125" style="1" customWidth="1"/>
    <col min="2" max="2" width="13.42578125" style="1" bestFit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4" customFormat="1" ht="30" customHeight="1" x14ac:dyDescent="0.25">
      <c r="A1" s="77" t="e" vm="1">
        <v>#VALUE!</v>
      </c>
      <c r="B1" s="78"/>
      <c r="C1" s="83" t="s">
        <v>112</v>
      </c>
      <c r="D1" s="13" t="s">
        <v>110</v>
      </c>
      <c r="E1" s="13" t="s">
        <v>435</v>
      </c>
    </row>
    <row r="2" spans="1:5" s="14" customFormat="1" ht="30" customHeight="1" x14ac:dyDescent="0.25">
      <c r="A2" s="79"/>
      <c r="B2" s="80"/>
      <c r="C2" s="84"/>
      <c r="D2" s="15" t="s">
        <v>109</v>
      </c>
      <c r="E2" s="16" t="str">
        <f>VLOOKUP(C4,Index!B:J,9,FALSE)</f>
        <v>C0</v>
      </c>
    </row>
    <row r="3" spans="1:5" s="14" customFormat="1" ht="30" customHeight="1" x14ac:dyDescent="0.25">
      <c r="A3" s="81"/>
      <c r="B3" s="82"/>
      <c r="C3" s="85"/>
      <c r="D3" s="15" t="s">
        <v>111</v>
      </c>
      <c r="E3" s="17">
        <f>VLOOKUP(C4,Index!B:I,8,FALSE)</f>
        <v>349</v>
      </c>
    </row>
    <row r="4" spans="1:5" x14ac:dyDescent="0.2">
      <c r="A4" s="86" t="s">
        <v>74</v>
      </c>
      <c r="B4" s="86"/>
      <c r="C4" s="2" t="s">
        <v>223</v>
      </c>
      <c r="D4" s="86" t="s">
        <v>55</v>
      </c>
      <c r="E4" s="86"/>
    </row>
    <row r="5" spans="1:5" x14ac:dyDescent="0.2">
      <c r="A5" s="69" t="s">
        <v>26</v>
      </c>
      <c r="B5" s="69"/>
      <c r="C5" s="3" t="s">
        <v>163</v>
      </c>
      <c r="D5" s="69"/>
      <c r="E5" s="69"/>
    </row>
    <row r="6" spans="1:5" x14ac:dyDescent="0.2">
      <c r="A6" s="69" t="s">
        <v>27</v>
      </c>
      <c r="B6" s="69"/>
      <c r="C6" s="3" t="s">
        <v>78</v>
      </c>
      <c r="D6" s="69"/>
      <c r="E6" s="69"/>
    </row>
    <row r="7" spans="1:5" x14ac:dyDescent="0.2">
      <c r="A7" s="69" t="s">
        <v>28</v>
      </c>
      <c r="B7" s="69"/>
      <c r="C7" s="3" t="s">
        <v>82</v>
      </c>
      <c r="D7" s="69"/>
      <c r="E7" s="69"/>
    </row>
    <row r="8" spans="1:5" x14ac:dyDescent="0.2">
      <c r="A8" s="69" t="s">
        <v>29</v>
      </c>
      <c r="B8" s="69"/>
      <c r="C8" s="3" t="str">
        <f>VLOOKUP(C5,Index!N:W,6,FALSE)</f>
        <v>Corrosive HC service (Low Temp)</v>
      </c>
      <c r="D8" s="69"/>
      <c r="E8" s="69"/>
    </row>
    <row r="9" spans="1:5" x14ac:dyDescent="0.2">
      <c r="A9" s="69" t="s">
        <v>30</v>
      </c>
      <c r="B9" s="69"/>
      <c r="C9" s="3" t="s">
        <v>148</v>
      </c>
      <c r="D9" s="69"/>
      <c r="E9" s="69"/>
    </row>
    <row r="10" spans="1:5" x14ac:dyDescent="0.2">
      <c r="A10" s="69" t="s">
        <v>31</v>
      </c>
      <c r="B10" s="69"/>
      <c r="C10" s="3" t="s">
        <v>63</v>
      </c>
      <c r="D10" s="69"/>
      <c r="E10" s="69"/>
    </row>
    <row r="11" spans="1:5" x14ac:dyDescent="0.2">
      <c r="A11" s="73" t="s">
        <v>119</v>
      </c>
      <c r="B11" s="74"/>
      <c r="C11" s="12" t="str">
        <f>VLOOKUP(C5,Index!N:W,10,FALSE)</f>
        <v>255.3 @ -45°C' 219 @ 200°C</v>
      </c>
      <c r="D11" s="75"/>
      <c r="E11" s="76"/>
    </row>
    <row r="12" spans="1:5" x14ac:dyDescent="0.2">
      <c r="A12" s="69" t="s">
        <v>32</v>
      </c>
      <c r="B12" s="69"/>
      <c r="C12" s="3" t="str">
        <f>VLOOKUP(C5,Index!N:W,5,FALSE)</f>
        <v>6 mm</v>
      </c>
      <c r="D12" s="69"/>
      <c r="E12" s="69"/>
    </row>
    <row r="13" spans="1:5" ht="24" x14ac:dyDescent="0.2">
      <c r="A13" s="69" t="s">
        <v>33</v>
      </c>
      <c r="B13" s="69"/>
      <c r="C13" s="3" t="s">
        <v>98</v>
      </c>
      <c r="D13" s="69"/>
      <c r="E13" s="69"/>
    </row>
    <row r="14" spans="1:5" ht="24" x14ac:dyDescent="0.2">
      <c r="A14" s="69" t="s">
        <v>35</v>
      </c>
      <c r="B14" s="69"/>
      <c r="C14" s="3" t="s">
        <v>316</v>
      </c>
      <c r="D14" s="69"/>
      <c r="E14" s="69"/>
    </row>
    <row r="15" spans="1:5" x14ac:dyDescent="0.2">
      <c r="A15" s="69" t="s">
        <v>36</v>
      </c>
      <c r="B15" s="69"/>
      <c r="C15" s="3" t="s">
        <v>67</v>
      </c>
      <c r="D15" s="69"/>
      <c r="E15" s="69"/>
    </row>
    <row r="16" spans="1:5" x14ac:dyDescent="0.2">
      <c r="A16" s="69" t="s">
        <v>37</v>
      </c>
      <c r="B16" s="4" t="s">
        <v>38</v>
      </c>
      <c r="C16" s="3" t="s">
        <v>73</v>
      </c>
      <c r="D16" s="69"/>
      <c r="E16" s="69"/>
    </row>
    <row r="17" spans="1:5" ht="24" x14ac:dyDescent="0.2">
      <c r="A17" s="69"/>
      <c r="B17" s="4" t="s">
        <v>75</v>
      </c>
      <c r="C17" s="3" t="s">
        <v>77</v>
      </c>
      <c r="D17" s="69"/>
      <c r="E17" s="69"/>
    </row>
    <row r="18" spans="1:5" ht="24" x14ac:dyDescent="0.2">
      <c r="A18" s="69"/>
      <c r="B18" s="4" t="s">
        <v>39</v>
      </c>
      <c r="C18" s="3" t="s">
        <v>87</v>
      </c>
      <c r="D18" s="69"/>
      <c r="E18" s="69"/>
    </row>
    <row r="19" spans="1:5" x14ac:dyDescent="0.2">
      <c r="A19" s="69"/>
      <c r="B19" s="4" t="s">
        <v>68</v>
      </c>
      <c r="C19" s="3" t="s">
        <v>143</v>
      </c>
      <c r="D19" s="69"/>
      <c r="E19" s="69"/>
    </row>
    <row r="20" spans="1:5" x14ac:dyDescent="0.2">
      <c r="A20" s="69"/>
      <c r="B20" s="4" t="s">
        <v>141</v>
      </c>
      <c r="C20" s="3" t="s">
        <v>142</v>
      </c>
      <c r="D20" s="69"/>
      <c r="E20" s="69"/>
    </row>
    <row r="21" spans="1:5" x14ac:dyDescent="0.2">
      <c r="A21" s="69"/>
      <c r="B21" s="4" t="s">
        <v>69</v>
      </c>
      <c r="C21" s="3" t="s">
        <v>106</v>
      </c>
      <c r="D21" s="69"/>
      <c r="E21" s="69"/>
    </row>
    <row r="22" spans="1:5" ht="24" x14ac:dyDescent="0.2">
      <c r="A22" s="69"/>
      <c r="B22" s="4" t="s">
        <v>40</v>
      </c>
      <c r="C22" s="3" t="s">
        <v>86</v>
      </c>
      <c r="D22" s="69"/>
      <c r="E22" s="69"/>
    </row>
    <row r="23" spans="1:5" ht="24" x14ac:dyDescent="0.2">
      <c r="A23" s="69" t="s">
        <v>41</v>
      </c>
      <c r="B23" s="69"/>
      <c r="C23" s="3" t="s">
        <v>122</v>
      </c>
      <c r="D23" s="69"/>
      <c r="E23" s="69"/>
    </row>
    <row r="24" spans="1:5" ht="24" x14ac:dyDescent="0.2">
      <c r="A24" s="69" t="s">
        <v>42</v>
      </c>
      <c r="B24" s="4" t="s">
        <v>91</v>
      </c>
      <c r="C24" s="3" t="s">
        <v>79</v>
      </c>
      <c r="D24" s="69"/>
      <c r="E24" s="69"/>
    </row>
    <row r="25" spans="1:5" x14ac:dyDescent="0.2">
      <c r="A25" s="69"/>
      <c r="B25" s="4" t="s">
        <v>93</v>
      </c>
      <c r="C25" s="3" t="s">
        <v>132</v>
      </c>
      <c r="D25" s="69"/>
      <c r="E25" s="69"/>
    </row>
    <row r="26" spans="1:5" x14ac:dyDescent="0.2">
      <c r="A26" s="69"/>
      <c r="B26" s="4" t="s">
        <v>94</v>
      </c>
      <c r="C26" s="3" t="s">
        <v>102</v>
      </c>
      <c r="D26" s="69"/>
      <c r="E26" s="69"/>
    </row>
    <row r="27" spans="1:5" x14ac:dyDescent="0.2">
      <c r="A27" s="69"/>
      <c r="B27" s="4" t="s">
        <v>95</v>
      </c>
      <c r="C27" s="3" t="s">
        <v>105</v>
      </c>
      <c r="D27" s="69"/>
      <c r="E27" s="69"/>
    </row>
    <row r="28" spans="1:5" x14ac:dyDescent="0.2">
      <c r="A28" s="69"/>
      <c r="B28" s="4" t="s">
        <v>144</v>
      </c>
      <c r="C28" s="3" t="s">
        <v>105</v>
      </c>
      <c r="D28" s="69"/>
      <c r="E28" s="69"/>
    </row>
    <row r="29" spans="1:5" x14ac:dyDescent="0.2">
      <c r="A29" s="69"/>
      <c r="B29" s="4" t="s">
        <v>92</v>
      </c>
      <c r="C29" s="3" t="s">
        <v>102</v>
      </c>
      <c r="D29" s="69"/>
      <c r="E29" s="69"/>
    </row>
    <row r="30" spans="1:5" x14ac:dyDescent="0.2">
      <c r="A30" s="69"/>
      <c r="B30" s="4" t="s">
        <v>96</v>
      </c>
      <c r="C30" s="3" t="s">
        <v>134</v>
      </c>
      <c r="D30" s="69"/>
      <c r="E30" s="69"/>
    </row>
    <row r="31" spans="1:5" ht="36" x14ac:dyDescent="0.2">
      <c r="A31" s="69"/>
      <c r="B31" s="4" t="s">
        <v>72</v>
      </c>
      <c r="C31" s="3" t="s">
        <v>139</v>
      </c>
      <c r="D31" s="69"/>
      <c r="E31" s="69"/>
    </row>
    <row r="32" spans="1:5" ht="24" x14ac:dyDescent="0.2">
      <c r="A32" s="69"/>
      <c r="B32" s="6" t="s">
        <v>140</v>
      </c>
      <c r="C32" s="5" t="s">
        <v>99</v>
      </c>
      <c r="D32" s="69"/>
      <c r="E32" s="69"/>
    </row>
    <row r="33" spans="1:5" ht="24" x14ac:dyDescent="0.2">
      <c r="A33" s="69"/>
      <c r="B33" s="4" t="s">
        <v>43</v>
      </c>
      <c r="C33" s="3" t="s">
        <v>186</v>
      </c>
      <c r="D33" s="69"/>
      <c r="E33" s="69"/>
    </row>
    <row r="34" spans="1:5" ht="36" x14ac:dyDescent="0.2">
      <c r="A34" s="69"/>
      <c r="B34" s="4" t="s">
        <v>44</v>
      </c>
      <c r="C34" s="3" t="s">
        <v>194</v>
      </c>
      <c r="D34" s="69"/>
      <c r="E34" s="69"/>
    </row>
    <row r="35" spans="1:5" ht="36" x14ac:dyDescent="0.2">
      <c r="A35" s="69"/>
      <c r="B35" s="4" t="s">
        <v>45</v>
      </c>
      <c r="C35" s="3" t="s">
        <v>184</v>
      </c>
      <c r="D35" s="69"/>
      <c r="E35" s="69"/>
    </row>
    <row r="36" spans="1:5" ht="36" x14ac:dyDescent="0.2">
      <c r="A36" s="69" t="s">
        <v>46</v>
      </c>
      <c r="B36" s="69"/>
      <c r="C36" s="3" t="s">
        <v>47</v>
      </c>
      <c r="D36" s="69"/>
      <c r="E36" s="69"/>
    </row>
    <row r="37" spans="1:5" x14ac:dyDescent="0.2">
      <c r="A37" s="69" t="s">
        <v>48</v>
      </c>
      <c r="B37" s="69"/>
      <c r="C37" s="3" t="s">
        <v>49</v>
      </c>
      <c r="D37" s="69"/>
      <c r="E37" s="69"/>
    </row>
    <row r="38" spans="1:5" x14ac:dyDescent="0.2">
      <c r="A38" s="69" t="s">
        <v>129</v>
      </c>
      <c r="B38" s="69"/>
      <c r="C38" s="3" t="s">
        <v>50</v>
      </c>
      <c r="D38" s="69"/>
      <c r="E38" s="69"/>
    </row>
    <row r="39" spans="1:5" x14ac:dyDescent="0.2">
      <c r="A39" s="69" t="s">
        <v>128</v>
      </c>
      <c r="B39" s="69"/>
      <c r="C39" s="3" t="s">
        <v>127</v>
      </c>
      <c r="D39" s="69"/>
      <c r="E39" s="69"/>
    </row>
    <row r="40" spans="1:5" x14ac:dyDescent="0.2">
      <c r="A40" s="64" t="s">
        <v>124</v>
      </c>
      <c r="B40" s="65"/>
      <c r="C40" s="3" t="s">
        <v>284</v>
      </c>
      <c r="D40" s="64"/>
      <c r="E40" s="65"/>
    </row>
    <row r="41" spans="1:5" x14ac:dyDescent="0.2">
      <c r="A41" s="64" t="s">
        <v>125</v>
      </c>
      <c r="B41" s="65"/>
      <c r="C41" s="3" t="s">
        <v>285</v>
      </c>
      <c r="D41" s="64"/>
      <c r="E41" s="65"/>
    </row>
    <row r="42" spans="1:5" x14ac:dyDescent="0.2">
      <c r="A42" s="64" t="s">
        <v>126</v>
      </c>
      <c r="B42" s="65"/>
      <c r="C42" s="3" t="s">
        <v>195</v>
      </c>
      <c r="D42" s="64"/>
      <c r="E42" s="65"/>
    </row>
    <row r="43" spans="1:5" ht="24" x14ac:dyDescent="0.2">
      <c r="A43" s="69" t="s">
        <v>51</v>
      </c>
      <c r="B43" s="69"/>
      <c r="C43" s="3" t="s">
        <v>52</v>
      </c>
      <c r="D43" s="69"/>
      <c r="E43" s="69"/>
    </row>
    <row r="44" spans="1:5" x14ac:dyDescent="0.2">
      <c r="A44" s="69" t="s">
        <v>53</v>
      </c>
      <c r="B44" s="69"/>
      <c r="C44" s="3" t="s">
        <v>149</v>
      </c>
      <c r="D44" s="69"/>
      <c r="E44" s="69"/>
    </row>
    <row r="45" spans="1:5" ht="24" x14ac:dyDescent="0.2">
      <c r="A45" s="69" t="s">
        <v>54</v>
      </c>
      <c r="B45" s="69"/>
      <c r="C45" s="3" t="s">
        <v>436</v>
      </c>
      <c r="D45" s="69"/>
      <c r="E45" s="69"/>
    </row>
    <row r="46" spans="1:5" x14ac:dyDescent="0.2">
      <c r="A46" s="7"/>
      <c r="B46" s="8"/>
      <c r="C46" s="8"/>
      <c r="D46" s="8"/>
      <c r="E46" s="9"/>
    </row>
    <row r="47" spans="1:5" x14ac:dyDescent="0.2">
      <c r="A47" s="10" t="s">
        <v>58</v>
      </c>
      <c r="E47" s="11"/>
    </row>
    <row r="48" spans="1:5" x14ac:dyDescent="0.2">
      <c r="A48" s="70" t="s">
        <v>70</v>
      </c>
      <c r="B48" s="71"/>
      <c r="C48" s="71"/>
      <c r="D48" s="71"/>
      <c r="E48" s="72"/>
    </row>
    <row r="49" spans="1:5" x14ac:dyDescent="0.2">
      <c r="A49" s="70"/>
      <c r="B49" s="71"/>
      <c r="C49" s="71"/>
      <c r="D49" s="71"/>
      <c r="E49" s="72"/>
    </row>
    <row r="50" spans="1:5" x14ac:dyDescent="0.2">
      <c r="A50" s="70" t="s">
        <v>437</v>
      </c>
      <c r="B50" s="71"/>
      <c r="C50" s="71"/>
      <c r="D50" s="71"/>
      <c r="E50" s="72"/>
    </row>
    <row r="51" spans="1:5" x14ac:dyDescent="0.2">
      <c r="A51" s="70" t="s">
        <v>97</v>
      </c>
      <c r="B51" s="71"/>
      <c r="C51" s="71"/>
      <c r="D51" s="71"/>
      <c r="E51" s="72"/>
    </row>
    <row r="52" spans="1:5" x14ac:dyDescent="0.2">
      <c r="A52" s="70"/>
      <c r="B52" s="71"/>
      <c r="C52" s="71"/>
      <c r="D52" s="71"/>
      <c r="E52" s="72"/>
    </row>
    <row r="53" spans="1:5" x14ac:dyDescent="0.2">
      <c r="A53" s="70" t="s">
        <v>150</v>
      </c>
      <c r="B53" s="71"/>
      <c r="C53" s="71"/>
      <c r="D53" s="71"/>
      <c r="E53" s="72"/>
    </row>
    <row r="54" spans="1:5" ht="11.45" customHeight="1" x14ac:dyDescent="0.2">
      <c r="A54" s="70" t="s">
        <v>151</v>
      </c>
      <c r="B54" s="71"/>
      <c r="C54" s="71"/>
      <c r="D54" s="71"/>
      <c r="E54" s="72"/>
    </row>
    <row r="55" spans="1:5" x14ac:dyDescent="0.2">
      <c r="A55" s="66" t="s">
        <v>104</v>
      </c>
      <c r="B55" s="67"/>
      <c r="C55" s="67"/>
      <c r="D55" s="67"/>
      <c r="E55" s="68"/>
    </row>
  </sheetData>
  <mergeCells count="75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2"/>
    <mergeCell ref="D16:E16"/>
    <mergeCell ref="D17:E17"/>
    <mergeCell ref="D18:E18"/>
    <mergeCell ref="D19:E19"/>
    <mergeCell ref="D20:E20"/>
    <mergeCell ref="D21:E21"/>
    <mergeCell ref="D22:E22"/>
    <mergeCell ref="A23:B23"/>
    <mergeCell ref="D23:E23"/>
    <mergeCell ref="A24:A35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D35:E35"/>
    <mergeCell ref="A37:B37"/>
    <mergeCell ref="D37:E37"/>
    <mergeCell ref="A38:B38"/>
    <mergeCell ref="D38:E38"/>
    <mergeCell ref="A36:B36"/>
    <mergeCell ref="D36:E36"/>
    <mergeCell ref="A39:B39"/>
    <mergeCell ref="D39:E39"/>
    <mergeCell ref="A40:B40"/>
    <mergeCell ref="D40:E40"/>
    <mergeCell ref="A41:B41"/>
    <mergeCell ref="D41:E41"/>
    <mergeCell ref="A42:B42"/>
    <mergeCell ref="D42:E42"/>
    <mergeCell ref="A55:E55"/>
    <mergeCell ref="A43:B43"/>
    <mergeCell ref="D43:E43"/>
    <mergeCell ref="A44:B44"/>
    <mergeCell ref="D44:E44"/>
    <mergeCell ref="A45:B45"/>
    <mergeCell ref="D45:E45"/>
    <mergeCell ref="A48:E49"/>
    <mergeCell ref="A50:E50"/>
    <mergeCell ref="A51:E52"/>
    <mergeCell ref="A53:E53"/>
    <mergeCell ref="A54:E54"/>
  </mergeCells>
  <conditionalFormatting sqref="B17">
    <cfRule type="duplicateValues" dxfId="389" priority="4"/>
  </conditionalFormatting>
  <conditionalFormatting sqref="B18">
    <cfRule type="duplicateValues" dxfId="388" priority="3"/>
  </conditionalFormatting>
  <conditionalFormatting sqref="B20">
    <cfRule type="duplicateValues" dxfId="387" priority="2"/>
  </conditionalFormatting>
  <conditionalFormatting sqref="B21">
    <cfRule type="duplicateValues" dxfId="386" priority="10"/>
  </conditionalFormatting>
  <conditionalFormatting sqref="B25">
    <cfRule type="duplicateValues" dxfId="385" priority="12"/>
  </conditionalFormatting>
  <conditionalFormatting sqref="B28">
    <cfRule type="duplicateValues" dxfId="384" priority="1"/>
  </conditionalFormatting>
  <conditionalFormatting sqref="B32">
    <cfRule type="duplicateValues" dxfId="383" priority="11"/>
  </conditionalFormatting>
  <conditionalFormatting sqref="B38">
    <cfRule type="duplicateValues" dxfId="382" priority="6"/>
  </conditionalFormatting>
  <conditionalFormatting sqref="B39">
    <cfRule type="duplicateValues" dxfId="381" priority="5"/>
  </conditionalFormatting>
  <conditionalFormatting sqref="B40">
    <cfRule type="duplicateValues" dxfId="380" priority="9"/>
  </conditionalFormatting>
  <conditionalFormatting sqref="B41">
    <cfRule type="duplicateValues" dxfId="379" priority="8"/>
  </conditionalFormatting>
  <conditionalFormatting sqref="B42">
    <cfRule type="duplicateValues" dxfId="378" priority="7"/>
  </conditionalFormatting>
  <conditionalFormatting sqref="B56:B1048576 B4:B10 B26:B27 B12:B16 B33:B37 B22:B24 B43:B47 B19 B29:B31">
    <cfRule type="duplicateValues" dxfId="377" priority="13"/>
  </conditionalFormatting>
  <pageMargins left="0.7" right="0.7" top="0.75" bottom="0.75" header="0.3" footer="0.3"/>
  <pageSetup paperSize="9" scale="87" orientation="portrait" horizontalDpi="4294967295" verticalDpi="4294967295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E79DB5-5D00-4DA1-92D4-67605E2FBB5E}">
  <sheetPr codeName="Sheet42">
    <tabColor theme="4" tint="-0.249977111117893"/>
    <pageSetUpPr fitToPage="1"/>
  </sheetPr>
  <dimension ref="A1:E55"/>
  <sheetViews>
    <sheetView zoomScaleNormal="100" workbookViewId="0">
      <selection sqref="A1:B3"/>
    </sheetView>
  </sheetViews>
  <sheetFormatPr defaultColWidth="8.85546875" defaultRowHeight="12" x14ac:dyDescent="0.2"/>
  <cols>
    <col min="1" max="1" width="12.5703125" style="1" customWidth="1"/>
    <col min="2" max="2" width="13.42578125" style="1" bestFit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4" customFormat="1" ht="30" customHeight="1" x14ac:dyDescent="0.25">
      <c r="A1" s="77" t="e" vm="1">
        <v>#VALUE!</v>
      </c>
      <c r="B1" s="78"/>
      <c r="C1" s="83" t="s">
        <v>112</v>
      </c>
      <c r="D1" s="13" t="s">
        <v>110</v>
      </c>
      <c r="E1" s="13" t="s">
        <v>435</v>
      </c>
    </row>
    <row r="2" spans="1:5" s="14" customFormat="1" ht="30" customHeight="1" x14ac:dyDescent="0.25">
      <c r="A2" s="79"/>
      <c r="B2" s="80"/>
      <c r="C2" s="84"/>
      <c r="D2" s="15" t="s">
        <v>109</v>
      </c>
      <c r="E2" s="16" t="str">
        <f>VLOOKUP(C4,Index!B:J,9,FALSE)</f>
        <v>C0</v>
      </c>
    </row>
    <row r="3" spans="1:5" s="14" customFormat="1" ht="30" customHeight="1" x14ac:dyDescent="0.25">
      <c r="A3" s="81"/>
      <c r="B3" s="82"/>
      <c r="C3" s="85"/>
      <c r="D3" s="15" t="s">
        <v>111</v>
      </c>
      <c r="E3" s="17">
        <f>VLOOKUP(C4,Index!B:I,8,FALSE)</f>
        <v>350</v>
      </c>
    </row>
    <row r="4" spans="1:5" x14ac:dyDescent="0.2">
      <c r="A4" s="86" t="s">
        <v>74</v>
      </c>
      <c r="B4" s="86"/>
      <c r="C4" s="2" t="s">
        <v>224</v>
      </c>
      <c r="D4" s="86" t="s">
        <v>55</v>
      </c>
      <c r="E4" s="86"/>
    </row>
    <row r="5" spans="1:5" x14ac:dyDescent="0.2">
      <c r="A5" s="69" t="s">
        <v>26</v>
      </c>
      <c r="B5" s="69"/>
      <c r="C5" s="3" t="s">
        <v>164</v>
      </c>
      <c r="D5" s="69"/>
      <c r="E5" s="69"/>
    </row>
    <row r="6" spans="1:5" x14ac:dyDescent="0.2">
      <c r="A6" s="69" t="s">
        <v>27</v>
      </c>
      <c r="B6" s="69"/>
      <c r="C6" s="3" t="s">
        <v>78</v>
      </c>
      <c r="D6" s="69"/>
      <c r="E6" s="69"/>
    </row>
    <row r="7" spans="1:5" x14ac:dyDescent="0.2">
      <c r="A7" s="69" t="s">
        <v>28</v>
      </c>
      <c r="B7" s="69"/>
      <c r="C7" s="3" t="s">
        <v>82</v>
      </c>
      <c r="D7" s="69"/>
      <c r="E7" s="69"/>
    </row>
    <row r="8" spans="1:5" x14ac:dyDescent="0.2">
      <c r="A8" s="69" t="s">
        <v>29</v>
      </c>
      <c r="B8" s="69"/>
      <c r="C8" s="3" t="str">
        <f>VLOOKUP(C5,Index!N:W,6,FALSE)</f>
        <v>Corrosive HC service (Low Temp)</v>
      </c>
      <c r="D8" s="69"/>
      <c r="E8" s="69"/>
    </row>
    <row r="9" spans="1:5" x14ac:dyDescent="0.2">
      <c r="A9" s="69" t="s">
        <v>30</v>
      </c>
      <c r="B9" s="69"/>
      <c r="C9" s="3" t="s">
        <v>148</v>
      </c>
      <c r="D9" s="69"/>
      <c r="E9" s="69"/>
    </row>
    <row r="10" spans="1:5" x14ac:dyDescent="0.2">
      <c r="A10" s="69" t="s">
        <v>31</v>
      </c>
      <c r="B10" s="69"/>
      <c r="C10" s="3" t="s">
        <v>64</v>
      </c>
      <c r="D10" s="69"/>
      <c r="E10" s="69"/>
    </row>
    <row r="11" spans="1:5" x14ac:dyDescent="0.2">
      <c r="A11" s="73" t="s">
        <v>119</v>
      </c>
      <c r="B11" s="74"/>
      <c r="C11" s="12" t="str">
        <f>VLOOKUP(C5,Index!N:W,10,FALSE)</f>
        <v>399.8 @ -29°C' 342.9 @ 200°C</v>
      </c>
      <c r="D11" s="75"/>
      <c r="E11" s="76"/>
    </row>
    <row r="12" spans="1:5" x14ac:dyDescent="0.2">
      <c r="A12" s="69" t="s">
        <v>32</v>
      </c>
      <c r="B12" s="69"/>
      <c r="C12" s="3" t="str">
        <f>VLOOKUP(C5,Index!N:W,5,FALSE)</f>
        <v>6 mm</v>
      </c>
      <c r="D12" s="69"/>
      <c r="E12" s="69"/>
    </row>
    <row r="13" spans="1:5" ht="24" x14ac:dyDescent="0.2">
      <c r="A13" s="69" t="s">
        <v>33</v>
      </c>
      <c r="B13" s="69"/>
      <c r="C13" s="3" t="s">
        <v>98</v>
      </c>
      <c r="D13" s="69"/>
      <c r="E13" s="69"/>
    </row>
    <row r="14" spans="1:5" ht="24" x14ac:dyDescent="0.2">
      <c r="A14" s="69" t="s">
        <v>35</v>
      </c>
      <c r="B14" s="69"/>
      <c r="C14" s="3" t="s">
        <v>316</v>
      </c>
      <c r="D14" s="69"/>
      <c r="E14" s="69"/>
    </row>
    <row r="15" spans="1:5" x14ac:dyDescent="0.2">
      <c r="A15" s="69" t="s">
        <v>36</v>
      </c>
      <c r="B15" s="69"/>
      <c r="C15" s="3" t="s">
        <v>67</v>
      </c>
      <c r="D15" s="69"/>
      <c r="E15" s="69"/>
    </row>
    <row r="16" spans="1:5" x14ac:dyDescent="0.2">
      <c r="A16" s="69" t="s">
        <v>37</v>
      </c>
      <c r="B16" s="4" t="s">
        <v>38</v>
      </c>
      <c r="C16" s="3" t="s">
        <v>73</v>
      </c>
      <c r="D16" s="69"/>
      <c r="E16" s="69"/>
    </row>
    <row r="17" spans="1:5" ht="24" x14ac:dyDescent="0.2">
      <c r="A17" s="69"/>
      <c r="B17" s="4" t="s">
        <v>75</v>
      </c>
      <c r="C17" s="3" t="s">
        <v>77</v>
      </c>
      <c r="D17" s="69"/>
      <c r="E17" s="69"/>
    </row>
    <row r="18" spans="1:5" ht="24" x14ac:dyDescent="0.2">
      <c r="A18" s="69"/>
      <c r="B18" s="4" t="s">
        <v>39</v>
      </c>
      <c r="C18" s="3" t="s">
        <v>87</v>
      </c>
      <c r="D18" s="69"/>
      <c r="E18" s="69"/>
    </row>
    <row r="19" spans="1:5" x14ac:dyDescent="0.2">
      <c r="A19" s="69"/>
      <c r="B19" s="4" t="s">
        <v>68</v>
      </c>
      <c r="C19" s="3" t="s">
        <v>143</v>
      </c>
      <c r="D19" s="69"/>
      <c r="E19" s="69"/>
    </row>
    <row r="20" spans="1:5" x14ac:dyDescent="0.2">
      <c r="A20" s="69"/>
      <c r="B20" s="4" t="s">
        <v>141</v>
      </c>
      <c r="C20" s="3" t="s">
        <v>142</v>
      </c>
      <c r="D20" s="69"/>
      <c r="E20" s="69"/>
    </row>
    <row r="21" spans="1:5" x14ac:dyDescent="0.2">
      <c r="A21" s="69"/>
      <c r="B21" s="4" t="s">
        <v>69</v>
      </c>
      <c r="C21" s="3" t="s">
        <v>106</v>
      </c>
      <c r="D21" s="69"/>
      <c r="E21" s="69"/>
    </row>
    <row r="22" spans="1:5" ht="24" x14ac:dyDescent="0.2">
      <c r="A22" s="69"/>
      <c r="B22" s="4" t="s">
        <v>40</v>
      </c>
      <c r="C22" s="3" t="s">
        <v>86</v>
      </c>
      <c r="D22" s="69"/>
      <c r="E22" s="69"/>
    </row>
    <row r="23" spans="1:5" ht="24" x14ac:dyDescent="0.2">
      <c r="A23" s="69" t="s">
        <v>41</v>
      </c>
      <c r="B23" s="69"/>
      <c r="C23" s="3" t="s">
        <v>122</v>
      </c>
      <c r="D23" s="69"/>
      <c r="E23" s="69"/>
    </row>
    <row r="24" spans="1:5" ht="24" x14ac:dyDescent="0.2">
      <c r="A24" s="69" t="s">
        <v>42</v>
      </c>
      <c r="B24" s="4" t="s">
        <v>91</v>
      </c>
      <c r="C24" s="3" t="s">
        <v>79</v>
      </c>
      <c r="D24" s="69"/>
      <c r="E24" s="69"/>
    </row>
    <row r="25" spans="1:5" x14ac:dyDescent="0.2">
      <c r="A25" s="69"/>
      <c r="B25" s="4" t="s">
        <v>93</v>
      </c>
      <c r="C25" s="3" t="s">
        <v>132</v>
      </c>
      <c r="D25" s="69"/>
      <c r="E25" s="69"/>
    </row>
    <row r="26" spans="1:5" x14ac:dyDescent="0.2">
      <c r="A26" s="69"/>
      <c r="B26" s="4" t="s">
        <v>94</v>
      </c>
      <c r="C26" s="3" t="s">
        <v>102</v>
      </c>
      <c r="D26" s="69"/>
      <c r="E26" s="69"/>
    </row>
    <row r="27" spans="1:5" x14ac:dyDescent="0.2">
      <c r="A27" s="69"/>
      <c r="B27" s="4" t="s">
        <v>95</v>
      </c>
      <c r="C27" s="3" t="s">
        <v>105</v>
      </c>
      <c r="D27" s="69"/>
      <c r="E27" s="69"/>
    </row>
    <row r="28" spans="1:5" x14ac:dyDescent="0.2">
      <c r="A28" s="69"/>
      <c r="B28" s="4" t="s">
        <v>144</v>
      </c>
      <c r="C28" s="3" t="s">
        <v>105</v>
      </c>
      <c r="D28" s="69"/>
      <c r="E28" s="69"/>
    </row>
    <row r="29" spans="1:5" x14ac:dyDescent="0.2">
      <c r="A29" s="69"/>
      <c r="B29" s="4" t="s">
        <v>92</v>
      </c>
      <c r="C29" s="3" t="s">
        <v>102</v>
      </c>
      <c r="D29" s="69"/>
      <c r="E29" s="69"/>
    </row>
    <row r="30" spans="1:5" x14ac:dyDescent="0.2">
      <c r="A30" s="69"/>
      <c r="B30" s="4" t="s">
        <v>96</v>
      </c>
      <c r="C30" s="3" t="s">
        <v>134</v>
      </c>
      <c r="D30" s="69"/>
      <c r="E30" s="69"/>
    </row>
    <row r="31" spans="1:5" ht="36" x14ac:dyDescent="0.2">
      <c r="A31" s="69"/>
      <c r="B31" s="4" t="s">
        <v>72</v>
      </c>
      <c r="C31" s="3" t="s">
        <v>139</v>
      </c>
      <c r="D31" s="69"/>
      <c r="E31" s="69"/>
    </row>
    <row r="32" spans="1:5" ht="24" x14ac:dyDescent="0.2">
      <c r="A32" s="69"/>
      <c r="B32" s="6" t="s">
        <v>140</v>
      </c>
      <c r="C32" s="5" t="s">
        <v>99</v>
      </c>
      <c r="D32" s="69"/>
      <c r="E32" s="69"/>
    </row>
    <row r="33" spans="1:5" ht="24" x14ac:dyDescent="0.2">
      <c r="A33" s="69"/>
      <c r="B33" s="4" t="s">
        <v>43</v>
      </c>
      <c r="C33" s="3" t="s">
        <v>186</v>
      </c>
      <c r="D33" s="69"/>
      <c r="E33" s="69"/>
    </row>
    <row r="34" spans="1:5" ht="36" x14ac:dyDescent="0.2">
      <c r="A34" s="69"/>
      <c r="B34" s="4" t="s">
        <v>44</v>
      </c>
      <c r="C34" s="3" t="s">
        <v>194</v>
      </c>
      <c r="D34" s="69"/>
      <c r="E34" s="69"/>
    </row>
    <row r="35" spans="1:5" ht="36" x14ac:dyDescent="0.2">
      <c r="A35" s="69"/>
      <c r="B35" s="4" t="s">
        <v>45</v>
      </c>
      <c r="C35" s="3" t="s">
        <v>184</v>
      </c>
      <c r="D35" s="69"/>
      <c r="E35" s="69"/>
    </row>
    <row r="36" spans="1:5" ht="36" x14ac:dyDescent="0.2">
      <c r="A36" s="69" t="s">
        <v>46</v>
      </c>
      <c r="B36" s="69"/>
      <c r="C36" s="3" t="s">
        <v>47</v>
      </c>
      <c r="D36" s="69"/>
      <c r="E36" s="69"/>
    </row>
    <row r="37" spans="1:5" x14ac:dyDescent="0.2">
      <c r="A37" s="69" t="s">
        <v>48</v>
      </c>
      <c r="B37" s="69"/>
      <c r="C37" s="3" t="s">
        <v>49</v>
      </c>
      <c r="D37" s="69"/>
      <c r="E37" s="69"/>
    </row>
    <row r="38" spans="1:5" x14ac:dyDescent="0.2">
      <c r="A38" s="69" t="s">
        <v>129</v>
      </c>
      <c r="B38" s="69"/>
      <c r="C38" s="3" t="s">
        <v>50</v>
      </c>
      <c r="D38" s="69"/>
      <c r="E38" s="69"/>
    </row>
    <row r="39" spans="1:5" x14ac:dyDescent="0.2">
      <c r="A39" s="69" t="s">
        <v>128</v>
      </c>
      <c r="B39" s="69"/>
      <c r="C39" s="3" t="s">
        <v>127</v>
      </c>
      <c r="D39" s="69"/>
      <c r="E39" s="69"/>
    </row>
    <row r="40" spans="1:5" x14ac:dyDescent="0.2">
      <c r="A40" s="64" t="s">
        <v>124</v>
      </c>
      <c r="B40" s="65"/>
      <c r="C40" s="3" t="s">
        <v>282</v>
      </c>
      <c r="D40" s="64"/>
      <c r="E40" s="65"/>
    </row>
    <row r="41" spans="1:5" x14ac:dyDescent="0.2">
      <c r="A41" s="64" t="s">
        <v>125</v>
      </c>
      <c r="B41" s="65"/>
      <c r="C41" s="3" t="s">
        <v>283</v>
      </c>
      <c r="D41" s="64"/>
      <c r="E41" s="65"/>
    </row>
    <row r="42" spans="1:5" x14ac:dyDescent="0.2">
      <c r="A42" s="64" t="s">
        <v>126</v>
      </c>
      <c r="B42" s="65"/>
      <c r="C42" s="3" t="s">
        <v>195</v>
      </c>
      <c r="D42" s="64"/>
      <c r="E42" s="65"/>
    </row>
    <row r="43" spans="1:5" ht="24" x14ac:dyDescent="0.2">
      <c r="A43" s="69" t="s">
        <v>51</v>
      </c>
      <c r="B43" s="69"/>
      <c r="C43" s="3" t="s">
        <v>52</v>
      </c>
      <c r="D43" s="69"/>
      <c r="E43" s="69"/>
    </row>
    <row r="44" spans="1:5" x14ac:dyDescent="0.2">
      <c r="A44" s="69" t="s">
        <v>53</v>
      </c>
      <c r="B44" s="69"/>
      <c r="C44" s="3" t="s">
        <v>149</v>
      </c>
      <c r="D44" s="69"/>
      <c r="E44" s="69"/>
    </row>
    <row r="45" spans="1:5" ht="24" x14ac:dyDescent="0.2">
      <c r="A45" s="69" t="s">
        <v>54</v>
      </c>
      <c r="B45" s="69"/>
      <c r="C45" s="3" t="s">
        <v>436</v>
      </c>
      <c r="D45" s="69"/>
      <c r="E45" s="69"/>
    </row>
    <row r="46" spans="1:5" x14ac:dyDescent="0.2">
      <c r="A46" s="7"/>
      <c r="B46" s="8"/>
      <c r="C46" s="8"/>
      <c r="D46" s="8"/>
      <c r="E46" s="9"/>
    </row>
    <row r="47" spans="1:5" x14ac:dyDescent="0.2">
      <c r="A47" s="10" t="s">
        <v>58</v>
      </c>
      <c r="E47" s="11"/>
    </row>
    <row r="48" spans="1:5" x14ac:dyDescent="0.2">
      <c r="A48" s="70" t="s">
        <v>70</v>
      </c>
      <c r="B48" s="71"/>
      <c r="C48" s="71"/>
      <c r="D48" s="71"/>
      <c r="E48" s="72"/>
    </row>
    <row r="49" spans="1:5" x14ac:dyDescent="0.2">
      <c r="A49" s="70"/>
      <c r="B49" s="71"/>
      <c r="C49" s="71"/>
      <c r="D49" s="71"/>
      <c r="E49" s="72"/>
    </row>
    <row r="50" spans="1:5" x14ac:dyDescent="0.2">
      <c r="A50" s="70" t="s">
        <v>437</v>
      </c>
      <c r="B50" s="71"/>
      <c r="C50" s="71"/>
      <c r="D50" s="71"/>
      <c r="E50" s="72"/>
    </row>
    <row r="51" spans="1:5" x14ac:dyDescent="0.2">
      <c r="A51" s="70" t="s">
        <v>97</v>
      </c>
      <c r="B51" s="71"/>
      <c r="C51" s="71"/>
      <c r="D51" s="71"/>
      <c r="E51" s="72"/>
    </row>
    <row r="52" spans="1:5" x14ac:dyDescent="0.2">
      <c r="A52" s="70"/>
      <c r="B52" s="71"/>
      <c r="C52" s="71"/>
      <c r="D52" s="71"/>
      <c r="E52" s="72"/>
    </row>
    <row r="53" spans="1:5" x14ac:dyDescent="0.2">
      <c r="A53" s="70" t="s">
        <v>150</v>
      </c>
      <c r="B53" s="71"/>
      <c r="C53" s="71"/>
      <c r="D53" s="71"/>
      <c r="E53" s="72"/>
    </row>
    <row r="54" spans="1:5" ht="11.45" customHeight="1" x14ac:dyDescent="0.2">
      <c r="A54" s="70" t="s">
        <v>151</v>
      </c>
      <c r="B54" s="71"/>
      <c r="C54" s="71"/>
      <c r="D54" s="71"/>
      <c r="E54" s="72"/>
    </row>
    <row r="55" spans="1:5" x14ac:dyDescent="0.2">
      <c r="A55" s="66" t="s">
        <v>104</v>
      </c>
      <c r="B55" s="67"/>
      <c r="C55" s="67"/>
      <c r="D55" s="67"/>
      <c r="E55" s="68"/>
    </row>
  </sheetData>
  <mergeCells count="75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2"/>
    <mergeCell ref="D16:E16"/>
    <mergeCell ref="D17:E17"/>
    <mergeCell ref="D18:E18"/>
    <mergeCell ref="D19:E19"/>
    <mergeCell ref="D20:E20"/>
    <mergeCell ref="D21:E21"/>
    <mergeCell ref="D22:E22"/>
    <mergeCell ref="A23:B23"/>
    <mergeCell ref="D23:E23"/>
    <mergeCell ref="A24:A35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D35:E35"/>
    <mergeCell ref="A37:B37"/>
    <mergeCell ref="D37:E37"/>
    <mergeCell ref="A38:B38"/>
    <mergeCell ref="D38:E38"/>
    <mergeCell ref="A36:B36"/>
    <mergeCell ref="D36:E36"/>
    <mergeCell ref="A39:B39"/>
    <mergeCell ref="D39:E39"/>
    <mergeCell ref="A40:B40"/>
    <mergeCell ref="D40:E40"/>
    <mergeCell ref="A41:B41"/>
    <mergeCell ref="D41:E41"/>
    <mergeCell ref="A42:B42"/>
    <mergeCell ref="D42:E42"/>
    <mergeCell ref="A55:E55"/>
    <mergeCell ref="A43:B43"/>
    <mergeCell ref="D43:E43"/>
    <mergeCell ref="A44:B44"/>
    <mergeCell ref="D44:E44"/>
    <mergeCell ref="A45:B45"/>
    <mergeCell ref="D45:E45"/>
    <mergeCell ref="A48:E49"/>
    <mergeCell ref="A50:E50"/>
    <mergeCell ref="A51:E52"/>
    <mergeCell ref="A53:E53"/>
    <mergeCell ref="A54:E54"/>
  </mergeCells>
  <conditionalFormatting sqref="B17">
    <cfRule type="duplicateValues" dxfId="376" priority="4"/>
  </conditionalFormatting>
  <conditionalFormatting sqref="B18">
    <cfRule type="duplicateValues" dxfId="375" priority="3"/>
  </conditionalFormatting>
  <conditionalFormatting sqref="B20">
    <cfRule type="duplicateValues" dxfId="374" priority="2"/>
  </conditionalFormatting>
  <conditionalFormatting sqref="B21">
    <cfRule type="duplicateValues" dxfId="373" priority="10"/>
  </conditionalFormatting>
  <conditionalFormatting sqref="B25">
    <cfRule type="duplicateValues" dxfId="372" priority="12"/>
  </conditionalFormatting>
  <conditionalFormatting sqref="B28">
    <cfRule type="duplicateValues" dxfId="371" priority="1"/>
  </conditionalFormatting>
  <conditionalFormatting sqref="B32">
    <cfRule type="duplicateValues" dxfId="370" priority="11"/>
  </conditionalFormatting>
  <conditionalFormatting sqref="B38">
    <cfRule type="duplicateValues" dxfId="369" priority="6"/>
  </conditionalFormatting>
  <conditionalFormatting sqref="B39">
    <cfRule type="duplicateValues" dxfId="368" priority="5"/>
  </conditionalFormatting>
  <conditionalFormatting sqref="B40">
    <cfRule type="duplicateValues" dxfId="367" priority="9"/>
  </conditionalFormatting>
  <conditionalFormatting sqref="B41">
    <cfRule type="duplicateValues" dxfId="366" priority="8"/>
  </conditionalFormatting>
  <conditionalFormatting sqref="B42">
    <cfRule type="duplicateValues" dxfId="365" priority="7"/>
  </conditionalFormatting>
  <conditionalFormatting sqref="B56:B1048576 B4:B10 B26:B27 B12:B16 B33:B37 B22:B24 B43:B47 B19 B29:B31">
    <cfRule type="duplicateValues" dxfId="364" priority="13"/>
  </conditionalFormatting>
  <pageMargins left="0.7" right="0.7" top="0.75" bottom="0.75" header="0.3" footer="0.3"/>
  <pageSetup paperSize="9" scale="87" orientation="portrait" horizontalDpi="4294967295" verticalDpi="4294967295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EAC2F9-9E4B-440F-92C9-6A0AAEF8C81E}">
  <sheetPr codeName="Sheet43">
    <tabColor theme="4" tint="-0.249977111117893"/>
    <pageSetUpPr fitToPage="1"/>
  </sheetPr>
  <dimension ref="A1:E55"/>
  <sheetViews>
    <sheetView zoomScaleNormal="100" workbookViewId="0">
      <selection sqref="A1:B3"/>
    </sheetView>
  </sheetViews>
  <sheetFormatPr defaultColWidth="8.85546875" defaultRowHeight="12" x14ac:dyDescent="0.2"/>
  <cols>
    <col min="1" max="1" width="12.5703125" style="1" customWidth="1"/>
    <col min="2" max="2" width="13.42578125" style="1" bestFit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4" customFormat="1" ht="30" customHeight="1" x14ac:dyDescent="0.25">
      <c r="A1" s="77" t="e" vm="1">
        <v>#VALUE!</v>
      </c>
      <c r="B1" s="78"/>
      <c r="C1" s="83" t="s">
        <v>112</v>
      </c>
      <c r="D1" s="13" t="s">
        <v>110</v>
      </c>
      <c r="E1" s="13" t="s">
        <v>435</v>
      </c>
    </row>
    <row r="2" spans="1:5" s="14" customFormat="1" ht="30" customHeight="1" x14ac:dyDescent="0.25">
      <c r="A2" s="79"/>
      <c r="B2" s="80"/>
      <c r="C2" s="84"/>
      <c r="D2" s="15" t="s">
        <v>109</v>
      </c>
      <c r="E2" s="16" t="str">
        <f>VLOOKUP(C4,Index!B:J,9,FALSE)</f>
        <v>C0</v>
      </c>
    </row>
    <row r="3" spans="1:5" s="14" customFormat="1" ht="30" customHeight="1" x14ac:dyDescent="0.25">
      <c r="A3" s="81"/>
      <c r="B3" s="82"/>
      <c r="C3" s="85"/>
      <c r="D3" s="15" t="s">
        <v>111</v>
      </c>
      <c r="E3" s="17">
        <f>VLOOKUP(C4,Index!B:I,8,FALSE)</f>
        <v>351</v>
      </c>
    </row>
    <row r="4" spans="1:5" x14ac:dyDescent="0.2">
      <c r="A4" s="86" t="s">
        <v>74</v>
      </c>
      <c r="B4" s="86"/>
      <c r="C4" s="2" t="s">
        <v>252</v>
      </c>
      <c r="D4" s="86" t="s">
        <v>55</v>
      </c>
      <c r="E4" s="86"/>
    </row>
    <row r="5" spans="1:5" x14ac:dyDescent="0.2">
      <c r="A5" s="69" t="s">
        <v>26</v>
      </c>
      <c r="B5" s="69"/>
      <c r="C5" s="3" t="s">
        <v>298</v>
      </c>
      <c r="D5" s="69"/>
      <c r="E5" s="69"/>
    </row>
    <row r="6" spans="1:5" x14ac:dyDescent="0.2">
      <c r="A6" s="69" t="s">
        <v>27</v>
      </c>
      <c r="B6" s="69"/>
      <c r="C6" s="3" t="s">
        <v>78</v>
      </c>
      <c r="D6" s="69"/>
      <c r="E6" s="69"/>
    </row>
    <row r="7" spans="1:5" x14ac:dyDescent="0.2">
      <c r="A7" s="69" t="s">
        <v>28</v>
      </c>
      <c r="B7" s="69"/>
      <c r="C7" s="3" t="s">
        <v>82</v>
      </c>
      <c r="D7" s="69"/>
      <c r="E7" s="69"/>
    </row>
    <row r="8" spans="1:5" ht="48" x14ac:dyDescent="0.2">
      <c r="A8" s="69" t="s">
        <v>29</v>
      </c>
      <c r="B8" s="69"/>
      <c r="C8" s="3" t="str">
        <f>VLOOKUP(C5,Index!N:W,6,FALSE)</f>
        <v>Air, Nitrogen, Lube oil, Chemical, Foam, hydraulic, IA, Diesel Fuel, UW, Bilge, Drain, Sewage, PW, CO2 Gas, Ballast, IG, COW/Tank Cleaning, Slop, Fire Water</v>
      </c>
      <c r="D8" s="69"/>
      <c r="E8" s="69"/>
    </row>
    <row r="9" spans="1:5" x14ac:dyDescent="0.2">
      <c r="A9" s="69" t="s">
        <v>30</v>
      </c>
      <c r="B9" s="69"/>
      <c r="C9" s="3" t="s">
        <v>148</v>
      </c>
      <c r="D9" s="69"/>
      <c r="E9" s="69"/>
    </row>
    <row r="10" spans="1:5" x14ac:dyDescent="0.2">
      <c r="A10" s="69" t="s">
        <v>31</v>
      </c>
      <c r="B10" s="69"/>
      <c r="C10" s="3" t="s">
        <v>56</v>
      </c>
      <c r="D10" s="69"/>
      <c r="E10" s="69"/>
    </row>
    <row r="11" spans="1:5" x14ac:dyDescent="0.2">
      <c r="A11" s="73" t="s">
        <v>119</v>
      </c>
      <c r="B11" s="74"/>
      <c r="C11" s="12" t="str">
        <f>VLOOKUP(C5,Index!N:W,10,FALSE)</f>
        <v>15.9 @ -100°C' 11.2 @ 200°C</v>
      </c>
      <c r="D11" s="75"/>
      <c r="E11" s="76"/>
    </row>
    <row r="12" spans="1:5" x14ac:dyDescent="0.2">
      <c r="A12" s="69" t="s">
        <v>32</v>
      </c>
      <c r="B12" s="69"/>
      <c r="C12" s="3" t="str">
        <f>VLOOKUP(C5,Index!N:W,5,FALSE)</f>
        <v>NIL</v>
      </c>
      <c r="D12" s="69"/>
      <c r="E12" s="69"/>
    </row>
    <row r="13" spans="1:5" x14ac:dyDescent="0.2">
      <c r="A13" s="69" t="s">
        <v>33</v>
      </c>
      <c r="B13" s="69"/>
      <c r="C13" s="3" t="s">
        <v>34</v>
      </c>
      <c r="D13" s="69"/>
      <c r="E13" s="69"/>
    </row>
    <row r="14" spans="1:5" x14ac:dyDescent="0.2">
      <c r="A14" s="69" t="s">
        <v>35</v>
      </c>
      <c r="B14" s="69"/>
      <c r="C14" s="3" t="s">
        <v>245</v>
      </c>
      <c r="D14" s="69"/>
      <c r="E14" s="69"/>
    </row>
    <row r="15" spans="1:5" x14ac:dyDescent="0.2">
      <c r="A15" s="69" t="s">
        <v>36</v>
      </c>
      <c r="B15" s="69"/>
      <c r="C15" s="3" t="s">
        <v>67</v>
      </c>
      <c r="D15" s="69"/>
      <c r="E15" s="69"/>
    </row>
    <row r="16" spans="1:5" x14ac:dyDescent="0.2">
      <c r="A16" s="69" t="s">
        <v>37</v>
      </c>
      <c r="B16" s="4" t="s">
        <v>38</v>
      </c>
      <c r="C16" s="3" t="s">
        <v>73</v>
      </c>
      <c r="D16" s="69"/>
      <c r="E16" s="69"/>
    </row>
    <row r="17" spans="1:5" ht="24" x14ac:dyDescent="0.2">
      <c r="A17" s="69"/>
      <c r="B17" s="4" t="s">
        <v>75</v>
      </c>
      <c r="C17" s="3" t="s">
        <v>77</v>
      </c>
      <c r="D17" s="69"/>
      <c r="E17" s="69"/>
    </row>
    <row r="18" spans="1:5" ht="24" x14ac:dyDescent="0.2">
      <c r="A18" s="69"/>
      <c r="B18" s="4" t="s">
        <v>39</v>
      </c>
      <c r="C18" s="3" t="s">
        <v>87</v>
      </c>
      <c r="D18" s="69"/>
      <c r="E18" s="69"/>
    </row>
    <row r="19" spans="1:5" x14ac:dyDescent="0.2">
      <c r="A19" s="69"/>
      <c r="B19" s="4" t="s">
        <v>68</v>
      </c>
      <c r="C19" s="3" t="s">
        <v>146</v>
      </c>
      <c r="D19" s="69"/>
      <c r="E19" s="69"/>
    </row>
    <row r="20" spans="1:5" x14ac:dyDescent="0.2">
      <c r="A20" s="69"/>
      <c r="B20" s="4" t="s">
        <v>141</v>
      </c>
      <c r="C20" s="3" t="s">
        <v>142</v>
      </c>
      <c r="D20" s="69"/>
      <c r="E20" s="69"/>
    </row>
    <row r="21" spans="1:5" x14ac:dyDescent="0.2">
      <c r="A21" s="69"/>
      <c r="B21" s="4" t="s">
        <v>69</v>
      </c>
      <c r="C21" s="3" t="s">
        <v>106</v>
      </c>
      <c r="D21" s="69"/>
      <c r="E21" s="69"/>
    </row>
    <row r="22" spans="1:5" ht="24" x14ac:dyDescent="0.2">
      <c r="A22" s="69"/>
      <c r="B22" s="4" t="s">
        <v>40</v>
      </c>
      <c r="C22" s="3" t="s">
        <v>86</v>
      </c>
      <c r="D22" s="69"/>
      <c r="E22" s="69"/>
    </row>
    <row r="23" spans="1:5" ht="24" x14ac:dyDescent="0.2">
      <c r="A23" s="69" t="s">
        <v>41</v>
      </c>
      <c r="B23" s="69"/>
      <c r="C23" s="3" t="s">
        <v>121</v>
      </c>
      <c r="D23" s="69"/>
      <c r="E23" s="69"/>
    </row>
    <row r="24" spans="1:5" ht="24" x14ac:dyDescent="0.2">
      <c r="A24" s="69" t="s">
        <v>42</v>
      </c>
      <c r="B24" s="4" t="s">
        <v>91</v>
      </c>
      <c r="C24" s="3" t="s">
        <v>80</v>
      </c>
      <c r="D24" s="69"/>
      <c r="E24" s="69"/>
    </row>
    <row r="25" spans="1:5" x14ac:dyDescent="0.2">
      <c r="A25" s="69"/>
      <c r="B25" s="4" t="s">
        <v>93</v>
      </c>
      <c r="C25" s="3" t="s">
        <v>132</v>
      </c>
      <c r="D25" s="69"/>
      <c r="E25" s="69"/>
    </row>
    <row r="26" spans="1:5" x14ac:dyDescent="0.2">
      <c r="A26" s="69"/>
      <c r="B26" s="4" t="s">
        <v>94</v>
      </c>
      <c r="C26" s="3" t="s">
        <v>102</v>
      </c>
      <c r="D26" s="69"/>
      <c r="E26" s="69"/>
    </row>
    <row r="27" spans="1:5" x14ac:dyDescent="0.2">
      <c r="A27" s="69"/>
      <c r="B27" s="4" t="s">
        <v>95</v>
      </c>
      <c r="C27" s="3" t="s">
        <v>105</v>
      </c>
      <c r="D27" s="69"/>
      <c r="E27" s="69"/>
    </row>
    <row r="28" spans="1:5" x14ac:dyDescent="0.2">
      <c r="A28" s="69"/>
      <c r="B28" s="4" t="s">
        <v>144</v>
      </c>
      <c r="C28" s="3" t="s">
        <v>145</v>
      </c>
      <c r="D28" s="69"/>
      <c r="E28" s="69"/>
    </row>
    <row r="29" spans="1:5" x14ac:dyDescent="0.2">
      <c r="A29" s="69"/>
      <c r="B29" s="4" t="s">
        <v>92</v>
      </c>
      <c r="C29" s="3" t="s">
        <v>102</v>
      </c>
      <c r="D29" s="69"/>
      <c r="E29" s="69"/>
    </row>
    <row r="30" spans="1:5" x14ac:dyDescent="0.2">
      <c r="A30" s="69"/>
      <c r="B30" s="4" t="s">
        <v>96</v>
      </c>
      <c r="C30" s="3" t="s">
        <v>102</v>
      </c>
      <c r="D30" s="69"/>
      <c r="E30" s="69"/>
    </row>
    <row r="31" spans="1:5" ht="36" x14ac:dyDescent="0.2">
      <c r="A31" s="69"/>
      <c r="B31" s="4" t="s">
        <v>72</v>
      </c>
      <c r="C31" s="3" t="s">
        <v>139</v>
      </c>
      <c r="D31" s="69"/>
      <c r="E31" s="69"/>
    </row>
    <row r="32" spans="1:5" ht="24" x14ac:dyDescent="0.2">
      <c r="A32" s="69"/>
      <c r="B32" s="6" t="s">
        <v>140</v>
      </c>
      <c r="C32" s="5" t="s">
        <v>99</v>
      </c>
      <c r="D32" s="69"/>
      <c r="E32" s="69"/>
    </row>
    <row r="33" spans="1:5" ht="24" x14ac:dyDescent="0.2">
      <c r="A33" s="69"/>
      <c r="B33" s="4" t="s">
        <v>43</v>
      </c>
      <c r="C33" s="3" t="s">
        <v>185</v>
      </c>
      <c r="D33" s="69"/>
      <c r="E33" s="69"/>
    </row>
    <row r="34" spans="1:5" ht="36" x14ac:dyDescent="0.2">
      <c r="A34" s="69"/>
      <c r="B34" s="4" t="s">
        <v>44</v>
      </c>
      <c r="C34" s="3" t="s">
        <v>194</v>
      </c>
      <c r="D34" s="69"/>
      <c r="E34" s="69"/>
    </row>
    <row r="35" spans="1:5" ht="36" x14ac:dyDescent="0.2">
      <c r="A35" s="69"/>
      <c r="B35" s="4" t="s">
        <v>45</v>
      </c>
      <c r="C35" s="3" t="s">
        <v>184</v>
      </c>
      <c r="D35" s="69"/>
      <c r="E35" s="69"/>
    </row>
    <row r="36" spans="1:5" ht="36" x14ac:dyDescent="0.2">
      <c r="A36" s="69" t="s">
        <v>46</v>
      </c>
      <c r="B36" s="69"/>
      <c r="C36" s="3" t="s">
        <v>47</v>
      </c>
      <c r="D36" s="69"/>
      <c r="E36" s="69"/>
    </row>
    <row r="37" spans="1:5" x14ac:dyDescent="0.2">
      <c r="A37" s="69" t="s">
        <v>48</v>
      </c>
      <c r="B37" s="69"/>
      <c r="C37" s="3" t="s">
        <v>49</v>
      </c>
      <c r="D37" s="69"/>
      <c r="E37" s="69"/>
    </row>
    <row r="38" spans="1:5" x14ac:dyDescent="0.2">
      <c r="A38" s="69" t="s">
        <v>129</v>
      </c>
      <c r="B38" s="69"/>
      <c r="C38" s="3" t="s">
        <v>50</v>
      </c>
      <c r="D38" s="69"/>
      <c r="E38" s="69"/>
    </row>
    <row r="39" spans="1:5" x14ac:dyDescent="0.2">
      <c r="A39" s="69" t="s">
        <v>128</v>
      </c>
      <c r="B39" s="69"/>
      <c r="C39" s="3" t="s">
        <v>127</v>
      </c>
      <c r="D39" s="69"/>
      <c r="E39" s="69"/>
    </row>
    <row r="40" spans="1:5" x14ac:dyDescent="0.2">
      <c r="A40" s="64" t="s">
        <v>124</v>
      </c>
      <c r="B40" s="65"/>
      <c r="C40" s="3" t="s">
        <v>280</v>
      </c>
      <c r="D40" s="64"/>
      <c r="E40" s="65"/>
    </row>
    <row r="41" spans="1:5" x14ac:dyDescent="0.2">
      <c r="A41" s="64" t="s">
        <v>125</v>
      </c>
      <c r="B41" s="65"/>
      <c r="C41" s="3" t="s">
        <v>281</v>
      </c>
      <c r="D41" s="64"/>
      <c r="E41" s="65"/>
    </row>
    <row r="42" spans="1:5" x14ac:dyDescent="0.2">
      <c r="A42" s="64" t="s">
        <v>126</v>
      </c>
      <c r="B42" s="65"/>
      <c r="C42" s="3" t="s">
        <v>195</v>
      </c>
      <c r="D42" s="64"/>
      <c r="E42" s="65"/>
    </row>
    <row r="43" spans="1:5" ht="24" x14ac:dyDescent="0.2">
      <c r="A43" s="69" t="s">
        <v>51</v>
      </c>
      <c r="B43" s="69"/>
      <c r="C43" s="3" t="s">
        <v>52</v>
      </c>
      <c r="D43" s="69"/>
      <c r="E43" s="69"/>
    </row>
    <row r="44" spans="1:5" x14ac:dyDescent="0.2">
      <c r="A44" s="69" t="s">
        <v>53</v>
      </c>
      <c r="B44" s="69"/>
      <c r="C44" s="3" t="s">
        <v>149</v>
      </c>
      <c r="D44" s="69"/>
      <c r="E44" s="69"/>
    </row>
    <row r="45" spans="1:5" ht="24" x14ac:dyDescent="0.2">
      <c r="A45" s="69" t="s">
        <v>54</v>
      </c>
      <c r="B45" s="69"/>
      <c r="C45" s="3" t="s">
        <v>436</v>
      </c>
      <c r="D45" s="69"/>
      <c r="E45" s="69"/>
    </row>
    <row r="46" spans="1:5" x14ac:dyDescent="0.2">
      <c r="A46" s="7"/>
      <c r="B46" s="8"/>
      <c r="C46" s="8"/>
      <c r="D46" s="8"/>
      <c r="E46" s="9"/>
    </row>
    <row r="47" spans="1:5" x14ac:dyDescent="0.2">
      <c r="A47" s="10" t="s">
        <v>58</v>
      </c>
      <c r="E47" s="11"/>
    </row>
    <row r="48" spans="1:5" x14ac:dyDescent="0.2">
      <c r="A48" s="70" t="s">
        <v>70</v>
      </c>
      <c r="B48" s="71"/>
      <c r="C48" s="71"/>
      <c r="D48" s="71"/>
      <c r="E48" s="72"/>
    </row>
    <row r="49" spans="1:5" x14ac:dyDescent="0.2">
      <c r="A49" s="70"/>
      <c r="B49" s="71"/>
      <c r="C49" s="71"/>
      <c r="D49" s="71"/>
      <c r="E49" s="72"/>
    </row>
    <row r="50" spans="1:5" x14ac:dyDescent="0.2">
      <c r="A50" s="70" t="s">
        <v>437</v>
      </c>
      <c r="B50" s="71"/>
      <c r="C50" s="71"/>
      <c r="D50" s="71"/>
      <c r="E50" s="72"/>
    </row>
    <row r="51" spans="1:5" x14ac:dyDescent="0.2">
      <c r="A51" s="70" t="s">
        <v>97</v>
      </c>
      <c r="B51" s="71"/>
      <c r="C51" s="71"/>
      <c r="D51" s="71"/>
      <c r="E51" s="72"/>
    </row>
    <row r="52" spans="1:5" x14ac:dyDescent="0.2">
      <c r="A52" s="70"/>
      <c r="B52" s="71"/>
      <c r="C52" s="71"/>
      <c r="D52" s="71"/>
      <c r="E52" s="72"/>
    </row>
    <row r="53" spans="1:5" x14ac:dyDescent="0.2">
      <c r="A53" s="70" t="s">
        <v>150</v>
      </c>
      <c r="B53" s="71"/>
      <c r="C53" s="71"/>
      <c r="D53" s="71"/>
      <c r="E53" s="72"/>
    </row>
    <row r="54" spans="1:5" ht="11.45" customHeight="1" x14ac:dyDescent="0.2">
      <c r="A54" s="70" t="s">
        <v>151</v>
      </c>
      <c r="B54" s="71"/>
      <c r="C54" s="71"/>
      <c r="D54" s="71"/>
      <c r="E54" s="72"/>
    </row>
    <row r="55" spans="1:5" x14ac:dyDescent="0.2">
      <c r="A55" s="66" t="s">
        <v>107</v>
      </c>
      <c r="B55" s="67"/>
      <c r="C55" s="67"/>
      <c r="D55" s="67"/>
      <c r="E55" s="68"/>
    </row>
  </sheetData>
  <mergeCells count="75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2"/>
    <mergeCell ref="D16:E16"/>
    <mergeCell ref="D17:E17"/>
    <mergeCell ref="D18:E18"/>
    <mergeCell ref="D19:E19"/>
    <mergeCell ref="D20:E20"/>
    <mergeCell ref="D21:E21"/>
    <mergeCell ref="D22:E22"/>
    <mergeCell ref="A23:B23"/>
    <mergeCell ref="D23:E23"/>
    <mergeCell ref="A24:A35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D35:E35"/>
    <mergeCell ref="A37:B37"/>
    <mergeCell ref="D37:E37"/>
    <mergeCell ref="A38:B38"/>
    <mergeCell ref="D38:E38"/>
    <mergeCell ref="A36:B36"/>
    <mergeCell ref="D36:E36"/>
    <mergeCell ref="A39:B39"/>
    <mergeCell ref="D39:E39"/>
    <mergeCell ref="A40:B40"/>
    <mergeCell ref="D40:E40"/>
    <mergeCell ref="A41:B41"/>
    <mergeCell ref="D41:E41"/>
    <mergeCell ref="A42:B42"/>
    <mergeCell ref="D42:E42"/>
    <mergeCell ref="A55:E55"/>
    <mergeCell ref="A43:B43"/>
    <mergeCell ref="D43:E43"/>
    <mergeCell ref="A44:B44"/>
    <mergeCell ref="D44:E44"/>
    <mergeCell ref="A45:B45"/>
    <mergeCell ref="D45:E45"/>
    <mergeCell ref="A48:E49"/>
    <mergeCell ref="A50:E50"/>
    <mergeCell ref="A51:E52"/>
    <mergeCell ref="A53:E53"/>
    <mergeCell ref="A54:E54"/>
  </mergeCells>
  <conditionalFormatting sqref="B17">
    <cfRule type="duplicateValues" dxfId="363" priority="4"/>
  </conditionalFormatting>
  <conditionalFormatting sqref="B18">
    <cfRule type="duplicateValues" dxfId="362" priority="3"/>
  </conditionalFormatting>
  <conditionalFormatting sqref="B20">
    <cfRule type="duplicateValues" dxfId="361" priority="2"/>
  </conditionalFormatting>
  <conditionalFormatting sqref="B21">
    <cfRule type="duplicateValues" dxfId="360" priority="10"/>
  </conditionalFormatting>
  <conditionalFormatting sqref="B25">
    <cfRule type="duplicateValues" dxfId="359" priority="12"/>
  </conditionalFormatting>
  <conditionalFormatting sqref="B28">
    <cfRule type="duplicateValues" dxfId="358" priority="1"/>
  </conditionalFormatting>
  <conditionalFormatting sqref="B32">
    <cfRule type="duplicateValues" dxfId="357" priority="11"/>
  </conditionalFormatting>
  <conditionalFormatting sqref="B38">
    <cfRule type="duplicateValues" dxfId="356" priority="6"/>
  </conditionalFormatting>
  <conditionalFormatting sqref="B39">
    <cfRule type="duplicateValues" dxfId="355" priority="5"/>
  </conditionalFormatting>
  <conditionalFormatting sqref="B40">
    <cfRule type="duplicateValues" dxfId="354" priority="9"/>
  </conditionalFormatting>
  <conditionalFormatting sqref="B41">
    <cfRule type="duplicateValues" dxfId="353" priority="8"/>
  </conditionalFormatting>
  <conditionalFormatting sqref="B42">
    <cfRule type="duplicateValues" dxfId="352" priority="7"/>
  </conditionalFormatting>
  <conditionalFormatting sqref="B56:B1048576 B4:B10 B26:B27 B12:B16 B33:B37 B22:B24 B43:B47 B19 B29:B31">
    <cfRule type="duplicateValues" dxfId="351" priority="13"/>
  </conditionalFormatting>
  <pageMargins left="0.7" right="0.7" top="0.75" bottom="0.75" header="0.3" footer="0.3"/>
  <pageSetup paperSize="9" scale="88" orientation="portrait" horizontalDpi="4294967295" verticalDpi="4294967295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066947-F829-4F62-976D-00D5FF77A4ED}">
  <sheetPr codeName="Sheet44">
    <tabColor theme="4" tint="-0.249977111117893"/>
    <pageSetUpPr fitToPage="1"/>
  </sheetPr>
  <dimension ref="A1:E55"/>
  <sheetViews>
    <sheetView zoomScaleNormal="100" workbookViewId="0">
      <selection sqref="A1:B3"/>
    </sheetView>
  </sheetViews>
  <sheetFormatPr defaultColWidth="8.85546875" defaultRowHeight="12" x14ac:dyDescent="0.2"/>
  <cols>
    <col min="1" max="1" width="12.5703125" style="1" customWidth="1"/>
    <col min="2" max="2" width="13.42578125" style="1" bestFit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4" customFormat="1" ht="30" customHeight="1" x14ac:dyDescent="0.25">
      <c r="A1" s="77" t="e" vm="1">
        <v>#VALUE!</v>
      </c>
      <c r="B1" s="78"/>
      <c r="C1" s="83" t="s">
        <v>112</v>
      </c>
      <c r="D1" s="13" t="s">
        <v>110</v>
      </c>
      <c r="E1" s="13" t="s">
        <v>435</v>
      </c>
    </row>
    <row r="2" spans="1:5" s="14" customFormat="1" ht="30" customHeight="1" x14ac:dyDescent="0.25">
      <c r="A2" s="79"/>
      <c r="B2" s="80"/>
      <c r="C2" s="84"/>
      <c r="D2" s="15" t="s">
        <v>109</v>
      </c>
      <c r="E2" s="16" t="str">
        <f>VLOOKUP(C4,Index!B:J,9,FALSE)</f>
        <v>C0</v>
      </c>
    </row>
    <row r="3" spans="1:5" s="14" customFormat="1" ht="30" customHeight="1" x14ac:dyDescent="0.25">
      <c r="A3" s="81"/>
      <c r="B3" s="82"/>
      <c r="C3" s="85"/>
      <c r="D3" s="15" t="s">
        <v>111</v>
      </c>
      <c r="E3" s="17">
        <f>VLOOKUP(C4,Index!B:I,8,FALSE)</f>
        <v>352</v>
      </c>
    </row>
    <row r="4" spans="1:5" x14ac:dyDescent="0.2">
      <c r="A4" s="86" t="s">
        <v>74</v>
      </c>
      <c r="B4" s="86"/>
      <c r="C4" s="2" t="s">
        <v>231</v>
      </c>
      <c r="D4" s="86" t="s">
        <v>55</v>
      </c>
      <c r="E4" s="86"/>
    </row>
    <row r="5" spans="1:5" x14ac:dyDescent="0.2">
      <c r="A5" s="69" t="s">
        <v>26</v>
      </c>
      <c r="B5" s="69"/>
      <c r="C5" s="3" t="s">
        <v>6</v>
      </c>
      <c r="D5" s="69"/>
      <c r="E5" s="69"/>
    </row>
    <row r="6" spans="1:5" x14ac:dyDescent="0.2">
      <c r="A6" s="69" t="s">
        <v>27</v>
      </c>
      <c r="B6" s="69"/>
      <c r="C6" s="3" t="s">
        <v>78</v>
      </c>
      <c r="D6" s="69"/>
      <c r="E6" s="69"/>
    </row>
    <row r="7" spans="1:5" x14ac:dyDescent="0.2">
      <c r="A7" s="69" t="s">
        <v>28</v>
      </c>
      <c r="B7" s="69"/>
      <c r="C7" s="3" t="s">
        <v>82</v>
      </c>
      <c r="D7" s="69"/>
      <c r="E7" s="69"/>
    </row>
    <row r="8" spans="1:5" ht="24" x14ac:dyDescent="0.2">
      <c r="A8" s="69" t="s">
        <v>29</v>
      </c>
      <c r="B8" s="69"/>
      <c r="C8" s="3" t="str">
        <f>VLOOKUP(C5,Index!N:W,6,FALSE)</f>
        <v>Air, Nitrogen, Lube oil, Chemical, Foam, Hydraulic, Instrument Air, Diesel Fuel</v>
      </c>
      <c r="D8" s="69"/>
      <c r="E8" s="69"/>
    </row>
    <row r="9" spans="1:5" x14ac:dyDescent="0.2">
      <c r="A9" s="69" t="s">
        <v>30</v>
      </c>
      <c r="B9" s="69"/>
      <c r="C9" s="3" t="s">
        <v>148</v>
      </c>
      <c r="D9" s="69"/>
      <c r="E9" s="69"/>
    </row>
    <row r="10" spans="1:5" x14ac:dyDescent="0.2">
      <c r="A10" s="69" t="s">
        <v>31</v>
      </c>
      <c r="B10" s="69"/>
      <c r="C10" s="3" t="s">
        <v>59</v>
      </c>
      <c r="D10" s="69"/>
      <c r="E10" s="69"/>
    </row>
    <row r="11" spans="1:5" x14ac:dyDescent="0.2">
      <c r="A11" s="73" t="s">
        <v>119</v>
      </c>
      <c r="B11" s="74"/>
      <c r="C11" s="12" t="str">
        <f>VLOOKUP(C5,Index!N:W,10,FALSE)</f>
        <v>41.4 @ -100°C' 29.2 @ 200°C</v>
      </c>
      <c r="D11" s="75"/>
      <c r="E11" s="76"/>
    </row>
    <row r="12" spans="1:5" x14ac:dyDescent="0.2">
      <c r="A12" s="69" t="s">
        <v>32</v>
      </c>
      <c r="B12" s="69"/>
      <c r="C12" s="3" t="str">
        <f>VLOOKUP(C5,Index!N:W,5,FALSE)</f>
        <v>NIL</v>
      </c>
      <c r="D12" s="69"/>
      <c r="E12" s="69"/>
    </row>
    <row r="13" spans="1:5" x14ac:dyDescent="0.2">
      <c r="A13" s="69" t="s">
        <v>33</v>
      </c>
      <c r="B13" s="69"/>
      <c r="C13" s="3" t="s">
        <v>34</v>
      </c>
      <c r="D13" s="69"/>
      <c r="E13" s="69"/>
    </row>
    <row r="14" spans="1:5" x14ac:dyDescent="0.2">
      <c r="A14" s="69" t="s">
        <v>35</v>
      </c>
      <c r="B14" s="69"/>
      <c r="C14" s="3" t="s">
        <v>245</v>
      </c>
      <c r="D14" s="69"/>
      <c r="E14" s="69"/>
    </row>
    <row r="15" spans="1:5" x14ac:dyDescent="0.2">
      <c r="A15" s="69" t="s">
        <v>36</v>
      </c>
      <c r="B15" s="69"/>
      <c r="C15" s="3" t="s">
        <v>67</v>
      </c>
      <c r="D15" s="69"/>
      <c r="E15" s="69"/>
    </row>
    <row r="16" spans="1:5" x14ac:dyDescent="0.2">
      <c r="A16" s="69" t="s">
        <v>37</v>
      </c>
      <c r="B16" s="4" t="s">
        <v>38</v>
      </c>
      <c r="C16" s="3" t="s">
        <v>73</v>
      </c>
      <c r="D16" s="69"/>
      <c r="E16" s="69"/>
    </row>
    <row r="17" spans="1:5" ht="24" x14ac:dyDescent="0.2">
      <c r="A17" s="69"/>
      <c r="B17" s="4" t="s">
        <v>75</v>
      </c>
      <c r="C17" s="3" t="s">
        <v>77</v>
      </c>
      <c r="D17" s="69"/>
      <c r="E17" s="69"/>
    </row>
    <row r="18" spans="1:5" ht="24" x14ac:dyDescent="0.2">
      <c r="A18" s="69"/>
      <c r="B18" s="4" t="s">
        <v>39</v>
      </c>
      <c r="C18" s="3" t="s">
        <v>87</v>
      </c>
      <c r="D18" s="69"/>
      <c r="E18" s="69"/>
    </row>
    <row r="19" spans="1:5" x14ac:dyDescent="0.2">
      <c r="A19" s="69"/>
      <c r="B19" s="4" t="s">
        <v>68</v>
      </c>
      <c r="C19" s="3" t="s">
        <v>146</v>
      </c>
      <c r="D19" s="69"/>
      <c r="E19" s="69"/>
    </row>
    <row r="20" spans="1:5" x14ac:dyDescent="0.2">
      <c r="A20" s="69"/>
      <c r="B20" s="4" t="s">
        <v>141</v>
      </c>
      <c r="C20" s="3" t="s">
        <v>142</v>
      </c>
      <c r="D20" s="69"/>
      <c r="E20" s="69"/>
    </row>
    <row r="21" spans="1:5" x14ac:dyDescent="0.2">
      <c r="A21" s="69"/>
      <c r="B21" s="4" t="s">
        <v>69</v>
      </c>
      <c r="C21" s="3" t="s">
        <v>106</v>
      </c>
      <c r="D21" s="69"/>
      <c r="E21" s="69"/>
    </row>
    <row r="22" spans="1:5" ht="24" x14ac:dyDescent="0.2">
      <c r="A22" s="69"/>
      <c r="B22" s="4" t="s">
        <v>40</v>
      </c>
      <c r="C22" s="3" t="s">
        <v>86</v>
      </c>
      <c r="D22" s="69"/>
      <c r="E22" s="69"/>
    </row>
    <row r="23" spans="1:5" ht="24" x14ac:dyDescent="0.2">
      <c r="A23" s="69" t="s">
        <v>41</v>
      </c>
      <c r="B23" s="69"/>
      <c r="C23" s="3" t="s">
        <v>121</v>
      </c>
      <c r="D23" s="69"/>
      <c r="E23" s="69"/>
    </row>
    <row r="24" spans="1:5" ht="24" x14ac:dyDescent="0.2">
      <c r="A24" s="69" t="s">
        <v>42</v>
      </c>
      <c r="B24" s="4" t="s">
        <v>91</v>
      </c>
      <c r="C24" s="3" t="s">
        <v>80</v>
      </c>
      <c r="D24" s="69"/>
      <c r="E24" s="69"/>
    </row>
    <row r="25" spans="1:5" x14ac:dyDescent="0.2">
      <c r="A25" s="69"/>
      <c r="B25" s="4" t="s">
        <v>93</v>
      </c>
      <c r="C25" s="3" t="s">
        <v>132</v>
      </c>
      <c r="D25" s="69"/>
      <c r="E25" s="69"/>
    </row>
    <row r="26" spans="1:5" x14ac:dyDescent="0.2">
      <c r="A26" s="69"/>
      <c r="B26" s="4" t="s">
        <v>94</v>
      </c>
      <c r="C26" s="3" t="s">
        <v>102</v>
      </c>
      <c r="D26" s="69"/>
      <c r="E26" s="69"/>
    </row>
    <row r="27" spans="1:5" x14ac:dyDescent="0.2">
      <c r="A27" s="69"/>
      <c r="B27" s="4" t="s">
        <v>95</v>
      </c>
      <c r="C27" s="3" t="s">
        <v>105</v>
      </c>
      <c r="D27" s="69"/>
      <c r="E27" s="69"/>
    </row>
    <row r="28" spans="1:5" x14ac:dyDescent="0.2">
      <c r="A28" s="69"/>
      <c r="B28" s="4" t="s">
        <v>144</v>
      </c>
      <c r="C28" s="3" t="s">
        <v>145</v>
      </c>
      <c r="D28" s="69"/>
      <c r="E28" s="69"/>
    </row>
    <row r="29" spans="1:5" x14ac:dyDescent="0.2">
      <c r="A29" s="69"/>
      <c r="B29" s="4" t="s">
        <v>92</v>
      </c>
      <c r="C29" s="3" t="s">
        <v>102</v>
      </c>
      <c r="D29" s="69"/>
      <c r="E29" s="69"/>
    </row>
    <row r="30" spans="1:5" x14ac:dyDescent="0.2">
      <c r="A30" s="69"/>
      <c r="B30" s="4" t="s">
        <v>96</v>
      </c>
      <c r="C30" s="3" t="s">
        <v>102</v>
      </c>
      <c r="D30" s="69"/>
      <c r="E30" s="69"/>
    </row>
    <row r="31" spans="1:5" ht="36" x14ac:dyDescent="0.2">
      <c r="A31" s="69"/>
      <c r="B31" s="4" t="s">
        <v>72</v>
      </c>
      <c r="C31" s="3" t="s">
        <v>139</v>
      </c>
      <c r="D31" s="69"/>
      <c r="E31" s="69"/>
    </row>
    <row r="32" spans="1:5" ht="24" x14ac:dyDescent="0.2">
      <c r="A32" s="69"/>
      <c r="B32" s="6" t="s">
        <v>140</v>
      </c>
      <c r="C32" s="5" t="s">
        <v>99</v>
      </c>
      <c r="D32" s="69"/>
      <c r="E32" s="69"/>
    </row>
    <row r="33" spans="1:5" ht="24" x14ac:dyDescent="0.2">
      <c r="A33" s="69"/>
      <c r="B33" s="4" t="s">
        <v>43</v>
      </c>
      <c r="C33" s="3" t="s">
        <v>185</v>
      </c>
      <c r="D33" s="69"/>
      <c r="E33" s="69"/>
    </row>
    <row r="34" spans="1:5" ht="36" x14ac:dyDescent="0.2">
      <c r="A34" s="69"/>
      <c r="B34" s="4" t="s">
        <v>44</v>
      </c>
      <c r="C34" s="3" t="s">
        <v>194</v>
      </c>
      <c r="D34" s="69"/>
      <c r="E34" s="69"/>
    </row>
    <row r="35" spans="1:5" ht="36" x14ac:dyDescent="0.2">
      <c r="A35" s="69"/>
      <c r="B35" s="4" t="s">
        <v>45</v>
      </c>
      <c r="C35" s="3" t="s">
        <v>184</v>
      </c>
      <c r="D35" s="69"/>
      <c r="E35" s="69"/>
    </row>
    <row r="36" spans="1:5" ht="36" x14ac:dyDescent="0.2">
      <c r="A36" s="69" t="s">
        <v>46</v>
      </c>
      <c r="B36" s="69"/>
      <c r="C36" s="3" t="s">
        <v>47</v>
      </c>
      <c r="D36" s="69"/>
      <c r="E36" s="69"/>
    </row>
    <row r="37" spans="1:5" x14ac:dyDescent="0.2">
      <c r="A37" s="69" t="s">
        <v>48</v>
      </c>
      <c r="B37" s="69"/>
      <c r="C37" s="3" t="s">
        <v>49</v>
      </c>
      <c r="D37" s="69"/>
      <c r="E37" s="69"/>
    </row>
    <row r="38" spans="1:5" x14ac:dyDescent="0.2">
      <c r="A38" s="69" t="s">
        <v>129</v>
      </c>
      <c r="B38" s="69"/>
      <c r="C38" s="3" t="s">
        <v>50</v>
      </c>
      <c r="D38" s="69"/>
      <c r="E38" s="69"/>
    </row>
    <row r="39" spans="1:5" x14ac:dyDescent="0.2">
      <c r="A39" s="69" t="s">
        <v>128</v>
      </c>
      <c r="B39" s="69"/>
      <c r="C39" s="3" t="s">
        <v>127</v>
      </c>
      <c r="D39" s="69"/>
      <c r="E39" s="69"/>
    </row>
    <row r="40" spans="1:5" x14ac:dyDescent="0.2">
      <c r="A40" s="64" t="s">
        <v>124</v>
      </c>
      <c r="B40" s="65"/>
      <c r="C40" s="3" t="s">
        <v>278</v>
      </c>
      <c r="D40" s="64"/>
      <c r="E40" s="65"/>
    </row>
    <row r="41" spans="1:5" x14ac:dyDescent="0.2">
      <c r="A41" s="64" t="s">
        <v>125</v>
      </c>
      <c r="B41" s="65"/>
      <c r="C41" s="3" t="s">
        <v>279</v>
      </c>
      <c r="D41" s="64"/>
      <c r="E41" s="65"/>
    </row>
    <row r="42" spans="1:5" x14ac:dyDescent="0.2">
      <c r="A42" s="64" t="s">
        <v>126</v>
      </c>
      <c r="B42" s="65"/>
      <c r="C42" s="3" t="s">
        <v>195</v>
      </c>
      <c r="D42" s="64"/>
      <c r="E42" s="65"/>
    </row>
    <row r="43" spans="1:5" ht="24" x14ac:dyDescent="0.2">
      <c r="A43" s="69" t="s">
        <v>51</v>
      </c>
      <c r="B43" s="69"/>
      <c r="C43" s="3" t="s">
        <v>52</v>
      </c>
      <c r="D43" s="69"/>
      <c r="E43" s="69"/>
    </row>
    <row r="44" spans="1:5" x14ac:dyDescent="0.2">
      <c r="A44" s="69" t="s">
        <v>53</v>
      </c>
      <c r="B44" s="69"/>
      <c r="C44" s="3" t="s">
        <v>149</v>
      </c>
      <c r="D44" s="69"/>
      <c r="E44" s="69"/>
    </row>
    <row r="45" spans="1:5" ht="24" x14ac:dyDescent="0.2">
      <c r="A45" s="69" t="s">
        <v>54</v>
      </c>
      <c r="B45" s="69"/>
      <c r="C45" s="3" t="s">
        <v>436</v>
      </c>
      <c r="D45" s="69"/>
      <c r="E45" s="69"/>
    </row>
    <row r="46" spans="1:5" x14ac:dyDescent="0.2">
      <c r="A46" s="7"/>
      <c r="B46" s="8"/>
      <c r="C46" s="8"/>
      <c r="D46" s="8"/>
      <c r="E46" s="9"/>
    </row>
    <row r="47" spans="1:5" x14ac:dyDescent="0.2">
      <c r="A47" s="10" t="s">
        <v>58</v>
      </c>
      <c r="E47" s="11"/>
    </row>
    <row r="48" spans="1:5" x14ac:dyDescent="0.2">
      <c r="A48" s="70" t="s">
        <v>70</v>
      </c>
      <c r="B48" s="71"/>
      <c r="C48" s="71"/>
      <c r="D48" s="71"/>
      <c r="E48" s="72"/>
    </row>
    <row r="49" spans="1:5" x14ac:dyDescent="0.2">
      <c r="A49" s="70"/>
      <c r="B49" s="71"/>
      <c r="C49" s="71"/>
      <c r="D49" s="71"/>
      <c r="E49" s="72"/>
    </row>
    <row r="50" spans="1:5" x14ac:dyDescent="0.2">
      <c r="A50" s="70" t="s">
        <v>437</v>
      </c>
      <c r="B50" s="71"/>
      <c r="C50" s="71"/>
      <c r="D50" s="71"/>
      <c r="E50" s="72"/>
    </row>
    <row r="51" spans="1:5" x14ac:dyDescent="0.2">
      <c r="A51" s="70" t="s">
        <v>97</v>
      </c>
      <c r="B51" s="71"/>
      <c r="C51" s="71"/>
      <c r="D51" s="71"/>
      <c r="E51" s="72"/>
    </row>
    <row r="52" spans="1:5" x14ac:dyDescent="0.2">
      <c r="A52" s="70"/>
      <c r="B52" s="71"/>
      <c r="C52" s="71"/>
      <c r="D52" s="71"/>
      <c r="E52" s="72"/>
    </row>
    <row r="53" spans="1:5" x14ac:dyDescent="0.2">
      <c r="A53" s="70" t="s">
        <v>150</v>
      </c>
      <c r="B53" s="71"/>
      <c r="C53" s="71"/>
      <c r="D53" s="71"/>
      <c r="E53" s="72"/>
    </row>
    <row r="54" spans="1:5" ht="11.45" customHeight="1" x14ac:dyDescent="0.2">
      <c r="A54" s="70" t="s">
        <v>151</v>
      </c>
      <c r="B54" s="71"/>
      <c r="C54" s="71"/>
      <c r="D54" s="71"/>
      <c r="E54" s="72"/>
    </row>
    <row r="55" spans="1:5" x14ac:dyDescent="0.2">
      <c r="A55" s="66" t="s">
        <v>107</v>
      </c>
      <c r="B55" s="67"/>
      <c r="C55" s="67"/>
      <c r="D55" s="67"/>
      <c r="E55" s="68"/>
    </row>
  </sheetData>
  <mergeCells count="75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2"/>
    <mergeCell ref="D16:E16"/>
    <mergeCell ref="D17:E17"/>
    <mergeCell ref="D18:E18"/>
    <mergeCell ref="D19:E19"/>
    <mergeCell ref="D20:E20"/>
    <mergeCell ref="D21:E21"/>
    <mergeCell ref="D22:E22"/>
    <mergeCell ref="A23:B23"/>
    <mergeCell ref="D23:E23"/>
    <mergeCell ref="A24:A35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D35:E35"/>
    <mergeCell ref="A37:B37"/>
    <mergeCell ref="D37:E37"/>
    <mergeCell ref="A38:B38"/>
    <mergeCell ref="D38:E38"/>
    <mergeCell ref="A36:B36"/>
    <mergeCell ref="D36:E36"/>
    <mergeCell ref="A39:B39"/>
    <mergeCell ref="D39:E39"/>
    <mergeCell ref="A40:B40"/>
    <mergeCell ref="D40:E40"/>
    <mergeCell ref="A41:B41"/>
    <mergeCell ref="D41:E41"/>
    <mergeCell ref="A42:B42"/>
    <mergeCell ref="D42:E42"/>
    <mergeCell ref="A55:E55"/>
    <mergeCell ref="A43:B43"/>
    <mergeCell ref="D43:E43"/>
    <mergeCell ref="A44:B44"/>
    <mergeCell ref="D44:E44"/>
    <mergeCell ref="A45:B45"/>
    <mergeCell ref="D45:E45"/>
    <mergeCell ref="A48:E49"/>
    <mergeCell ref="A50:E50"/>
    <mergeCell ref="A51:E52"/>
    <mergeCell ref="A53:E53"/>
    <mergeCell ref="A54:E54"/>
  </mergeCells>
  <conditionalFormatting sqref="B17">
    <cfRule type="duplicateValues" dxfId="350" priority="4"/>
  </conditionalFormatting>
  <conditionalFormatting sqref="B18">
    <cfRule type="duplicateValues" dxfId="349" priority="3"/>
  </conditionalFormatting>
  <conditionalFormatting sqref="B20">
    <cfRule type="duplicateValues" dxfId="348" priority="2"/>
  </conditionalFormatting>
  <conditionalFormatting sqref="B21">
    <cfRule type="duplicateValues" dxfId="347" priority="10"/>
  </conditionalFormatting>
  <conditionalFormatting sqref="B25">
    <cfRule type="duplicateValues" dxfId="346" priority="12"/>
  </conditionalFormatting>
  <conditionalFormatting sqref="B28">
    <cfRule type="duplicateValues" dxfId="345" priority="1"/>
  </conditionalFormatting>
  <conditionalFormatting sqref="B32">
    <cfRule type="duplicateValues" dxfId="344" priority="11"/>
  </conditionalFormatting>
  <conditionalFormatting sqref="B38">
    <cfRule type="duplicateValues" dxfId="343" priority="6"/>
  </conditionalFormatting>
  <conditionalFormatting sqref="B39">
    <cfRule type="duplicateValues" dxfId="342" priority="5"/>
  </conditionalFormatting>
  <conditionalFormatting sqref="B40">
    <cfRule type="duplicateValues" dxfId="341" priority="9"/>
  </conditionalFormatting>
  <conditionalFormatting sqref="B41">
    <cfRule type="duplicateValues" dxfId="340" priority="8"/>
  </conditionalFormatting>
  <conditionalFormatting sqref="B42">
    <cfRule type="duplicateValues" dxfId="339" priority="7"/>
  </conditionalFormatting>
  <conditionalFormatting sqref="B56:B1048576 B4:B10 B26:B27 B12:B16 B33:B37 B22:B24 B43:B47 B19 B29:B31">
    <cfRule type="duplicateValues" dxfId="338" priority="13"/>
  </conditionalFormatting>
  <pageMargins left="0.7" right="0.7" top="0.75" bottom="0.75" header="0.3" footer="0.3"/>
  <pageSetup paperSize="9" scale="88" orientation="portrait" horizontalDpi="4294967295" verticalDpi="4294967295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28A440-AF30-4A07-A9E5-F392DE5BB9EB}">
  <sheetPr codeName="Sheet45">
    <tabColor theme="4" tint="-0.249977111117893"/>
    <pageSetUpPr fitToPage="1"/>
  </sheetPr>
  <dimension ref="A1:E55"/>
  <sheetViews>
    <sheetView zoomScaleNormal="100" workbookViewId="0">
      <selection sqref="A1:B3"/>
    </sheetView>
  </sheetViews>
  <sheetFormatPr defaultColWidth="8.85546875" defaultRowHeight="12" x14ac:dyDescent="0.2"/>
  <cols>
    <col min="1" max="1" width="12.5703125" style="1" customWidth="1"/>
    <col min="2" max="2" width="13.42578125" style="1" bestFit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4" customFormat="1" ht="30" customHeight="1" x14ac:dyDescent="0.25">
      <c r="A1" s="77" t="e" vm="1">
        <v>#VALUE!</v>
      </c>
      <c r="B1" s="78"/>
      <c r="C1" s="83" t="s">
        <v>112</v>
      </c>
      <c r="D1" s="13" t="s">
        <v>110</v>
      </c>
      <c r="E1" s="13" t="s">
        <v>435</v>
      </c>
    </row>
    <row r="2" spans="1:5" s="14" customFormat="1" ht="30" customHeight="1" x14ac:dyDescent="0.25">
      <c r="A2" s="79"/>
      <c r="B2" s="80"/>
      <c r="C2" s="84"/>
      <c r="D2" s="15" t="s">
        <v>109</v>
      </c>
      <c r="E2" s="16" t="str">
        <f>VLOOKUP(C4,Index!B:J,9,FALSE)</f>
        <v>C0</v>
      </c>
    </row>
    <row r="3" spans="1:5" s="14" customFormat="1" ht="30" customHeight="1" x14ac:dyDescent="0.25">
      <c r="A3" s="81"/>
      <c r="B3" s="82"/>
      <c r="C3" s="85"/>
      <c r="D3" s="15" t="s">
        <v>111</v>
      </c>
      <c r="E3" s="17">
        <f>VLOOKUP(C4,Index!B:I,8,FALSE)</f>
        <v>353</v>
      </c>
    </row>
    <row r="4" spans="1:5" x14ac:dyDescent="0.2">
      <c r="A4" s="86" t="s">
        <v>74</v>
      </c>
      <c r="B4" s="86"/>
      <c r="C4" s="2" t="s">
        <v>232</v>
      </c>
      <c r="D4" s="86" t="s">
        <v>55</v>
      </c>
      <c r="E4" s="86"/>
    </row>
    <row r="5" spans="1:5" x14ac:dyDescent="0.2">
      <c r="A5" s="69" t="s">
        <v>26</v>
      </c>
      <c r="B5" s="69"/>
      <c r="C5" s="3" t="s">
        <v>13</v>
      </c>
      <c r="D5" s="69"/>
      <c r="E5" s="69"/>
    </row>
    <row r="6" spans="1:5" x14ac:dyDescent="0.2">
      <c r="A6" s="69" t="s">
        <v>27</v>
      </c>
      <c r="B6" s="69"/>
      <c r="C6" s="3" t="s">
        <v>78</v>
      </c>
      <c r="D6" s="69"/>
      <c r="E6" s="69"/>
    </row>
    <row r="7" spans="1:5" x14ac:dyDescent="0.2">
      <c r="A7" s="69" t="s">
        <v>28</v>
      </c>
      <c r="B7" s="69"/>
      <c r="C7" s="3" t="s">
        <v>82</v>
      </c>
      <c r="D7" s="69"/>
      <c r="E7" s="69"/>
    </row>
    <row r="8" spans="1:5" x14ac:dyDescent="0.2">
      <c r="A8" s="69" t="s">
        <v>29</v>
      </c>
      <c r="B8" s="69"/>
      <c r="C8" s="3" t="str">
        <f>VLOOKUP(C5,Index!N:W,6,FALSE)</f>
        <v>Air, Nitrogen, Lube oil, Chemical, Hydraulic</v>
      </c>
      <c r="D8" s="69"/>
      <c r="E8" s="69"/>
    </row>
    <row r="9" spans="1:5" x14ac:dyDescent="0.2">
      <c r="A9" s="69" t="s">
        <v>30</v>
      </c>
      <c r="B9" s="69"/>
      <c r="C9" s="3" t="s">
        <v>148</v>
      </c>
      <c r="D9" s="69"/>
      <c r="E9" s="69"/>
    </row>
    <row r="10" spans="1:5" x14ac:dyDescent="0.2">
      <c r="A10" s="69" t="s">
        <v>31</v>
      </c>
      <c r="B10" s="69"/>
      <c r="C10" s="3" t="s">
        <v>60</v>
      </c>
      <c r="D10" s="69"/>
      <c r="E10" s="69"/>
    </row>
    <row r="11" spans="1:5" x14ac:dyDescent="0.2">
      <c r="A11" s="73" t="s">
        <v>119</v>
      </c>
      <c r="B11" s="74"/>
      <c r="C11" s="12" t="str">
        <f>VLOOKUP(C5,Index!N:W,10,FALSE)</f>
        <v>82.7 @ -100°C' 58.3 @ 200°C</v>
      </c>
      <c r="D11" s="75"/>
      <c r="E11" s="76"/>
    </row>
    <row r="12" spans="1:5" x14ac:dyDescent="0.2">
      <c r="A12" s="69" t="s">
        <v>32</v>
      </c>
      <c r="B12" s="69"/>
      <c r="C12" s="3" t="str">
        <f>VLOOKUP(C5,Index!N:W,5,FALSE)</f>
        <v>NIL</v>
      </c>
      <c r="D12" s="69"/>
      <c r="E12" s="69"/>
    </row>
    <row r="13" spans="1:5" x14ac:dyDescent="0.2">
      <c r="A13" s="69" t="s">
        <v>33</v>
      </c>
      <c r="B13" s="69"/>
      <c r="C13" s="3" t="s">
        <v>34</v>
      </c>
      <c r="D13" s="69"/>
      <c r="E13" s="69"/>
    </row>
    <row r="14" spans="1:5" x14ac:dyDescent="0.2">
      <c r="A14" s="69" t="s">
        <v>35</v>
      </c>
      <c r="B14" s="69"/>
      <c r="C14" s="3" t="s">
        <v>245</v>
      </c>
      <c r="D14" s="69"/>
      <c r="E14" s="69"/>
    </row>
    <row r="15" spans="1:5" x14ac:dyDescent="0.2">
      <c r="A15" s="69" t="s">
        <v>36</v>
      </c>
      <c r="B15" s="69"/>
      <c r="C15" s="3" t="s">
        <v>67</v>
      </c>
      <c r="D15" s="69"/>
      <c r="E15" s="69"/>
    </row>
    <row r="16" spans="1:5" x14ac:dyDescent="0.2">
      <c r="A16" s="69" t="s">
        <v>37</v>
      </c>
      <c r="B16" s="4" t="s">
        <v>38</v>
      </c>
      <c r="C16" s="3" t="s">
        <v>73</v>
      </c>
      <c r="D16" s="69"/>
      <c r="E16" s="69"/>
    </row>
    <row r="17" spans="1:5" ht="24" x14ac:dyDescent="0.2">
      <c r="A17" s="69"/>
      <c r="B17" s="4" t="s">
        <v>75</v>
      </c>
      <c r="C17" s="3" t="s">
        <v>77</v>
      </c>
      <c r="D17" s="69"/>
      <c r="E17" s="69"/>
    </row>
    <row r="18" spans="1:5" ht="24" x14ac:dyDescent="0.2">
      <c r="A18" s="69"/>
      <c r="B18" s="4" t="s">
        <v>39</v>
      </c>
      <c r="C18" s="3" t="s">
        <v>87</v>
      </c>
      <c r="D18" s="69"/>
      <c r="E18" s="69"/>
    </row>
    <row r="19" spans="1:5" x14ac:dyDescent="0.2">
      <c r="A19" s="69"/>
      <c r="B19" s="4" t="s">
        <v>68</v>
      </c>
      <c r="C19" s="3" t="s">
        <v>146</v>
      </c>
      <c r="D19" s="69"/>
      <c r="E19" s="69"/>
    </row>
    <row r="20" spans="1:5" x14ac:dyDescent="0.2">
      <c r="A20" s="69"/>
      <c r="B20" s="4" t="s">
        <v>141</v>
      </c>
      <c r="C20" s="3" t="s">
        <v>142</v>
      </c>
      <c r="D20" s="69"/>
      <c r="E20" s="69"/>
    </row>
    <row r="21" spans="1:5" x14ac:dyDescent="0.2">
      <c r="A21" s="69"/>
      <c r="B21" s="4" t="s">
        <v>69</v>
      </c>
      <c r="C21" s="3" t="s">
        <v>106</v>
      </c>
      <c r="D21" s="69"/>
      <c r="E21" s="69"/>
    </row>
    <row r="22" spans="1:5" ht="24" x14ac:dyDescent="0.2">
      <c r="A22" s="69"/>
      <c r="B22" s="4" t="s">
        <v>40</v>
      </c>
      <c r="C22" s="3" t="s">
        <v>86</v>
      </c>
      <c r="D22" s="69"/>
      <c r="E22" s="69"/>
    </row>
    <row r="23" spans="1:5" ht="24" x14ac:dyDescent="0.2">
      <c r="A23" s="69" t="s">
        <v>41</v>
      </c>
      <c r="B23" s="69"/>
      <c r="C23" s="3" t="s">
        <v>120</v>
      </c>
      <c r="D23" s="69"/>
      <c r="E23" s="69"/>
    </row>
    <row r="24" spans="1:5" ht="24" x14ac:dyDescent="0.2">
      <c r="A24" s="69" t="s">
        <v>42</v>
      </c>
      <c r="B24" s="4" t="s">
        <v>91</v>
      </c>
      <c r="C24" s="3" t="s">
        <v>80</v>
      </c>
      <c r="D24" s="69"/>
      <c r="E24" s="69"/>
    </row>
    <row r="25" spans="1:5" x14ac:dyDescent="0.2">
      <c r="A25" s="69"/>
      <c r="B25" s="4" t="s">
        <v>93</v>
      </c>
      <c r="C25" s="3" t="s">
        <v>132</v>
      </c>
      <c r="D25" s="69"/>
      <c r="E25" s="69"/>
    </row>
    <row r="26" spans="1:5" x14ac:dyDescent="0.2">
      <c r="A26" s="69"/>
      <c r="B26" s="4" t="s">
        <v>94</v>
      </c>
      <c r="C26" s="3" t="s">
        <v>102</v>
      </c>
      <c r="D26" s="69"/>
      <c r="E26" s="69"/>
    </row>
    <row r="27" spans="1:5" x14ac:dyDescent="0.2">
      <c r="A27" s="69"/>
      <c r="B27" s="4" t="s">
        <v>95</v>
      </c>
      <c r="C27" s="3" t="s">
        <v>105</v>
      </c>
      <c r="D27" s="69"/>
      <c r="E27" s="69"/>
    </row>
    <row r="28" spans="1:5" x14ac:dyDescent="0.2">
      <c r="A28" s="69"/>
      <c r="B28" s="4" t="s">
        <v>144</v>
      </c>
      <c r="C28" s="3" t="s">
        <v>145</v>
      </c>
      <c r="D28" s="69"/>
      <c r="E28" s="69"/>
    </row>
    <row r="29" spans="1:5" x14ac:dyDescent="0.2">
      <c r="A29" s="69"/>
      <c r="B29" s="4" t="s">
        <v>92</v>
      </c>
      <c r="C29" s="3" t="s">
        <v>102</v>
      </c>
      <c r="D29" s="69"/>
      <c r="E29" s="69"/>
    </row>
    <row r="30" spans="1:5" x14ac:dyDescent="0.2">
      <c r="A30" s="69"/>
      <c r="B30" s="4" t="s">
        <v>96</v>
      </c>
      <c r="C30" s="3" t="s">
        <v>102</v>
      </c>
      <c r="D30" s="69"/>
      <c r="E30" s="69"/>
    </row>
    <row r="31" spans="1:5" ht="36" x14ac:dyDescent="0.2">
      <c r="A31" s="69"/>
      <c r="B31" s="4" t="s">
        <v>72</v>
      </c>
      <c r="C31" s="3" t="s">
        <v>139</v>
      </c>
      <c r="D31" s="69"/>
      <c r="E31" s="69"/>
    </row>
    <row r="32" spans="1:5" ht="24" x14ac:dyDescent="0.2">
      <c r="A32" s="69"/>
      <c r="B32" s="6" t="s">
        <v>140</v>
      </c>
      <c r="C32" s="5" t="s">
        <v>99</v>
      </c>
      <c r="D32" s="69"/>
      <c r="E32" s="69"/>
    </row>
    <row r="33" spans="1:5" ht="24" x14ac:dyDescent="0.2">
      <c r="A33" s="69"/>
      <c r="B33" s="4" t="s">
        <v>43</v>
      </c>
      <c r="C33" s="3" t="s">
        <v>185</v>
      </c>
      <c r="D33" s="69"/>
      <c r="E33" s="69"/>
    </row>
    <row r="34" spans="1:5" ht="36" x14ac:dyDescent="0.2">
      <c r="A34" s="69"/>
      <c r="B34" s="4" t="s">
        <v>44</v>
      </c>
      <c r="C34" s="3" t="s">
        <v>194</v>
      </c>
      <c r="D34" s="69"/>
      <c r="E34" s="69"/>
    </row>
    <row r="35" spans="1:5" ht="36" x14ac:dyDescent="0.2">
      <c r="A35" s="69"/>
      <c r="B35" s="4" t="s">
        <v>45</v>
      </c>
      <c r="C35" s="3" t="s">
        <v>184</v>
      </c>
      <c r="D35" s="69"/>
      <c r="E35" s="69"/>
    </row>
    <row r="36" spans="1:5" ht="36" x14ac:dyDescent="0.2">
      <c r="A36" s="69" t="s">
        <v>46</v>
      </c>
      <c r="B36" s="69"/>
      <c r="C36" s="3" t="s">
        <v>47</v>
      </c>
      <c r="D36" s="69"/>
      <c r="E36" s="69"/>
    </row>
    <row r="37" spans="1:5" x14ac:dyDescent="0.2">
      <c r="A37" s="69" t="s">
        <v>48</v>
      </c>
      <c r="B37" s="69"/>
      <c r="C37" s="3" t="s">
        <v>49</v>
      </c>
      <c r="D37" s="69"/>
      <c r="E37" s="69"/>
    </row>
    <row r="38" spans="1:5" x14ac:dyDescent="0.2">
      <c r="A38" s="69" t="s">
        <v>129</v>
      </c>
      <c r="B38" s="69"/>
      <c r="C38" s="3" t="s">
        <v>50</v>
      </c>
      <c r="D38" s="69"/>
      <c r="E38" s="69"/>
    </row>
    <row r="39" spans="1:5" x14ac:dyDescent="0.2">
      <c r="A39" s="69" t="s">
        <v>128</v>
      </c>
      <c r="B39" s="69"/>
      <c r="C39" s="3" t="s">
        <v>127</v>
      </c>
      <c r="D39" s="69"/>
      <c r="E39" s="69"/>
    </row>
    <row r="40" spans="1:5" x14ac:dyDescent="0.2">
      <c r="A40" s="64" t="s">
        <v>124</v>
      </c>
      <c r="B40" s="65"/>
      <c r="C40" s="3" t="s">
        <v>276</v>
      </c>
      <c r="D40" s="64"/>
      <c r="E40" s="65"/>
    </row>
    <row r="41" spans="1:5" x14ac:dyDescent="0.2">
      <c r="A41" s="64" t="s">
        <v>125</v>
      </c>
      <c r="B41" s="65"/>
      <c r="C41" s="3" t="s">
        <v>277</v>
      </c>
      <c r="D41" s="64"/>
      <c r="E41" s="65"/>
    </row>
    <row r="42" spans="1:5" x14ac:dyDescent="0.2">
      <c r="A42" s="64" t="s">
        <v>126</v>
      </c>
      <c r="B42" s="65"/>
      <c r="C42" s="3" t="s">
        <v>195</v>
      </c>
      <c r="D42" s="64"/>
      <c r="E42" s="65"/>
    </row>
    <row r="43" spans="1:5" ht="24" x14ac:dyDescent="0.2">
      <c r="A43" s="69" t="s">
        <v>51</v>
      </c>
      <c r="B43" s="69"/>
      <c r="C43" s="3" t="s">
        <v>52</v>
      </c>
      <c r="D43" s="69"/>
      <c r="E43" s="69"/>
    </row>
    <row r="44" spans="1:5" x14ac:dyDescent="0.2">
      <c r="A44" s="69" t="s">
        <v>53</v>
      </c>
      <c r="B44" s="69"/>
      <c r="C44" s="3" t="s">
        <v>149</v>
      </c>
      <c r="D44" s="69"/>
      <c r="E44" s="69"/>
    </row>
    <row r="45" spans="1:5" ht="24" x14ac:dyDescent="0.2">
      <c r="A45" s="69" t="s">
        <v>54</v>
      </c>
      <c r="B45" s="69"/>
      <c r="C45" s="3" t="s">
        <v>436</v>
      </c>
      <c r="D45" s="69"/>
      <c r="E45" s="69"/>
    </row>
    <row r="46" spans="1:5" x14ac:dyDescent="0.2">
      <c r="A46" s="7"/>
      <c r="B46" s="8"/>
      <c r="C46" s="8"/>
      <c r="D46" s="8"/>
      <c r="E46" s="9"/>
    </row>
    <row r="47" spans="1:5" x14ac:dyDescent="0.2">
      <c r="A47" s="10" t="s">
        <v>58</v>
      </c>
      <c r="E47" s="11"/>
    </row>
    <row r="48" spans="1:5" x14ac:dyDescent="0.2">
      <c r="A48" s="70" t="s">
        <v>70</v>
      </c>
      <c r="B48" s="71"/>
      <c r="C48" s="71"/>
      <c r="D48" s="71"/>
      <c r="E48" s="72"/>
    </row>
    <row r="49" spans="1:5" x14ac:dyDescent="0.2">
      <c r="A49" s="70"/>
      <c r="B49" s="71"/>
      <c r="C49" s="71"/>
      <c r="D49" s="71"/>
      <c r="E49" s="72"/>
    </row>
    <row r="50" spans="1:5" x14ac:dyDescent="0.2">
      <c r="A50" s="70" t="s">
        <v>437</v>
      </c>
      <c r="B50" s="71"/>
      <c r="C50" s="71"/>
      <c r="D50" s="71"/>
      <c r="E50" s="72"/>
    </row>
    <row r="51" spans="1:5" x14ac:dyDescent="0.2">
      <c r="A51" s="70" t="s">
        <v>97</v>
      </c>
      <c r="B51" s="71"/>
      <c r="C51" s="71"/>
      <c r="D51" s="71"/>
      <c r="E51" s="72"/>
    </row>
    <row r="52" spans="1:5" x14ac:dyDescent="0.2">
      <c r="A52" s="70"/>
      <c r="B52" s="71"/>
      <c r="C52" s="71"/>
      <c r="D52" s="71"/>
      <c r="E52" s="72"/>
    </row>
    <row r="53" spans="1:5" x14ac:dyDescent="0.2">
      <c r="A53" s="70" t="s">
        <v>150</v>
      </c>
      <c r="B53" s="71"/>
      <c r="C53" s="71"/>
      <c r="D53" s="71"/>
      <c r="E53" s="72"/>
    </row>
    <row r="54" spans="1:5" ht="11.45" customHeight="1" x14ac:dyDescent="0.2">
      <c r="A54" s="70" t="s">
        <v>151</v>
      </c>
      <c r="B54" s="71"/>
      <c r="C54" s="71"/>
      <c r="D54" s="71"/>
      <c r="E54" s="72"/>
    </row>
    <row r="55" spans="1:5" x14ac:dyDescent="0.2">
      <c r="A55" s="66" t="s">
        <v>107</v>
      </c>
      <c r="B55" s="67"/>
      <c r="C55" s="67"/>
      <c r="D55" s="67"/>
      <c r="E55" s="68"/>
    </row>
  </sheetData>
  <mergeCells count="75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2"/>
    <mergeCell ref="D16:E16"/>
    <mergeCell ref="D17:E17"/>
    <mergeCell ref="D18:E18"/>
    <mergeCell ref="D19:E19"/>
    <mergeCell ref="D20:E20"/>
    <mergeCell ref="D21:E21"/>
    <mergeCell ref="D22:E22"/>
    <mergeCell ref="A23:B23"/>
    <mergeCell ref="D23:E23"/>
    <mergeCell ref="A24:A35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D35:E35"/>
    <mergeCell ref="A37:B37"/>
    <mergeCell ref="D37:E37"/>
    <mergeCell ref="A38:B38"/>
    <mergeCell ref="D38:E38"/>
    <mergeCell ref="A36:B36"/>
    <mergeCell ref="D36:E36"/>
    <mergeCell ref="A39:B39"/>
    <mergeCell ref="D39:E39"/>
    <mergeCell ref="A40:B40"/>
    <mergeCell ref="D40:E40"/>
    <mergeCell ref="A41:B41"/>
    <mergeCell ref="D41:E41"/>
    <mergeCell ref="A42:B42"/>
    <mergeCell ref="D42:E42"/>
    <mergeCell ref="A55:E55"/>
    <mergeCell ref="A43:B43"/>
    <mergeCell ref="D43:E43"/>
    <mergeCell ref="A44:B44"/>
    <mergeCell ref="D44:E44"/>
    <mergeCell ref="A45:B45"/>
    <mergeCell ref="D45:E45"/>
    <mergeCell ref="A48:E49"/>
    <mergeCell ref="A50:E50"/>
    <mergeCell ref="A51:E52"/>
    <mergeCell ref="A53:E53"/>
    <mergeCell ref="A54:E54"/>
  </mergeCells>
  <conditionalFormatting sqref="B17">
    <cfRule type="duplicateValues" dxfId="337" priority="4"/>
  </conditionalFormatting>
  <conditionalFormatting sqref="B18">
    <cfRule type="duplicateValues" dxfId="336" priority="3"/>
  </conditionalFormatting>
  <conditionalFormatting sqref="B20">
    <cfRule type="duplicateValues" dxfId="335" priority="2"/>
  </conditionalFormatting>
  <conditionalFormatting sqref="B21">
    <cfRule type="duplicateValues" dxfId="334" priority="10"/>
  </conditionalFormatting>
  <conditionalFormatting sqref="B25">
    <cfRule type="duplicateValues" dxfId="333" priority="12"/>
  </conditionalFormatting>
  <conditionalFormatting sqref="B28">
    <cfRule type="duplicateValues" dxfId="332" priority="1"/>
  </conditionalFormatting>
  <conditionalFormatting sqref="B32">
    <cfRule type="duplicateValues" dxfId="331" priority="11"/>
  </conditionalFormatting>
  <conditionalFormatting sqref="B38">
    <cfRule type="duplicateValues" dxfId="330" priority="6"/>
  </conditionalFormatting>
  <conditionalFormatting sqref="B39">
    <cfRule type="duplicateValues" dxfId="329" priority="5"/>
  </conditionalFormatting>
  <conditionalFormatting sqref="B40">
    <cfRule type="duplicateValues" dxfId="328" priority="9"/>
  </conditionalFormatting>
  <conditionalFormatting sqref="B41">
    <cfRule type="duplicateValues" dxfId="327" priority="8"/>
  </conditionalFormatting>
  <conditionalFormatting sqref="B42">
    <cfRule type="duplicateValues" dxfId="326" priority="7"/>
  </conditionalFormatting>
  <conditionalFormatting sqref="B56:B1048576 B4:B10 B26:B27 B12:B16 B33:B37 B22:B24 B43:B47 B19 B29:B31">
    <cfRule type="duplicateValues" dxfId="325" priority="13"/>
  </conditionalFormatting>
  <pageMargins left="0.7" right="0.7" top="0.75" bottom="0.75" header="0.3" footer="0.3"/>
  <pageSetup paperSize="9" scale="88" orientation="portrait" horizontalDpi="4294967295" verticalDpi="4294967295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34320A-4B4E-45B5-AA1F-091B501501C6}">
  <sheetPr codeName="Sheet46">
    <tabColor theme="4" tint="-0.249977111117893"/>
    <pageSetUpPr fitToPage="1"/>
  </sheetPr>
  <dimension ref="A1:E55"/>
  <sheetViews>
    <sheetView zoomScaleNormal="100" workbookViewId="0">
      <selection sqref="A1:B3"/>
    </sheetView>
  </sheetViews>
  <sheetFormatPr defaultColWidth="8.85546875" defaultRowHeight="12" x14ac:dyDescent="0.2"/>
  <cols>
    <col min="1" max="1" width="12.5703125" style="1" customWidth="1"/>
    <col min="2" max="2" width="13.42578125" style="1" bestFit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4" customFormat="1" ht="30" customHeight="1" x14ac:dyDescent="0.25">
      <c r="A1" s="77" t="e" vm="1">
        <v>#VALUE!</v>
      </c>
      <c r="B1" s="78"/>
      <c r="C1" s="83" t="s">
        <v>112</v>
      </c>
      <c r="D1" s="13" t="s">
        <v>110</v>
      </c>
      <c r="E1" s="13" t="s">
        <v>435</v>
      </c>
    </row>
    <row r="2" spans="1:5" s="14" customFormat="1" ht="30" customHeight="1" x14ac:dyDescent="0.25">
      <c r="A2" s="79"/>
      <c r="B2" s="80"/>
      <c r="C2" s="84"/>
      <c r="D2" s="15" t="s">
        <v>109</v>
      </c>
      <c r="E2" s="16" t="str">
        <f>VLOOKUP(C4,Index!B:J,9,FALSE)</f>
        <v>C0</v>
      </c>
    </row>
    <row r="3" spans="1:5" s="14" customFormat="1" ht="30" customHeight="1" x14ac:dyDescent="0.25">
      <c r="A3" s="81"/>
      <c r="B3" s="82"/>
      <c r="C3" s="85"/>
      <c r="D3" s="15" t="s">
        <v>111</v>
      </c>
      <c r="E3" s="17">
        <f>VLOOKUP(C4,Index!B:I,8,FALSE)</f>
        <v>354</v>
      </c>
    </row>
    <row r="4" spans="1:5" x14ac:dyDescent="0.2">
      <c r="A4" s="86" t="s">
        <v>74</v>
      </c>
      <c r="B4" s="86"/>
      <c r="C4" s="2" t="s">
        <v>233</v>
      </c>
      <c r="D4" s="86" t="s">
        <v>55</v>
      </c>
      <c r="E4" s="86"/>
    </row>
    <row r="5" spans="1:5" x14ac:dyDescent="0.2">
      <c r="A5" s="69" t="s">
        <v>26</v>
      </c>
      <c r="B5" s="69"/>
      <c r="C5" s="3" t="s">
        <v>16</v>
      </c>
      <c r="D5" s="69"/>
      <c r="E5" s="69"/>
    </row>
    <row r="6" spans="1:5" x14ac:dyDescent="0.2">
      <c r="A6" s="69" t="s">
        <v>27</v>
      </c>
      <c r="B6" s="69"/>
      <c r="C6" s="3" t="s">
        <v>78</v>
      </c>
      <c r="D6" s="69"/>
      <c r="E6" s="69"/>
    </row>
    <row r="7" spans="1:5" x14ac:dyDescent="0.2">
      <c r="A7" s="69" t="s">
        <v>28</v>
      </c>
      <c r="B7" s="69"/>
      <c r="C7" s="3" t="s">
        <v>82</v>
      </c>
      <c r="D7" s="69"/>
      <c r="E7" s="69"/>
    </row>
    <row r="8" spans="1:5" x14ac:dyDescent="0.2">
      <c r="A8" s="69" t="s">
        <v>29</v>
      </c>
      <c r="B8" s="69"/>
      <c r="C8" s="3" t="str">
        <f>VLOOKUP(C5,Index!N:W,6,FALSE)</f>
        <v>Air, Nitrogen, Lube oil, Chemical, Hydraulic</v>
      </c>
      <c r="D8" s="69"/>
      <c r="E8" s="69"/>
    </row>
    <row r="9" spans="1:5" x14ac:dyDescent="0.2">
      <c r="A9" s="69" t="s">
        <v>30</v>
      </c>
      <c r="B9" s="69"/>
      <c r="C9" s="3" t="s">
        <v>148</v>
      </c>
      <c r="D9" s="69"/>
      <c r="E9" s="69"/>
    </row>
    <row r="10" spans="1:5" x14ac:dyDescent="0.2">
      <c r="A10" s="69" t="s">
        <v>31</v>
      </c>
      <c r="B10" s="69"/>
      <c r="C10" s="3" t="s">
        <v>61</v>
      </c>
      <c r="D10" s="69"/>
      <c r="E10" s="69"/>
    </row>
    <row r="11" spans="1:5" x14ac:dyDescent="0.2">
      <c r="A11" s="73" t="s">
        <v>119</v>
      </c>
      <c r="B11" s="74"/>
      <c r="C11" s="12" t="str">
        <f>VLOOKUP(C5,Index!N:W,10,FALSE)</f>
        <v>124.1 @ -100°C' 87.5 @ 200°C</v>
      </c>
      <c r="D11" s="75"/>
      <c r="E11" s="76"/>
    </row>
    <row r="12" spans="1:5" x14ac:dyDescent="0.2">
      <c r="A12" s="69" t="s">
        <v>32</v>
      </c>
      <c r="B12" s="69"/>
      <c r="C12" s="3" t="str">
        <f>VLOOKUP(C5,Index!N:W,5,FALSE)</f>
        <v>NIL</v>
      </c>
      <c r="D12" s="69"/>
      <c r="E12" s="69"/>
    </row>
    <row r="13" spans="1:5" x14ac:dyDescent="0.2">
      <c r="A13" s="69" t="s">
        <v>33</v>
      </c>
      <c r="B13" s="69"/>
      <c r="C13" s="3" t="s">
        <v>34</v>
      </c>
      <c r="D13" s="69"/>
      <c r="E13" s="69"/>
    </row>
    <row r="14" spans="1:5" x14ac:dyDescent="0.2">
      <c r="A14" s="69" t="s">
        <v>35</v>
      </c>
      <c r="B14" s="69"/>
      <c r="C14" s="3" t="s">
        <v>62</v>
      </c>
      <c r="D14" s="69"/>
      <c r="E14" s="69"/>
    </row>
    <row r="15" spans="1:5" x14ac:dyDescent="0.2">
      <c r="A15" s="69" t="s">
        <v>36</v>
      </c>
      <c r="B15" s="69"/>
      <c r="C15" s="3" t="s">
        <v>67</v>
      </c>
      <c r="D15" s="69"/>
      <c r="E15" s="69"/>
    </row>
    <row r="16" spans="1:5" x14ac:dyDescent="0.2">
      <c r="A16" s="69" t="s">
        <v>37</v>
      </c>
      <c r="B16" s="4" t="s">
        <v>38</v>
      </c>
      <c r="C16" s="3" t="s">
        <v>73</v>
      </c>
      <c r="D16" s="69"/>
      <c r="E16" s="69"/>
    </row>
    <row r="17" spans="1:5" ht="24" x14ac:dyDescent="0.2">
      <c r="A17" s="69"/>
      <c r="B17" s="4" t="s">
        <v>75</v>
      </c>
      <c r="C17" s="3" t="s">
        <v>77</v>
      </c>
      <c r="D17" s="69"/>
      <c r="E17" s="69"/>
    </row>
    <row r="18" spans="1:5" ht="24" x14ac:dyDescent="0.2">
      <c r="A18" s="69"/>
      <c r="B18" s="4" t="s">
        <v>39</v>
      </c>
      <c r="C18" s="3" t="s">
        <v>87</v>
      </c>
      <c r="D18" s="69"/>
      <c r="E18" s="69"/>
    </row>
    <row r="19" spans="1:5" x14ac:dyDescent="0.2">
      <c r="A19" s="69"/>
      <c r="B19" s="4" t="s">
        <v>68</v>
      </c>
      <c r="C19" s="3" t="s">
        <v>146</v>
      </c>
      <c r="D19" s="69"/>
      <c r="E19" s="69"/>
    </row>
    <row r="20" spans="1:5" x14ac:dyDescent="0.2">
      <c r="A20" s="69"/>
      <c r="B20" s="4" t="s">
        <v>141</v>
      </c>
      <c r="C20" s="3" t="s">
        <v>142</v>
      </c>
      <c r="D20" s="69"/>
      <c r="E20" s="69"/>
    </row>
    <row r="21" spans="1:5" x14ac:dyDescent="0.2">
      <c r="A21" s="69"/>
      <c r="B21" s="4" t="s">
        <v>69</v>
      </c>
      <c r="C21" s="3" t="s">
        <v>106</v>
      </c>
      <c r="D21" s="69"/>
      <c r="E21" s="69"/>
    </row>
    <row r="22" spans="1:5" ht="24" x14ac:dyDescent="0.2">
      <c r="A22" s="69"/>
      <c r="B22" s="4" t="s">
        <v>40</v>
      </c>
      <c r="C22" s="3" t="s">
        <v>86</v>
      </c>
      <c r="D22" s="69"/>
      <c r="E22" s="69"/>
    </row>
    <row r="23" spans="1:5" ht="24" x14ac:dyDescent="0.2">
      <c r="A23" s="69" t="s">
        <v>41</v>
      </c>
      <c r="B23" s="69"/>
      <c r="C23" s="3" t="s">
        <v>123</v>
      </c>
      <c r="D23" s="69"/>
      <c r="E23" s="69"/>
    </row>
    <row r="24" spans="1:5" ht="24" x14ac:dyDescent="0.2">
      <c r="A24" s="69" t="s">
        <v>42</v>
      </c>
      <c r="B24" s="4" t="s">
        <v>91</v>
      </c>
      <c r="C24" s="3" t="s">
        <v>80</v>
      </c>
      <c r="D24" s="69"/>
      <c r="E24" s="69"/>
    </row>
    <row r="25" spans="1:5" x14ac:dyDescent="0.2">
      <c r="A25" s="69"/>
      <c r="B25" s="4" t="s">
        <v>93</v>
      </c>
      <c r="C25" s="3" t="s">
        <v>132</v>
      </c>
      <c r="D25" s="69"/>
      <c r="E25" s="69"/>
    </row>
    <row r="26" spans="1:5" x14ac:dyDescent="0.2">
      <c r="A26" s="69"/>
      <c r="B26" s="4" t="s">
        <v>94</v>
      </c>
      <c r="C26" s="3" t="s">
        <v>102</v>
      </c>
      <c r="D26" s="69"/>
      <c r="E26" s="69"/>
    </row>
    <row r="27" spans="1:5" x14ac:dyDescent="0.2">
      <c r="A27" s="69"/>
      <c r="B27" s="4" t="s">
        <v>95</v>
      </c>
      <c r="C27" s="3" t="s">
        <v>105</v>
      </c>
      <c r="D27" s="69"/>
      <c r="E27" s="69"/>
    </row>
    <row r="28" spans="1:5" x14ac:dyDescent="0.2">
      <c r="A28" s="69"/>
      <c r="B28" s="4" t="s">
        <v>144</v>
      </c>
      <c r="C28" s="3" t="s">
        <v>145</v>
      </c>
      <c r="D28" s="69"/>
      <c r="E28" s="69"/>
    </row>
    <row r="29" spans="1:5" x14ac:dyDescent="0.2">
      <c r="A29" s="69"/>
      <c r="B29" s="4" t="s">
        <v>92</v>
      </c>
      <c r="C29" s="3" t="s">
        <v>102</v>
      </c>
      <c r="D29" s="69"/>
      <c r="E29" s="69"/>
    </row>
    <row r="30" spans="1:5" x14ac:dyDescent="0.2">
      <c r="A30" s="69"/>
      <c r="B30" s="4" t="s">
        <v>96</v>
      </c>
      <c r="C30" s="3" t="s">
        <v>102</v>
      </c>
      <c r="D30" s="69"/>
      <c r="E30" s="69"/>
    </row>
    <row r="31" spans="1:5" ht="36" x14ac:dyDescent="0.2">
      <c r="A31" s="69"/>
      <c r="B31" s="4" t="s">
        <v>72</v>
      </c>
      <c r="C31" s="3" t="s">
        <v>139</v>
      </c>
      <c r="D31" s="69"/>
      <c r="E31" s="69"/>
    </row>
    <row r="32" spans="1:5" ht="24" x14ac:dyDescent="0.2">
      <c r="A32" s="69"/>
      <c r="B32" s="6" t="s">
        <v>140</v>
      </c>
      <c r="C32" s="5" t="s">
        <v>99</v>
      </c>
      <c r="D32" s="69"/>
      <c r="E32" s="69"/>
    </row>
    <row r="33" spans="1:5" ht="24" x14ac:dyDescent="0.2">
      <c r="A33" s="69"/>
      <c r="B33" s="4" t="s">
        <v>43</v>
      </c>
      <c r="C33" s="3" t="s">
        <v>187</v>
      </c>
      <c r="D33" s="69"/>
      <c r="E33" s="69"/>
    </row>
    <row r="34" spans="1:5" ht="36" x14ac:dyDescent="0.2">
      <c r="A34" s="69"/>
      <c r="B34" s="4" t="s">
        <v>44</v>
      </c>
      <c r="C34" s="3" t="s">
        <v>194</v>
      </c>
      <c r="D34" s="69"/>
      <c r="E34" s="69"/>
    </row>
    <row r="35" spans="1:5" ht="36" x14ac:dyDescent="0.2">
      <c r="A35" s="69"/>
      <c r="B35" s="4" t="s">
        <v>45</v>
      </c>
      <c r="C35" s="3" t="s">
        <v>184</v>
      </c>
      <c r="D35" s="69"/>
      <c r="E35" s="69"/>
    </row>
    <row r="36" spans="1:5" ht="36" x14ac:dyDescent="0.2">
      <c r="A36" s="69" t="s">
        <v>46</v>
      </c>
      <c r="B36" s="69"/>
      <c r="C36" s="3" t="s">
        <v>47</v>
      </c>
      <c r="D36" s="69"/>
      <c r="E36" s="69"/>
    </row>
    <row r="37" spans="1:5" x14ac:dyDescent="0.2">
      <c r="A37" s="69" t="s">
        <v>48</v>
      </c>
      <c r="B37" s="69"/>
      <c r="C37" s="3" t="s">
        <v>49</v>
      </c>
      <c r="D37" s="69"/>
      <c r="E37" s="69"/>
    </row>
    <row r="38" spans="1:5" x14ac:dyDescent="0.2">
      <c r="A38" s="69" t="s">
        <v>129</v>
      </c>
      <c r="B38" s="69"/>
      <c r="C38" s="3" t="s">
        <v>50</v>
      </c>
      <c r="D38" s="69"/>
      <c r="E38" s="69"/>
    </row>
    <row r="39" spans="1:5" x14ac:dyDescent="0.2">
      <c r="A39" s="69" t="s">
        <v>128</v>
      </c>
      <c r="B39" s="69"/>
      <c r="C39" s="3" t="s">
        <v>127</v>
      </c>
      <c r="D39" s="69"/>
      <c r="E39" s="69"/>
    </row>
    <row r="40" spans="1:5" x14ac:dyDescent="0.2">
      <c r="A40" s="64" t="s">
        <v>124</v>
      </c>
      <c r="B40" s="65"/>
      <c r="C40" s="3" t="s">
        <v>274</v>
      </c>
      <c r="D40" s="64"/>
      <c r="E40" s="65"/>
    </row>
    <row r="41" spans="1:5" x14ac:dyDescent="0.2">
      <c r="A41" s="64" t="s">
        <v>125</v>
      </c>
      <c r="B41" s="65"/>
      <c r="C41" s="3" t="s">
        <v>275</v>
      </c>
      <c r="D41" s="64"/>
      <c r="E41" s="65"/>
    </row>
    <row r="42" spans="1:5" x14ac:dyDescent="0.2">
      <c r="A42" s="64" t="s">
        <v>126</v>
      </c>
      <c r="B42" s="65"/>
      <c r="C42" s="3" t="s">
        <v>195</v>
      </c>
      <c r="D42" s="64"/>
      <c r="E42" s="65"/>
    </row>
    <row r="43" spans="1:5" ht="24" x14ac:dyDescent="0.2">
      <c r="A43" s="69" t="s">
        <v>51</v>
      </c>
      <c r="B43" s="69"/>
      <c r="C43" s="3" t="s">
        <v>52</v>
      </c>
      <c r="D43" s="69"/>
      <c r="E43" s="69"/>
    </row>
    <row r="44" spans="1:5" x14ac:dyDescent="0.2">
      <c r="A44" s="69" t="s">
        <v>53</v>
      </c>
      <c r="B44" s="69"/>
      <c r="C44" s="3" t="s">
        <v>149</v>
      </c>
      <c r="D44" s="69"/>
      <c r="E44" s="69"/>
    </row>
    <row r="45" spans="1:5" ht="24" x14ac:dyDescent="0.2">
      <c r="A45" s="69" t="s">
        <v>54</v>
      </c>
      <c r="B45" s="69"/>
      <c r="C45" s="3" t="s">
        <v>436</v>
      </c>
      <c r="D45" s="69"/>
      <c r="E45" s="69"/>
    </row>
    <row r="46" spans="1:5" x14ac:dyDescent="0.2">
      <c r="A46" s="7"/>
      <c r="B46" s="8"/>
      <c r="C46" s="8"/>
      <c r="D46" s="8"/>
      <c r="E46" s="9"/>
    </row>
    <row r="47" spans="1:5" x14ac:dyDescent="0.2">
      <c r="A47" s="10" t="s">
        <v>58</v>
      </c>
      <c r="E47" s="11"/>
    </row>
    <row r="48" spans="1:5" x14ac:dyDescent="0.2">
      <c r="A48" s="70" t="s">
        <v>70</v>
      </c>
      <c r="B48" s="71"/>
      <c r="C48" s="71"/>
      <c r="D48" s="71"/>
      <c r="E48" s="72"/>
    </row>
    <row r="49" spans="1:5" x14ac:dyDescent="0.2">
      <c r="A49" s="70"/>
      <c r="B49" s="71"/>
      <c r="C49" s="71"/>
      <c r="D49" s="71"/>
      <c r="E49" s="72"/>
    </row>
    <row r="50" spans="1:5" x14ac:dyDescent="0.2">
      <c r="A50" s="70" t="s">
        <v>437</v>
      </c>
      <c r="B50" s="71"/>
      <c r="C50" s="71"/>
      <c r="D50" s="71"/>
      <c r="E50" s="72"/>
    </row>
    <row r="51" spans="1:5" x14ac:dyDescent="0.2">
      <c r="A51" s="70" t="s">
        <v>97</v>
      </c>
      <c r="B51" s="71"/>
      <c r="C51" s="71"/>
      <c r="D51" s="71"/>
      <c r="E51" s="72"/>
    </row>
    <row r="52" spans="1:5" x14ac:dyDescent="0.2">
      <c r="A52" s="70"/>
      <c r="B52" s="71"/>
      <c r="C52" s="71"/>
      <c r="D52" s="71"/>
      <c r="E52" s="72"/>
    </row>
    <row r="53" spans="1:5" x14ac:dyDescent="0.2">
      <c r="A53" s="70" t="s">
        <v>150</v>
      </c>
      <c r="B53" s="71"/>
      <c r="C53" s="71"/>
      <c r="D53" s="71"/>
      <c r="E53" s="72"/>
    </row>
    <row r="54" spans="1:5" ht="11.45" customHeight="1" x14ac:dyDescent="0.2">
      <c r="A54" s="70" t="s">
        <v>151</v>
      </c>
      <c r="B54" s="71"/>
      <c r="C54" s="71"/>
      <c r="D54" s="71"/>
      <c r="E54" s="72"/>
    </row>
    <row r="55" spans="1:5" x14ac:dyDescent="0.2">
      <c r="A55" s="66" t="s">
        <v>107</v>
      </c>
      <c r="B55" s="67"/>
      <c r="C55" s="67"/>
      <c r="D55" s="67"/>
      <c r="E55" s="68"/>
    </row>
  </sheetData>
  <mergeCells count="75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2"/>
    <mergeCell ref="D16:E16"/>
    <mergeCell ref="D17:E17"/>
    <mergeCell ref="D18:E18"/>
    <mergeCell ref="D19:E19"/>
    <mergeCell ref="D20:E20"/>
    <mergeCell ref="D21:E21"/>
    <mergeCell ref="D22:E22"/>
    <mergeCell ref="A23:B23"/>
    <mergeCell ref="D23:E23"/>
    <mergeCell ref="A24:A35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D35:E35"/>
    <mergeCell ref="A37:B37"/>
    <mergeCell ref="D37:E37"/>
    <mergeCell ref="A38:B38"/>
    <mergeCell ref="D38:E38"/>
    <mergeCell ref="A36:B36"/>
    <mergeCell ref="D36:E36"/>
    <mergeCell ref="A39:B39"/>
    <mergeCell ref="D39:E39"/>
    <mergeCell ref="A40:B40"/>
    <mergeCell ref="D40:E40"/>
    <mergeCell ref="A41:B41"/>
    <mergeCell ref="D41:E41"/>
    <mergeCell ref="A42:B42"/>
    <mergeCell ref="D42:E42"/>
    <mergeCell ref="A55:E55"/>
    <mergeCell ref="A43:B43"/>
    <mergeCell ref="D43:E43"/>
    <mergeCell ref="A44:B44"/>
    <mergeCell ref="D44:E44"/>
    <mergeCell ref="A45:B45"/>
    <mergeCell ref="D45:E45"/>
    <mergeCell ref="A48:E49"/>
    <mergeCell ref="A50:E50"/>
    <mergeCell ref="A51:E52"/>
    <mergeCell ref="A53:E53"/>
    <mergeCell ref="A54:E54"/>
  </mergeCells>
  <conditionalFormatting sqref="B17">
    <cfRule type="duplicateValues" dxfId="324" priority="4"/>
  </conditionalFormatting>
  <conditionalFormatting sqref="B18">
    <cfRule type="duplicateValues" dxfId="323" priority="3"/>
  </conditionalFormatting>
  <conditionalFormatting sqref="B20">
    <cfRule type="duplicateValues" dxfId="322" priority="2"/>
  </conditionalFormatting>
  <conditionalFormatting sqref="B21">
    <cfRule type="duplicateValues" dxfId="321" priority="10"/>
  </conditionalFormatting>
  <conditionalFormatting sqref="B25">
    <cfRule type="duplicateValues" dxfId="320" priority="12"/>
  </conditionalFormatting>
  <conditionalFormatting sqref="B28">
    <cfRule type="duplicateValues" dxfId="319" priority="1"/>
  </conditionalFormatting>
  <conditionalFormatting sqref="B32">
    <cfRule type="duplicateValues" dxfId="318" priority="11"/>
  </conditionalFormatting>
  <conditionalFormatting sqref="B38">
    <cfRule type="duplicateValues" dxfId="317" priority="6"/>
  </conditionalFormatting>
  <conditionalFormatting sqref="B39">
    <cfRule type="duplicateValues" dxfId="316" priority="5"/>
  </conditionalFormatting>
  <conditionalFormatting sqref="B40">
    <cfRule type="duplicateValues" dxfId="315" priority="9"/>
  </conditionalFormatting>
  <conditionalFormatting sqref="B41">
    <cfRule type="duplicateValues" dxfId="314" priority="8"/>
  </conditionalFormatting>
  <conditionalFormatting sqref="B42">
    <cfRule type="duplicateValues" dxfId="313" priority="7"/>
  </conditionalFormatting>
  <conditionalFormatting sqref="B56:B1048576 B4:B10 B26:B27 B12:B16 B33:B37 B22:B24 B43:B47 B19 B29:B31">
    <cfRule type="duplicateValues" dxfId="312" priority="13"/>
  </conditionalFormatting>
  <pageMargins left="0.7" right="0.7" top="0.75" bottom="0.75" header="0.3" footer="0.3"/>
  <pageSetup paperSize="9" scale="88" orientation="portrait" horizontalDpi="4294967295" verticalDpi="4294967295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339200-2B5F-4E7F-830B-48B422547510}">
  <sheetPr codeName="Sheet47">
    <tabColor theme="4" tint="-0.249977111117893"/>
    <pageSetUpPr fitToPage="1"/>
  </sheetPr>
  <dimension ref="A1:E55"/>
  <sheetViews>
    <sheetView zoomScaleNormal="100" workbookViewId="0">
      <selection sqref="A1:B3"/>
    </sheetView>
  </sheetViews>
  <sheetFormatPr defaultColWidth="8.85546875" defaultRowHeight="12" x14ac:dyDescent="0.2"/>
  <cols>
    <col min="1" max="1" width="12.5703125" style="1" customWidth="1"/>
    <col min="2" max="2" width="13.42578125" style="1" bestFit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4" customFormat="1" ht="30" customHeight="1" x14ac:dyDescent="0.25">
      <c r="A1" s="77" t="e" vm="1">
        <v>#VALUE!</v>
      </c>
      <c r="B1" s="78"/>
      <c r="C1" s="83" t="s">
        <v>112</v>
      </c>
      <c r="D1" s="13" t="s">
        <v>110</v>
      </c>
      <c r="E1" s="13" t="s">
        <v>435</v>
      </c>
    </row>
    <row r="2" spans="1:5" s="14" customFormat="1" ht="30" customHeight="1" x14ac:dyDescent="0.25">
      <c r="A2" s="79"/>
      <c r="B2" s="80"/>
      <c r="C2" s="84"/>
      <c r="D2" s="15" t="s">
        <v>109</v>
      </c>
      <c r="E2" s="16" t="str">
        <f>VLOOKUP(C4,Index!B:J,9,FALSE)</f>
        <v>C0</v>
      </c>
    </row>
    <row r="3" spans="1:5" s="14" customFormat="1" ht="30" customHeight="1" x14ac:dyDescent="0.25">
      <c r="A3" s="81"/>
      <c r="B3" s="82"/>
      <c r="C3" s="85"/>
      <c r="D3" s="15" t="s">
        <v>111</v>
      </c>
      <c r="E3" s="17">
        <f>VLOOKUP(C4,Index!B:I,8,FALSE)</f>
        <v>355</v>
      </c>
    </row>
    <row r="4" spans="1:5" x14ac:dyDescent="0.2">
      <c r="A4" s="86" t="s">
        <v>74</v>
      </c>
      <c r="B4" s="86"/>
      <c r="C4" s="2" t="s">
        <v>247</v>
      </c>
      <c r="D4" s="86" t="s">
        <v>55</v>
      </c>
      <c r="E4" s="86"/>
    </row>
    <row r="5" spans="1:5" x14ac:dyDescent="0.2">
      <c r="A5" s="69" t="s">
        <v>26</v>
      </c>
      <c r="B5" s="69"/>
      <c r="C5" s="3" t="s">
        <v>18</v>
      </c>
      <c r="D5" s="69"/>
      <c r="E5" s="69"/>
    </row>
    <row r="6" spans="1:5" x14ac:dyDescent="0.2">
      <c r="A6" s="69" t="s">
        <v>27</v>
      </c>
      <c r="B6" s="69"/>
      <c r="C6" s="3" t="s">
        <v>78</v>
      </c>
      <c r="D6" s="69"/>
      <c r="E6" s="69"/>
    </row>
    <row r="7" spans="1:5" x14ac:dyDescent="0.2">
      <c r="A7" s="69" t="s">
        <v>28</v>
      </c>
      <c r="B7" s="69"/>
      <c r="C7" s="3" t="s">
        <v>82</v>
      </c>
      <c r="D7" s="69"/>
      <c r="E7" s="69"/>
    </row>
    <row r="8" spans="1:5" x14ac:dyDescent="0.2">
      <c r="A8" s="69" t="s">
        <v>29</v>
      </c>
      <c r="B8" s="69"/>
      <c r="C8" s="3" t="str">
        <f>VLOOKUP(C5,Index!N:W,6,FALSE)</f>
        <v>Air, Nitrogen, Lube oil, Chemical, Hydraulic</v>
      </c>
      <c r="D8" s="69"/>
      <c r="E8" s="69"/>
    </row>
    <row r="9" spans="1:5" x14ac:dyDescent="0.2">
      <c r="A9" s="69" t="s">
        <v>30</v>
      </c>
      <c r="B9" s="69"/>
      <c r="C9" s="3" t="s">
        <v>148</v>
      </c>
      <c r="D9" s="69"/>
      <c r="E9" s="69"/>
    </row>
    <row r="10" spans="1:5" x14ac:dyDescent="0.2">
      <c r="A10" s="69" t="s">
        <v>31</v>
      </c>
      <c r="B10" s="69"/>
      <c r="C10" s="3" t="s">
        <v>63</v>
      </c>
      <c r="D10" s="69"/>
      <c r="E10" s="69"/>
    </row>
    <row r="11" spans="1:5" x14ac:dyDescent="0.2">
      <c r="A11" s="73" t="s">
        <v>119</v>
      </c>
      <c r="B11" s="74"/>
      <c r="C11" s="12" t="str">
        <f>VLOOKUP(C5,Index!N:W,10,FALSE)</f>
        <v>206.8 @ -100°C' 145.8 @ 200°C</v>
      </c>
      <c r="D11" s="75"/>
      <c r="E11" s="76"/>
    </row>
    <row r="12" spans="1:5" x14ac:dyDescent="0.2">
      <c r="A12" s="69" t="s">
        <v>32</v>
      </c>
      <c r="B12" s="69"/>
      <c r="C12" s="3" t="str">
        <f>VLOOKUP(C5,Index!N:W,5,FALSE)</f>
        <v>NIL</v>
      </c>
      <c r="D12" s="69"/>
      <c r="E12" s="69"/>
    </row>
    <row r="13" spans="1:5" x14ac:dyDescent="0.2">
      <c r="A13" s="69" t="s">
        <v>33</v>
      </c>
      <c r="B13" s="69"/>
      <c r="C13" s="3" t="s">
        <v>34</v>
      </c>
      <c r="D13" s="69"/>
      <c r="E13" s="69"/>
    </row>
    <row r="14" spans="1:5" ht="24" x14ac:dyDescent="0.2">
      <c r="A14" s="69" t="s">
        <v>35</v>
      </c>
      <c r="B14" s="69"/>
      <c r="C14" s="3" t="s">
        <v>316</v>
      </c>
      <c r="D14" s="69"/>
      <c r="E14" s="69"/>
    </row>
    <row r="15" spans="1:5" x14ac:dyDescent="0.2">
      <c r="A15" s="69" t="s">
        <v>36</v>
      </c>
      <c r="B15" s="69"/>
      <c r="C15" s="3" t="s">
        <v>67</v>
      </c>
      <c r="D15" s="69"/>
      <c r="E15" s="69"/>
    </row>
    <row r="16" spans="1:5" x14ac:dyDescent="0.2">
      <c r="A16" s="69" t="s">
        <v>37</v>
      </c>
      <c r="B16" s="4" t="s">
        <v>38</v>
      </c>
      <c r="C16" s="3" t="s">
        <v>73</v>
      </c>
      <c r="D16" s="69"/>
      <c r="E16" s="69"/>
    </row>
    <row r="17" spans="1:5" ht="24" x14ac:dyDescent="0.2">
      <c r="A17" s="69"/>
      <c r="B17" s="4" t="s">
        <v>75</v>
      </c>
      <c r="C17" s="3" t="s">
        <v>77</v>
      </c>
      <c r="D17" s="69"/>
      <c r="E17" s="69"/>
    </row>
    <row r="18" spans="1:5" ht="24" x14ac:dyDescent="0.2">
      <c r="A18" s="69"/>
      <c r="B18" s="4" t="s">
        <v>39</v>
      </c>
      <c r="C18" s="3" t="s">
        <v>87</v>
      </c>
      <c r="D18" s="69"/>
      <c r="E18" s="69"/>
    </row>
    <row r="19" spans="1:5" x14ac:dyDescent="0.2">
      <c r="A19" s="69"/>
      <c r="B19" s="4" t="s">
        <v>68</v>
      </c>
      <c r="C19" s="3" t="s">
        <v>146</v>
      </c>
      <c r="D19" s="69"/>
      <c r="E19" s="69"/>
    </row>
    <row r="20" spans="1:5" x14ac:dyDescent="0.2">
      <c r="A20" s="69"/>
      <c r="B20" s="4" t="s">
        <v>141</v>
      </c>
      <c r="C20" s="3" t="s">
        <v>142</v>
      </c>
      <c r="D20" s="69"/>
      <c r="E20" s="69"/>
    </row>
    <row r="21" spans="1:5" x14ac:dyDescent="0.2">
      <c r="A21" s="69"/>
      <c r="B21" s="4" t="s">
        <v>69</v>
      </c>
      <c r="C21" s="3" t="s">
        <v>106</v>
      </c>
      <c r="D21" s="69"/>
      <c r="E21" s="69"/>
    </row>
    <row r="22" spans="1:5" ht="24" x14ac:dyDescent="0.2">
      <c r="A22" s="69"/>
      <c r="B22" s="4" t="s">
        <v>40</v>
      </c>
      <c r="C22" s="3" t="s">
        <v>86</v>
      </c>
      <c r="D22" s="69"/>
      <c r="E22" s="69"/>
    </row>
    <row r="23" spans="1:5" ht="24" x14ac:dyDescent="0.2">
      <c r="A23" s="69" t="s">
        <v>41</v>
      </c>
      <c r="B23" s="69"/>
      <c r="C23" s="3" t="s">
        <v>123</v>
      </c>
      <c r="D23" s="69"/>
      <c r="E23" s="69"/>
    </row>
    <row r="24" spans="1:5" ht="24" x14ac:dyDescent="0.2">
      <c r="A24" s="69" t="s">
        <v>42</v>
      </c>
      <c r="B24" s="4" t="s">
        <v>91</v>
      </c>
      <c r="C24" s="3" t="s">
        <v>80</v>
      </c>
      <c r="D24" s="69"/>
      <c r="E24" s="69"/>
    </row>
    <row r="25" spans="1:5" x14ac:dyDescent="0.2">
      <c r="A25" s="69"/>
      <c r="B25" s="4" t="s">
        <v>93</v>
      </c>
      <c r="C25" s="3" t="s">
        <v>132</v>
      </c>
      <c r="D25" s="69"/>
      <c r="E25" s="69"/>
    </row>
    <row r="26" spans="1:5" x14ac:dyDescent="0.2">
      <c r="A26" s="69"/>
      <c r="B26" s="4" t="s">
        <v>94</v>
      </c>
      <c r="C26" s="3" t="s">
        <v>102</v>
      </c>
      <c r="D26" s="69"/>
      <c r="E26" s="69"/>
    </row>
    <row r="27" spans="1:5" x14ac:dyDescent="0.2">
      <c r="A27" s="69"/>
      <c r="B27" s="4" t="s">
        <v>95</v>
      </c>
      <c r="C27" s="3" t="s">
        <v>105</v>
      </c>
      <c r="D27" s="69"/>
      <c r="E27" s="69"/>
    </row>
    <row r="28" spans="1:5" x14ac:dyDescent="0.2">
      <c r="A28" s="69"/>
      <c r="B28" s="4" t="s">
        <v>144</v>
      </c>
      <c r="C28" s="3" t="s">
        <v>145</v>
      </c>
      <c r="D28" s="69"/>
      <c r="E28" s="69"/>
    </row>
    <row r="29" spans="1:5" x14ac:dyDescent="0.2">
      <c r="A29" s="69"/>
      <c r="B29" s="4" t="s">
        <v>92</v>
      </c>
      <c r="C29" s="3" t="s">
        <v>102</v>
      </c>
      <c r="D29" s="69"/>
      <c r="E29" s="69"/>
    </row>
    <row r="30" spans="1:5" x14ac:dyDescent="0.2">
      <c r="A30" s="69"/>
      <c r="B30" s="4" t="s">
        <v>96</v>
      </c>
      <c r="C30" s="3" t="s">
        <v>102</v>
      </c>
      <c r="D30" s="69"/>
      <c r="E30" s="69"/>
    </row>
    <row r="31" spans="1:5" ht="36" x14ac:dyDescent="0.2">
      <c r="A31" s="69"/>
      <c r="B31" s="4" t="s">
        <v>72</v>
      </c>
      <c r="C31" s="3" t="s">
        <v>139</v>
      </c>
      <c r="D31" s="69"/>
      <c r="E31" s="69"/>
    </row>
    <row r="32" spans="1:5" ht="24" x14ac:dyDescent="0.2">
      <c r="A32" s="69"/>
      <c r="B32" s="6" t="s">
        <v>140</v>
      </c>
      <c r="C32" s="5" t="s">
        <v>99</v>
      </c>
      <c r="D32" s="69"/>
      <c r="E32" s="69"/>
    </row>
    <row r="33" spans="1:5" ht="24" x14ac:dyDescent="0.2">
      <c r="A33" s="69"/>
      <c r="B33" s="4" t="s">
        <v>43</v>
      </c>
      <c r="C33" s="3" t="s">
        <v>187</v>
      </c>
      <c r="D33" s="69"/>
      <c r="E33" s="69"/>
    </row>
    <row r="34" spans="1:5" ht="36" x14ac:dyDescent="0.2">
      <c r="A34" s="69"/>
      <c r="B34" s="4" t="s">
        <v>44</v>
      </c>
      <c r="C34" s="3" t="s">
        <v>194</v>
      </c>
      <c r="D34" s="69"/>
      <c r="E34" s="69"/>
    </row>
    <row r="35" spans="1:5" ht="36" x14ac:dyDescent="0.2">
      <c r="A35" s="69"/>
      <c r="B35" s="4" t="s">
        <v>45</v>
      </c>
      <c r="C35" s="3" t="s">
        <v>184</v>
      </c>
      <c r="D35" s="69"/>
      <c r="E35" s="69"/>
    </row>
    <row r="36" spans="1:5" ht="36" x14ac:dyDescent="0.2">
      <c r="A36" s="69" t="s">
        <v>46</v>
      </c>
      <c r="B36" s="69"/>
      <c r="C36" s="3" t="s">
        <v>47</v>
      </c>
      <c r="D36" s="69"/>
      <c r="E36" s="69"/>
    </row>
    <row r="37" spans="1:5" x14ac:dyDescent="0.2">
      <c r="A37" s="69" t="s">
        <v>48</v>
      </c>
      <c r="B37" s="69"/>
      <c r="C37" s="3" t="s">
        <v>49</v>
      </c>
      <c r="D37" s="69"/>
      <c r="E37" s="69"/>
    </row>
    <row r="38" spans="1:5" x14ac:dyDescent="0.2">
      <c r="A38" s="69" t="s">
        <v>129</v>
      </c>
      <c r="B38" s="69"/>
      <c r="C38" s="3" t="s">
        <v>50</v>
      </c>
      <c r="D38" s="69"/>
      <c r="E38" s="69"/>
    </row>
    <row r="39" spans="1:5" x14ac:dyDescent="0.2">
      <c r="A39" s="69" t="s">
        <v>128</v>
      </c>
      <c r="B39" s="69"/>
      <c r="C39" s="3" t="s">
        <v>127</v>
      </c>
      <c r="D39" s="69"/>
      <c r="E39" s="69"/>
    </row>
    <row r="40" spans="1:5" x14ac:dyDescent="0.2">
      <c r="A40" s="64" t="s">
        <v>124</v>
      </c>
      <c r="B40" s="65"/>
      <c r="C40" s="3" t="s">
        <v>272</v>
      </c>
      <c r="D40" s="64"/>
      <c r="E40" s="65"/>
    </row>
    <row r="41" spans="1:5" x14ac:dyDescent="0.2">
      <c r="A41" s="64" t="s">
        <v>125</v>
      </c>
      <c r="B41" s="65"/>
      <c r="C41" s="3" t="s">
        <v>273</v>
      </c>
      <c r="D41" s="64"/>
      <c r="E41" s="65"/>
    </row>
    <row r="42" spans="1:5" x14ac:dyDescent="0.2">
      <c r="A42" s="64" t="s">
        <v>126</v>
      </c>
      <c r="B42" s="65"/>
      <c r="C42" s="3" t="s">
        <v>195</v>
      </c>
      <c r="D42" s="64"/>
      <c r="E42" s="65"/>
    </row>
    <row r="43" spans="1:5" ht="24" x14ac:dyDescent="0.2">
      <c r="A43" s="69" t="s">
        <v>51</v>
      </c>
      <c r="B43" s="69"/>
      <c r="C43" s="3" t="s">
        <v>52</v>
      </c>
      <c r="D43" s="69"/>
      <c r="E43" s="69"/>
    </row>
    <row r="44" spans="1:5" x14ac:dyDescent="0.2">
      <c r="A44" s="69" t="s">
        <v>53</v>
      </c>
      <c r="B44" s="69"/>
      <c r="C44" s="3" t="s">
        <v>149</v>
      </c>
      <c r="D44" s="69"/>
      <c r="E44" s="69"/>
    </row>
    <row r="45" spans="1:5" ht="24" x14ac:dyDescent="0.2">
      <c r="A45" s="69" t="s">
        <v>54</v>
      </c>
      <c r="B45" s="69"/>
      <c r="C45" s="3" t="s">
        <v>436</v>
      </c>
      <c r="D45" s="69"/>
      <c r="E45" s="69"/>
    </row>
    <row r="46" spans="1:5" x14ac:dyDescent="0.2">
      <c r="A46" s="7"/>
      <c r="B46" s="8"/>
      <c r="C46" s="8"/>
      <c r="D46" s="8"/>
      <c r="E46" s="9"/>
    </row>
    <row r="47" spans="1:5" x14ac:dyDescent="0.2">
      <c r="A47" s="10" t="s">
        <v>58</v>
      </c>
      <c r="E47" s="11"/>
    </row>
    <row r="48" spans="1:5" x14ac:dyDescent="0.2">
      <c r="A48" s="70" t="s">
        <v>70</v>
      </c>
      <c r="B48" s="71"/>
      <c r="C48" s="71"/>
      <c r="D48" s="71"/>
      <c r="E48" s="72"/>
    </row>
    <row r="49" spans="1:5" x14ac:dyDescent="0.2">
      <c r="A49" s="70"/>
      <c r="B49" s="71"/>
      <c r="C49" s="71"/>
      <c r="D49" s="71"/>
      <c r="E49" s="72"/>
    </row>
    <row r="50" spans="1:5" x14ac:dyDescent="0.2">
      <c r="A50" s="70" t="s">
        <v>437</v>
      </c>
      <c r="B50" s="71"/>
      <c r="C50" s="71"/>
      <c r="D50" s="71"/>
      <c r="E50" s="72"/>
    </row>
    <row r="51" spans="1:5" x14ac:dyDescent="0.2">
      <c r="A51" s="70" t="s">
        <v>97</v>
      </c>
      <c r="B51" s="71"/>
      <c r="C51" s="71"/>
      <c r="D51" s="71"/>
      <c r="E51" s="72"/>
    </row>
    <row r="52" spans="1:5" x14ac:dyDescent="0.2">
      <c r="A52" s="70"/>
      <c r="B52" s="71"/>
      <c r="C52" s="71"/>
      <c r="D52" s="71"/>
      <c r="E52" s="72"/>
    </row>
    <row r="53" spans="1:5" x14ac:dyDescent="0.2">
      <c r="A53" s="70" t="s">
        <v>150</v>
      </c>
      <c r="B53" s="71"/>
      <c r="C53" s="71"/>
      <c r="D53" s="71"/>
      <c r="E53" s="72"/>
    </row>
    <row r="54" spans="1:5" ht="11.45" customHeight="1" x14ac:dyDescent="0.2">
      <c r="A54" s="70" t="s">
        <v>151</v>
      </c>
      <c r="B54" s="71"/>
      <c r="C54" s="71"/>
      <c r="D54" s="71"/>
      <c r="E54" s="72"/>
    </row>
    <row r="55" spans="1:5" x14ac:dyDescent="0.2">
      <c r="A55" s="66" t="s">
        <v>107</v>
      </c>
      <c r="B55" s="67"/>
      <c r="C55" s="67"/>
      <c r="D55" s="67"/>
      <c r="E55" s="68"/>
    </row>
  </sheetData>
  <mergeCells count="75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2"/>
    <mergeCell ref="D16:E16"/>
    <mergeCell ref="D17:E17"/>
    <mergeCell ref="D18:E18"/>
    <mergeCell ref="D19:E19"/>
    <mergeCell ref="D20:E20"/>
    <mergeCell ref="D21:E21"/>
    <mergeCell ref="D22:E22"/>
    <mergeCell ref="A23:B23"/>
    <mergeCell ref="D23:E23"/>
    <mergeCell ref="A24:A35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D35:E35"/>
    <mergeCell ref="A37:B37"/>
    <mergeCell ref="D37:E37"/>
    <mergeCell ref="A38:B38"/>
    <mergeCell ref="D38:E38"/>
    <mergeCell ref="A36:B36"/>
    <mergeCell ref="D36:E36"/>
    <mergeCell ref="A39:B39"/>
    <mergeCell ref="D39:E39"/>
    <mergeCell ref="A40:B40"/>
    <mergeCell ref="D40:E40"/>
    <mergeCell ref="A41:B41"/>
    <mergeCell ref="D41:E41"/>
    <mergeCell ref="A42:B42"/>
    <mergeCell ref="D42:E42"/>
    <mergeCell ref="A55:E55"/>
    <mergeCell ref="A43:B43"/>
    <mergeCell ref="D43:E43"/>
    <mergeCell ref="A44:B44"/>
    <mergeCell ref="D44:E44"/>
    <mergeCell ref="A45:B45"/>
    <mergeCell ref="D45:E45"/>
    <mergeCell ref="A48:E49"/>
    <mergeCell ref="A50:E50"/>
    <mergeCell ref="A51:E52"/>
    <mergeCell ref="A53:E53"/>
    <mergeCell ref="A54:E54"/>
  </mergeCells>
  <conditionalFormatting sqref="B17">
    <cfRule type="duplicateValues" dxfId="311" priority="4"/>
  </conditionalFormatting>
  <conditionalFormatting sqref="B18">
    <cfRule type="duplicateValues" dxfId="310" priority="3"/>
  </conditionalFormatting>
  <conditionalFormatting sqref="B20">
    <cfRule type="duplicateValues" dxfId="309" priority="2"/>
  </conditionalFormatting>
  <conditionalFormatting sqref="B21">
    <cfRule type="duplicateValues" dxfId="308" priority="10"/>
  </conditionalFormatting>
  <conditionalFormatting sqref="B25">
    <cfRule type="duplicateValues" dxfId="307" priority="12"/>
  </conditionalFormatting>
  <conditionalFormatting sqref="B28">
    <cfRule type="duplicateValues" dxfId="306" priority="1"/>
  </conditionalFormatting>
  <conditionalFormatting sqref="B32">
    <cfRule type="duplicateValues" dxfId="305" priority="11"/>
  </conditionalFormatting>
  <conditionalFormatting sqref="B38">
    <cfRule type="duplicateValues" dxfId="304" priority="6"/>
  </conditionalFormatting>
  <conditionalFormatting sqref="B39">
    <cfRule type="duplicateValues" dxfId="303" priority="5"/>
  </conditionalFormatting>
  <conditionalFormatting sqref="B40">
    <cfRule type="duplicateValues" dxfId="302" priority="9"/>
  </conditionalFormatting>
  <conditionalFormatting sqref="B41">
    <cfRule type="duplicateValues" dxfId="301" priority="8"/>
  </conditionalFormatting>
  <conditionalFormatting sqref="B42">
    <cfRule type="duplicateValues" dxfId="300" priority="7"/>
  </conditionalFormatting>
  <conditionalFormatting sqref="B56:B1048576 B4:B10 B26:B27 B12:B16 B33:B37 B22:B24 B43:B47 B19 B29:B31">
    <cfRule type="duplicateValues" dxfId="299" priority="13"/>
  </conditionalFormatting>
  <pageMargins left="0.7" right="0.7" top="0.75" bottom="0.75" header="0.3" footer="0.3"/>
  <pageSetup paperSize="9" scale="88" orientation="portrait" horizontalDpi="4294967295" verticalDpi="4294967295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D3A80C-6365-4B65-B6E8-68C982B110F8}">
  <sheetPr codeName="Sheet48">
    <tabColor theme="4" tint="-0.249977111117893"/>
    <pageSetUpPr fitToPage="1"/>
  </sheetPr>
  <dimension ref="A1:E55"/>
  <sheetViews>
    <sheetView zoomScaleNormal="100" workbookViewId="0">
      <selection activeCell="J20" sqref="J20"/>
    </sheetView>
  </sheetViews>
  <sheetFormatPr defaultColWidth="8.85546875" defaultRowHeight="12" x14ac:dyDescent="0.2"/>
  <cols>
    <col min="1" max="1" width="12.5703125" style="1" customWidth="1"/>
    <col min="2" max="2" width="13.42578125" style="1" bestFit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4" customFormat="1" ht="30" customHeight="1" x14ac:dyDescent="0.25">
      <c r="A1" s="77" t="e" vm="1">
        <v>#VALUE!</v>
      </c>
      <c r="B1" s="78"/>
      <c r="C1" s="83" t="s">
        <v>112</v>
      </c>
      <c r="D1" s="13" t="s">
        <v>110</v>
      </c>
      <c r="E1" s="13" t="s">
        <v>435</v>
      </c>
    </row>
    <row r="2" spans="1:5" s="14" customFormat="1" ht="30" customHeight="1" x14ac:dyDescent="0.25">
      <c r="A2" s="79"/>
      <c r="B2" s="80"/>
      <c r="C2" s="84"/>
      <c r="D2" s="15" t="s">
        <v>109</v>
      </c>
      <c r="E2" s="16" t="str">
        <f>VLOOKUP(C4,Index!B:J,9,FALSE)</f>
        <v>C0</v>
      </c>
    </row>
    <row r="3" spans="1:5" s="14" customFormat="1" ht="30" customHeight="1" x14ac:dyDescent="0.25">
      <c r="A3" s="81"/>
      <c r="B3" s="82"/>
      <c r="C3" s="85"/>
      <c r="D3" s="15" t="s">
        <v>111</v>
      </c>
      <c r="E3" s="17">
        <f>VLOOKUP(C4,Index!B:I,8,FALSE)</f>
        <v>356</v>
      </c>
    </row>
    <row r="4" spans="1:5" x14ac:dyDescent="0.2">
      <c r="A4" s="86" t="s">
        <v>74</v>
      </c>
      <c r="B4" s="86"/>
      <c r="C4" s="2" t="s">
        <v>248</v>
      </c>
      <c r="D4" s="86" t="s">
        <v>55</v>
      </c>
      <c r="E4" s="86"/>
    </row>
    <row r="5" spans="1:5" x14ac:dyDescent="0.2">
      <c r="A5" s="69" t="s">
        <v>26</v>
      </c>
      <c r="B5" s="69"/>
      <c r="C5" s="3" t="s">
        <v>20</v>
      </c>
      <c r="D5" s="69"/>
      <c r="E5" s="69"/>
    </row>
    <row r="6" spans="1:5" x14ac:dyDescent="0.2">
      <c r="A6" s="69" t="s">
        <v>27</v>
      </c>
      <c r="B6" s="69"/>
      <c r="C6" s="3" t="s">
        <v>78</v>
      </c>
      <c r="D6" s="69"/>
      <c r="E6" s="69"/>
    </row>
    <row r="7" spans="1:5" x14ac:dyDescent="0.2">
      <c r="A7" s="69" t="s">
        <v>28</v>
      </c>
      <c r="B7" s="69"/>
      <c r="C7" s="3" t="s">
        <v>82</v>
      </c>
      <c r="D7" s="69"/>
      <c r="E7" s="69"/>
    </row>
    <row r="8" spans="1:5" x14ac:dyDescent="0.2">
      <c r="A8" s="69" t="s">
        <v>29</v>
      </c>
      <c r="B8" s="69"/>
      <c r="C8" s="3" t="str">
        <f>VLOOKUP(C5,Index!N:W,6,FALSE)</f>
        <v>Air, Nitrogen, Lube oil, Chemical, Hydraulic</v>
      </c>
      <c r="D8" s="69"/>
      <c r="E8" s="69"/>
    </row>
    <row r="9" spans="1:5" x14ac:dyDescent="0.2">
      <c r="A9" s="69" t="s">
        <v>30</v>
      </c>
      <c r="B9" s="69"/>
      <c r="C9" s="3" t="s">
        <v>148</v>
      </c>
      <c r="D9" s="69"/>
      <c r="E9" s="69"/>
    </row>
    <row r="10" spans="1:5" x14ac:dyDescent="0.2">
      <c r="A10" s="69" t="s">
        <v>31</v>
      </c>
      <c r="B10" s="69"/>
      <c r="C10" s="3" t="s">
        <v>64</v>
      </c>
      <c r="D10" s="69"/>
      <c r="E10" s="69"/>
    </row>
    <row r="11" spans="1:5" x14ac:dyDescent="0.2">
      <c r="A11" s="73" t="s">
        <v>119</v>
      </c>
      <c r="B11" s="74"/>
      <c r="C11" s="12" t="str">
        <f>VLOOKUP(C5,Index!N:W,10,FALSE)</f>
        <v>344.7 @ -100°C' 243 @ 200°C</v>
      </c>
      <c r="D11" s="75"/>
      <c r="E11" s="76"/>
    </row>
    <row r="12" spans="1:5" x14ac:dyDescent="0.2">
      <c r="A12" s="69" t="s">
        <v>32</v>
      </c>
      <c r="B12" s="69"/>
      <c r="C12" s="3" t="str">
        <f>VLOOKUP(C5,Index!N:W,5,FALSE)</f>
        <v>NIL</v>
      </c>
      <c r="D12" s="69"/>
      <c r="E12" s="69"/>
    </row>
    <row r="13" spans="1:5" x14ac:dyDescent="0.2">
      <c r="A13" s="69" t="s">
        <v>33</v>
      </c>
      <c r="B13" s="69"/>
      <c r="C13" s="3" t="s">
        <v>34</v>
      </c>
      <c r="D13" s="69"/>
      <c r="E13" s="69"/>
    </row>
    <row r="14" spans="1:5" ht="24" x14ac:dyDescent="0.2">
      <c r="A14" s="69" t="s">
        <v>35</v>
      </c>
      <c r="B14" s="69"/>
      <c r="C14" s="3" t="s">
        <v>316</v>
      </c>
      <c r="D14" s="69"/>
      <c r="E14" s="69"/>
    </row>
    <row r="15" spans="1:5" x14ac:dyDescent="0.2">
      <c r="A15" s="69" t="s">
        <v>36</v>
      </c>
      <c r="B15" s="69"/>
      <c r="C15" s="3" t="s">
        <v>67</v>
      </c>
      <c r="D15" s="69"/>
      <c r="E15" s="69"/>
    </row>
    <row r="16" spans="1:5" x14ac:dyDescent="0.2">
      <c r="A16" s="69" t="s">
        <v>37</v>
      </c>
      <c r="B16" s="4" t="s">
        <v>38</v>
      </c>
      <c r="C16" s="3" t="s">
        <v>73</v>
      </c>
      <c r="D16" s="69"/>
      <c r="E16" s="69"/>
    </row>
    <row r="17" spans="1:5" ht="24" x14ac:dyDescent="0.2">
      <c r="A17" s="69"/>
      <c r="B17" s="4" t="s">
        <v>75</v>
      </c>
      <c r="C17" s="3" t="s">
        <v>77</v>
      </c>
      <c r="D17" s="69"/>
      <c r="E17" s="69"/>
    </row>
    <row r="18" spans="1:5" ht="24" x14ac:dyDescent="0.2">
      <c r="A18" s="69"/>
      <c r="B18" s="4" t="s">
        <v>39</v>
      </c>
      <c r="C18" s="3" t="s">
        <v>87</v>
      </c>
      <c r="D18" s="69"/>
      <c r="E18" s="69"/>
    </row>
    <row r="19" spans="1:5" x14ac:dyDescent="0.2">
      <c r="A19" s="69"/>
      <c r="B19" s="4" t="s">
        <v>68</v>
      </c>
      <c r="C19" s="3" t="s">
        <v>146</v>
      </c>
      <c r="D19" s="69"/>
      <c r="E19" s="69"/>
    </row>
    <row r="20" spans="1:5" x14ac:dyDescent="0.2">
      <c r="A20" s="69"/>
      <c r="B20" s="4" t="s">
        <v>141</v>
      </c>
      <c r="C20" s="3" t="s">
        <v>142</v>
      </c>
      <c r="D20" s="69"/>
      <c r="E20" s="69"/>
    </row>
    <row r="21" spans="1:5" x14ac:dyDescent="0.2">
      <c r="A21" s="69"/>
      <c r="B21" s="4" t="s">
        <v>69</v>
      </c>
      <c r="C21" s="3" t="s">
        <v>106</v>
      </c>
      <c r="D21" s="69"/>
      <c r="E21" s="69"/>
    </row>
    <row r="22" spans="1:5" ht="24" x14ac:dyDescent="0.2">
      <c r="A22" s="69"/>
      <c r="B22" s="4" t="s">
        <v>40</v>
      </c>
      <c r="C22" s="3" t="s">
        <v>86</v>
      </c>
      <c r="D22" s="69"/>
      <c r="E22" s="69"/>
    </row>
    <row r="23" spans="1:5" ht="24" x14ac:dyDescent="0.2">
      <c r="A23" s="69" t="s">
        <v>41</v>
      </c>
      <c r="B23" s="69"/>
      <c r="C23" s="3" t="s">
        <v>123</v>
      </c>
      <c r="D23" s="69"/>
      <c r="E23" s="69"/>
    </row>
    <row r="24" spans="1:5" ht="24" x14ac:dyDescent="0.2">
      <c r="A24" s="69" t="s">
        <v>42</v>
      </c>
      <c r="B24" s="4" t="s">
        <v>91</v>
      </c>
      <c r="C24" s="3" t="s">
        <v>80</v>
      </c>
      <c r="D24" s="69"/>
      <c r="E24" s="69"/>
    </row>
    <row r="25" spans="1:5" x14ac:dyDescent="0.2">
      <c r="A25" s="69"/>
      <c r="B25" s="4" t="s">
        <v>93</v>
      </c>
      <c r="C25" s="3" t="s">
        <v>132</v>
      </c>
      <c r="D25" s="69"/>
      <c r="E25" s="69"/>
    </row>
    <row r="26" spans="1:5" x14ac:dyDescent="0.2">
      <c r="A26" s="69"/>
      <c r="B26" s="4" t="s">
        <v>94</v>
      </c>
      <c r="C26" s="3" t="s">
        <v>102</v>
      </c>
      <c r="D26" s="69"/>
      <c r="E26" s="69"/>
    </row>
    <row r="27" spans="1:5" x14ac:dyDescent="0.2">
      <c r="A27" s="69"/>
      <c r="B27" s="4" t="s">
        <v>95</v>
      </c>
      <c r="C27" s="3" t="s">
        <v>105</v>
      </c>
      <c r="D27" s="69"/>
      <c r="E27" s="69"/>
    </row>
    <row r="28" spans="1:5" x14ac:dyDescent="0.2">
      <c r="A28" s="69"/>
      <c r="B28" s="4" t="s">
        <v>144</v>
      </c>
      <c r="C28" s="3" t="s">
        <v>145</v>
      </c>
      <c r="D28" s="69"/>
      <c r="E28" s="69"/>
    </row>
    <row r="29" spans="1:5" x14ac:dyDescent="0.2">
      <c r="A29" s="69"/>
      <c r="B29" s="4" t="s">
        <v>92</v>
      </c>
      <c r="C29" s="3" t="s">
        <v>102</v>
      </c>
      <c r="D29" s="69"/>
      <c r="E29" s="69"/>
    </row>
    <row r="30" spans="1:5" x14ac:dyDescent="0.2">
      <c r="A30" s="69"/>
      <c r="B30" s="4" t="s">
        <v>96</v>
      </c>
      <c r="C30" s="3" t="s">
        <v>102</v>
      </c>
      <c r="D30" s="69"/>
      <c r="E30" s="69"/>
    </row>
    <row r="31" spans="1:5" ht="36" x14ac:dyDescent="0.2">
      <c r="A31" s="69"/>
      <c r="B31" s="4" t="s">
        <v>72</v>
      </c>
      <c r="C31" s="3" t="s">
        <v>139</v>
      </c>
      <c r="D31" s="69"/>
      <c r="E31" s="69"/>
    </row>
    <row r="32" spans="1:5" ht="24" x14ac:dyDescent="0.2">
      <c r="A32" s="69"/>
      <c r="B32" s="6" t="s">
        <v>140</v>
      </c>
      <c r="C32" s="5" t="s">
        <v>99</v>
      </c>
      <c r="D32" s="69"/>
      <c r="E32" s="69"/>
    </row>
    <row r="33" spans="1:5" ht="24" x14ac:dyDescent="0.2">
      <c r="A33" s="69"/>
      <c r="B33" s="4" t="s">
        <v>43</v>
      </c>
      <c r="C33" s="3" t="s">
        <v>187</v>
      </c>
      <c r="D33" s="69"/>
      <c r="E33" s="69"/>
    </row>
    <row r="34" spans="1:5" ht="36" x14ac:dyDescent="0.2">
      <c r="A34" s="69"/>
      <c r="B34" s="4" t="s">
        <v>44</v>
      </c>
      <c r="C34" s="3" t="s">
        <v>194</v>
      </c>
      <c r="D34" s="69"/>
      <c r="E34" s="69"/>
    </row>
    <row r="35" spans="1:5" ht="36" x14ac:dyDescent="0.2">
      <c r="A35" s="69"/>
      <c r="B35" s="4" t="s">
        <v>45</v>
      </c>
      <c r="C35" s="3" t="s">
        <v>184</v>
      </c>
      <c r="D35" s="69"/>
      <c r="E35" s="69"/>
    </row>
    <row r="36" spans="1:5" ht="36" x14ac:dyDescent="0.2">
      <c r="A36" s="69" t="s">
        <v>46</v>
      </c>
      <c r="B36" s="69"/>
      <c r="C36" s="3" t="s">
        <v>47</v>
      </c>
      <c r="D36" s="69"/>
      <c r="E36" s="69"/>
    </row>
    <row r="37" spans="1:5" x14ac:dyDescent="0.2">
      <c r="A37" s="69" t="s">
        <v>48</v>
      </c>
      <c r="B37" s="69"/>
      <c r="C37" s="3" t="s">
        <v>49</v>
      </c>
      <c r="D37" s="69"/>
      <c r="E37" s="69"/>
    </row>
    <row r="38" spans="1:5" x14ac:dyDescent="0.2">
      <c r="A38" s="69" t="s">
        <v>129</v>
      </c>
      <c r="B38" s="69"/>
      <c r="C38" s="3" t="s">
        <v>50</v>
      </c>
      <c r="D38" s="69"/>
      <c r="E38" s="69"/>
    </row>
    <row r="39" spans="1:5" x14ac:dyDescent="0.2">
      <c r="A39" s="69" t="s">
        <v>128</v>
      </c>
      <c r="B39" s="69"/>
      <c r="C39" s="3" t="s">
        <v>127</v>
      </c>
      <c r="D39" s="69"/>
      <c r="E39" s="69"/>
    </row>
    <row r="40" spans="1:5" x14ac:dyDescent="0.2">
      <c r="A40" s="64" t="s">
        <v>124</v>
      </c>
      <c r="B40" s="65"/>
      <c r="C40" s="3" t="s">
        <v>270</v>
      </c>
      <c r="D40" s="64"/>
      <c r="E40" s="65"/>
    </row>
    <row r="41" spans="1:5" x14ac:dyDescent="0.2">
      <c r="A41" s="64" t="s">
        <v>125</v>
      </c>
      <c r="B41" s="65"/>
      <c r="C41" s="3" t="s">
        <v>271</v>
      </c>
      <c r="D41" s="64"/>
      <c r="E41" s="65"/>
    </row>
    <row r="42" spans="1:5" x14ac:dyDescent="0.2">
      <c r="A42" s="64" t="s">
        <v>126</v>
      </c>
      <c r="B42" s="65"/>
      <c r="C42" s="3" t="s">
        <v>195</v>
      </c>
      <c r="D42" s="64"/>
      <c r="E42" s="65"/>
    </row>
    <row r="43" spans="1:5" ht="24" x14ac:dyDescent="0.2">
      <c r="A43" s="69" t="s">
        <v>51</v>
      </c>
      <c r="B43" s="69"/>
      <c r="C43" s="3" t="s">
        <v>52</v>
      </c>
      <c r="D43" s="69"/>
      <c r="E43" s="69"/>
    </row>
    <row r="44" spans="1:5" x14ac:dyDescent="0.2">
      <c r="A44" s="69" t="s">
        <v>53</v>
      </c>
      <c r="B44" s="69"/>
      <c r="C44" s="3" t="s">
        <v>149</v>
      </c>
      <c r="D44" s="69"/>
      <c r="E44" s="69"/>
    </row>
    <row r="45" spans="1:5" ht="24" x14ac:dyDescent="0.2">
      <c r="A45" s="69" t="s">
        <v>54</v>
      </c>
      <c r="B45" s="69"/>
      <c r="C45" s="3" t="s">
        <v>436</v>
      </c>
      <c r="D45" s="69"/>
      <c r="E45" s="69"/>
    </row>
    <row r="46" spans="1:5" x14ac:dyDescent="0.2">
      <c r="A46" s="7"/>
      <c r="B46" s="8"/>
      <c r="C46" s="8"/>
      <c r="D46" s="8"/>
      <c r="E46" s="9"/>
    </row>
    <row r="47" spans="1:5" x14ac:dyDescent="0.2">
      <c r="A47" s="10" t="s">
        <v>58</v>
      </c>
      <c r="E47" s="11"/>
    </row>
    <row r="48" spans="1:5" x14ac:dyDescent="0.2">
      <c r="A48" s="70" t="s">
        <v>70</v>
      </c>
      <c r="B48" s="71"/>
      <c r="C48" s="71"/>
      <c r="D48" s="71"/>
      <c r="E48" s="72"/>
    </row>
    <row r="49" spans="1:5" x14ac:dyDescent="0.2">
      <c r="A49" s="70"/>
      <c r="B49" s="71"/>
      <c r="C49" s="71"/>
      <c r="D49" s="71"/>
      <c r="E49" s="72"/>
    </row>
    <row r="50" spans="1:5" x14ac:dyDescent="0.2">
      <c r="A50" s="70" t="s">
        <v>437</v>
      </c>
      <c r="B50" s="71"/>
      <c r="C50" s="71"/>
      <c r="D50" s="71"/>
      <c r="E50" s="72"/>
    </row>
    <row r="51" spans="1:5" x14ac:dyDescent="0.2">
      <c r="A51" s="70" t="s">
        <v>97</v>
      </c>
      <c r="B51" s="71"/>
      <c r="C51" s="71"/>
      <c r="D51" s="71"/>
      <c r="E51" s="72"/>
    </row>
    <row r="52" spans="1:5" x14ac:dyDescent="0.2">
      <c r="A52" s="70"/>
      <c r="B52" s="71"/>
      <c r="C52" s="71"/>
      <c r="D52" s="71"/>
      <c r="E52" s="72"/>
    </row>
    <row r="53" spans="1:5" x14ac:dyDescent="0.2">
      <c r="A53" s="70" t="s">
        <v>150</v>
      </c>
      <c r="B53" s="71"/>
      <c r="C53" s="71"/>
      <c r="D53" s="71"/>
      <c r="E53" s="72"/>
    </row>
    <row r="54" spans="1:5" ht="11.45" customHeight="1" x14ac:dyDescent="0.2">
      <c r="A54" s="70" t="s">
        <v>151</v>
      </c>
      <c r="B54" s="71"/>
      <c r="C54" s="71"/>
      <c r="D54" s="71"/>
      <c r="E54" s="72"/>
    </row>
    <row r="55" spans="1:5" x14ac:dyDescent="0.2">
      <c r="A55" s="66" t="s">
        <v>107</v>
      </c>
      <c r="B55" s="67"/>
      <c r="C55" s="67"/>
      <c r="D55" s="67"/>
      <c r="E55" s="68"/>
    </row>
  </sheetData>
  <mergeCells count="75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2"/>
    <mergeCell ref="D16:E16"/>
    <mergeCell ref="D17:E17"/>
    <mergeCell ref="D18:E18"/>
    <mergeCell ref="D19:E19"/>
    <mergeCell ref="D20:E20"/>
    <mergeCell ref="D21:E21"/>
    <mergeCell ref="D22:E22"/>
    <mergeCell ref="A23:B23"/>
    <mergeCell ref="D23:E23"/>
    <mergeCell ref="A24:A35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D35:E35"/>
    <mergeCell ref="A37:B37"/>
    <mergeCell ref="D37:E37"/>
    <mergeCell ref="A38:B38"/>
    <mergeCell ref="D38:E38"/>
    <mergeCell ref="A36:B36"/>
    <mergeCell ref="D36:E36"/>
    <mergeCell ref="A39:B39"/>
    <mergeCell ref="D39:E39"/>
    <mergeCell ref="A40:B40"/>
    <mergeCell ref="D40:E40"/>
    <mergeCell ref="A41:B41"/>
    <mergeCell ref="D41:E41"/>
    <mergeCell ref="A42:B42"/>
    <mergeCell ref="D42:E42"/>
    <mergeCell ref="A55:E55"/>
    <mergeCell ref="A43:B43"/>
    <mergeCell ref="D43:E43"/>
    <mergeCell ref="A44:B44"/>
    <mergeCell ref="D44:E44"/>
    <mergeCell ref="A45:B45"/>
    <mergeCell ref="D45:E45"/>
    <mergeCell ref="A48:E49"/>
    <mergeCell ref="A50:E50"/>
    <mergeCell ref="A51:E52"/>
    <mergeCell ref="A53:E53"/>
    <mergeCell ref="A54:E54"/>
  </mergeCells>
  <conditionalFormatting sqref="B17">
    <cfRule type="duplicateValues" dxfId="298" priority="4"/>
  </conditionalFormatting>
  <conditionalFormatting sqref="B18">
    <cfRule type="duplicateValues" dxfId="297" priority="3"/>
  </conditionalFormatting>
  <conditionalFormatting sqref="B20">
    <cfRule type="duplicateValues" dxfId="296" priority="2"/>
  </conditionalFormatting>
  <conditionalFormatting sqref="B21">
    <cfRule type="duplicateValues" dxfId="295" priority="10"/>
  </conditionalFormatting>
  <conditionalFormatting sqref="B25">
    <cfRule type="duplicateValues" dxfId="294" priority="12"/>
  </conditionalFormatting>
  <conditionalFormatting sqref="B28">
    <cfRule type="duplicateValues" dxfId="293" priority="1"/>
  </conditionalFormatting>
  <conditionalFormatting sqref="B32">
    <cfRule type="duplicateValues" dxfId="292" priority="11"/>
  </conditionalFormatting>
  <conditionalFormatting sqref="B38">
    <cfRule type="duplicateValues" dxfId="291" priority="6"/>
  </conditionalFormatting>
  <conditionalFormatting sqref="B39">
    <cfRule type="duplicateValues" dxfId="290" priority="5"/>
  </conditionalFormatting>
  <conditionalFormatting sqref="B40">
    <cfRule type="duplicateValues" dxfId="289" priority="9"/>
  </conditionalFormatting>
  <conditionalFormatting sqref="B41">
    <cfRule type="duplicateValues" dxfId="288" priority="8"/>
  </conditionalFormatting>
  <conditionalFormatting sqref="B42">
    <cfRule type="duplicateValues" dxfId="287" priority="7"/>
  </conditionalFormatting>
  <conditionalFormatting sqref="B56:B1048576 B4:B10 B26:B27 B12:B16 B33:B37 B22:B24 B43:B47 B19 B29:B31">
    <cfRule type="duplicateValues" dxfId="286" priority="13"/>
  </conditionalFormatting>
  <pageMargins left="0.7" right="0.7" top="0.75" bottom="0.75" header="0.3" footer="0.3"/>
  <pageSetup paperSize="9" scale="88" orientation="portrait" horizontalDpi="4294967295" verticalDpi="4294967295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D6068A-3FC0-439C-A7ED-BC566E136EAB}">
  <sheetPr codeName="Sheet49">
    <tabColor theme="4" tint="-0.249977111117893"/>
    <pageSetUpPr fitToPage="1"/>
  </sheetPr>
  <dimension ref="A1:E55"/>
  <sheetViews>
    <sheetView zoomScaleNormal="100" workbookViewId="0">
      <selection sqref="A1:B3"/>
    </sheetView>
  </sheetViews>
  <sheetFormatPr defaultColWidth="8.85546875" defaultRowHeight="12" x14ac:dyDescent="0.2"/>
  <cols>
    <col min="1" max="1" width="12.5703125" style="1" customWidth="1"/>
    <col min="2" max="2" width="13.42578125" style="1" bestFit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4" customFormat="1" ht="30" customHeight="1" x14ac:dyDescent="0.25">
      <c r="A1" s="77" t="e" vm="1">
        <v>#VALUE!</v>
      </c>
      <c r="B1" s="78"/>
      <c r="C1" s="83" t="s">
        <v>112</v>
      </c>
      <c r="D1" s="13" t="s">
        <v>110</v>
      </c>
      <c r="E1" s="13" t="s">
        <v>435</v>
      </c>
    </row>
    <row r="2" spans="1:5" s="14" customFormat="1" ht="30" customHeight="1" x14ac:dyDescent="0.25">
      <c r="A2" s="79"/>
      <c r="B2" s="80"/>
      <c r="C2" s="84"/>
      <c r="D2" s="15" t="s">
        <v>109</v>
      </c>
      <c r="E2" s="16" t="str">
        <f>VLOOKUP(C4,Index!B:J,9,FALSE)</f>
        <v>C0</v>
      </c>
    </row>
    <row r="3" spans="1:5" s="14" customFormat="1" ht="30" customHeight="1" x14ac:dyDescent="0.25">
      <c r="A3" s="81"/>
      <c r="B3" s="82"/>
      <c r="C3" s="85"/>
      <c r="D3" s="15" t="s">
        <v>111</v>
      </c>
      <c r="E3" s="17">
        <f>VLOOKUP(C4,Index!B:I,8,FALSE)</f>
        <v>357</v>
      </c>
    </row>
    <row r="4" spans="1:5" x14ac:dyDescent="0.2">
      <c r="A4" s="86" t="s">
        <v>74</v>
      </c>
      <c r="B4" s="86"/>
      <c r="C4" s="2" t="s">
        <v>225</v>
      </c>
      <c r="D4" s="86" t="s">
        <v>55</v>
      </c>
      <c r="E4" s="86"/>
    </row>
    <row r="5" spans="1:5" x14ac:dyDescent="0.2">
      <c r="A5" s="69" t="s">
        <v>26</v>
      </c>
      <c r="B5" s="69"/>
      <c r="C5" s="3" t="s">
        <v>165</v>
      </c>
      <c r="D5" s="69"/>
      <c r="E5" s="69"/>
    </row>
    <row r="6" spans="1:5" x14ac:dyDescent="0.2">
      <c r="A6" s="69" t="s">
        <v>27</v>
      </c>
      <c r="B6" s="69"/>
      <c r="C6" s="3" t="s">
        <v>78</v>
      </c>
      <c r="D6" s="69"/>
      <c r="E6" s="69"/>
    </row>
    <row r="7" spans="1:5" x14ac:dyDescent="0.2">
      <c r="A7" s="69" t="s">
        <v>28</v>
      </c>
      <c r="B7" s="69"/>
      <c r="C7" s="3" t="s">
        <v>82</v>
      </c>
      <c r="D7" s="69"/>
      <c r="E7" s="69"/>
    </row>
    <row r="8" spans="1:5" x14ac:dyDescent="0.2">
      <c r="A8" s="69" t="s">
        <v>29</v>
      </c>
      <c r="B8" s="69"/>
      <c r="C8" s="3" t="str">
        <f>VLOOKUP(C5,Index!N:W,6,FALSE)</f>
        <v>Glycol, Corrosive HC service</v>
      </c>
      <c r="D8" s="69"/>
      <c r="E8" s="69"/>
    </row>
    <row r="9" spans="1:5" x14ac:dyDescent="0.2">
      <c r="A9" s="69" t="s">
        <v>30</v>
      </c>
      <c r="B9" s="69"/>
      <c r="C9" s="3" t="s">
        <v>148</v>
      </c>
      <c r="D9" s="69"/>
      <c r="E9" s="69"/>
    </row>
    <row r="10" spans="1:5" x14ac:dyDescent="0.2">
      <c r="A10" s="69" t="s">
        <v>31</v>
      </c>
      <c r="B10" s="69"/>
      <c r="C10" s="3" t="s">
        <v>56</v>
      </c>
      <c r="D10" s="69"/>
      <c r="E10" s="69"/>
    </row>
    <row r="11" spans="1:5" x14ac:dyDescent="0.2">
      <c r="A11" s="73" t="s">
        <v>119</v>
      </c>
      <c r="B11" s="74"/>
      <c r="C11" s="12" t="str">
        <f>VLOOKUP(C5,Index!N:W,10,FALSE)</f>
        <v>15.9 @ -100°C' 11.2 @ 200°C</v>
      </c>
      <c r="D11" s="75"/>
      <c r="E11" s="76"/>
    </row>
    <row r="12" spans="1:5" x14ac:dyDescent="0.2">
      <c r="A12" s="69" t="s">
        <v>32</v>
      </c>
      <c r="B12" s="69"/>
      <c r="C12" s="3" t="str">
        <f>VLOOKUP(C5,Index!N:W,5,FALSE)</f>
        <v>NIL</v>
      </c>
      <c r="D12" s="69"/>
      <c r="E12" s="69"/>
    </row>
    <row r="13" spans="1:5" ht="24" x14ac:dyDescent="0.2">
      <c r="A13" s="69" t="s">
        <v>33</v>
      </c>
      <c r="B13" s="69"/>
      <c r="C13" s="3" t="s">
        <v>98</v>
      </c>
      <c r="D13" s="69"/>
      <c r="E13" s="69"/>
    </row>
    <row r="14" spans="1:5" x14ac:dyDescent="0.2">
      <c r="A14" s="69" t="s">
        <v>35</v>
      </c>
      <c r="B14" s="69"/>
      <c r="C14" s="3" t="s">
        <v>245</v>
      </c>
      <c r="D14" s="69"/>
      <c r="E14" s="69"/>
    </row>
    <row r="15" spans="1:5" x14ac:dyDescent="0.2">
      <c r="A15" s="69" t="s">
        <v>36</v>
      </c>
      <c r="B15" s="69"/>
      <c r="C15" s="3" t="s">
        <v>67</v>
      </c>
      <c r="D15" s="69"/>
      <c r="E15" s="69"/>
    </row>
    <row r="16" spans="1:5" x14ac:dyDescent="0.2">
      <c r="A16" s="69" t="s">
        <v>37</v>
      </c>
      <c r="B16" s="4" t="s">
        <v>38</v>
      </c>
      <c r="C16" s="3" t="s">
        <v>73</v>
      </c>
      <c r="D16" s="69"/>
      <c r="E16" s="69"/>
    </row>
    <row r="17" spans="1:5" ht="24" x14ac:dyDescent="0.2">
      <c r="A17" s="69"/>
      <c r="B17" s="4" t="s">
        <v>75</v>
      </c>
      <c r="C17" s="3" t="s">
        <v>77</v>
      </c>
      <c r="D17" s="69"/>
      <c r="E17" s="69"/>
    </row>
    <row r="18" spans="1:5" ht="24" x14ac:dyDescent="0.2">
      <c r="A18" s="69"/>
      <c r="B18" s="4" t="s">
        <v>39</v>
      </c>
      <c r="C18" s="3" t="s">
        <v>87</v>
      </c>
      <c r="D18" s="69"/>
      <c r="E18" s="69"/>
    </row>
    <row r="19" spans="1:5" x14ac:dyDescent="0.2">
      <c r="A19" s="69"/>
      <c r="B19" s="4" t="s">
        <v>68</v>
      </c>
      <c r="C19" s="3" t="s">
        <v>146</v>
      </c>
      <c r="D19" s="69"/>
      <c r="E19" s="69"/>
    </row>
    <row r="20" spans="1:5" x14ac:dyDescent="0.2">
      <c r="A20" s="69"/>
      <c r="B20" s="4" t="s">
        <v>141</v>
      </c>
      <c r="C20" s="3" t="s">
        <v>142</v>
      </c>
      <c r="D20" s="69"/>
      <c r="E20" s="69"/>
    </row>
    <row r="21" spans="1:5" x14ac:dyDescent="0.2">
      <c r="A21" s="69"/>
      <c r="B21" s="4" t="s">
        <v>69</v>
      </c>
      <c r="C21" s="3" t="s">
        <v>106</v>
      </c>
      <c r="D21" s="69"/>
      <c r="E21" s="69"/>
    </row>
    <row r="22" spans="1:5" ht="24" x14ac:dyDescent="0.2">
      <c r="A22" s="69"/>
      <c r="B22" s="4" t="s">
        <v>40</v>
      </c>
      <c r="C22" s="3" t="s">
        <v>86</v>
      </c>
      <c r="D22" s="69"/>
      <c r="E22" s="69"/>
    </row>
    <row r="23" spans="1:5" ht="24" x14ac:dyDescent="0.2">
      <c r="A23" s="69" t="s">
        <v>41</v>
      </c>
      <c r="B23" s="69"/>
      <c r="C23" s="3" t="s">
        <v>121</v>
      </c>
      <c r="D23" s="69"/>
      <c r="E23" s="69"/>
    </row>
    <row r="24" spans="1:5" ht="24" x14ac:dyDescent="0.2">
      <c r="A24" s="69" t="s">
        <v>42</v>
      </c>
      <c r="B24" s="4" t="s">
        <v>91</v>
      </c>
      <c r="C24" s="3" t="s">
        <v>80</v>
      </c>
      <c r="D24" s="69"/>
      <c r="E24" s="69"/>
    </row>
    <row r="25" spans="1:5" x14ac:dyDescent="0.2">
      <c r="A25" s="69"/>
      <c r="B25" s="4" t="s">
        <v>93</v>
      </c>
      <c r="C25" s="3" t="s">
        <v>132</v>
      </c>
      <c r="D25" s="69"/>
      <c r="E25" s="69"/>
    </row>
    <row r="26" spans="1:5" x14ac:dyDescent="0.2">
      <c r="A26" s="69"/>
      <c r="B26" s="4" t="s">
        <v>94</v>
      </c>
      <c r="C26" s="3" t="s">
        <v>102</v>
      </c>
      <c r="D26" s="69"/>
      <c r="E26" s="69"/>
    </row>
    <row r="27" spans="1:5" x14ac:dyDescent="0.2">
      <c r="A27" s="69"/>
      <c r="B27" s="4" t="s">
        <v>95</v>
      </c>
      <c r="C27" s="3" t="s">
        <v>105</v>
      </c>
      <c r="D27" s="69"/>
      <c r="E27" s="69"/>
    </row>
    <row r="28" spans="1:5" x14ac:dyDescent="0.2">
      <c r="A28" s="69"/>
      <c r="B28" s="4" t="s">
        <v>144</v>
      </c>
      <c r="C28" s="3" t="s">
        <v>145</v>
      </c>
      <c r="D28" s="69"/>
      <c r="E28" s="69"/>
    </row>
    <row r="29" spans="1:5" x14ac:dyDescent="0.2">
      <c r="A29" s="69"/>
      <c r="B29" s="4" t="s">
        <v>92</v>
      </c>
      <c r="C29" s="3" t="s">
        <v>102</v>
      </c>
      <c r="D29" s="69"/>
      <c r="E29" s="69"/>
    </row>
    <row r="30" spans="1:5" x14ac:dyDescent="0.2">
      <c r="A30" s="69"/>
      <c r="B30" s="4" t="s">
        <v>96</v>
      </c>
      <c r="C30" s="3" t="s">
        <v>102</v>
      </c>
      <c r="D30" s="69"/>
      <c r="E30" s="69"/>
    </row>
    <row r="31" spans="1:5" ht="36" x14ac:dyDescent="0.2">
      <c r="A31" s="69"/>
      <c r="B31" s="4" t="s">
        <v>72</v>
      </c>
      <c r="C31" s="3" t="s">
        <v>139</v>
      </c>
      <c r="D31" s="69"/>
      <c r="E31" s="69"/>
    </row>
    <row r="32" spans="1:5" ht="24" x14ac:dyDescent="0.2">
      <c r="A32" s="69"/>
      <c r="B32" s="6" t="s">
        <v>140</v>
      </c>
      <c r="C32" s="5" t="s">
        <v>99</v>
      </c>
      <c r="D32" s="69"/>
      <c r="E32" s="69"/>
    </row>
    <row r="33" spans="1:5" ht="24" x14ac:dyDescent="0.2">
      <c r="A33" s="69"/>
      <c r="B33" s="4" t="s">
        <v>43</v>
      </c>
      <c r="C33" s="3" t="s">
        <v>185</v>
      </c>
      <c r="D33" s="69"/>
      <c r="E33" s="69"/>
    </row>
    <row r="34" spans="1:5" ht="36" x14ac:dyDescent="0.2">
      <c r="A34" s="69"/>
      <c r="B34" s="4" t="s">
        <v>44</v>
      </c>
      <c r="C34" s="3" t="s">
        <v>194</v>
      </c>
      <c r="D34" s="69"/>
      <c r="E34" s="69"/>
    </row>
    <row r="35" spans="1:5" ht="36" x14ac:dyDescent="0.2">
      <c r="A35" s="69"/>
      <c r="B35" s="4" t="s">
        <v>45</v>
      </c>
      <c r="C35" s="3" t="s">
        <v>184</v>
      </c>
      <c r="D35" s="69"/>
      <c r="E35" s="69"/>
    </row>
    <row r="36" spans="1:5" ht="36" x14ac:dyDescent="0.2">
      <c r="A36" s="69" t="s">
        <v>46</v>
      </c>
      <c r="B36" s="69"/>
      <c r="C36" s="3" t="s">
        <v>47</v>
      </c>
      <c r="D36" s="69"/>
      <c r="E36" s="69"/>
    </row>
    <row r="37" spans="1:5" x14ac:dyDescent="0.2">
      <c r="A37" s="69" t="s">
        <v>48</v>
      </c>
      <c r="B37" s="69"/>
      <c r="C37" s="3" t="s">
        <v>49</v>
      </c>
      <c r="D37" s="69"/>
      <c r="E37" s="69"/>
    </row>
    <row r="38" spans="1:5" x14ac:dyDescent="0.2">
      <c r="A38" s="69" t="s">
        <v>129</v>
      </c>
      <c r="B38" s="69"/>
      <c r="C38" s="3" t="s">
        <v>50</v>
      </c>
      <c r="D38" s="69"/>
      <c r="E38" s="69"/>
    </row>
    <row r="39" spans="1:5" x14ac:dyDescent="0.2">
      <c r="A39" s="69" t="s">
        <v>128</v>
      </c>
      <c r="B39" s="69"/>
      <c r="C39" s="3" t="s">
        <v>127</v>
      </c>
      <c r="D39" s="69"/>
      <c r="E39" s="69"/>
    </row>
    <row r="40" spans="1:5" x14ac:dyDescent="0.2">
      <c r="A40" s="64" t="s">
        <v>124</v>
      </c>
      <c r="B40" s="65"/>
      <c r="C40" s="3" t="s">
        <v>280</v>
      </c>
      <c r="D40" s="64"/>
      <c r="E40" s="65"/>
    </row>
    <row r="41" spans="1:5" x14ac:dyDescent="0.2">
      <c r="A41" s="64" t="s">
        <v>125</v>
      </c>
      <c r="B41" s="65"/>
      <c r="C41" s="3" t="s">
        <v>281</v>
      </c>
      <c r="D41" s="64"/>
      <c r="E41" s="65"/>
    </row>
    <row r="42" spans="1:5" x14ac:dyDescent="0.2">
      <c r="A42" s="64" t="s">
        <v>126</v>
      </c>
      <c r="B42" s="65"/>
      <c r="C42" s="3" t="s">
        <v>195</v>
      </c>
      <c r="D42" s="64"/>
      <c r="E42" s="65"/>
    </row>
    <row r="43" spans="1:5" ht="24" x14ac:dyDescent="0.2">
      <c r="A43" s="69" t="s">
        <v>51</v>
      </c>
      <c r="B43" s="69"/>
      <c r="C43" s="3" t="s">
        <v>52</v>
      </c>
      <c r="D43" s="69"/>
      <c r="E43" s="69"/>
    </row>
    <row r="44" spans="1:5" x14ac:dyDescent="0.2">
      <c r="A44" s="69" t="s">
        <v>53</v>
      </c>
      <c r="B44" s="69"/>
      <c r="C44" s="3" t="s">
        <v>149</v>
      </c>
      <c r="D44" s="69"/>
      <c r="E44" s="69"/>
    </row>
    <row r="45" spans="1:5" ht="24" x14ac:dyDescent="0.2">
      <c r="A45" s="69" t="s">
        <v>54</v>
      </c>
      <c r="B45" s="69"/>
      <c r="C45" s="3" t="s">
        <v>436</v>
      </c>
      <c r="D45" s="69"/>
      <c r="E45" s="69"/>
    </row>
    <row r="46" spans="1:5" x14ac:dyDescent="0.2">
      <c r="A46" s="7"/>
      <c r="B46" s="8"/>
      <c r="C46" s="8"/>
      <c r="D46" s="8"/>
      <c r="E46" s="9"/>
    </row>
    <row r="47" spans="1:5" x14ac:dyDescent="0.2">
      <c r="A47" s="10" t="s">
        <v>58</v>
      </c>
      <c r="E47" s="11"/>
    </row>
    <row r="48" spans="1:5" x14ac:dyDescent="0.2">
      <c r="A48" s="70" t="s">
        <v>70</v>
      </c>
      <c r="B48" s="71"/>
      <c r="C48" s="71"/>
      <c r="D48" s="71"/>
      <c r="E48" s="72"/>
    </row>
    <row r="49" spans="1:5" x14ac:dyDescent="0.2">
      <c r="A49" s="70"/>
      <c r="B49" s="71"/>
      <c r="C49" s="71"/>
      <c r="D49" s="71"/>
      <c r="E49" s="72"/>
    </row>
    <row r="50" spans="1:5" x14ac:dyDescent="0.2">
      <c r="A50" s="70" t="s">
        <v>437</v>
      </c>
      <c r="B50" s="71"/>
      <c r="C50" s="71"/>
      <c r="D50" s="71"/>
      <c r="E50" s="72"/>
    </row>
    <row r="51" spans="1:5" x14ac:dyDescent="0.2">
      <c r="A51" s="70" t="s">
        <v>97</v>
      </c>
      <c r="B51" s="71"/>
      <c r="C51" s="71"/>
      <c r="D51" s="71"/>
      <c r="E51" s="72"/>
    </row>
    <row r="52" spans="1:5" x14ac:dyDescent="0.2">
      <c r="A52" s="70"/>
      <c r="B52" s="71"/>
      <c r="C52" s="71"/>
      <c r="D52" s="71"/>
      <c r="E52" s="72"/>
    </row>
    <row r="53" spans="1:5" x14ac:dyDescent="0.2">
      <c r="A53" s="70" t="s">
        <v>150</v>
      </c>
      <c r="B53" s="71"/>
      <c r="C53" s="71"/>
      <c r="D53" s="71"/>
      <c r="E53" s="72"/>
    </row>
    <row r="54" spans="1:5" ht="11.45" customHeight="1" x14ac:dyDescent="0.2">
      <c r="A54" s="70" t="s">
        <v>151</v>
      </c>
      <c r="B54" s="71"/>
      <c r="C54" s="71"/>
      <c r="D54" s="71"/>
      <c r="E54" s="72"/>
    </row>
    <row r="55" spans="1:5" x14ac:dyDescent="0.2">
      <c r="A55" s="66" t="s">
        <v>104</v>
      </c>
      <c r="B55" s="67"/>
      <c r="C55" s="67"/>
      <c r="D55" s="67"/>
      <c r="E55" s="68"/>
    </row>
  </sheetData>
  <mergeCells count="75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2"/>
    <mergeCell ref="D16:E16"/>
    <mergeCell ref="D17:E17"/>
    <mergeCell ref="D18:E18"/>
    <mergeCell ref="D19:E19"/>
    <mergeCell ref="D20:E20"/>
    <mergeCell ref="D21:E21"/>
    <mergeCell ref="D22:E22"/>
    <mergeCell ref="A23:B23"/>
    <mergeCell ref="D23:E23"/>
    <mergeCell ref="A24:A35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D35:E35"/>
    <mergeCell ref="A37:B37"/>
    <mergeCell ref="D37:E37"/>
    <mergeCell ref="A38:B38"/>
    <mergeCell ref="D38:E38"/>
    <mergeCell ref="A36:B36"/>
    <mergeCell ref="D36:E36"/>
    <mergeCell ref="A39:B39"/>
    <mergeCell ref="D39:E39"/>
    <mergeCell ref="A40:B40"/>
    <mergeCell ref="D40:E40"/>
    <mergeCell ref="A41:B41"/>
    <mergeCell ref="D41:E41"/>
    <mergeCell ref="A42:B42"/>
    <mergeCell ref="D42:E42"/>
    <mergeCell ref="A55:E55"/>
    <mergeCell ref="A43:B43"/>
    <mergeCell ref="D43:E43"/>
    <mergeCell ref="A44:B44"/>
    <mergeCell ref="D44:E44"/>
    <mergeCell ref="A45:B45"/>
    <mergeCell ref="D45:E45"/>
    <mergeCell ref="A48:E49"/>
    <mergeCell ref="A50:E50"/>
    <mergeCell ref="A51:E52"/>
    <mergeCell ref="A53:E53"/>
    <mergeCell ref="A54:E54"/>
  </mergeCells>
  <conditionalFormatting sqref="B17">
    <cfRule type="duplicateValues" dxfId="285" priority="4"/>
  </conditionalFormatting>
  <conditionalFormatting sqref="B18">
    <cfRule type="duplicateValues" dxfId="284" priority="3"/>
  </conditionalFormatting>
  <conditionalFormatting sqref="B20">
    <cfRule type="duplicateValues" dxfId="283" priority="2"/>
  </conditionalFormatting>
  <conditionalFormatting sqref="B21">
    <cfRule type="duplicateValues" dxfId="282" priority="10"/>
  </conditionalFormatting>
  <conditionalFormatting sqref="B25">
    <cfRule type="duplicateValues" dxfId="281" priority="12"/>
  </conditionalFormatting>
  <conditionalFormatting sqref="B28">
    <cfRule type="duplicateValues" dxfId="280" priority="1"/>
  </conditionalFormatting>
  <conditionalFormatting sqref="B32">
    <cfRule type="duplicateValues" dxfId="279" priority="11"/>
  </conditionalFormatting>
  <conditionalFormatting sqref="B38">
    <cfRule type="duplicateValues" dxfId="278" priority="6"/>
  </conditionalFormatting>
  <conditionalFormatting sqref="B39">
    <cfRule type="duplicateValues" dxfId="277" priority="5"/>
  </conditionalFormatting>
  <conditionalFormatting sqref="B40">
    <cfRule type="duplicateValues" dxfId="276" priority="9"/>
  </conditionalFormatting>
  <conditionalFormatting sqref="B41">
    <cfRule type="duplicateValues" dxfId="275" priority="8"/>
  </conditionalFormatting>
  <conditionalFormatting sqref="B42">
    <cfRule type="duplicateValues" dxfId="274" priority="7"/>
  </conditionalFormatting>
  <conditionalFormatting sqref="B56:B1048576 B4:B10 B26:B27 B12:B16 B33:B37 B22:B24 B43:B47 B19 B29:B31">
    <cfRule type="duplicateValues" dxfId="273" priority="13"/>
  </conditionalFormatting>
  <pageMargins left="0.7" right="0.7" top="0.75" bottom="0.75" header="0.3" footer="0.3"/>
  <pageSetup paperSize="9" scale="87" orientation="portrait" horizontalDpi="4294967295" verticalDpi="4294967295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6DFD4E-0B45-472D-B1D7-0D30D096454E}">
  <sheetPr codeName="Sheet50">
    <tabColor theme="4" tint="-0.249977111117893"/>
    <pageSetUpPr fitToPage="1"/>
  </sheetPr>
  <dimension ref="A1:E55"/>
  <sheetViews>
    <sheetView zoomScaleNormal="100" workbookViewId="0">
      <selection sqref="A1:B3"/>
    </sheetView>
  </sheetViews>
  <sheetFormatPr defaultColWidth="8.85546875" defaultRowHeight="12" x14ac:dyDescent="0.2"/>
  <cols>
    <col min="1" max="1" width="12.5703125" style="1" customWidth="1"/>
    <col min="2" max="2" width="13.42578125" style="1" bestFit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4" customFormat="1" ht="30" customHeight="1" x14ac:dyDescent="0.25">
      <c r="A1" s="77" t="e" vm="1">
        <v>#VALUE!</v>
      </c>
      <c r="B1" s="78"/>
      <c r="C1" s="83" t="s">
        <v>112</v>
      </c>
      <c r="D1" s="13" t="s">
        <v>110</v>
      </c>
      <c r="E1" s="13" t="s">
        <v>435</v>
      </c>
    </row>
    <row r="2" spans="1:5" s="14" customFormat="1" ht="30" customHeight="1" x14ac:dyDescent="0.25">
      <c r="A2" s="79"/>
      <c r="B2" s="80"/>
      <c r="C2" s="84"/>
      <c r="D2" s="15" t="s">
        <v>109</v>
      </c>
      <c r="E2" s="16" t="str">
        <f>VLOOKUP(C4,Index!B:J,9,FALSE)</f>
        <v>C0</v>
      </c>
    </row>
    <row r="3" spans="1:5" s="14" customFormat="1" ht="30" customHeight="1" x14ac:dyDescent="0.25">
      <c r="A3" s="81"/>
      <c r="B3" s="82"/>
      <c r="C3" s="85"/>
      <c r="D3" s="15" t="s">
        <v>111</v>
      </c>
      <c r="E3" s="17">
        <f>VLOOKUP(C4,Index!B:I,8,FALSE)</f>
        <v>358</v>
      </c>
    </row>
    <row r="4" spans="1:5" x14ac:dyDescent="0.2">
      <c r="A4" s="86" t="s">
        <v>74</v>
      </c>
      <c r="B4" s="86"/>
      <c r="C4" s="2" t="s">
        <v>226</v>
      </c>
      <c r="D4" s="86" t="s">
        <v>55</v>
      </c>
      <c r="E4" s="86"/>
    </row>
    <row r="5" spans="1:5" x14ac:dyDescent="0.2">
      <c r="A5" s="69" t="s">
        <v>26</v>
      </c>
      <c r="B5" s="69"/>
      <c r="C5" s="3" t="s">
        <v>167</v>
      </c>
      <c r="D5" s="69"/>
      <c r="E5" s="69"/>
    </row>
    <row r="6" spans="1:5" x14ac:dyDescent="0.2">
      <c r="A6" s="69" t="s">
        <v>27</v>
      </c>
      <c r="B6" s="69"/>
      <c r="C6" s="3" t="s">
        <v>78</v>
      </c>
      <c r="D6" s="69"/>
      <c r="E6" s="69"/>
    </row>
    <row r="7" spans="1:5" x14ac:dyDescent="0.2">
      <c r="A7" s="69" t="s">
        <v>28</v>
      </c>
      <c r="B7" s="69"/>
      <c r="C7" s="3" t="s">
        <v>82</v>
      </c>
      <c r="D7" s="69"/>
      <c r="E7" s="69"/>
    </row>
    <row r="8" spans="1:5" x14ac:dyDescent="0.2">
      <c r="A8" s="69" t="s">
        <v>29</v>
      </c>
      <c r="B8" s="69"/>
      <c r="C8" s="3" t="str">
        <f>VLOOKUP(C5,Index!N:W,6,FALSE)</f>
        <v>Glycol, Corrosive HC service</v>
      </c>
      <c r="D8" s="69"/>
      <c r="E8" s="69"/>
    </row>
    <row r="9" spans="1:5" x14ac:dyDescent="0.2">
      <c r="A9" s="69" t="s">
        <v>30</v>
      </c>
      <c r="B9" s="69"/>
      <c r="C9" s="3" t="s">
        <v>148</v>
      </c>
      <c r="D9" s="69"/>
      <c r="E9" s="69"/>
    </row>
    <row r="10" spans="1:5" x14ac:dyDescent="0.2">
      <c r="A10" s="69" t="s">
        <v>31</v>
      </c>
      <c r="B10" s="69"/>
      <c r="C10" s="3" t="s">
        <v>59</v>
      </c>
      <c r="D10" s="69"/>
      <c r="E10" s="69"/>
    </row>
    <row r="11" spans="1:5" x14ac:dyDescent="0.2">
      <c r="A11" s="73" t="s">
        <v>119</v>
      </c>
      <c r="B11" s="74"/>
      <c r="C11" s="12" t="str">
        <f>VLOOKUP(C5,Index!N:W,10,FALSE)</f>
        <v>41.4 @ -100°C' 29.2 @ 200°C</v>
      </c>
      <c r="D11" s="75"/>
      <c r="E11" s="76"/>
    </row>
    <row r="12" spans="1:5" x14ac:dyDescent="0.2">
      <c r="A12" s="69" t="s">
        <v>32</v>
      </c>
      <c r="B12" s="69"/>
      <c r="C12" s="3" t="str">
        <f>VLOOKUP(C5,Index!N:W,5,FALSE)</f>
        <v>NIL</v>
      </c>
      <c r="D12" s="69"/>
      <c r="E12" s="69"/>
    </row>
    <row r="13" spans="1:5" ht="24" x14ac:dyDescent="0.2">
      <c r="A13" s="69" t="s">
        <v>33</v>
      </c>
      <c r="B13" s="69"/>
      <c r="C13" s="3" t="s">
        <v>98</v>
      </c>
      <c r="D13" s="69"/>
      <c r="E13" s="69"/>
    </row>
    <row r="14" spans="1:5" x14ac:dyDescent="0.2">
      <c r="A14" s="69" t="s">
        <v>35</v>
      </c>
      <c r="B14" s="69"/>
      <c r="C14" s="3" t="s">
        <v>245</v>
      </c>
      <c r="D14" s="69"/>
      <c r="E14" s="69"/>
    </row>
    <row r="15" spans="1:5" x14ac:dyDescent="0.2">
      <c r="A15" s="69" t="s">
        <v>36</v>
      </c>
      <c r="B15" s="69"/>
      <c r="C15" s="3" t="s">
        <v>67</v>
      </c>
      <c r="D15" s="69"/>
      <c r="E15" s="69"/>
    </row>
    <row r="16" spans="1:5" x14ac:dyDescent="0.2">
      <c r="A16" s="69" t="s">
        <v>37</v>
      </c>
      <c r="B16" s="4" t="s">
        <v>38</v>
      </c>
      <c r="C16" s="3" t="s">
        <v>73</v>
      </c>
      <c r="D16" s="69"/>
      <c r="E16" s="69"/>
    </row>
    <row r="17" spans="1:5" ht="24" x14ac:dyDescent="0.2">
      <c r="A17" s="69"/>
      <c r="B17" s="4" t="s">
        <v>75</v>
      </c>
      <c r="C17" s="3" t="s">
        <v>77</v>
      </c>
      <c r="D17" s="69"/>
      <c r="E17" s="69"/>
    </row>
    <row r="18" spans="1:5" ht="24" x14ac:dyDescent="0.2">
      <c r="A18" s="69"/>
      <c r="B18" s="4" t="s">
        <v>39</v>
      </c>
      <c r="C18" s="3" t="s">
        <v>87</v>
      </c>
      <c r="D18" s="69"/>
      <c r="E18" s="69"/>
    </row>
    <row r="19" spans="1:5" x14ac:dyDescent="0.2">
      <c r="A19" s="69"/>
      <c r="B19" s="4" t="s">
        <v>68</v>
      </c>
      <c r="C19" s="3" t="s">
        <v>146</v>
      </c>
      <c r="D19" s="69"/>
      <c r="E19" s="69"/>
    </row>
    <row r="20" spans="1:5" x14ac:dyDescent="0.2">
      <c r="A20" s="69"/>
      <c r="B20" s="4" t="s">
        <v>141</v>
      </c>
      <c r="C20" s="3" t="s">
        <v>142</v>
      </c>
      <c r="D20" s="69"/>
      <c r="E20" s="69"/>
    </row>
    <row r="21" spans="1:5" x14ac:dyDescent="0.2">
      <c r="A21" s="69"/>
      <c r="B21" s="4" t="s">
        <v>69</v>
      </c>
      <c r="C21" s="3" t="s">
        <v>106</v>
      </c>
      <c r="D21" s="69"/>
      <c r="E21" s="69"/>
    </row>
    <row r="22" spans="1:5" ht="24" x14ac:dyDescent="0.2">
      <c r="A22" s="69"/>
      <c r="B22" s="4" t="s">
        <v>40</v>
      </c>
      <c r="C22" s="3" t="s">
        <v>86</v>
      </c>
      <c r="D22" s="69"/>
      <c r="E22" s="69"/>
    </row>
    <row r="23" spans="1:5" ht="24" x14ac:dyDescent="0.2">
      <c r="A23" s="69" t="s">
        <v>41</v>
      </c>
      <c r="B23" s="69"/>
      <c r="C23" s="3" t="s">
        <v>121</v>
      </c>
      <c r="D23" s="69"/>
      <c r="E23" s="69"/>
    </row>
    <row r="24" spans="1:5" ht="24" x14ac:dyDescent="0.2">
      <c r="A24" s="69" t="s">
        <v>42</v>
      </c>
      <c r="B24" s="4" t="s">
        <v>91</v>
      </c>
      <c r="C24" s="3" t="s">
        <v>80</v>
      </c>
      <c r="D24" s="69"/>
      <c r="E24" s="69"/>
    </row>
    <row r="25" spans="1:5" x14ac:dyDescent="0.2">
      <c r="A25" s="69"/>
      <c r="B25" s="4" t="s">
        <v>93</v>
      </c>
      <c r="C25" s="3" t="s">
        <v>132</v>
      </c>
      <c r="D25" s="69"/>
      <c r="E25" s="69"/>
    </row>
    <row r="26" spans="1:5" x14ac:dyDescent="0.2">
      <c r="A26" s="69"/>
      <c r="B26" s="4" t="s">
        <v>94</v>
      </c>
      <c r="C26" s="3" t="s">
        <v>102</v>
      </c>
      <c r="D26" s="69"/>
      <c r="E26" s="69"/>
    </row>
    <row r="27" spans="1:5" x14ac:dyDescent="0.2">
      <c r="A27" s="69"/>
      <c r="B27" s="4" t="s">
        <v>95</v>
      </c>
      <c r="C27" s="3" t="s">
        <v>105</v>
      </c>
      <c r="D27" s="69"/>
      <c r="E27" s="69"/>
    </row>
    <row r="28" spans="1:5" x14ac:dyDescent="0.2">
      <c r="A28" s="69"/>
      <c r="B28" s="4" t="s">
        <v>144</v>
      </c>
      <c r="C28" s="3" t="s">
        <v>145</v>
      </c>
      <c r="D28" s="69"/>
      <c r="E28" s="69"/>
    </row>
    <row r="29" spans="1:5" x14ac:dyDescent="0.2">
      <c r="A29" s="69"/>
      <c r="B29" s="4" t="s">
        <v>92</v>
      </c>
      <c r="C29" s="3" t="s">
        <v>102</v>
      </c>
      <c r="D29" s="69"/>
      <c r="E29" s="69"/>
    </row>
    <row r="30" spans="1:5" x14ac:dyDescent="0.2">
      <c r="A30" s="69"/>
      <c r="B30" s="4" t="s">
        <v>96</v>
      </c>
      <c r="C30" s="3" t="s">
        <v>102</v>
      </c>
      <c r="D30" s="69"/>
      <c r="E30" s="69"/>
    </row>
    <row r="31" spans="1:5" ht="36" x14ac:dyDescent="0.2">
      <c r="A31" s="69"/>
      <c r="B31" s="4" t="s">
        <v>72</v>
      </c>
      <c r="C31" s="3" t="s">
        <v>139</v>
      </c>
      <c r="D31" s="69"/>
      <c r="E31" s="69"/>
    </row>
    <row r="32" spans="1:5" ht="24" x14ac:dyDescent="0.2">
      <c r="A32" s="69"/>
      <c r="B32" s="6" t="s">
        <v>140</v>
      </c>
      <c r="C32" s="5" t="s">
        <v>99</v>
      </c>
      <c r="D32" s="69"/>
      <c r="E32" s="69"/>
    </row>
    <row r="33" spans="1:5" ht="24" x14ac:dyDescent="0.2">
      <c r="A33" s="69"/>
      <c r="B33" s="4" t="s">
        <v>43</v>
      </c>
      <c r="C33" s="3" t="s">
        <v>185</v>
      </c>
      <c r="D33" s="69"/>
      <c r="E33" s="69"/>
    </row>
    <row r="34" spans="1:5" ht="36" x14ac:dyDescent="0.2">
      <c r="A34" s="69"/>
      <c r="B34" s="4" t="s">
        <v>44</v>
      </c>
      <c r="C34" s="3" t="s">
        <v>194</v>
      </c>
      <c r="D34" s="69"/>
      <c r="E34" s="69"/>
    </row>
    <row r="35" spans="1:5" ht="36" x14ac:dyDescent="0.2">
      <c r="A35" s="69"/>
      <c r="B35" s="4" t="s">
        <v>45</v>
      </c>
      <c r="C35" s="3" t="s">
        <v>184</v>
      </c>
      <c r="D35" s="69"/>
      <c r="E35" s="69"/>
    </row>
    <row r="36" spans="1:5" ht="36" x14ac:dyDescent="0.2">
      <c r="A36" s="69" t="s">
        <v>46</v>
      </c>
      <c r="B36" s="69"/>
      <c r="C36" s="3" t="s">
        <v>47</v>
      </c>
      <c r="D36" s="69"/>
      <c r="E36" s="69"/>
    </row>
    <row r="37" spans="1:5" x14ac:dyDescent="0.2">
      <c r="A37" s="69" t="s">
        <v>48</v>
      </c>
      <c r="B37" s="69"/>
      <c r="C37" s="3" t="s">
        <v>49</v>
      </c>
      <c r="D37" s="69"/>
      <c r="E37" s="69"/>
    </row>
    <row r="38" spans="1:5" x14ac:dyDescent="0.2">
      <c r="A38" s="69" t="s">
        <v>129</v>
      </c>
      <c r="B38" s="69"/>
      <c r="C38" s="3" t="s">
        <v>50</v>
      </c>
      <c r="D38" s="69"/>
      <c r="E38" s="69"/>
    </row>
    <row r="39" spans="1:5" x14ac:dyDescent="0.2">
      <c r="A39" s="69" t="s">
        <v>128</v>
      </c>
      <c r="B39" s="69"/>
      <c r="C39" s="3" t="s">
        <v>127</v>
      </c>
      <c r="D39" s="69"/>
      <c r="E39" s="69"/>
    </row>
    <row r="40" spans="1:5" x14ac:dyDescent="0.2">
      <c r="A40" s="64" t="s">
        <v>124</v>
      </c>
      <c r="B40" s="65"/>
      <c r="C40" s="3" t="s">
        <v>278</v>
      </c>
      <c r="D40" s="64"/>
      <c r="E40" s="65"/>
    </row>
    <row r="41" spans="1:5" x14ac:dyDescent="0.2">
      <c r="A41" s="64" t="s">
        <v>125</v>
      </c>
      <c r="B41" s="65"/>
      <c r="C41" s="3" t="s">
        <v>279</v>
      </c>
      <c r="D41" s="64"/>
      <c r="E41" s="65"/>
    </row>
    <row r="42" spans="1:5" x14ac:dyDescent="0.2">
      <c r="A42" s="64" t="s">
        <v>126</v>
      </c>
      <c r="B42" s="65"/>
      <c r="C42" s="3" t="s">
        <v>195</v>
      </c>
      <c r="D42" s="64"/>
      <c r="E42" s="65"/>
    </row>
    <row r="43" spans="1:5" ht="24" x14ac:dyDescent="0.2">
      <c r="A43" s="69" t="s">
        <v>51</v>
      </c>
      <c r="B43" s="69"/>
      <c r="C43" s="3" t="s">
        <v>52</v>
      </c>
      <c r="D43" s="69"/>
      <c r="E43" s="69"/>
    </row>
    <row r="44" spans="1:5" x14ac:dyDescent="0.2">
      <c r="A44" s="69" t="s">
        <v>53</v>
      </c>
      <c r="B44" s="69"/>
      <c r="C44" s="3" t="s">
        <v>149</v>
      </c>
      <c r="D44" s="69"/>
      <c r="E44" s="69"/>
    </row>
    <row r="45" spans="1:5" ht="24" x14ac:dyDescent="0.2">
      <c r="A45" s="69" t="s">
        <v>54</v>
      </c>
      <c r="B45" s="69"/>
      <c r="C45" s="3" t="s">
        <v>436</v>
      </c>
      <c r="D45" s="69"/>
      <c r="E45" s="69"/>
    </row>
    <row r="46" spans="1:5" x14ac:dyDescent="0.2">
      <c r="A46" s="7"/>
      <c r="B46" s="8"/>
      <c r="C46" s="8"/>
      <c r="D46" s="8"/>
      <c r="E46" s="9"/>
    </row>
    <row r="47" spans="1:5" x14ac:dyDescent="0.2">
      <c r="A47" s="10" t="s">
        <v>58</v>
      </c>
      <c r="E47" s="11"/>
    </row>
    <row r="48" spans="1:5" x14ac:dyDescent="0.2">
      <c r="A48" s="70" t="s">
        <v>70</v>
      </c>
      <c r="B48" s="71"/>
      <c r="C48" s="71"/>
      <c r="D48" s="71"/>
      <c r="E48" s="72"/>
    </row>
    <row r="49" spans="1:5" x14ac:dyDescent="0.2">
      <c r="A49" s="70"/>
      <c r="B49" s="71"/>
      <c r="C49" s="71"/>
      <c r="D49" s="71"/>
      <c r="E49" s="72"/>
    </row>
    <row r="50" spans="1:5" x14ac:dyDescent="0.2">
      <c r="A50" s="70" t="s">
        <v>437</v>
      </c>
      <c r="B50" s="71"/>
      <c r="C50" s="71"/>
      <c r="D50" s="71"/>
      <c r="E50" s="72"/>
    </row>
    <row r="51" spans="1:5" x14ac:dyDescent="0.2">
      <c r="A51" s="70" t="s">
        <v>97</v>
      </c>
      <c r="B51" s="71"/>
      <c r="C51" s="71"/>
      <c r="D51" s="71"/>
      <c r="E51" s="72"/>
    </row>
    <row r="52" spans="1:5" x14ac:dyDescent="0.2">
      <c r="A52" s="70"/>
      <c r="B52" s="71"/>
      <c r="C52" s="71"/>
      <c r="D52" s="71"/>
      <c r="E52" s="72"/>
    </row>
    <row r="53" spans="1:5" x14ac:dyDescent="0.2">
      <c r="A53" s="70" t="s">
        <v>150</v>
      </c>
      <c r="B53" s="71"/>
      <c r="C53" s="71"/>
      <c r="D53" s="71"/>
      <c r="E53" s="72"/>
    </row>
    <row r="54" spans="1:5" ht="11.45" customHeight="1" x14ac:dyDescent="0.2">
      <c r="A54" s="70" t="s">
        <v>151</v>
      </c>
      <c r="B54" s="71"/>
      <c r="C54" s="71"/>
      <c r="D54" s="71"/>
      <c r="E54" s="72"/>
    </row>
    <row r="55" spans="1:5" x14ac:dyDescent="0.2">
      <c r="A55" s="66" t="s">
        <v>104</v>
      </c>
      <c r="B55" s="67"/>
      <c r="C55" s="67"/>
      <c r="D55" s="67"/>
      <c r="E55" s="68"/>
    </row>
  </sheetData>
  <mergeCells count="75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2"/>
    <mergeCell ref="D16:E16"/>
    <mergeCell ref="D17:E17"/>
    <mergeCell ref="D18:E18"/>
    <mergeCell ref="D19:E19"/>
    <mergeCell ref="D20:E20"/>
    <mergeCell ref="D21:E21"/>
    <mergeCell ref="D22:E22"/>
    <mergeCell ref="A23:B23"/>
    <mergeCell ref="D23:E23"/>
    <mergeCell ref="A24:A35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D35:E35"/>
    <mergeCell ref="A37:B37"/>
    <mergeCell ref="D37:E37"/>
    <mergeCell ref="A38:B38"/>
    <mergeCell ref="D38:E38"/>
    <mergeCell ref="A36:B36"/>
    <mergeCell ref="D36:E36"/>
    <mergeCell ref="A39:B39"/>
    <mergeCell ref="D39:E39"/>
    <mergeCell ref="A40:B40"/>
    <mergeCell ref="D40:E40"/>
    <mergeCell ref="A41:B41"/>
    <mergeCell ref="D41:E41"/>
    <mergeCell ref="A42:B42"/>
    <mergeCell ref="D42:E42"/>
    <mergeCell ref="A55:E55"/>
    <mergeCell ref="A43:B43"/>
    <mergeCell ref="D43:E43"/>
    <mergeCell ref="A44:B44"/>
    <mergeCell ref="D44:E44"/>
    <mergeCell ref="A45:B45"/>
    <mergeCell ref="D45:E45"/>
    <mergeCell ref="A48:E49"/>
    <mergeCell ref="A50:E50"/>
    <mergeCell ref="A51:E52"/>
    <mergeCell ref="A53:E53"/>
    <mergeCell ref="A54:E54"/>
  </mergeCells>
  <conditionalFormatting sqref="B17">
    <cfRule type="duplicateValues" dxfId="272" priority="4"/>
  </conditionalFormatting>
  <conditionalFormatting sqref="B18">
    <cfRule type="duplicateValues" dxfId="271" priority="3"/>
  </conditionalFormatting>
  <conditionalFormatting sqref="B20">
    <cfRule type="duplicateValues" dxfId="270" priority="2"/>
  </conditionalFormatting>
  <conditionalFormatting sqref="B21">
    <cfRule type="duplicateValues" dxfId="269" priority="10"/>
  </conditionalFormatting>
  <conditionalFormatting sqref="B25">
    <cfRule type="duplicateValues" dxfId="268" priority="12"/>
  </conditionalFormatting>
  <conditionalFormatting sqref="B28">
    <cfRule type="duplicateValues" dxfId="267" priority="1"/>
  </conditionalFormatting>
  <conditionalFormatting sqref="B32">
    <cfRule type="duplicateValues" dxfId="266" priority="11"/>
  </conditionalFormatting>
  <conditionalFormatting sqref="B38">
    <cfRule type="duplicateValues" dxfId="265" priority="6"/>
  </conditionalFormatting>
  <conditionalFormatting sqref="B39">
    <cfRule type="duplicateValues" dxfId="264" priority="5"/>
  </conditionalFormatting>
  <conditionalFormatting sqref="B40">
    <cfRule type="duplicateValues" dxfId="263" priority="9"/>
  </conditionalFormatting>
  <conditionalFormatting sqref="B41">
    <cfRule type="duplicateValues" dxfId="262" priority="8"/>
  </conditionalFormatting>
  <conditionalFormatting sqref="B42">
    <cfRule type="duplicateValues" dxfId="261" priority="7"/>
  </conditionalFormatting>
  <conditionalFormatting sqref="B56:B1048576 B4:B10 B26:B27 B12:B16 B33:B37 B22:B24 B43:B47 B19 B29:B31">
    <cfRule type="duplicateValues" dxfId="260" priority="13"/>
  </conditionalFormatting>
  <pageMargins left="0.7" right="0.7" top="0.75" bottom="0.75" header="0.3" footer="0.3"/>
  <pageSetup paperSize="9" scale="88" orientation="portrait" horizontalDpi="4294967295" verticalDpi="4294967295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A3AC24-82CB-41CF-95FE-ED1D0ACF546B}">
  <sheetPr codeName="Sheet51">
    <tabColor theme="4" tint="-0.249977111117893"/>
    <pageSetUpPr fitToPage="1"/>
  </sheetPr>
  <dimension ref="A1:E55"/>
  <sheetViews>
    <sheetView zoomScaleNormal="100" workbookViewId="0">
      <selection sqref="A1:B3"/>
    </sheetView>
  </sheetViews>
  <sheetFormatPr defaultColWidth="8.85546875" defaultRowHeight="12" x14ac:dyDescent="0.2"/>
  <cols>
    <col min="1" max="1" width="12.5703125" style="1" customWidth="1"/>
    <col min="2" max="2" width="13.42578125" style="1" bestFit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4" customFormat="1" ht="30" customHeight="1" x14ac:dyDescent="0.25">
      <c r="A1" s="77" t="e" vm="1">
        <v>#VALUE!</v>
      </c>
      <c r="B1" s="78"/>
      <c r="C1" s="83" t="s">
        <v>112</v>
      </c>
      <c r="D1" s="13" t="s">
        <v>110</v>
      </c>
      <c r="E1" s="13" t="s">
        <v>435</v>
      </c>
    </row>
    <row r="2" spans="1:5" s="14" customFormat="1" ht="30" customHeight="1" x14ac:dyDescent="0.25">
      <c r="A2" s="79"/>
      <c r="B2" s="80"/>
      <c r="C2" s="84"/>
      <c r="D2" s="15" t="s">
        <v>109</v>
      </c>
      <c r="E2" s="16" t="str">
        <f>VLOOKUP(C4,Index!B:J,9,FALSE)</f>
        <v>C0</v>
      </c>
    </row>
    <row r="3" spans="1:5" s="14" customFormat="1" ht="30" customHeight="1" x14ac:dyDescent="0.25">
      <c r="A3" s="81"/>
      <c r="B3" s="82"/>
      <c r="C3" s="85"/>
      <c r="D3" s="15" t="s">
        <v>111</v>
      </c>
      <c r="E3" s="17">
        <f>VLOOKUP(C4,Index!B:I,8,FALSE)</f>
        <v>359</v>
      </c>
    </row>
    <row r="4" spans="1:5" x14ac:dyDescent="0.2">
      <c r="A4" s="86" t="s">
        <v>74</v>
      </c>
      <c r="B4" s="86"/>
      <c r="C4" s="2" t="s">
        <v>227</v>
      </c>
      <c r="D4" s="86" t="s">
        <v>55</v>
      </c>
      <c r="E4" s="86"/>
    </row>
    <row r="5" spans="1:5" x14ac:dyDescent="0.2">
      <c r="A5" s="69" t="s">
        <v>26</v>
      </c>
      <c r="B5" s="69"/>
      <c r="C5" s="3" t="s">
        <v>168</v>
      </c>
      <c r="D5" s="69"/>
      <c r="E5" s="69"/>
    </row>
    <row r="6" spans="1:5" x14ac:dyDescent="0.2">
      <c r="A6" s="69" t="s">
        <v>27</v>
      </c>
      <c r="B6" s="69"/>
      <c r="C6" s="3" t="s">
        <v>78</v>
      </c>
      <c r="D6" s="69"/>
      <c r="E6" s="69"/>
    </row>
    <row r="7" spans="1:5" x14ac:dyDescent="0.2">
      <c r="A7" s="69" t="s">
        <v>28</v>
      </c>
      <c r="B7" s="69"/>
      <c r="C7" s="3" t="s">
        <v>82</v>
      </c>
      <c r="D7" s="69"/>
      <c r="E7" s="69"/>
    </row>
    <row r="8" spans="1:5" x14ac:dyDescent="0.2">
      <c r="A8" s="69" t="s">
        <v>29</v>
      </c>
      <c r="B8" s="69"/>
      <c r="C8" s="3" t="str">
        <f>VLOOKUP(C5,Index!N:W,6,FALSE)</f>
        <v>Glycol, Corrosive HC service</v>
      </c>
      <c r="D8" s="69"/>
      <c r="E8" s="69"/>
    </row>
    <row r="9" spans="1:5" x14ac:dyDescent="0.2">
      <c r="A9" s="69" t="s">
        <v>30</v>
      </c>
      <c r="B9" s="69"/>
      <c r="C9" s="3" t="s">
        <v>148</v>
      </c>
      <c r="D9" s="69"/>
      <c r="E9" s="69"/>
    </row>
    <row r="10" spans="1:5" x14ac:dyDescent="0.2">
      <c r="A10" s="69" t="s">
        <v>31</v>
      </c>
      <c r="B10" s="69"/>
      <c r="C10" s="3" t="s">
        <v>60</v>
      </c>
      <c r="D10" s="69"/>
      <c r="E10" s="69"/>
    </row>
    <row r="11" spans="1:5" x14ac:dyDescent="0.2">
      <c r="A11" s="73" t="s">
        <v>119</v>
      </c>
      <c r="B11" s="74"/>
      <c r="C11" s="12" t="str">
        <f>VLOOKUP(C5,Index!N:W,10,FALSE)</f>
        <v>82.7 @ -100°C' 58.3 @ 200°C</v>
      </c>
      <c r="D11" s="75"/>
      <c r="E11" s="76"/>
    </row>
    <row r="12" spans="1:5" x14ac:dyDescent="0.2">
      <c r="A12" s="69" t="s">
        <v>32</v>
      </c>
      <c r="B12" s="69"/>
      <c r="C12" s="3" t="str">
        <f>VLOOKUP(C5,Index!N:W,5,FALSE)</f>
        <v>NIL</v>
      </c>
      <c r="D12" s="69"/>
      <c r="E12" s="69"/>
    </row>
    <row r="13" spans="1:5" ht="24" x14ac:dyDescent="0.2">
      <c r="A13" s="69" t="s">
        <v>33</v>
      </c>
      <c r="B13" s="69"/>
      <c r="C13" s="3" t="s">
        <v>98</v>
      </c>
      <c r="D13" s="69"/>
      <c r="E13" s="69"/>
    </row>
    <row r="14" spans="1:5" x14ac:dyDescent="0.2">
      <c r="A14" s="69" t="s">
        <v>35</v>
      </c>
      <c r="B14" s="69"/>
      <c r="C14" s="3" t="s">
        <v>245</v>
      </c>
      <c r="D14" s="69"/>
      <c r="E14" s="69"/>
    </row>
    <row r="15" spans="1:5" x14ac:dyDescent="0.2">
      <c r="A15" s="69" t="s">
        <v>36</v>
      </c>
      <c r="B15" s="69"/>
      <c r="C15" s="3" t="s">
        <v>67</v>
      </c>
      <c r="D15" s="69"/>
      <c r="E15" s="69"/>
    </row>
    <row r="16" spans="1:5" x14ac:dyDescent="0.2">
      <c r="A16" s="69" t="s">
        <v>37</v>
      </c>
      <c r="B16" s="4" t="s">
        <v>38</v>
      </c>
      <c r="C16" s="3" t="s">
        <v>73</v>
      </c>
      <c r="D16" s="69"/>
      <c r="E16" s="69"/>
    </row>
    <row r="17" spans="1:5" ht="24" x14ac:dyDescent="0.2">
      <c r="A17" s="69"/>
      <c r="B17" s="4" t="s">
        <v>75</v>
      </c>
      <c r="C17" s="3" t="s">
        <v>77</v>
      </c>
      <c r="D17" s="69"/>
      <c r="E17" s="69"/>
    </row>
    <row r="18" spans="1:5" ht="24" x14ac:dyDescent="0.2">
      <c r="A18" s="69"/>
      <c r="B18" s="4" t="s">
        <v>39</v>
      </c>
      <c r="C18" s="3" t="s">
        <v>87</v>
      </c>
      <c r="D18" s="69"/>
      <c r="E18" s="69"/>
    </row>
    <row r="19" spans="1:5" x14ac:dyDescent="0.2">
      <c r="A19" s="69"/>
      <c r="B19" s="4" t="s">
        <v>68</v>
      </c>
      <c r="C19" s="3" t="s">
        <v>146</v>
      </c>
      <c r="D19" s="69"/>
      <c r="E19" s="69"/>
    </row>
    <row r="20" spans="1:5" x14ac:dyDescent="0.2">
      <c r="A20" s="69"/>
      <c r="B20" s="4" t="s">
        <v>141</v>
      </c>
      <c r="C20" s="3" t="s">
        <v>142</v>
      </c>
      <c r="D20" s="69"/>
      <c r="E20" s="69"/>
    </row>
    <row r="21" spans="1:5" x14ac:dyDescent="0.2">
      <c r="A21" s="69"/>
      <c r="B21" s="4" t="s">
        <v>69</v>
      </c>
      <c r="C21" s="3" t="s">
        <v>106</v>
      </c>
      <c r="D21" s="69"/>
      <c r="E21" s="69"/>
    </row>
    <row r="22" spans="1:5" ht="24" x14ac:dyDescent="0.2">
      <c r="A22" s="69"/>
      <c r="B22" s="4" t="s">
        <v>40</v>
      </c>
      <c r="C22" s="3" t="s">
        <v>86</v>
      </c>
      <c r="D22" s="69"/>
      <c r="E22" s="69"/>
    </row>
    <row r="23" spans="1:5" ht="24" x14ac:dyDescent="0.2">
      <c r="A23" s="69" t="s">
        <v>41</v>
      </c>
      <c r="B23" s="69"/>
      <c r="C23" s="3" t="s">
        <v>120</v>
      </c>
      <c r="D23" s="69"/>
      <c r="E23" s="69"/>
    </row>
    <row r="24" spans="1:5" ht="24" x14ac:dyDescent="0.2">
      <c r="A24" s="69" t="s">
        <v>42</v>
      </c>
      <c r="B24" s="4" t="s">
        <v>91</v>
      </c>
      <c r="C24" s="3" t="s">
        <v>80</v>
      </c>
      <c r="D24" s="69"/>
      <c r="E24" s="69"/>
    </row>
    <row r="25" spans="1:5" x14ac:dyDescent="0.2">
      <c r="A25" s="69"/>
      <c r="B25" s="4" t="s">
        <v>93</v>
      </c>
      <c r="C25" s="3" t="s">
        <v>132</v>
      </c>
      <c r="D25" s="69"/>
      <c r="E25" s="69"/>
    </row>
    <row r="26" spans="1:5" x14ac:dyDescent="0.2">
      <c r="A26" s="69"/>
      <c r="B26" s="4" t="s">
        <v>94</v>
      </c>
      <c r="C26" s="3" t="s">
        <v>102</v>
      </c>
      <c r="D26" s="69"/>
      <c r="E26" s="69"/>
    </row>
    <row r="27" spans="1:5" x14ac:dyDescent="0.2">
      <c r="A27" s="69"/>
      <c r="B27" s="4" t="s">
        <v>95</v>
      </c>
      <c r="C27" s="3" t="s">
        <v>105</v>
      </c>
      <c r="D27" s="69"/>
      <c r="E27" s="69"/>
    </row>
    <row r="28" spans="1:5" x14ac:dyDescent="0.2">
      <c r="A28" s="69"/>
      <c r="B28" s="4" t="s">
        <v>144</v>
      </c>
      <c r="C28" s="3" t="s">
        <v>145</v>
      </c>
      <c r="D28" s="69"/>
      <c r="E28" s="69"/>
    </row>
    <row r="29" spans="1:5" x14ac:dyDescent="0.2">
      <c r="A29" s="69"/>
      <c r="B29" s="4" t="s">
        <v>92</v>
      </c>
      <c r="C29" s="3" t="s">
        <v>102</v>
      </c>
      <c r="D29" s="69"/>
      <c r="E29" s="69"/>
    </row>
    <row r="30" spans="1:5" x14ac:dyDescent="0.2">
      <c r="A30" s="69"/>
      <c r="B30" s="4" t="s">
        <v>96</v>
      </c>
      <c r="C30" s="3" t="s">
        <v>102</v>
      </c>
      <c r="D30" s="69"/>
      <c r="E30" s="69"/>
    </row>
    <row r="31" spans="1:5" ht="36" x14ac:dyDescent="0.2">
      <c r="A31" s="69"/>
      <c r="B31" s="4" t="s">
        <v>72</v>
      </c>
      <c r="C31" s="3" t="s">
        <v>139</v>
      </c>
      <c r="D31" s="69"/>
      <c r="E31" s="69"/>
    </row>
    <row r="32" spans="1:5" ht="24" x14ac:dyDescent="0.2">
      <c r="A32" s="69"/>
      <c r="B32" s="6" t="s">
        <v>140</v>
      </c>
      <c r="C32" s="5" t="s">
        <v>99</v>
      </c>
      <c r="D32" s="69"/>
      <c r="E32" s="69"/>
    </row>
    <row r="33" spans="1:5" ht="24" x14ac:dyDescent="0.2">
      <c r="A33" s="69"/>
      <c r="B33" s="4" t="s">
        <v>43</v>
      </c>
      <c r="C33" s="3" t="s">
        <v>185</v>
      </c>
      <c r="D33" s="69"/>
      <c r="E33" s="69"/>
    </row>
    <row r="34" spans="1:5" ht="36" x14ac:dyDescent="0.2">
      <c r="A34" s="69"/>
      <c r="B34" s="4" t="s">
        <v>44</v>
      </c>
      <c r="C34" s="3" t="s">
        <v>194</v>
      </c>
      <c r="D34" s="69"/>
      <c r="E34" s="69"/>
    </row>
    <row r="35" spans="1:5" ht="36" x14ac:dyDescent="0.2">
      <c r="A35" s="69"/>
      <c r="B35" s="4" t="s">
        <v>45</v>
      </c>
      <c r="C35" s="3" t="s">
        <v>184</v>
      </c>
      <c r="D35" s="69"/>
      <c r="E35" s="69"/>
    </row>
    <row r="36" spans="1:5" ht="36" x14ac:dyDescent="0.2">
      <c r="A36" s="69" t="s">
        <v>46</v>
      </c>
      <c r="B36" s="69"/>
      <c r="C36" s="3" t="s">
        <v>47</v>
      </c>
      <c r="D36" s="69"/>
      <c r="E36" s="69"/>
    </row>
    <row r="37" spans="1:5" x14ac:dyDescent="0.2">
      <c r="A37" s="69" t="s">
        <v>48</v>
      </c>
      <c r="B37" s="69"/>
      <c r="C37" s="3" t="s">
        <v>49</v>
      </c>
      <c r="D37" s="69"/>
      <c r="E37" s="69"/>
    </row>
    <row r="38" spans="1:5" x14ac:dyDescent="0.2">
      <c r="A38" s="69" t="s">
        <v>129</v>
      </c>
      <c r="B38" s="69"/>
      <c r="C38" s="3" t="s">
        <v>50</v>
      </c>
      <c r="D38" s="69"/>
      <c r="E38" s="69"/>
    </row>
    <row r="39" spans="1:5" x14ac:dyDescent="0.2">
      <c r="A39" s="69" t="s">
        <v>128</v>
      </c>
      <c r="B39" s="69"/>
      <c r="C39" s="3" t="s">
        <v>127</v>
      </c>
      <c r="D39" s="69"/>
      <c r="E39" s="69"/>
    </row>
    <row r="40" spans="1:5" x14ac:dyDescent="0.2">
      <c r="A40" s="64" t="s">
        <v>124</v>
      </c>
      <c r="B40" s="65"/>
      <c r="C40" s="3" t="s">
        <v>276</v>
      </c>
      <c r="D40" s="64"/>
      <c r="E40" s="65"/>
    </row>
    <row r="41" spans="1:5" x14ac:dyDescent="0.2">
      <c r="A41" s="64" t="s">
        <v>125</v>
      </c>
      <c r="B41" s="65"/>
      <c r="C41" s="3" t="s">
        <v>277</v>
      </c>
      <c r="D41" s="64"/>
      <c r="E41" s="65"/>
    </row>
    <row r="42" spans="1:5" x14ac:dyDescent="0.2">
      <c r="A42" s="64" t="s">
        <v>126</v>
      </c>
      <c r="B42" s="65"/>
      <c r="C42" s="3" t="s">
        <v>195</v>
      </c>
      <c r="D42" s="64"/>
      <c r="E42" s="65"/>
    </row>
    <row r="43" spans="1:5" ht="24" x14ac:dyDescent="0.2">
      <c r="A43" s="69" t="s">
        <v>51</v>
      </c>
      <c r="B43" s="69"/>
      <c r="C43" s="3" t="s">
        <v>52</v>
      </c>
      <c r="D43" s="69"/>
      <c r="E43" s="69"/>
    </row>
    <row r="44" spans="1:5" x14ac:dyDescent="0.2">
      <c r="A44" s="69" t="s">
        <v>53</v>
      </c>
      <c r="B44" s="69"/>
      <c r="C44" s="3" t="s">
        <v>149</v>
      </c>
      <c r="D44" s="69"/>
      <c r="E44" s="69"/>
    </row>
    <row r="45" spans="1:5" ht="24" x14ac:dyDescent="0.2">
      <c r="A45" s="69" t="s">
        <v>54</v>
      </c>
      <c r="B45" s="69"/>
      <c r="C45" s="3" t="s">
        <v>436</v>
      </c>
      <c r="D45" s="69"/>
      <c r="E45" s="69"/>
    </row>
    <row r="46" spans="1:5" x14ac:dyDescent="0.2">
      <c r="A46" s="7"/>
      <c r="B46" s="8"/>
      <c r="C46" s="8"/>
      <c r="D46" s="8"/>
      <c r="E46" s="9"/>
    </row>
    <row r="47" spans="1:5" x14ac:dyDescent="0.2">
      <c r="A47" s="10" t="s">
        <v>58</v>
      </c>
      <c r="E47" s="11"/>
    </row>
    <row r="48" spans="1:5" x14ac:dyDescent="0.2">
      <c r="A48" s="70" t="s">
        <v>70</v>
      </c>
      <c r="B48" s="71"/>
      <c r="C48" s="71"/>
      <c r="D48" s="71"/>
      <c r="E48" s="72"/>
    </row>
    <row r="49" spans="1:5" x14ac:dyDescent="0.2">
      <c r="A49" s="70"/>
      <c r="B49" s="71"/>
      <c r="C49" s="71"/>
      <c r="D49" s="71"/>
      <c r="E49" s="72"/>
    </row>
    <row r="50" spans="1:5" x14ac:dyDescent="0.2">
      <c r="A50" s="70" t="s">
        <v>437</v>
      </c>
      <c r="B50" s="71"/>
      <c r="C50" s="71"/>
      <c r="D50" s="71"/>
      <c r="E50" s="72"/>
    </row>
    <row r="51" spans="1:5" x14ac:dyDescent="0.2">
      <c r="A51" s="70" t="s">
        <v>97</v>
      </c>
      <c r="B51" s="71"/>
      <c r="C51" s="71"/>
      <c r="D51" s="71"/>
      <c r="E51" s="72"/>
    </row>
    <row r="52" spans="1:5" x14ac:dyDescent="0.2">
      <c r="A52" s="70"/>
      <c r="B52" s="71"/>
      <c r="C52" s="71"/>
      <c r="D52" s="71"/>
      <c r="E52" s="72"/>
    </row>
    <row r="53" spans="1:5" x14ac:dyDescent="0.2">
      <c r="A53" s="70" t="s">
        <v>150</v>
      </c>
      <c r="B53" s="71"/>
      <c r="C53" s="71"/>
      <c r="D53" s="71"/>
      <c r="E53" s="72"/>
    </row>
    <row r="54" spans="1:5" ht="11.45" customHeight="1" x14ac:dyDescent="0.2">
      <c r="A54" s="70" t="s">
        <v>151</v>
      </c>
      <c r="B54" s="71"/>
      <c r="C54" s="71"/>
      <c r="D54" s="71"/>
      <c r="E54" s="72"/>
    </row>
    <row r="55" spans="1:5" x14ac:dyDescent="0.2">
      <c r="A55" s="66" t="s">
        <v>104</v>
      </c>
      <c r="B55" s="67"/>
      <c r="C55" s="67"/>
      <c r="D55" s="67"/>
      <c r="E55" s="68"/>
    </row>
  </sheetData>
  <mergeCells count="75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2"/>
    <mergeCell ref="D16:E16"/>
    <mergeCell ref="D17:E17"/>
    <mergeCell ref="D18:E18"/>
    <mergeCell ref="D19:E19"/>
    <mergeCell ref="D20:E20"/>
    <mergeCell ref="D21:E21"/>
    <mergeCell ref="D22:E22"/>
    <mergeCell ref="A23:B23"/>
    <mergeCell ref="D23:E23"/>
    <mergeCell ref="A24:A35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D35:E35"/>
    <mergeCell ref="A37:B37"/>
    <mergeCell ref="D37:E37"/>
    <mergeCell ref="A38:B38"/>
    <mergeCell ref="D38:E38"/>
    <mergeCell ref="A36:B36"/>
    <mergeCell ref="D36:E36"/>
    <mergeCell ref="A39:B39"/>
    <mergeCell ref="D39:E39"/>
    <mergeCell ref="A40:B40"/>
    <mergeCell ref="D40:E40"/>
    <mergeCell ref="A41:B41"/>
    <mergeCell ref="D41:E41"/>
    <mergeCell ref="A42:B42"/>
    <mergeCell ref="D42:E42"/>
    <mergeCell ref="A55:E55"/>
    <mergeCell ref="A43:B43"/>
    <mergeCell ref="D43:E43"/>
    <mergeCell ref="A44:B44"/>
    <mergeCell ref="D44:E44"/>
    <mergeCell ref="A45:B45"/>
    <mergeCell ref="D45:E45"/>
    <mergeCell ref="A48:E49"/>
    <mergeCell ref="A50:E50"/>
    <mergeCell ref="A51:E52"/>
    <mergeCell ref="A53:E53"/>
    <mergeCell ref="A54:E54"/>
  </mergeCells>
  <conditionalFormatting sqref="B17">
    <cfRule type="duplicateValues" dxfId="259" priority="4"/>
  </conditionalFormatting>
  <conditionalFormatting sqref="B18">
    <cfRule type="duplicateValues" dxfId="258" priority="3"/>
  </conditionalFormatting>
  <conditionalFormatting sqref="B20">
    <cfRule type="duplicateValues" dxfId="257" priority="2"/>
  </conditionalFormatting>
  <conditionalFormatting sqref="B21">
    <cfRule type="duplicateValues" dxfId="256" priority="10"/>
  </conditionalFormatting>
  <conditionalFormatting sqref="B25">
    <cfRule type="duplicateValues" dxfId="255" priority="12"/>
  </conditionalFormatting>
  <conditionalFormatting sqref="B28">
    <cfRule type="duplicateValues" dxfId="254" priority="1"/>
  </conditionalFormatting>
  <conditionalFormatting sqref="B32">
    <cfRule type="duplicateValues" dxfId="253" priority="11"/>
  </conditionalFormatting>
  <conditionalFormatting sqref="B38">
    <cfRule type="duplicateValues" dxfId="252" priority="6"/>
  </conditionalFormatting>
  <conditionalFormatting sqref="B39">
    <cfRule type="duplicateValues" dxfId="251" priority="5"/>
  </conditionalFormatting>
  <conditionalFormatting sqref="B40">
    <cfRule type="duplicateValues" dxfId="250" priority="9"/>
  </conditionalFormatting>
  <conditionalFormatting sqref="B41">
    <cfRule type="duplicateValues" dxfId="249" priority="8"/>
  </conditionalFormatting>
  <conditionalFormatting sqref="B42">
    <cfRule type="duplicateValues" dxfId="248" priority="7"/>
  </conditionalFormatting>
  <conditionalFormatting sqref="B56:B1048576 B4:B10 B26:B27 B12:B16 B33:B37 B22:B24 B43:B47 B19 B29:B31">
    <cfRule type="duplicateValues" dxfId="247" priority="13"/>
  </conditionalFormatting>
  <pageMargins left="0.7" right="0.7" top="0.75" bottom="0.75" header="0.3" footer="0.3"/>
  <pageSetup paperSize="9" scale="88" orientation="portrait" horizontalDpi="4294967295" verticalDpi="4294967295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DCCD8E-FCEF-4C9F-8DEA-3469A7E4A9DF}">
  <sheetPr codeName="Sheet52">
    <tabColor theme="4" tint="-0.249977111117893"/>
    <pageSetUpPr fitToPage="1"/>
  </sheetPr>
  <dimension ref="A1:E55"/>
  <sheetViews>
    <sheetView zoomScaleNormal="100" workbookViewId="0">
      <selection sqref="A1:B3"/>
    </sheetView>
  </sheetViews>
  <sheetFormatPr defaultColWidth="8.85546875" defaultRowHeight="12" x14ac:dyDescent="0.2"/>
  <cols>
    <col min="1" max="1" width="12.5703125" style="1" customWidth="1"/>
    <col min="2" max="2" width="13.42578125" style="1" bestFit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4" customFormat="1" ht="30" customHeight="1" x14ac:dyDescent="0.25">
      <c r="A1" s="77" t="e" vm="1">
        <v>#VALUE!</v>
      </c>
      <c r="B1" s="78"/>
      <c r="C1" s="83" t="s">
        <v>112</v>
      </c>
      <c r="D1" s="13" t="s">
        <v>110</v>
      </c>
      <c r="E1" s="13" t="s">
        <v>435</v>
      </c>
    </row>
    <row r="2" spans="1:5" s="14" customFormat="1" ht="30" customHeight="1" x14ac:dyDescent="0.25">
      <c r="A2" s="79"/>
      <c r="B2" s="80"/>
      <c r="C2" s="84"/>
      <c r="D2" s="15" t="s">
        <v>109</v>
      </c>
      <c r="E2" s="16" t="str">
        <f>VLOOKUP(C4,Index!B:J,9,FALSE)</f>
        <v>C0</v>
      </c>
    </row>
    <row r="3" spans="1:5" s="14" customFormat="1" ht="30" customHeight="1" x14ac:dyDescent="0.25">
      <c r="A3" s="81"/>
      <c r="B3" s="82"/>
      <c r="C3" s="85"/>
      <c r="D3" s="15" t="s">
        <v>111</v>
      </c>
      <c r="E3" s="17">
        <f>VLOOKUP(C4,Index!B:I,8,FALSE)</f>
        <v>360</v>
      </c>
    </row>
    <row r="4" spans="1:5" x14ac:dyDescent="0.2">
      <c r="A4" s="86" t="s">
        <v>74</v>
      </c>
      <c r="B4" s="86"/>
      <c r="C4" s="2" t="s">
        <v>228</v>
      </c>
      <c r="D4" s="86" t="s">
        <v>55</v>
      </c>
      <c r="E4" s="86"/>
    </row>
    <row r="5" spans="1:5" x14ac:dyDescent="0.2">
      <c r="A5" s="69" t="s">
        <v>26</v>
      </c>
      <c r="B5" s="69"/>
      <c r="C5" s="3" t="s">
        <v>169</v>
      </c>
      <c r="D5" s="69"/>
      <c r="E5" s="69"/>
    </row>
    <row r="6" spans="1:5" x14ac:dyDescent="0.2">
      <c r="A6" s="69" t="s">
        <v>27</v>
      </c>
      <c r="B6" s="69"/>
      <c r="C6" s="3" t="s">
        <v>78</v>
      </c>
      <c r="D6" s="69"/>
      <c r="E6" s="69"/>
    </row>
    <row r="7" spans="1:5" x14ac:dyDescent="0.2">
      <c r="A7" s="69" t="s">
        <v>28</v>
      </c>
      <c r="B7" s="69"/>
      <c r="C7" s="3" t="s">
        <v>82</v>
      </c>
      <c r="D7" s="69"/>
      <c r="E7" s="69"/>
    </row>
    <row r="8" spans="1:5" x14ac:dyDescent="0.2">
      <c r="A8" s="69" t="s">
        <v>29</v>
      </c>
      <c r="B8" s="69"/>
      <c r="C8" s="3" t="str">
        <f>VLOOKUP(C5,Index!N:W,6,FALSE)</f>
        <v>Glycol, Corrosive HC service</v>
      </c>
      <c r="D8" s="69"/>
      <c r="E8" s="69"/>
    </row>
    <row r="9" spans="1:5" x14ac:dyDescent="0.2">
      <c r="A9" s="69" t="s">
        <v>30</v>
      </c>
      <c r="B9" s="69"/>
      <c r="C9" s="3" t="s">
        <v>148</v>
      </c>
      <c r="D9" s="69"/>
      <c r="E9" s="69"/>
    </row>
    <row r="10" spans="1:5" x14ac:dyDescent="0.2">
      <c r="A10" s="69" t="s">
        <v>31</v>
      </c>
      <c r="B10" s="69"/>
      <c r="C10" s="3" t="s">
        <v>61</v>
      </c>
      <c r="D10" s="69"/>
      <c r="E10" s="69"/>
    </row>
    <row r="11" spans="1:5" x14ac:dyDescent="0.2">
      <c r="A11" s="73" t="s">
        <v>119</v>
      </c>
      <c r="B11" s="74"/>
      <c r="C11" s="12" t="str">
        <f>VLOOKUP(C5,Index!N:W,10,FALSE)</f>
        <v>124.1 @ -100°C' 87.5 @ 200°C</v>
      </c>
      <c r="D11" s="75"/>
      <c r="E11" s="76"/>
    </row>
    <row r="12" spans="1:5" x14ac:dyDescent="0.2">
      <c r="A12" s="69" t="s">
        <v>32</v>
      </c>
      <c r="B12" s="69"/>
      <c r="C12" s="3" t="str">
        <f>VLOOKUP(C5,Index!N:W,5,FALSE)</f>
        <v>NIL</v>
      </c>
      <c r="D12" s="69"/>
      <c r="E12" s="69"/>
    </row>
    <row r="13" spans="1:5" ht="24" x14ac:dyDescent="0.2">
      <c r="A13" s="69" t="s">
        <v>33</v>
      </c>
      <c r="B13" s="69"/>
      <c r="C13" s="3" t="s">
        <v>98</v>
      </c>
      <c r="D13" s="69"/>
      <c r="E13" s="69"/>
    </row>
    <row r="14" spans="1:5" x14ac:dyDescent="0.2">
      <c r="A14" s="69" t="s">
        <v>35</v>
      </c>
      <c r="B14" s="69"/>
      <c r="C14" s="3" t="s">
        <v>62</v>
      </c>
      <c r="D14" s="69"/>
      <c r="E14" s="69"/>
    </row>
    <row r="15" spans="1:5" x14ac:dyDescent="0.2">
      <c r="A15" s="69" t="s">
        <v>36</v>
      </c>
      <c r="B15" s="69"/>
      <c r="C15" s="3" t="s">
        <v>67</v>
      </c>
      <c r="D15" s="69"/>
      <c r="E15" s="69"/>
    </row>
    <row r="16" spans="1:5" x14ac:dyDescent="0.2">
      <c r="A16" s="69" t="s">
        <v>37</v>
      </c>
      <c r="B16" s="4" t="s">
        <v>38</v>
      </c>
      <c r="C16" s="3" t="s">
        <v>73</v>
      </c>
      <c r="D16" s="69"/>
      <c r="E16" s="69"/>
    </row>
    <row r="17" spans="1:5" ht="24" x14ac:dyDescent="0.2">
      <c r="A17" s="69"/>
      <c r="B17" s="4" t="s">
        <v>75</v>
      </c>
      <c r="C17" s="3" t="s">
        <v>77</v>
      </c>
      <c r="D17" s="69"/>
      <c r="E17" s="69"/>
    </row>
    <row r="18" spans="1:5" ht="24" x14ac:dyDescent="0.2">
      <c r="A18" s="69"/>
      <c r="B18" s="4" t="s">
        <v>39</v>
      </c>
      <c r="C18" s="3" t="s">
        <v>87</v>
      </c>
      <c r="D18" s="69"/>
      <c r="E18" s="69"/>
    </row>
    <row r="19" spans="1:5" x14ac:dyDescent="0.2">
      <c r="A19" s="69"/>
      <c r="B19" s="4" t="s">
        <v>68</v>
      </c>
      <c r="C19" s="3" t="s">
        <v>146</v>
      </c>
      <c r="D19" s="69"/>
      <c r="E19" s="69"/>
    </row>
    <row r="20" spans="1:5" x14ac:dyDescent="0.2">
      <c r="A20" s="69"/>
      <c r="B20" s="4" t="s">
        <v>141</v>
      </c>
      <c r="C20" s="3" t="s">
        <v>142</v>
      </c>
      <c r="D20" s="69"/>
      <c r="E20" s="69"/>
    </row>
    <row r="21" spans="1:5" x14ac:dyDescent="0.2">
      <c r="A21" s="69"/>
      <c r="B21" s="4" t="s">
        <v>69</v>
      </c>
      <c r="C21" s="3" t="s">
        <v>106</v>
      </c>
      <c r="D21" s="69"/>
      <c r="E21" s="69"/>
    </row>
    <row r="22" spans="1:5" ht="24" x14ac:dyDescent="0.2">
      <c r="A22" s="69"/>
      <c r="B22" s="4" t="s">
        <v>40</v>
      </c>
      <c r="C22" s="3" t="s">
        <v>86</v>
      </c>
      <c r="D22" s="69"/>
      <c r="E22" s="69"/>
    </row>
    <row r="23" spans="1:5" ht="24" x14ac:dyDescent="0.2">
      <c r="A23" s="69" t="s">
        <v>41</v>
      </c>
      <c r="B23" s="69"/>
      <c r="C23" s="3" t="s">
        <v>123</v>
      </c>
      <c r="D23" s="69"/>
      <c r="E23" s="69"/>
    </row>
    <row r="24" spans="1:5" ht="24" x14ac:dyDescent="0.2">
      <c r="A24" s="69" t="s">
        <v>42</v>
      </c>
      <c r="B24" s="4" t="s">
        <v>91</v>
      </c>
      <c r="C24" s="3" t="s">
        <v>80</v>
      </c>
      <c r="D24" s="69"/>
      <c r="E24" s="69"/>
    </row>
    <row r="25" spans="1:5" x14ac:dyDescent="0.2">
      <c r="A25" s="69"/>
      <c r="B25" s="4" t="s">
        <v>93</v>
      </c>
      <c r="C25" s="3" t="s">
        <v>132</v>
      </c>
      <c r="D25" s="69"/>
      <c r="E25" s="69"/>
    </row>
    <row r="26" spans="1:5" x14ac:dyDescent="0.2">
      <c r="A26" s="69"/>
      <c r="B26" s="4" t="s">
        <v>94</v>
      </c>
      <c r="C26" s="3" t="s">
        <v>102</v>
      </c>
      <c r="D26" s="69"/>
      <c r="E26" s="69"/>
    </row>
    <row r="27" spans="1:5" x14ac:dyDescent="0.2">
      <c r="A27" s="69"/>
      <c r="B27" s="4" t="s">
        <v>95</v>
      </c>
      <c r="C27" s="3" t="s">
        <v>105</v>
      </c>
      <c r="D27" s="69"/>
      <c r="E27" s="69"/>
    </row>
    <row r="28" spans="1:5" x14ac:dyDescent="0.2">
      <c r="A28" s="69"/>
      <c r="B28" s="4" t="s">
        <v>144</v>
      </c>
      <c r="C28" s="3" t="s">
        <v>145</v>
      </c>
      <c r="D28" s="69"/>
      <c r="E28" s="69"/>
    </row>
    <row r="29" spans="1:5" x14ac:dyDescent="0.2">
      <c r="A29" s="69"/>
      <c r="B29" s="4" t="s">
        <v>92</v>
      </c>
      <c r="C29" s="3" t="s">
        <v>102</v>
      </c>
      <c r="D29" s="69"/>
      <c r="E29" s="69"/>
    </row>
    <row r="30" spans="1:5" x14ac:dyDescent="0.2">
      <c r="A30" s="69"/>
      <c r="B30" s="4" t="s">
        <v>96</v>
      </c>
      <c r="C30" s="3" t="s">
        <v>102</v>
      </c>
      <c r="D30" s="69"/>
      <c r="E30" s="69"/>
    </row>
    <row r="31" spans="1:5" ht="36" x14ac:dyDescent="0.2">
      <c r="A31" s="69"/>
      <c r="B31" s="4" t="s">
        <v>72</v>
      </c>
      <c r="C31" s="3" t="s">
        <v>139</v>
      </c>
      <c r="D31" s="69"/>
      <c r="E31" s="69"/>
    </row>
    <row r="32" spans="1:5" ht="24" x14ac:dyDescent="0.2">
      <c r="A32" s="69"/>
      <c r="B32" s="6" t="s">
        <v>140</v>
      </c>
      <c r="C32" s="5" t="s">
        <v>99</v>
      </c>
      <c r="D32" s="69"/>
      <c r="E32" s="69"/>
    </row>
    <row r="33" spans="1:5" ht="24" x14ac:dyDescent="0.2">
      <c r="A33" s="69"/>
      <c r="B33" s="4" t="s">
        <v>43</v>
      </c>
      <c r="C33" s="3" t="s">
        <v>187</v>
      </c>
      <c r="D33" s="69"/>
      <c r="E33" s="69"/>
    </row>
    <row r="34" spans="1:5" ht="36" x14ac:dyDescent="0.2">
      <c r="A34" s="69"/>
      <c r="B34" s="4" t="s">
        <v>44</v>
      </c>
      <c r="C34" s="3" t="s">
        <v>194</v>
      </c>
      <c r="D34" s="69"/>
      <c r="E34" s="69"/>
    </row>
    <row r="35" spans="1:5" ht="36" x14ac:dyDescent="0.2">
      <c r="A35" s="69"/>
      <c r="B35" s="4" t="s">
        <v>45</v>
      </c>
      <c r="C35" s="3" t="s">
        <v>184</v>
      </c>
      <c r="D35" s="69"/>
      <c r="E35" s="69"/>
    </row>
    <row r="36" spans="1:5" ht="36" x14ac:dyDescent="0.2">
      <c r="A36" s="69" t="s">
        <v>46</v>
      </c>
      <c r="B36" s="69"/>
      <c r="C36" s="3" t="s">
        <v>47</v>
      </c>
      <c r="D36" s="69"/>
      <c r="E36" s="69"/>
    </row>
    <row r="37" spans="1:5" x14ac:dyDescent="0.2">
      <c r="A37" s="69" t="s">
        <v>48</v>
      </c>
      <c r="B37" s="69"/>
      <c r="C37" s="3" t="s">
        <v>49</v>
      </c>
      <c r="D37" s="69"/>
      <c r="E37" s="69"/>
    </row>
    <row r="38" spans="1:5" x14ac:dyDescent="0.2">
      <c r="A38" s="69" t="s">
        <v>129</v>
      </c>
      <c r="B38" s="69"/>
      <c r="C38" s="3" t="s">
        <v>50</v>
      </c>
      <c r="D38" s="69"/>
      <c r="E38" s="69"/>
    </row>
    <row r="39" spans="1:5" x14ac:dyDescent="0.2">
      <c r="A39" s="69" t="s">
        <v>128</v>
      </c>
      <c r="B39" s="69"/>
      <c r="C39" s="3" t="s">
        <v>127</v>
      </c>
      <c r="D39" s="69"/>
      <c r="E39" s="69"/>
    </row>
    <row r="40" spans="1:5" x14ac:dyDescent="0.2">
      <c r="A40" s="64" t="s">
        <v>124</v>
      </c>
      <c r="B40" s="65"/>
      <c r="C40" s="3" t="s">
        <v>274</v>
      </c>
      <c r="D40" s="64"/>
      <c r="E40" s="65"/>
    </row>
    <row r="41" spans="1:5" x14ac:dyDescent="0.2">
      <c r="A41" s="64" t="s">
        <v>125</v>
      </c>
      <c r="B41" s="65"/>
      <c r="C41" s="3" t="s">
        <v>275</v>
      </c>
      <c r="D41" s="64"/>
      <c r="E41" s="65"/>
    </row>
    <row r="42" spans="1:5" x14ac:dyDescent="0.2">
      <c r="A42" s="64" t="s">
        <v>126</v>
      </c>
      <c r="B42" s="65"/>
      <c r="C42" s="3" t="s">
        <v>195</v>
      </c>
      <c r="D42" s="64"/>
      <c r="E42" s="65"/>
    </row>
    <row r="43" spans="1:5" ht="24" x14ac:dyDescent="0.2">
      <c r="A43" s="69" t="s">
        <v>51</v>
      </c>
      <c r="B43" s="69"/>
      <c r="C43" s="3" t="s">
        <v>52</v>
      </c>
      <c r="D43" s="69"/>
      <c r="E43" s="69"/>
    </row>
    <row r="44" spans="1:5" x14ac:dyDescent="0.2">
      <c r="A44" s="69" t="s">
        <v>53</v>
      </c>
      <c r="B44" s="69"/>
      <c r="C44" s="3" t="s">
        <v>149</v>
      </c>
      <c r="D44" s="69"/>
      <c r="E44" s="69"/>
    </row>
    <row r="45" spans="1:5" ht="24" x14ac:dyDescent="0.2">
      <c r="A45" s="69" t="s">
        <v>54</v>
      </c>
      <c r="B45" s="69"/>
      <c r="C45" s="3" t="s">
        <v>436</v>
      </c>
      <c r="D45" s="69"/>
      <c r="E45" s="69"/>
    </row>
    <row r="46" spans="1:5" x14ac:dyDescent="0.2">
      <c r="A46" s="7"/>
      <c r="B46" s="8"/>
      <c r="C46" s="8"/>
      <c r="D46" s="8"/>
      <c r="E46" s="9"/>
    </row>
    <row r="47" spans="1:5" x14ac:dyDescent="0.2">
      <c r="A47" s="10" t="s">
        <v>58</v>
      </c>
      <c r="E47" s="11"/>
    </row>
    <row r="48" spans="1:5" x14ac:dyDescent="0.2">
      <c r="A48" s="70" t="s">
        <v>70</v>
      </c>
      <c r="B48" s="71"/>
      <c r="C48" s="71"/>
      <c r="D48" s="71"/>
      <c r="E48" s="72"/>
    </row>
    <row r="49" spans="1:5" x14ac:dyDescent="0.2">
      <c r="A49" s="70"/>
      <c r="B49" s="71"/>
      <c r="C49" s="71"/>
      <c r="D49" s="71"/>
      <c r="E49" s="72"/>
    </row>
    <row r="50" spans="1:5" x14ac:dyDescent="0.2">
      <c r="A50" s="70" t="s">
        <v>437</v>
      </c>
      <c r="B50" s="71"/>
      <c r="C50" s="71"/>
      <c r="D50" s="71"/>
      <c r="E50" s="72"/>
    </row>
    <row r="51" spans="1:5" x14ac:dyDescent="0.2">
      <c r="A51" s="70" t="s">
        <v>97</v>
      </c>
      <c r="B51" s="71"/>
      <c r="C51" s="71"/>
      <c r="D51" s="71"/>
      <c r="E51" s="72"/>
    </row>
    <row r="52" spans="1:5" x14ac:dyDescent="0.2">
      <c r="A52" s="70"/>
      <c r="B52" s="71"/>
      <c r="C52" s="71"/>
      <c r="D52" s="71"/>
      <c r="E52" s="72"/>
    </row>
    <row r="53" spans="1:5" x14ac:dyDescent="0.2">
      <c r="A53" s="70" t="s">
        <v>150</v>
      </c>
      <c r="B53" s="71"/>
      <c r="C53" s="71"/>
      <c r="D53" s="71"/>
      <c r="E53" s="72"/>
    </row>
    <row r="54" spans="1:5" ht="11.45" customHeight="1" x14ac:dyDescent="0.2">
      <c r="A54" s="70" t="s">
        <v>151</v>
      </c>
      <c r="B54" s="71"/>
      <c r="C54" s="71"/>
      <c r="D54" s="71"/>
      <c r="E54" s="72"/>
    </row>
    <row r="55" spans="1:5" x14ac:dyDescent="0.2">
      <c r="A55" s="66" t="s">
        <v>104</v>
      </c>
      <c r="B55" s="67"/>
      <c r="C55" s="67"/>
      <c r="D55" s="67"/>
      <c r="E55" s="68"/>
    </row>
  </sheetData>
  <mergeCells count="75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2"/>
    <mergeCell ref="D16:E16"/>
    <mergeCell ref="D17:E17"/>
    <mergeCell ref="D18:E18"/>
    <mergeCell ref="D19:E19"/>
    <mergeCell ref="D20:E20"/>
    <mergeCell ref="D21:E21"/>
    <mergeCell ref="D22:E22"/>
    <mergeCell ref="A23:B23"/>
    <mergeCell ref="D23:E23"/>
    <mergeCell ref="A24:A35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D35:E35"/>
    <mergeCell ref="A37:B37"/>
    <mergeCell ref="D37:E37"/>
    <mergeCell ref="A38:B38"/>
    <mergeCell ref="D38:E38"/>
    <mergeCell ref="A36:B36"/>
    <mergeCell ref="D36:E36"/>
    <mergeCell ref="A39:B39"/>
    <mergeCell ref="D39:E39"/>
    <mergeCell ref="A40:B40"/>
    <mergeCell ref="D40:E40"/>
    <mergeCell ref="A41:B41"/>
    <mergeCell ref="D41:E41"/>
    <mergeCell ref="A42:B42"/>
    <mergeCell ref="D42:E42"/>
    <mergeCell ref="A55:E55"/>
    <mergeCell ref="A43:B43"/>
    <mergeCell ref="D43:E43"/>
    <mergeCell ref="A44:B44"/>
    <mergeCell ref="D44:E44"/>
    <mergeCell ref="A45:B45"/>
    <mergeCell ref="D45:E45"/>
    <mergeCell ref="A48:E49"/>
    <mergeCell ref="A50:E50"/>
    <mergeCell ref="A51:E52"/>
    <mergeCell ref="A53:E53"/>
    <mergeCell ref="A54:E54"/>
  </mergeCells>
  <conditionalFormatting sqref="B17">
    <cfRule type="duplicateValues" dxfId="246" priority="4"/>
  </conditionalFormatting>
  <conditionalFormatting sqref="B18">
    <cfRule type="duplicateValues" dxfId="245" priority="3"/>
  </conditionalFormatting>
  <conditionalFormatting sqref="B20">
    <cfRule type="duplicateValues" dxfId="244" priority="2"/>
  </conditionalFormatting>
  <conditionalFormatting sqref="B21">
    <cfRule type="duplicateValues" dxfId="243" priority="10"/>
  </conditionalFormatting>
  <conditionalFormatting sqref="B25">
    <cfRule type="duplicateValues" dxfId="242" priority="12"/>
  </conditionalFormatting>
  <conditionalFormatting sqref="B28">
    <cfRule type="duplicateValues" dxfId="241" priority="1"/>
  </conditionalFormatting>
  <conditionalFormatting sqref="B32">
    <cfRule type="duplicateValues" dxfId="240" priority="11"/>
  </conditionalFormatting>
  <conditionalFormatting sqref="B38">
    <cfRule type="duplicateValues" dxfId="239" priority="6"/>
  </conditionalFormatting>
  <conditionalFormatting sqref="B39">
    <cfRule type="duplicateValues" dxfId="238" priority="5"/>
  </conditionalFormatting>
  <conditionalFormatting sqref="B40">
    <cfRule type="duplicateValues" dxfId="237" priority="9"/>
  </conditionalFormatting>
  <conditionalFormatting sqref="B41">
    <cfRule type="duplicateValues" dxfId="236" priority="8"/>
  </conditionalFormatting>
  <conditionalFormatting sqref="B42">
    <cfRule type="duplicateValues" dxfId="235" priority="7"/>
  </conditionalFormatting>
  <conditionalFormatting sqref="B56:B1048576 B4:B10 B26:B27 B12:B16 B33:B37 B22:B24 B43:B47 B19 B29:B31">
    <cfRule type="duplicateValues" dxfId="234" priority="13"/>
  </conditionalFormatting>
  <pageMargins left="0.7" right="0.7" top="0.75" bottom="0.75" header="0.3" footer="0.3"/>
  <pageSetup paperSize="9" scale="88" orientation="portrait" horizontalDpi="4294967295" verticalDpi="4294967295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04FCE-8137-4C4E-AC32-8C8B05B1ED02}">
  <sheetPr codeName="Sheet53">
    <tabColor theme="4" tint="-0.249977111117893"/>
    <pageSetUpPr fitToPage="1"/>
  </sheetPr>
  <dimension ref="A1:E55"/>
  <sheetViews>
    <sheetView zoomScaleNormal="100" workbookViewId="0">
      <selection sqref="A1:B3"/>
    </sheetView>
  </sheetViews>
  <sheetFormatPr defaultColWidth="8.85546875" defaultRowHeight="12" x14ac:dyDescent="0.2"/>
  <cols>
    <col min="1" max="1" width="12.5703125" style="1" customWidth="1"/>
    <col min="2" max="2" width="13.42578125" style="1" bestFit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4" customFormat="1" ht="30" customHeight="1" x14ac:dyDescent="0.25">
      <c r="A1" s="77" t="e" vm="1">
        <v>#VALUE!</v>
      </c>
      <c r="B1" s="78"/>
      <c r="C1" s="83" t="s">
        <v>112</v>
      </c>
      <c r="D1" s="13" t="s">
        <v>110</v>
      </c>
      <c r="E1" s="13" t="s">
        <v>435</v>
      </c>
    </row>
    <row r="2" spans="1:5" s="14" customFormat="1" ht="30" customHeight="1" x14ac:dyDescent="0.25">
      <c r="A2" s="79"/>
      <c r="B2" s="80"/>
      <c r="C2" s="84"/>
      <c r="D2" s="15" t="s">
        <v>109</v>
      </c>
      <c r="E2" s="16" t="str">
        <f>VLOOKUP(C4,Index!B:J,9,FALSE)</f>
        <v>C0</v>
      </c>
    </row>
    <row r="3" spans="1:5" s="14" customFormat="1" ht="30" customHeight="1" x14ac:dyDescent="0.25">
      <c r="A3" s="81"/>
      <c r="B3" s="82"/>
      <c r="C3" s="85"/>
      <c r="D3" s="15" t="s">
        <v>111</v>
      </c>
      <c r="E3" s="17">
        <f>VLOOKUP(C4,Index!B:I,8,FALSE)</f>
        <v>361</v>
      </c>
    </row>
    <row r="4" spans="1:5" x14ac:dyDescent="0.2">
      <c r="A4" s="86" t="s">
        <v>74</v>
      </c>
      <c r="B4" s="86"/>
      <c r="C4" s="2" t="s">
        <v>229</v>
      </c>
      <c r="D4" s="86" t="s">
        <v>55</v>
      </c>
      <c r="E4" s="86"/>
    </row>
    <row r="5" spans="1:5" x14ac:dyDescent="0.2">
      <c r="A5" s="69" t="s">
        <v>26</v>
      </c>
      <c r="B5" s="69"/>
      <c r="C5" s="3" t="s">
        <v>170</v>
      </c>
      <c r="D5" s="69"/>
      <c r="E5" s="69"/>
    </row>
    <row r="6" spans="1:5" x14ac:dyDescent="0.2">
      <c r="A6" s="69" t="s">
        <v>27</v>
      </c>
      <c r="B6" s="69"/>
      <c r="C6" s="3" t="s">
        <v>78</v>
      </c>
      <c r="D6" s="69"/>
      <c r="E6" s="69"/>
    </row>
    <row r="7" spans="1:5" x14ac:dyDescent="0.2">
      <c r="A7" s="69" t="s">
        <v>28</v>
      </c>
      <c r="B7" s="69"/>
      <c r="C7" s="3" t="s">
        <v>82</v>
      </c>
      <c r="D7" s="69"/>
      <c r="E7" s="69"/>
    </row>
    <row r="8" spans="1:5" x14ac:dyDescent="0.2">
      <c r="A8" s="69" t="s">
        <v>29</v>
      </c>
      <c r="B8" s="69"/>
      <c r="C8" s="3" t="str">
        <f>VLOOKUP(C5,Index!N:W,6,FALSE)</f>
        <v>Glycol, Corrosive HC service</v>
      </c>
      <c r="D8" s="69"/>
      <c r="E8" s="69"/>
    </row>
    <row r="9" spans="1:5" x14ac:dyDescent="0.2">
      <c r="A9" s="69" t="s">
        <v>30</v>
      </c>
      <c r="B9" s="69"/>
      <c r="C9" s="3" t="s">
        <v>148</v>
      </c>
      <c r="D9" s="69"/>
      <c r="E9" s="69"/>
    </row>
    <row r="10" spans="1:5" x14ac:dyDescent="0.2">
      <c r="A10" s="69" t="s">
        <v>31</v>
      </c>
      <c r="B10" s="69"/>
      <c r="C10" s="3" t="s">
        <v>63</v>
      </c>
      <c r="D10" s="69"/>
      <c r="E10" s="69"/>
    </row>
    <row r="11" spans="1:5" x14ac:dyDescent="0.2">
      <c r="A11" s="73" t="s">
        <v>119</v>
      </c>
      <c r="B11" s="74"/>
      <c r="C11" s="12" t="str">
        <f>VLOOKUP(C5,Index!N:W,10,FALSE)</f>
        <v>206.8 @ -100°C' 145.8 @ 200°C</v>
      </c>
      <c r="D11" s="75"/>
      <c r="E11" s="76"/>
    </row>
    <row r="12" spans="1:5" x14ac:dyDescent="0.2">
      <c r="A12" s="69" t="s">
        <v>32</v>
      </c>
      <c r="B12" s="69"/>
      <c r="C12" s="3" t="str">
        <f>VLOOKUP(C5,Index!N:W,5,FALSE)</f>
        <v>NIL</v>
      </c>
      <c r="D12" s="69"/>
      <c r="E12" s="69"/>
    </row>
    <row r="13" spans="1:5" ht="24" x14ac:dyDescent="0.2">
      <c r="A13" s="69" t="s">
        <v>33</v>
      </c>
      <c r="B13" s="69"/>
      <c r="C13" s="3" t="s">
        <v>98</v>
      </c>
      <c r="D13" s="69"/>
      <c r="E13" s="69"/>
    </row>
    <row r="14" spans="1:5" ht="24" x14ac:dyDescent="0.2">
      <c r="A14" s="69" t="s">
        <v>35</v>
      </c>
      <c r="B14" s="69"/>
      <c r="C14" s="3" t="s">
        <v>316</v>
      </c>
      <c r="D14" s="69"/>
      <c r="E14" s="69"/>
    </row>
    <row r="15" spans="1:5" x14ac:dyDescent="0.2">
      <c r="A15" s="69" t="s">
        <v>36</v>
      </c>
      <c r="B15" s="69"/>
      <c r="C15" s="3" t="s">
        <v>67</v>
      </c>
      <c r="D15" s="69"/>
      <c r="E15" s="69"/>
    </row>
    <row r="16" spans="1:5" x14ac:dyDescent="0.2">
      <c r="A16" s="69" t="s">
        <v>37</v>
      </c>
      <c r="B16" s="4" t="s">
        <v>38</v>
      </c>
      <c r="C16" s="3" t="s">
        <v>73</v>
      </c>
      <c r="D16" s="69"/>
      <c r="E16" s="69"/>
    </row>
    <row r="17" spans="1:5" ht="24" x14ac:dyDescent="0.2">
      <c r="A17" s="69"/>
      <c r="B17" s="4" t="s">
        <v>75</v>
      </c>
      <c r="C17" s="3" t="s">
        <v>77</v>
      </c>
      <c r="D17" s="69"/>
      <c r="E17" s="69"/>
    </row>
    <row r="18" spans="1:5" ht="24" x14ac:dyDescent="0.2">
      <c r="A18" s="69"/>
      <c r="B18" s="4" t="s">
        <v>39</v>
      </c>
      <c r="C18" s="3" t="s">
        <v>87</v>
      </c>
      <c r="D18" s="69"/>
      <c r="E18" s="69"/>
    </row>
    <row r="19" spans="1:5" x14ac:dyDescent="0.2">
      <c r="A19" s="69"/>
      <c r="B19" s="4" t="s">
        <v>68</v>
      </c>
      <c r="C19" s="3" t="s">
        <v>146</v>
      </c>
      <c r="D19" s="69"/>
      <c r="E19" s="69"/>
    </row>
    <row r="20" spans="1:5" x14ac:dyDescent="0.2">
      <c r="A20" s="69"/>
      <c r="B20" s="4" t="s">
        <v>141</v>
      </c>
      <c r="C20" s="3" t="s">
        <v>142</v>
      </c>
      <c r="D20" s="69"/>
      <c r="E20" s="69"/>
    </row>
    <row r="21" spans="1:5" x14ac:dyDescent="0.2">
      <c r="A21" s="69"/>
      <c r="B21" s="4" t="s">
        <v>69</v>
      </c>
      <c r="C21" s="3" t="s">
        <v>106</v>
      </c>
      <c r="D21" s="69"/>
      <c r="E21" s="69"/>
    </row>
    <row r="22" spans="1:5" ht="24" x14ac:dyDescent="0.2">
      <c r="A22" s="69"/>
      <c r="B22" s="4" t="s">
        <v>40</v>
      </c>
      <c r="C22" s="3" t="s">
        <v>86</v>
      </c>
      <c r="D22" s="69"/>
      <c r="E22" s="69"/>
    </row>
    <row r="23" spans="1:5" ht="24" x14ac:dyDescent="0.2">
      <c r="A23" s="69" t="s">
        <v>41</v>
      </c>
      <c r="B23" s="69"/>
      <c r="C23" s="3" t="s">
        <v>122</v>
      </c>
      <c r="D23" s="69"/>
      <c r="E23" s="69"/>
    </row>
    <row r="24" spans="1:5" ht="24" x14ac:dyDescent="0.2">
      <c r="A24" s="69" t="s">
        <v>42</v>
      </c>
      <c r="B24" s="4" t="s">
        <v>91</v>
      </c>
      <c r="C24" s="3" t="s">
        <v>80</v>
      </c>
      <c r="D24" s="69"/>
      <c r="E24" s="69"/>
    </row>
    <row r="25" spans="1:5" x14ac:dyDescent="0.2">
      <c r="A25" s="69"/>
      <c r="B25" s="4" t="s">
        <v>93</v>
      </c>
      <c r="C25" s="3" t="s">
        <v>132</v>
      </c>
      <c r="D25" s="69"/>
      <c r="E25" s="69"/>
    </row>
    <row r="26" spans="1:5" x14ac:dyDescent="0.2">
      <c r="A26" s="69"/>
      <c r="B26" s="4" t="s">
        <v>94</v>
      </c>
      <c r="C26" s="3" t="s">
        <v>102</v>
      </c>
      <c r="D26" s="69"/>
      <c r="E26" s="69"/>
    </row>
    <row r="27" spans="1:5" x14ac:dyDescent="0.2">
      <c r="A27" s="69"/>
      <c r="B27" s="4" t="s">
        <v>95</v>
      </c>
      <c r="C27" s="3" t="s">
        <v>105</v>
      </c>
      <c r="D27" s="69"/>
      <c r="E27" s="69"/>
    </row>
    <row r="28" spans="1:5" x14ac:dyDescent="0.2">
      <c r="A28" s="69"/>
      <c r="B28" s="4" t="s">
        <v>144</v>
      </c>
      <c r="C28" s="3" t="s">
        <v>145</v>
      </c>
      <c r="D28" s="69"/>
      <c r="E28" s="69"/>
    </row>
    <row r="29" spans="1:5" x14ac:dyDescent="0.2">
      <c r="A29" s="69"/>
      <c r="B29" s="4" t="s">
        <v>92</v>
      </c>
      <c r="C29" s="3" t="s">
        <v>102</v>
      </c>
      <c r="D29" s="69"/>
      <c r="E29" s="69"/>
    </row>
    <row r="30" spans="1:5" x14ac:dyDescent="0.2">
      <c r="A30" s="69"/>
      <c r="B30" s="4" t="s">
        <v>96</v>
      </c>
      <c r="C30" s="3" t="s">
        <v>102</v>
      </c>
      <c r="D30" s="69"/>
      <c r="E30" s="69"/>
    </row>
    <row r="31" spans="1:5" ht="36" x14ac:dyDescent="0.2">
      <c r="A31" s="69"/>
      <c r="B31" s="4" t="s">
        <v>72</v>
      </c>
      <c r="C31" s="3" t="s">
        <v>139</v>
      </c>
      <c r="D31" s="69"/>
      <c r="E31" s="69"/>
    </row>
    <row r="32" spans="1:5" ht="24" x14ac:dyDescent="0.2">
      <c r="A32" s="69"/>
      <c r="B32" s="6" t="s">
        <v>140</v>
      </c>
      <c r="C32" s="5" t="s">
        <v>99</v>
      </c>
      <c r="D32" s="69"/>
      <c r="E32" s="69"/>
    </row>
    <row r="33" spans="1:5" ht="24" x14ac:dyDescent="0.2">
      <c r="A33" s="69"/>
      <c r="B33" s="4" t="s">
        <v>43</v>
      </c>
      <c r="C33" s="3" t="s">
        <v>187</v>
      </c>
      <c r="D33" s="69"/>
      <c r="E33" s="69"/>
    </row>
    <row r="34" spans="1:5" ht="36" x14ac:dyDescent="0.2">
      <c r="A34" s="69"/>
      <c r="B34" s="4" t="s">
        <v>44</v>
      </c>
      <c r="C34" s="3" t="s">
        <v>194</v>
      </c>
      <c r="D34" s="69"/>
      <c r="E34" s="69"/>
    </row>
    <row r="35" spans="1:5" ht="36" x14ac:dyDescent="0.2">
      <c r="A35" s="69"/>
      <c r="B35" s="4" t="s">
        <v>45</v>
      </c>
      <c r="C35" s="3" t="s">
        <v>184</v>
      </c>
      <c r="D35" s="69"/>
      <c r="E35" s="69"/>
    </row>
    <row r="36" spans="1:5" ht="36" x14ac:dyDescent="0.2">
      <c r="A36" s="69" t="s">
        <v>46</v>
      </c>
      <c r="B36" s="69"/>
      <c r="C36" s="3" t="s">
        <v>47</v>
      </c>
      <c r="D36" s="69"/>
      <c r="E36" s="69"/>
    </row>
    <row r="37" spans="1:5" x14ac:dyDescent="0.2">
      <c r="A37" s="69" t="s">
        <v>48</v>
      </c>
      <c r="B37" s="69"/>
      <c r="C37" s="3" t="s">
        <v>49</v>
      </c>
      <c r="D37" s="69"/>
      <c r="E37" s="69"/>
    </row>
    <row r="38" spans="1:5" x14ac:dyDescent="0.2">
      <c r="A38" s="69" t="s">
        <v>129</v>
      </c>
      <c r="B38" s="69"/>
      <c r="C38" s="3" t="s">
        <v>50</v>
      </c>
      <c r="D38" s="69"/>
      <c r="E38" s="69"/>
    </row>
    <row r="39" spans="1:5" x14ac:dyDescent="0.2">
      <c r="A39" s="69" t="s">
        <v>128</v>
      </c>
      <c r="B39" s="69"/>
      <c r="C39" s="3" t="s">
        <v>127</v>
      </c>
      <c r="D39" s="69"/>
      <c r="E39" s="69"/>
    </row>
    <row r="40" spans="1:5" x14ac:dyDescent="0.2">
      <c r="A40" s="64" t="s">
        <v>124</v>
      </c>
      <c r="B40" s="65"/>
      <c r="C40" s="3" t="s">
        <v>272</v>
      </c>
      <c r="D40" s="64"/>
      <c r="E40" s="65"/>
    </row>
    <row r="41" spans="1:5" x14ac:dyDescent="0.2">
      <c r="A41" s="64" t="s">
        <v>125</v>
      </c>
      <c r="B41" s="65"/>
      <c r="C41" s="3" t="s">
        <v>273</v>
      </c>
      <c r="D41" s="64"/>
      <c r="E41" s="65"/>
    </row>
    <row r="42" spans="1:5" x14ac:dyDescent="0.2">
      <c r="A42" s="64" t="s">
        <v>126</v>
      </c>
      <c r="B42" s="65"/>
      <c r="C42" s="3" t="s">
        <v>195</v>
      </c>
      <c r="D42" s="64"/>
      <c r="E42" s="65"/>
    </row>
    <row r="43" spans="1:5" ht="24" x14ac:dyDescent="0.2">
      <c r="A43" s="69" t="s">
        <v>51</v>
      </c>
      <c r="B43" s="69"/>
      <c r="C43" s="3" t="s">
        <v>52</v>
      </c>
      <c r="D43" s="69"/>
      <c r="E43" s="69"/>
    </row>
    <row r="44" spans="1:5" x14ac:dyDescent="0.2">
      <c r="A44" s="69" t="s">
        <v>53</v>
      </c>
      <c r="B44" s="69"/>
      <c r="C44" s="3" t="s">
        <v>149</v>
      </c>
      <c r="D44" s="69"/>
      <c r="E44" s="69"/>
    </row>
    <row r="45" spans="1:5" ht="24" x14ac:dyDescent="0.2">
      <c r="A45" s="69" t="s">
        <v>54</v>
      </c>
      <c r="B45" s="69"/>
      <c r="C45" s="3" t="s">
        <v>436</v>
      </c>
      <c r="D45" s="69"/>
      <c r="E45" s="69"/>
    </row>
    <row r="46" spans="1:5" x14ac:dyDescent="0.2">
      <c r="A46" s="7"/>
      <c r="B46" s="8"/>
      <c r="C46" s="8"/>
      <c r="D46" s="8"/>
      <c r="E46" s="9"/>
    </row>
    <row r="47" spans="1:5" x14ac:dyDescent="0.2">
      <c r="A47" s="10" t="s">
        <v>58</v>
      </c>
      <c r="E47" s="11"/>
    </row>
    <row r="48" spans="1:5" x14ac:dyDescent="0.2">
      <c r="A48" s="70" t="s">
        <v>70</v>
      </c>
      <c r="B48" s="71"/>
      <c r="C48" s="71"/>
      <c r="D48" s="71"/>
      <c r="E48" s="72"/>
    </row>
    <row r="49" spans="1:5" x14ac:dyDescent="0.2">
      <c r="A49" s="70"/>
      <c r="B49" s="71"/>
      <c r="C49" s="71"/>
      <c r="D49" s="71"/>
      <c r="E49" s="72"/>
    </row>
    <row r="50" spans="1:5" x14ac:dyDescent="0.2">
      <c r="A50" s="70" t="s">
        <v>437</v>
      </c>
      <c r="B50" s="71"/>
      <c r="C50" s="71"/>
      <c r="D50" s="71"/>
      <c r="E50" s="72"/>
    </row>
    <row r="51" spans="1:5" x14ac:dyDescent="0.2">
      <c r="A51" s="70" t="s">
        <v>97</v>
      </c>
      <c r="B51" s="71"/>
      <c r="C51" s="71"/>
      <c r="D51" s="71"/>
      <c r="E51" s="72"/>
    </row>
    <row r="52" spans="1:5" x14ac:dyDescent="0.2">
      <c r="A52" s="70"/>
      <c r="B52" s="71"/>
      <c r="C52" s="71"/>
      <c r="D52" s="71"/>
      <c r="E52" s="72"/>
    </row>
    <row r="53" spans="1:5" x14ac:dyDescent="0.2">
      <c r="A53" s="70" t="s">
        <v>150</v>
      </c>
      <c r="B53" s="71"/>
      <c r="C53" s="71"/>
      <c r="D53" s="71"/>
      <c r="E53" s="72"/>
    </row>
    <row r="54" spans="1:5" ht="11.45" customHeight="1" x14ac:dyDescent="0.2">
      <c r="A54" s="70" t="s">
        <v>151</v>
      </c>
      <c r="B54" s="71"/>
      <c r="C54" s="71"/>
      <c r="D54" s="71"/>
      <c r="E54" s="72"/>
    </row>
    <row r="55" spans="1:5" x14ac:dyDescent="0.2">
      <c r="A55" s="66" t="s">
        <v>104</v>
      </c>
      <c r="B55" s="67"/>
      <c r="C55" s="67"/>
      <c r="D55" s="67"/>
      <c r="E55" s="68"/>
    </row>
  </sheetData>
  <mergeCells count="75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2"/>
    <mergeCell ref="D16:E16"/>
    <mergeCell ref="D17:E17"/>
    <mergeCell ref="D18:E18"/>
    <mergeCell ref="D19:E19"/>
    <mergeCell ref="D20:E20"/>
    <mergeCell ref="D21:E21"/>
    <mergeCell ref="D22:E22"/>
    <mergeCell ref="A23:B23"/>
    <mergeCell ref="D23:E23"/>
    <mergeCell ref="A24:A35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D35:E35"/>
    <mergeCell ref="A37:B37"/>
    <mergeCell ref="D37:E37"/>
    <mergeCell ref="A38:B38"/>
    <mergeCell ref="D38:E38"/>
    <mergeCell ref="A36:B36"/>
    <mergeCell ref="D36:E36"/>
    <mergeCell ref="A39:B39"/>
    <mergeCell ref="D39:E39"/>
    <mergeCell ref="A40:B40"/>
    <mergeCell ref="D40:E40"/>
    <mergeCell ref="A41:B41"/>
    <mergeCell ref="D41:E41"/>
    <mergeCell ref="A42:B42"/>
    <mergeCell ref="D42:E42"/>
    <mergeCell ref="A55:E55"/>
    <mergeCell ref="A43:B43"/>
    <mergeCell ref="D43:E43"/>
    <mergeCell ref="A44:B44"/>
    <mergeCell ref="D44:E44"/>
    <mergeCell ref="A45:B45"/>
    <mergeCell ref="D45:E45"/>
    <mergeCell ref="A48:E49"/>
    <mergeCell ref="A50:E50"/>
    <mergeCell ref="A51:E52"/>
    <mergeCell ref="A53:E53"/>
    <mergeCell ref="A54:E54"/>
  </mergeCells>
  <conditionalFormatting sqref="B17">
    <cfRule type="duplicateValues" dxfId="233" priority="4"/>
  </conditionalFormatting>
  <conditionalFormatting sqref="B18">
    <cfRule type="duplicateValues" dxfId="232" priority="3"/>
  </conditionalFormatting>
  <conditionalFormatting sqref="B20">
    <cfRule type="duplicateValues" dxfId="231" priority="2"/>
  </conditionalFormatting>
  <conditionalFormatting sqref="B21">
    <cfRule type="duplicateValues" dxfId="230" priority="10"/>
  </conditionalFormatting>
  <conditionalFormatting sqref="B25">
    <cfRule type="duplicateValues" dxfId="229" priority="12"/>
  </conditionalFormatting>
  <conditionalFormatting sqref="B28">
    <cfRule type="duplicateValues" dxfId="228" priority="1"/>
  </conditionalFormatting>
  <conditionalFormatting sqref="B32">
    <cfRule type="duplicateValues" dxfId="227" priority="11"/>
  </conditionalFormatting>
  <conditionalFormatting sqref="B38">
    <cfRule type="duplicateValues" dxfId="226" priority="6"/>
  </conditionalFormatting>
  <conditionalFormatting sqref="B39">
    <cfRule type="duplicateValues" dxfId="225" priority="5"/>
  </conditionalFormatting>
  <conditionalFormatting sqref="B40">
    <cfRule type="duplicateValues" dxfId="224" priority="9"/>
  </conditionalFormatting>
  <conditionalFormatting sqref="B41">
    <cfRule type="duplicateValues" dxfId="223" priority="8"/>
  </conditionalFormatting>
  <conditionalFormatting sqref="B42">
    <cfRule type="duplicateValues" dxfId="222" priority="7"/>
  </conditionalFormatting>
  <conditionalFormatting sqref="B56:B1048576 B4:B10 B26:B27 B12:B16 B33:B37 B22:B24 B43:B47 B19 B29:B31">
    <cfRule type="duplicateValues" dxfId="221" priority="13"/>
  </conditionalFormatting>
  <pageMargins left="0.7" right="0.7" top="0.75" bottom="0.75" header="0.3" footer="0.3"/>
  <pageSetup paperSize="9" scale="87" orientation="portrait" horizontalDpi="4294967295" verticalDpi="4294967295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F3E7A0-C319-4F17-9EBC-F2581D8B8CEA}">
  <sheetPr codeName="Sheet54">
    <tabColor theme="4" tint="-0.249977111117893"/>
    <pageSetUpPr fitToPage="1"/>
  </sheetPr>
  <dimension ref="A1:E55"/>
  <sheetViews>
    <sheetView zoomScaleNormal="100" workbookViewId="0">
      <selection sqref="A1:B3"/>
    </sheetView>
  </sheetViews>
  <sheetFormatPr defaultColWidth="8.85546875" defaultRowHeight="12" x14ac:dyDescent="0.2"/>
  <cols>
    <col min="1" max="1" width="12.5703125" style="1" customWidth="1"/>
    <col min="2" max="2" width="13.42578125" style="1" bestFit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4" customFormat="1" ht="30" customHeight="1" x14ac:dyDescent="0.25">
      <c r="A1" s="77" t="e" vm="1">
        <v>#VALUE!</v>
      </c>
      <c r="B1" s="78"/>
      <c r="C1" s="83" t="s">
        <v>112</v>
      </c>
      <c r="D1" s="13" t="s">
        <v>110</v>
      </c>
      <c r="E1" s="13" t="s">
        <v>435</v>
      </c>
    </row>
    <row r="2" spans="1:5" s="14" customFormat="1" ht="30" customHeight="1" x14ac:dyDescent="0.25">
      <c r="A2" s="79"/>
      <c r="B2" s="80"/>
      <c r="C2" s="84"/>
      <c r="D2" s="15" t="s">
        <v>109</v>
      </c>
      <c r="E2" s="16" t="str">
        <f>VLOOKUP(C4,Index!B:J,9,FALSE)</f>
        <v>C0</v>
      </c>
    </row>
    <row r="3" spans="1:5" s="14" customFormat="1" ht="30" customHeight="1" x14ac:dyDescent="0.25">
      <c r="A3" s="81"/>
      <c r="B3" s="82"/>
      <c r="C3" s="85"/>
      <c r="D3" s="15" t="s">
        <v>111</v>
      </c>
      <c r="E3" s="17">
        <f>VLOOKUP(C4,Index!B:I,8,FALSE)</f>
        <v>362</v>
      </c>
    </row>
    <row r="4" spans="1:5" x14ac:dyDescent="0.2">
      <c r="A4" s="86" t="s">
        <v>74</v>
      </c>
      <c r="B4" s="86"/>
      <c r="C4" s="2" t="s">
        <v>230</v>
      </c>
      <c r="D4" s="86" t="s">
        <v>55</v>
      </c>
      <c r="E4" s="86"/>
    </row>
    <row r="5" spans="1:5" x14ac:dyDescent="0.2">
      <c r="A5" s="69" t="s">
        <v>26</v>
      </c>
      <c r="B5" s="69"/>
      <c r="C5" s="3" t="s">
        <v>171</v>
      </c>
      <c r="D5" s="69"/>
      <c r="E5" s="69"/>
    </row>
    <row r="6" spans="1:5" x14ac:dyDescent="0.2">
      <c r="A6" s="69" t="s">
        <v>27</v>
      </c>
      <c r="B6" s="69"/>
      <c r="C6" s="3" t="s">
        <v>78</v>
      </c>
      <c r="D6" s="69"/>
      <c r="E6" s="69"/>
    </row>
    <row r="7" spans="1:5" x14ac:dyDescent="0.2">
      <c r="A7" s="69" t="s">
        <v>28</v>
      </c>
      <c r="B7" s="69"/>
      <c r="C7" s="3" t="s">
        <v>82</v>
      </c>
      <c r="D7" s="69"/>
      <c r="E7" s="69"/>
    </row>
    <row r="8" spans="1:5" x14ac:dyDescent="0.2">
      <c r="A8" s="69" t="s">
        <v>29</v>
      </c>
      <c r="B8" s="69"/>
      <c r="C8" s="3" t="str">
        <f>VLOOKUP(C5,Index!N:W,6,FALSE)</f>
        <v>Glycol, Corrosive HC service</v>
      </c>
      <c r="D8" s="69"/>
      <c r="E8" s="69"/>
    </row>
    <row r="9" spans="1:5" x14ac:dyDescent="0.2">
      <c r="A9" s="69" t="s">
        <v>30</v>
      </c>
      <c r="B9" s="69"/>
      <c r="C9" s="3" t="s">
        <v>148</v>
      </c>
      <c r="D9" s="69"/>
      <c r="E9" s="69"/>
    </row>
    <row r="10" spans="1:5" x14ac:dyDescent="0.2">
      <c r="A10" s="69" t="s">
        <v>31</v>
      </c>
      <c r="B10" s="69"/>
      <c r="C10" s="3" t="s">
        <v>64</v>
      </c>
      <c r="D10" s="69"/>
      <c r="E10" s="69"/>
    </row>
    <row r="11" spans="1:5" x14ac:dyDescent="0.2">
      <c r="A11" s="73" t="s">
        <v>119</v>
      </c>
      <c r="B11" s="74"/>
      <c r="C11" s="12" t="str">
        <f>VLOOKUP(C5,Index!N:W,10,FALSE)</f>
        <v>344.7 @ -100°C' 243 @ 200°C</v>
      </c>
      <c r="D11" s="75"/>
      <c r="E11" s="76"/>
    </row>
    <row r="12" spans="1:5" x14ac:dyDescent="0.2">
      <c r="A12" s="69" t="s">
        <v>32</v>
      </c>
      <c r="B12" s="69"/>
      <c r="C12" s="3" t="str">
        <f>VLOOKUP(C5,Index!N:W,5,FALSE)</f>
        <v>NIL</v>
      </c>
      <c r="D12" s="69"/>
      <c r="E12" s="69"/>
    </row>
    <row r="13" spans="1:5" ht="24" x14ac:dyDescent="0.2">
      <c r="A13" s="69" t="s">
        <v>33</v>
      </c>
      <c r="B13" s="69"/>
      <c r="C13" s="3" t="s">
        <v>98</v>
      </c>
      <c r="D13" s="69"/>
      <c r="E13" s="69"/>
    </row>
    <row r="14" spans="1:5" ht="24" x14ac:dyDescent="0.2">
      <c r="A14" s="69" t="s">
        <v>35</v>
      </c>
      <c r="B14" s="69"/>
      <c r="C14" s="3" t="s">
        <v>316</v>
      </c>
      <c r="D14" s="69"/>
      <c r="E14" s="69"/>
    </row>
    <row r="15" spans="1:5" x14ac:dyDescent="0.2">
      <c r="A15" s="69" t="s">
        <v>36</v>
      </c>
      <c r="B15" s="69"/>
      <c r="C15" s="3" t="s">
        <v>67</v>
      </c>
      <c r="D15" s="69"/>
      <c r="E15" s="69"/>
    </row>
    <row r="16" spans="1:5" x14ac:dyDescent="0.2">
      <c r="A16" s="69" t="s">
        <v>37</v>
      </c>
      <c r="B16" s="4" t="s">
        <v>38</v>
      </c>
      <c r="C16" s="3" t="s">
        <v>73</v>
      </c>
      <c r="D16" s="69"/>
      <c r="E16" s="69"/>
    </row>
    <row r="17" spans="1:5" ht="24" x14ac:dyDescent="0.2">
      <c r="A17" s="69"/>
      <c r="B17" s="4" t="s">
        <v>75</v>
      </c>
      <c r="C17" s="3" t="s">
        <v>77</v>
      </c>
      <c r="D17" s="69"/>
      <c r="E17" s="69"/>
    </row>
    <row r="18" spans="1:5" ht="24" x14ac:dyDescent="0.2">
      <c r="A18" s="69"/>
      <c r="B18" s="4" t="s">
        <v>39</v>
      </c>
      <c r="C18" s="3" t="s">
        <v>87</v>
      </c>
      <c r="D18" s="69"/>
      <c r="E18" s="69"/>
    </row>
    <row r="19" spans="1:5" x14ac:dyDescent="0.2">
      <c r="A19" s="69"/>
      <c r="B19" s="4" t="s">
        <v>68</v>
      </c>
      <c r="C19" s="3" t="s">
        <v>146</v>
      </c>
      <c r="D19" s="69"/>
      <c r="E19" s="69"/>
    </row>
    <row r="20" spans="1:5" x14ac:dyDescent="0.2">
      <c r="A20" s="69"/>
      <c r="B20" s="4" t="s">
        <v>141</v>
      </c>
      <c r="C20" s="3" t="s">
        <v>142</v>
      </c>
      <c r="D20" s="69"/>
      <c r="E20" s="69"/>
    </row>
    <row r="21" spans="1:5" x14ac:dyDescent="0.2">
      <c r="A21" s="69"/>
      <c r="B21" s="4" t="s">
        <v>69</v>
      </c>
      <c r="C21" s="3" t="s">
        <v>106</v>
      </c>
      <c r="D21" s="69"/>
      <c r="E21" s="69"/>
    </row>
    <row r="22" spans="1:5" ht="24" x14ac:dyDescent="0.2">
      <c r="A22" s="69"/>
      <c r="B22" s="4" t="s">
        <v>40</v>
      </c>
      <c r="C22" s="3" t="s">
        <v>86</v>
      </c>
      <c r="D22" s="69"/>
      <c r="E22" s="69"/>
    </row>
    <row r="23" spans="1:5" ht="24" x14ac:dyDescent="0.2">
      <c r="A23" s="69" t="s">
        <v>41</v>
      </c>
      <c r="B23" s="69"/>
      <c r="C23" s="3" t="s">
        <v>122</v>
      </c>
      <c r="D23" s="69"/>
      <c r="E23" s="69"/>
    </row>
    <row r="24" spans="1:5" ht="24" x14ac:dyDescent="0.2">
      <c r="A24" s="69" t="s">
        <v>42</v>
      </c>
      <c r="B24" s="4" t="s">
        <v>91</v>
      </c>
      <c r="C24" s="3" t="s">
        <v>80</v>
      </c>
      <c r="D24" s="69"/>
      <c r="E24" s="69"/>
    </row>
    <row r="25" spans="1:5" x14ac:dyDescent="0.2">
      <c r="A25" s="69"/>
      <c r="B25" s="4" t="s">
        <v>93</v>
      </c>
      <c r="C25" s="3" t="s">
        <v>132</v>
      </c>
      <c r="D25" s="69"/>
      <c r="E25" s="69"/>
    </row>
    <row r="26" spans="1:5" x14ac:dyDescent="0.2">
      <c r="A26" s="69"/>
      <c r="B26" s="4" t="s">
        <v>94</v>
      </c>
      <c r="C26" s="3" t="s">
        <v>102</v>
      </c>
      <c r="D26" s="69"/>
      <c r="E26" s="69"/>
    </row>
    <row r="27" spans="1:5" x14ac:dyDescent="0.2">
      <c r="A27" s="69"/>
      <c r="B27" s="4" t="s">
        <v>95</v>
      </c>
      <c r="C27" s="3" t="s">
        <v>105</v>
      </c>
      <c r="D27" s="69"/>
      <c r="E27" s="69"/>
    </row>
    <row r="28" spans="1:5" x14ac:dyDescent="0.2">
      <c r="A28" s="69"/>
      <c r="B28" s="4" t="s">
        <v>144</v>
      </c>
      <c r="C28" s="3" t="s">
        <v>145</v>
      </c>
      <c r="D28" s="69"/>
      <c r="E28" s="69"/>
    </row>
    <row r="29" spans="1:5" x14ac:dyDescent="0.2">
      <c r="A29" s="69"/>
      <c r="B29" s="4" t="s">
        <v>92</v>
      </c>
      <c r="C29" s="3" t="s">
        <v>102</v>
      </c>
      <c r="D29" s="69"/>
      <c r="E29" s="69"/>
    </row>
    <row r="30" spans="1:5" x14ac:dyDescent="0.2">
      <c r="A30" s="69"/>
      <c r="B30" s="4" t="s">
        <v>96</v>
      </c>
      <c r="C30" s="3" t="s">
        <v>102</v>
      </c>
      <c r="D30" s="69"/>
      <c r="E30" s="69"/>
    </row>
    <row r="31" spans="1:5" ht="36" x14ac:dyDescent="0.2">
      <c r="A31" s="69"/>
      <c r="B31" s="4" t="s">
        <v>72</v>
      </c>
      <c r="C31" s="3" t="s">
        <v>139</v>
      </c>
      <c r="D31" s="69"/>
      <c r="E31" s="69"/>
    </row>
    <row r="32" spans="1:5" ht="24" x14ac:dyDescent="0.2">
      <c r="A32" s="69"/>
      <c r="B32" s="6" t="s">
        <v>140</v>
      </c>
      <c r="C32" s="5" t="s">
        <v>99</v>
      </c>
      <c r="D32" s="69"/>
      <c r="E32" s="69"/>
    </row>
    <row r="33" spans="1:5" ht="24" x14ac:dyDescent="0.2">
      <c r="A33" s="69"/>
      <c r="B33" s="4" t="s">
        <v>43</v>
      </c>
      <c r="C33" s="3" t="s">
        <v>187</v>
      </c>
      <c r="D33" s="69"/>
      <c r="E33" s="69"/>
    </row>
    <row r="34" spans="1:5" ht="36" x14ac:dyDescent="0.2">
      <c r="A34" s="69"/>
      <c r="B34" s="4" t="s">
        <v>44</v>
      </c>
      <c r="C34" s="3" t="s">
        <v>194</v>
      </c>
      <c r="D34" s="69"/>
      <c r="E34" s="69"/>
    </row>
    <row r="35" spans="1:5" ht="36" x14ac:dyDescent="0.2">
      <c r="A35" s="69"/>
      <c r="B35" s="4" t="s">
        <v>45</v>
      </c>
      <c r="C35" s="3" t="s">
        <v>184</v>
      </c>
      <c r="D35" s="69"/>
      <c r="E35" s="69"/>
    </row>
    <row r="36" spans="1:5" ht="36" x14ac:dyDescent="0.2">
      <c r="A36" s="69" t="s">
        <v>46</v>
      </c>
      <c r="B36" s="69"/>
      <c r="C36" s="3" t="s">
        <v>47</v>
      </c>
      <c r="D36" s="69"/>
      <c r="E36" s="69"/>
    </row>
    <row r="37" spans="1:5" x14ac:dyDescent="0.2">
      <c r="A37" s="69" t="s">
        <v>48</v>
      </c>
      <c r="B37" s="69"/>
      <c r="C37" s="3" t="s">
        <v>49</v>
      </c>
      <c r="D37" s="69"/>
      <c r="E37" s="69"/>
    </row>
    <row r="38" spans="1:5" x14ac:dyDescent="0.2">
      <c r="A38" s="69" t="s">
        <v>129</v>
      </c>
      <c r="B38" s="69"/>
      <c r="C38" s="3" t="s">
        <v>50</v>
      </c>
      <c r="D38" s="69"/>
      <c r="E38" s="69"/>
    </row>
    <row r="39" spans="1:5" x14ac:dyDescent="0.2">
      <c r="A39" s="69" t="s">
        <v>128</v>
      </c>
      <c r="B39" s="69"/>
      <c r="C39" s="3" t="s">
        <v>127</v>
      </c>
      <c r="D39" s="69"/>
      <c r="E39" s="69"/>
    </row>
    <row r="40" spans="1:5" x14ac:dyDescent="0.2">
      <c r="A40" s="64" t="s">
        <v>124</v>
      </c>
      <c r="B40" s="65"/>
      <c r="C40" s="3" t="s">
        <v>270</v>
      </c>
      <c r="D40" s="64"/>
      <c r="E40" s="65"/>
    </row>
    <row r="41" spans="1:5" x14ac:dyDescent="0.2">
      <c r="A41" s="64" t="s">
        <v>125</v>
      </c>
      <c r="B41" s="65"/>
      <c r="C41" s="3" t="s">
        <v>271</v>
      </c>
      <c r="D41" s="64"/>
      <c r="E41" s="65"/>
    </row>
    <row r="42" spans="1:5" x14ac:dyDescent="0.2">
      <c r="A42" s="64" t="s">
        <v>126</v>
      </c>
      <c r="B42" s="65"/>
      <c r="C42" s="3" t="s">
        <v>195</v>
      </c>
      <c r="D42" s="64"/>
      <c r="E42" s="65"/>
    </row>
    <row r="43" spans="1:5" ht="24" x14ac:dyDescent="0.2">
      <c r="A43" s="69" t="s">
        <v>51</v>
      </c>
      <c r="B43" s="69"/>
      <c r="C43" s="3" t="s">
        <v>52</v>
      </c>
      <c r="D43" s="69"/>
      <c r="E43" s="69"/>
    </row>
    <row r="44" spans="1:5" x14ac:dyDescent="0.2">
      <c r="A44" s="69" t="s">
        <v>53</v>
      </c>
      <c r="B44" s="69"/>
      <c r="C44" s="3" t="s">
        <v>149</v>
      </c>
      <c r="D44" s="69"/>
      <c r="E44" s="69"/>
    </row>
    <row r="45" spans="1:5" ht="24" x14ac:dyDescent="0.2">
      <c r="A45" s="69" t="s">
        <v>54</v>
      </c>
      <c r="B45" s="69"/>
      <c r="C45" s="3" t="s">
        <v>436</v>
      </c>
      <c r="D45" s="69"/>
      <c r="E45" s="69"/>
    </row>
    <row r="46" spans="1:5" x14ac:dyDescent="0.2">
      <c r="A46" s="7"/>
      <c r="B46" s="8"/>
      <c r="C46" s="8"/>
      <c r="D46" s="8"/>
      <c r="E46" s="9"/>
    </row>
    <row r="47" spans="1:5" x14ac:dyDescent="0.2">
      <c r="A47" s="10" t="s">
        <v>58</v>
      </c>
      <c r="E47" s="11"/>
    </row>
    <row r="48" spans="1:5" x14ac:dyDescent="0.2">
      <c r="A48" s="70" t="s">
        <v>70</v>
      </c>
      <c r="B48" s="71"/>
      <c r="C48" s="71"/>
      <c r="D48" s="71"/>
      <c r="E48" s="72"/>
    </row>
    <row r="49" spans="1:5" x14ac:dyDescent="0.2">
      <c r="A49" s="70"/>
      <c r="B49" s="71"/>
      <c r="C49" s="71"/>
      <c r="D49" s="71"/>
      <c r="E49" s="72"/>
    </row>
    <row r="50" spans="1:5" x14ac:dyDescent="0.2">
      <c r="A50" s="70" t="s">
        <v>437</v>
      </c>
      <c r="B50" s="71"/>
      <c r="C50" s="71"/>
      <c r="D50" s="71"/>
      <c r="E50" s="72"/>
    </row>
    <row r="51" spans="1:5" x14ac:dyDescent="0.2">
      <c r="A51" s="70" t="s">
        <v>97</v>
      </c>
      <c r="B51" s="71"/>
      <c r="C51" s="71"/>
      <c r="D51" s="71"/>
      <c r="E51" s="72"/>
    </row>
    <row r="52" spans="1:5" x14ac:dyDescent="0.2">
      <c r="A52" s="70"/>
      <c r="B52" s="71"/>
      <c r="C52" s="71"/>
      <c r="D52" s="71"/>
      <c r="E52" s="72"/>
    </row>
    <row r="53" spans="1:5" x14ac:dyDescent="0.2">
      <c r="A53" s="70" t="s">
        <v>150</v>
      </c>
      <c r="B53" s="71"/>
      <c r="C53" s="71"/>
      <c r="D53" s="71"/>
      <c r="E53" s="72"/>
    </row>
    <row r="54" spans="1:5" ht="11.45" customHeight="1" x14ac:dyDescent="0.2">
      <c r="A54" s="70" t="s">
        <v>151</v>
      </c>
      <c r="B54" s="71"/>
      <c r="C54" s="71"/>
      <c r="D54" s="71"/>
      <c r="E54" s="72"/>
    </row>
    <row r="55" spans="1:5" x14ac:dyDescent="0.2">
      <c r="A55" s="66" t="s">
        <v>104</v>
      </c>
      <c r="B55" s="67"/>
      <c r="C55" s="67"/>
      <c r="D55" s="67"/>
      <c r="E55" s="68"/>
    </row>
  </sheetData>
  <mergeCells count="75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2"/>
    <mergeCell ref="D16:E16"/>
    <mergeCell ref="D17:E17"/>
    <mergeCell ref="D18:E18"/>
    <mergeCell ref="D19:E19"/>
    <mergeCell ref="D20:E20"/>
    <mergeCell ref="D21:E21"/>
    <mergeCell ref="D22:E22"/>
    <mergeCell ref="A23:B23"/>
    <mergeCell ref="D23:E23"/>
    <mergeCell ref="A24:A35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D35:E35"/>
    <mergeCell ref="A37:B37"/>
    <mergeCell ref="D37:E37"/>
    <mergeCell ref="A38:B38"/>
    <mergeCell ref="D38:E38"/>
    <mergeCell ref="A36:B36"/>
    <mergeCell ref="D36:E36"/>
    <mergeCell ref="A39:B39"/>
    <mergeCell ref="D39:E39"/>
    <mergeCell ref="A40:B40"/>
    <mergeCell ref="D40:E40"/>
    <mergeCell ref="A41:B41"/>
    <mergeCell ref="D41:E41"/>
    <mergeCell ref="A42:B42"/>
    <mergeCell ref="D42:E42"/>
    <mergeCell ref="A55:E55"/>
    <mergeCell ref="A43:B43"/>
    <mergeCell ref="D43:E43"/>
    <mergeCell ref="A44:B44"/>
    <mergeCell ref="D44:E44"/>
    <mergeCell ref="A45:B45"/>
    <mergeCell ref="D45:E45"/>
    <mergeCell ref="A48:E49"/>
    <mergeCell ref="A50:E50"/>
    <mergeCell ref="A51:E52"/>
    <mergeCell ref="A53:E53"/>
    <mergeCell ref="A54:E54"/>
  </mergeCells>
  <conditionalFormatting sqref="B17">
    <cfRule type="duplicateValues" dxfId="220" priority="4"/>
  </conditionalFormatting>
  <conditionalFormatting sqref="B18">
    <cfRule type="duplicateValues" dxfId="219" priority="3"/>
  </conditionalFormatting>
  <conditionalFormatting sqref="B20">
    <cfRule type="duplicateValues" dxfId="218" priority="2"/>
  </conditionalFormatting>
  <conditionalFormatting sqref="B21">
    <cfRule type="duplicateValues" dxfId="217" priority="10"/>
  </conditionalFormatting>
  <conditionalFormatting sqref="B25">
    <cfRule type="duplicateValues" dxfId="216" priority="12"/>
  </conditionalFormatting>
  <conditionalFormatting sqref="B28">
    <cfRule type="duplicateValues" dxfId="215" priority="1"/>
  </conditionalFormatting>
  <conditionalFormatting sqref="B32">
    <cfRule type="duplicateValues" dxfId="214" priority="11"/>
  </conditionalFormatting>
  <conditionalFormatting sqref="B38">
    <cfRule type="duplicateValues" dxfId="213" priority="6"/>
  </conditionalFormatting>
  <conditionalFormatting sqref="B39">
    <cfRule type="duplicateValues" dxfId="212" priority="5"/>
  </conditionalFormatting>
  <conditionalFormatting sqref="B40">
    <cfRule type="duplicateValues" dxfId="211" priority="9"/>
  </conditionalFormatting>
  <conditionalFormatting sqref="B41">
    <cfRule type="duplicateValues" dxfId="210" priority="8"/>
  </conditionalFormatting>
  <conditionalFormatting sqref="B42">
    <cfRule type="duplicateValues" dxfId="209" priority="7"/>
  </conditionalFormatting>
  <conditionalFormatting sqref="B56:B1048576 B4:B10 B26:B27 B12:B16 B33:B37 B22:B24 B43:B47 B19 B29:B31">
    <cfRule type="duplicateValues" dxfId="208" priority="13"/>
  </conditionalFormatting>
  <pageMargins left="0.7" right="0.7" top="0.75" bottom="0.75" header="0.3" footer="0.3"/>
  <pageSetup paperSize="9" scale="87" orientation="portrait" horizontalDpi="4294967295" verticalDpi="4294967295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CFDBF9-7245-4779-8FEA-8914553FFB91}">
  <sheetPr codeName="Sheet55">
    <tabColor theme="4" tint="-0.249977111117893"/>
    <pageSetUpPr fitToPage="1"/>
  </sheetPr>
  <dimension ref="A1:E55"/>
  <sheetViews>
    <sheetView zoomScaleNormal="100" workbookViewId="0">
      <selection sqref="A1:B3"/>
    </sheetView>
  </sheetViews>
  <sheetFormatPr defaultColWidth="8.85546875" defaultRowHeight="12" x14ac:dyDescent="0.2"/>
  <cols>
    <col min="1" max="1" width="12.5703125" style="1" customWidth="1"/>
    <col min="2" max="2" width="13.42578125" style="1" bestFit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4" customFormat="1" ht="30" customHeight="1" x14ac:dyDescent="0.25">
      <c r="A1" s="77" t="e" vm="1">
        <v>#VALUE!</v>
      </c>
      <c r="B1" s="78"/>
      <c r="C1" s="83" t="s">
        <v>112</v>
      </c>
      <c r="D1" s="13" t="s">
        <v>110</v>
      </c>
      <c r="E1" s="13" t="s">
        <v>435</v>
      </c>
    </row>
    <row r="2" spans="1:5" s="14" customFormat="1" ht="30" customHeight="1" x14ac:dyDescent="0.25">
      <c r="A2" s="79"/>
      <c r="B2" s="80"/>
      <c r="C2" s="84"/>
      <c r="D2" s="15" t="s">
        <v>109</v>
      </c>
      <c r="E2" s="16" t="str">
        <f>VLOOKUP(C4,Index!B:J,9,FALSE)</f>
        <v>C0</v>
      </c>
    </row>
    <row r="3" spans="1:5" s="14" customFormat="1" ht="30" customHeight="1" x14ac:dyDescent="0.25">
      <c r="A3" s="81"/>
      <c r="B3" s="82"/>
      <c r="C3" s="85"/>
      <c r="D3" s="15" t="s">
        <v>111</v>
      </c>
      <c r="E3" s="17">
        <f>VLOOKUP(C4,Index!B:I,8,FALSE)</f>
        <v>363</v>
      </c>
    </row>
    <row r="4" spans="1:5" x14ac:dyDescent="0.2">
      <c r="A4" s="86" t="s">
        <v>74</v>
      </c>
      <c r="B4" s="86"/>
      <c r="C4" s="2" t="s">
        <v>234</v>
      </c>
      <c r="D4" s="86" t="s">
        <v>55</v>
      </c>
      <c r="E4" s="86"/>
    </row>
    <row r="5" spans="1:5" x14ac:dyDescent="0.2">
      <c r="A5" s="69" t="s">
        <v>26</v>
      </c>
      <c r="B5" s="69"/>
      <c r="C5" s="3" t="s">
        <v>172</v>
      </c>
      <c r="D5" s="69"/>
      <c r="E5" s="69"/>
    </row>
    <row r="6" spans="1:5" x14ac:dyDescent="0.2">
      <c r="A6" s="69" t="s">
        <v>27</v>
      </c>
      <c r="B6" s="69"/>
      <c r="C6" s="3" t="s">
        <v>78</v>
      </c>
      <c r="D6" s="69"/>
      <c r="E6" s="69"/>
    </row>
    <row r="7" spans="1:5" x14ac:dyDescent="0.2">
      <c r="A7" s="69" t="s">
        <v>28</v>
      </c>
      <c r="B7" s="69"/>
      <c r="C7" s="3" t="s">
        <v>82</v>
      </c>
      <c r="D7" s="69"/>
      <c r="E7" s="69"/>
    </row>
    <row r="8" spans="1:5" x14ac:dyDescent="0.2">
      <c r="A8" s="69" t="s">
        <v>29</v>
      </c>
      <c r="B8" s="69"/>
      <c r="C8" s="3" t="str">
        <f>VLOOKUP(C5,Index!N:W,6,FALSE)</f>
        <v>Corrosive HC service</v>
      </c>
      <c r="D8" s="69"/>
      <c r="E8" s="69"/>
    </row>
    <row r="9" spans="1:5" x14ac:dyDescent="0.2">
      <c r="A9" s="69" t="s">
        <v>30</v>
      </c>
      <c r="B9" s="69"/>
      <c r="C9" s="3" t="s">
        <v>148</v>
      </c>
      <c r="D9" s="69"/>
      <c r="E9" s="69"/>
    </row>
    <row r="10" spans="1:5" x14ac:dyDescent="0.2">
      <c r="A10" s="69" t="s">
        <v>31</v>
      </c>
      <c r="B10" s="69"/>
      <c r="C10" s="3" t="s">
        <v>56</v>
      </c>
      <c r="D10" s="69"/>
      <c r="E10" s="69"/>
    </row>
    <row r="11" spans="1:5" x14ac:dyDescent="0.2">
      <c r="A11" s="73" t="s">
        <v>119</v>
      </c>
      <c r="B11" s="74"/>
      <c r="C11" s="12" t="str">
        <f>VLOOKUP(C5,Index!N:W,10,FALSE)</f>
        <v>20 @ -46°C' 13.8 @ 200°C</v>
      </c>
      <c r="D11" s="75"/>
      <c r="E11" s="76"/>
    </row>
    <row r="12" spans="1:5" x14ac:dyDescent="0.2">
      <c r="A12" s="69" t="s">
        <v>32</v>
      </c>
      <c r="B12" s="69"/>
      <c r="C12" s="3" t="str">
        <f>VLOOKUP(C5,Index!N:W,5,FALSE)</f>
        <v>NIL</v>
      </c>
      <c r="D12" s="69"/>
      <c r="E12" s="69"/>
    </row>
    <row r="13" spans="1:5" ht="24" x14ac:dyDescent="0.2">
      <c r="A13" s="69" t="s">
        <v>33</v>
      </c>
      <c r="B13" s="69"/>
      <c r="C13" s="3" t="s">
        <v>98</v>
      </c>
      <c r="D13" s="69"/>
      <c r="E13" s="69"/>
    </row>
    <row r="14" spans="1:5" x14ac:dyDescent="0.2">
      <c r="A14" s="69" t="s">
        <v>35</v>
      </c>
      <c r="B14" s="69"/>
      <c r="C14" s="3" t="s">
        <v>245</v>
      </c>
      <c r="D14" s="69"/>
      <c r="E14" s="69"/>
    </row>
    <row r="15" spans="1:5" x14ac:dyDescent="0.2">
      <c r="A15" s="69" t="s">
        <v>36</v>
      </c>
      <c r="B15" s="69"/>
      <c r="C15" s="3" t="s">
        <v>67</v>
      </c>
      <c r="D15" s="69"/>
      <c r="E15" s="69"/>
    </row>
    <row r="16" spans="1:5" x14ac:dyDescent="0.2">
      <c r="A16" s="69" t="s">
        <v>37</v>
      </c>
      <c r="B16" s="4" t="s">
        <v>38</v>
      </c>
      <c r="C16" s="3" t="s">
        <v>73</v>
      </c>
      <c r="D16" s="69"/>
      <c r="E16" s="69"/>
    </row>
    <row r="17" spans="1:5" ht="24" x14ac:dyDescent="0.2">
      <c r="A17" s="69"/>
      <c r="B17" s="4" t="s">
        <v>75</v>
      </c>
      <c r="C17" s="3" t="s">
        <v>77</v>
      </c>
      <c r="D17" s="69"/>
      <c r="E17" s="69"/>
    </row>
    <row r="18" spans="1:5" ht="24" x14ac:dyDescent="0.2">
      <c r="A18" s="69"/>
      <c r="B18" s="4" t="s">
        <v>39</v>
      </c>
      <c r="C18" s="3" t="s">
        <v>87</v>
      </c>
      <c r="D18" s="69"/>
      <c r="E18" s="69"/>
    </row>
    <row r="19" spans="1:5" x14ac:dyDescent="0.2">
      <c r="A19" s="69"/>
      <c r="B19" s="4" t="s">
        <v>68</v>
      </c>
      <c r="C19" s="3" t="s">
        <v>146</v>
      </c>
      <c r="D19" s="69"/>
      <c r="E19" s="69"/>
    </row>
    <row r="20" spans="1:5" x14ac:dyDescent="0.2">
      <c r="A20" s="69"/>
      <c r="B20" s="4" t="s">
        <v>141</v>
      </c>
      <c r="C20" s="3" t="s">
        <v>142</v>
      </c>
      <c r="D20" s="69"/>
      <c r="E20" s="69"/>
    </row>
    <row r="21" spans="1:5" x14ac:dyDescent="0.2">
      <c r="A21" s="69"/>
      <c r="B21" s="4" t="s">
        <v>69</v>
      </c>
      <c r="C21" s="3" t="s">
        <v>106</v>
      </c>
      <c r="D21" s="69"/>
      <c r="E21" s="69"/>
    </row>
    <row r="22" spans="1:5" ht="24" x14ac:dyDescent="0.2">
      <c r="A22" s="69"/>
      <c r="B22" s="4" t="s">
        <v>40</v>
      </c>
      <c r="C22" s="3" t="s">
        <v>86</v>
      </c>
      <c r="D22" s="69"/>
      <c r="E22" s="69"/>
    </row>
    <row r="23" spans="1:5" ht="24" x14ac:dyDescent="0.2">
      <c r="A23" s="69" t="s">
        <v>41</v>
      </c>
      <c r="B23" s="69"/>
      <c r="C23" s="3" t="s">
        <v>121</v>
      </c>
      <c r="D23" s="69"/>
      <c r="E23" s="69"/>
    </row>
    <row r="24" spans="1:5" ht="36" x14ac:dyDescent="0.2">
      <c r="A24" s="69" t="s">
        <v>42</v>
      </c>
      <c r="B24" s="4" t="s">
        <v>91</v>
      </c>
      <c r="C24" s="3" t="s">
        <v>118</v>
      </c>
      <c r="D24" s="69"/>
      <c r="E24" s="69"/>
    </row>
    <row r="25" spans="1:5" x14ac:dyDescent="0.2">
      <c r="A25" s="69"/>
      <c r="B25" s="4" t="s">
        <v>93</v>
      </c>
      <c r="C25" s="3" t="s">
        <v>131</v>
      </c>
      <c r="D25" s="69"/>
      <c r="E25" s="69"/>
    </row>
    <row r="26" spans="1:5" x14ac:dyDescent="0.2">
      <c r="A26" s="69"/>
      <c r="B26" s="4" t="s">
        <v>94</v>
      </c>
      <c r="C26" s="3" t="s">
        <v>101</v>
      </c>
      <c r="D26" s="69"/>
      <c r="E26" s="69"/>
    </row>
    <row r="27" spans="1:5" x14ac:dyDescent="0.2">
      <c r="A27" s="69"/>
      <c r="B27" s="4" t="s">
        <v>95</v>
      </c>
      <c r="C27" s="3" t="s">
        <v>136</v>
      </c>
      <c r="D27" s="69"/>
      <c r="E27" s="69"/>
    </row>
    <row r="28" spans="1:5" x14ac:dyDescent="0.2">
      <c r="A28" s="69"/>
      <c r="B28" s="4" t="s">
        <v>144</v>
      </c>
      <c r="C28" s="3" t="s">
        <v>145</v>
      </c>
      <c r="D28" s="69"/>
      <c r="E28" s="69"/>
    </row>
    <row r="29" spans="1:5" x14ac:dyDescent="0.2">
      <c r="A29" s="69"/>
      <c r="B29" s="4" t="s">
        <v>92</v>
      </c>
      <c r="C29" s="3" t="s">
        <v>101</v>
      </c>
      <c r="D29" s="69"/>
      <c r="E29" s="69"/>
    </row>
    <row r="30" spans="1:5" x14ac:dyDescent="0.2">
      <c r="A30" s="69"/>
      <c r="B30" s="4" t="s">
        <v>96</v>
      </c>
      <c r="C30" s="3" t="s">
        <v>101</v>
      </c>
      <c r="D30" s="69"/>
      <c r="E30" s="69"/>
    </row>
    <row r="31" spans="1:5" ht="36" x14ac:dyDescent="0.2">
      <c r="A31" s="69"/>
      <c r="B31" s="4" t="s">
        <v>72</v>
      </c>
      <c r="C31" s="3" t="s">
        <v>139</v>
      </c>
      <c r="D31" s="69"/>
      <c r="E31" s="69"/>
    </row>
    <row r="32" spans="1:5" ht="24" x14ac:dyDescent="0.2">
      <c r="A32" s="69"/>
      <c r="B32" s="6" t="s">
        <v>140</v>
      </c>
      <c r="C32" s="5" t="s">
        <v>99</v>
      </c>
      <c r="D32" s="69"/>
      <c r="E32" s="69"/>
    </row>
    <row r="33" spans="1:5" ht="24" x14ac:dyDescent="0.2">
      <c r="A33" s="69"/>
      <c r="B33" s="4" t="s">
        <v>43</v>
      </c>
      <c r="C33" s="3" t="s">
        <v>188</v>
      </c>
      <c r="D33" s="69"/>
      <c r="E33" s="69"/>
    </row>
    <row r="34" spans="1:5" x14ac:dyDescent="0.2">
      <c r="A34" s="69"/>
      <c r="B34" s="4" t="s">
        <v>44</v>
      </c>
      <c r="C34" s="3" t="s">
        <v>294</v>
      </c>
      <c r="D34" s="69"/>
      <c r="E34" s="69"/>
    </row>
    <row r="35" spans="1:5" x14ac:dyDescent="0.2">
      <c r="A35" s="69"/>
      <c r="B35" s="4" t="s">
        <v>45</v>
      </c>
      <c r="C35" s="3" t="s">
        <v>294</v>
      </c>
      <c r="D35" s="69"/>
      <c r="E35" s="69"/>
    </row>
    <row r="36" spans="1:5" ht="36" x14ac:dyDescent="0.2">
      <c r="A36" s="69" t="s">
        <v>46</v>
      </c>
      <c r="B36" s="69"/>
      <c r="C36" s="3" t="s">
        <v>47</v>
      </c>
      <c r="D36" s="69"/>
      <c r="E36" s="69"/>
    </row>
    <row r="37" spans="1:5" x14ac:dyDescent="0.2">
      <c r="A37" s="69" t="s">
        <v>48</v>
      </c>
      <c r="B37" s="69"/>
      <c r="C37" s="3" t="s">
        <v>49</v>
      </c>
      <c r="D37" s="69"/>
      <c r="E37" s="69"/>
    </row>
    <row r="38" spans="1:5" x14ac:dyDescent="0.2">
      <c r="A38" s="69" t="s">
        <v>129</v>
      </c>
      <c r="B38" s="69"/>
      <c r="C38" s="3" t="s">
        <v>50</v>
      </c>
      <c r="D38" s="69"/>
      <c r="E38" s="69"/>
    </row>
    <row r="39" spans="1:5" x14ac:dyDescent="0.2">
      <c r="A39" s="69" t="s">
        <v>128</v>
      </c>
      <c r="B39" s="69"/>
      <c r="C39" s="3" t="s">
        <v>127</v>
      </c>
      <c r="D39" s="69"/>
      <c r="E39" s="69"/>
    </row>
    <row r="40" spans="1:5" x14ac:dyDescent="0.2">
      <c r="A40" s="64" t="s">
        <v>124</v>
      </c>
      <c r="B40" s="65"/>
      <c r="C40" s="3" t="s">
        <v>268</v>
      </c>
      <c r="D40" s="64"/>
      <c r="E40" s="65"/>
    </row>
    <row r="41" spans="1:5" x14ac:dyDescent="0.2">
      <c r="A41" s="64" t="s">
        <v>125</v>
      </c>
      <c r="B41" s="65"/>
      <c r="C41" s="3" t="s">
        <v>269</v>
      </c>
      <c r="D41" s="64"/>
      <c r="E41" s="65"/>
    </row>
    <row r="42" spans="1:5" x14ac:dyDescent="0.2">
      <c r="A42" s="64" t="s">
        <v>126</v>
      </c>
      <c r="B42" s="65"/>
      <c r="C42" s="3" t="s">
        <v>195</v>
      </c>
      <c r="D42" s="64"/>
      <c r="E42" s="65"/>
    </row>
    <row r="43" spans="1:5" ht="24" x14ac:dyDescent="0.2">
      <c r="A43" s="69" t="s">
        <v>51</v>
      </c>
      <c r="B43" s="69"/>
      <c r="C43" s="3" t="s">
        <v>52</v>
      </c>
      <c r="D43" s="69"/>
      <c r="E43" s="69"/>
    </row>
    <row r="44" spans="1:5" x14ac:dyDescent="0.2">
      <c r="A44" s="69" t="s">
        <v>53</v>
      </c>
      <c r="B44" s="69"/>
      <c r="C44" s="3" t="s">
        <v>149</v>
      </c>
      <c r="D44" s="69"/>
      <c r="E44" s="69"/>
    </row>
    <row r="45" spans="1:5" ht="24" x14ac:dyDescent="0.2">
      <c r="A45" s="69" t="s">
        <v>54</v>
      </c>
      <c r="B45" s="69"/>
      <c r="C45" s="3" t="s">
        <v>436</v>
      </c>
      <c r="D45" s="69"/>
      <c r="E45" s="69"/>
    </row>
    <row r="46" spans="1:5" x14ac:dyDescent="0.2">
      <c r="A46" s="7"/>
      <c r="B46" s="8"/>
      <c r="C46" s="8"/>
      <c r="D46" s="8"/>
      <c r="E46" s="9"/>
    </row>
    <row r="47" spans="1:5" x14ac:dyDescent="0.2">
      <c r="A47" s="10" t="s">
        <v>58</v>
      </c>
      <c r="E47" s="11"/>
    </row>
    <row r="48" spans="1:5" x14ac:dyDescent="0.2">
      <c r="A48" s="70" t="s">
        <v>70</v>
      </c>
      <c r="B48" s="71"/>
      <c r="C48" s="71"/>
      <c r="D48" s="71"/>
      <c r="E48" s="72"/>
    </row>
    <row r="49" spans="1:5" x14ac:dyDescent="0.2">
      <c r="A49" s="70"/>
      <c r="B49" s="71"/>
      <c r="C49" s="71"/>
      <c r="D49" s="71"/>
      <c r="E49" s="72"/>
    </row>
    <row r="50" spans="1:5" x14ac:dyDescent="0.2">
      <c r="A50" s="70" t="s">
        <v>437</v>
      </c>
      <c r="B50" s="71"/>
      <c r="C50" s="71"/>
      <c r="D50" s="71"/>
      <c r="E50" s="72"/>
    </row>
    <row r="51" spans="1:5" x14ac:dyDescent="0.2">
      <c r="A51" s="70" t="s">
        <v>97</v>
      </c>
      <c r="B51" s="71"/>
      <c r="C51" s="71"/>
      <c r="D51" s="71"/>
      <c r="E51" s="72"/>
    </row>
    <row r="52" spans="1:5" x14ac:dyDescent="0.2">
      <c r="A52" s="70"/>
      <c r="B52" s="71"/>
      <c r="C52" s="71"/>
      <c r="D52" s="71"/>
      <c r="E52" s="72"/>
    </row>
    <row r="53" spans="1:5" x14ac:dyDescent="0.2">
      <c r="A53" s="70" t="s">
        <v>150</v>
      </c>
      <c r="B53" s="71"/>
      <c r="C53" s="71"/>
      <c r="D53" s="71"/>
      <c r="E53" s="72"/>
    </row>
    <row r="54" spans="1:5" ht="11.45" customHeight="1" x14ac:dyDescent="0.2">
      <c r="A54" s="70" t="s">
        <v>151</v>
      </c>
      <c r="B54" s="71"/>
      <c r="C54" s="71"/>
      <c r="D54" s="71"/>
      <c r="E54" s="72"/>
    </row>
    <row r="55" spans="1:5" x14ac:dyDescent="0.2">
      <c r="A55" s="66" t="s">
        <v>104</v>
      </c>
      <c r="B55" s="67"/>
      <c r="C55" s="67"/>
      <c r="D55" s="67"/>
      <c r="E55" s="68"/>
    </row>
  </sheetData>
  <mergeCells count="75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2"/>
    <mergeCell ref="D16:E16"/>
    <mergeCell ref="D17:E17"/>
    <mergeCell ref="D18:E18"/>
    <mergeCell ref="D19:E19"/>
    <mergeCell ref="D20:E20"/>
    <mergeCell ref="D21:E21"/>
    <mergeCell ref="D22:E22"/>
    <mergeCell ref="A23:B23"/>
    <mergeCell ref="D23:E23"/>
    <mergeCell ref="A24:A35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D35:E35"/>
    <mergeCell ref="A37:B37"/>
    <mergeCell ref="D37:E37"/>
    <mergeCell ref="A38:B38"/>
    <mergeCell ref="D38:E38"/>
    <mergeCell ref="A36:B36"/>
    <mergeCell ref="D36:E36"/>
    <mergeCell ref="A39:B39"/>
    <mergeCell ref="D39:E39"/>
    <mergeCell ref="A40:B40"/>
    <mergeCell ref="D40:E40"/>
    <mergeCell ref="A41:B41"/>
    <mergeCell ref="D41:E41"/>
    <mergeCell ref="A42:B42"/>
    <mergeCell ref="D42:E42"/>
    <mergeCell ref="A55:E55"/>
    <mergeCell ref="A43:B43"/>
    <mergeCell ref="D43:E43"/>
    <mergeCell ref="A44:B44"/>
    <mergeCell ref="D44:E44"/>
    <mergeCell ref="A45:B45"/>
    <mergeCell ref="D45:E45"/>
    <mergeCell ref="A48:E49"/>
    <mergeCell ref="A50:E50"/>
    <mergeCell ref="A51:E52"/>
    <mergeCell ref="A53:E53"/>
    <mergeCell ref="A54:E54"/>
  </mergeCells>
  <conditionalFormatting sqref="B17">
    <cfRule type="duplicateValues" dxfId="207" priority="4"/>
  </conditionalFormatting>
  <conditionalFormatting sqref="B18">
    <cfRule type="duplicateValues" dxfId="206" priority="3"/>
  </conditionalFormatting>
  <conditionalFormatting sqref="B20">
    <cfRule type="duplicateValues" dxfId="205" priority="2"/>
  </conditionalFormatting>
  <conditionalFormatting sqref="B21">
    <cfRule type="duplicateValues" dxfId="204" priority="10"/>
  </conditionalFormatting>
  <conditionalFormatting sqref="B25">
    <cfRule type="duplicateValues" dxfId="203" priority="12"/>
  </conditionalFormatting>
  <conditionalFormatting sqref="B28">
    <cfRule type="duplicateValues" dxfId="202" priority="1"/>
  </conditionalFormatting>
  <conditionalFormatting sqref="B32">
    <cfRule type="duplicateValues" dxfId="201" priority="11"/>
  </conditionalFormatting>
  <conditionalFormatting sqref="B38">
    <cfRule type="duplicateValues" dxfId="200" priority="6"/>
  </conditionalFormatting>
  <conditionalFormatting sqref="B39">
    <cfRule type="duplicateValues" dxfId="199" priority="5"/>
  </conditionalFormatting>
  <conditionalFormatting sqref="B40">
    <cfRule type="duplicateValues" dxfId="198" priority="9"/>
  </conditionalFormatting>
  <conditionalFormatting sqref="B41">
    <cfRule type="duplicateValues" dxfId="197" priority="8"/>
  </conditionalFormatting>
  <conditionalFormatting sqref="B42">
    <cfRule type="duplicateValues" dxfId="196" priority="7"/>
  </conditionalFormatting>
  <conditionalFormatting sqref="B56:B1048576 B4:B10 B26:B27 B12:B16 B33:B37 B22:B24 B43:B47 B19 B29:B31">
    <cfRule type="duplicateValues" dxfId="195" priority="13"/>
  </conditionalFormatting>
  <pageMargins left="0.7" right="0.7" top="0.75" bottom="0.75" header="0.3" footer="0.3"/>
  <pageSetup paperSize="9" scale="88" orientation="portrait" horizontalDpi="4294967295" verticalDpi="4294967295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A090C7-8845-4E23-8CBF-52412B4FF630}">
  <sheetPr codeName="Sheet56">
    <tabColor theme="4" tint="-0.249977111117893"/>
    <pageSetUpPr fitToPage="1"/>
  </sheetPr>
  <dimension ref="A1:E55"/>
  <sheetViews>
    <sheetView zoomScaleNormal="100" workbookViewId="0">
      <selection sqref="A1:B3"/>
    </sheetView>
  </sheetViews>
  <sheetFormatPr defaultColWidth="8.85546875" defaultRowHeight="12" x14ac:dyDescent="0.2"/>
  <cols>
    <col min="1" max="1" width="12.5703125" style="1" customWidth="1"/>
    <col min="2" max="2" width="13.42578125" style="1" bestFit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4" customFormat="1" ht="30" customHeight="1" x14ac:dyDescent="0.25">
      <c r="A1" s="77" t="e" vm="1">
        <v>#VALUE!</v>
      </c>
      <c r="B1" s="78"/>
      <c r="C1" s="83" t="s">
        <v>112</v>
      </c>
      <c r="D1" s="13" t="s">
        <v>110</v>
      </c>
      <c r="E1" s="13" t="s">
        <v>435</v>
      </c>
    </row>
    <row r="2" spans="1:5" s="14" customFormat="1" ht="30" customHeight="1" x14ac:dyDescent="0.25">
      <c r="A2" s="79"/>
      <c r="B2" s="80"/>
      <c r="C2" s="84"/>
      <c r="D2" s="15" t="s">
        <v>109</v>
      </c>
      <c r="E2" s="16" t="str">
        <f>VLOOKUP(C4,Index!B:J,9,FALSE)</f>
        <v>C0</v>
      </c>
    </row>
    <row r="3" spans="1:5" s="14" customFormat="1" ht="30" customHeight="1" x14ac:dyDescent="0.25">
      <c r="A3" s="81"/>
      <c r="B3" s="82"/>
      <c r="C3" s="85"/>
      <c r="D3" s="15" t="s">
        <v>111</v>
      </c>
      <c r="E3" s="17">
        <f>VLOOKUP(C4,Index!B:I,8,FALSE)</f>
        <v>364</v>
      </c>
    </row>
    <row r="4" spans="1:5" x14ac:dyDescent="0.2">
      <c r="A4" s="86" t="s">
        <v>74</v>
      </c>
      <c r="B4" s="86"/>
      <c r="C4" s="2" t="s">
        <v>235</v>
      </c>
      <c r="D4" s="86" t="s">
        <v>55</v>
      </c>
      <c r="E4" s="86"/>
    </row>
    <row r="5" spans="1:5" x14ac:dyDescent="0.2">
      <c r="A5" s="69" t="s">
        <v>26</v>
      </c>
      <c r="B5" s="69"/>
      <c r="C5" s="3" t="s">
        <v>173</v>
      </c>
      <c r="D5" s="69"/>
      <c r="E5" s="69"/>
    </row>
    <row r="6" spans="1:5" x14ac:dyDescent="0.2">
      <c r="A6" s="69" t="s">
        <v>27</v>
      </c>
      <c r="B6" s="69"/>
      <c r="C6" s="3" t="s">
        <v>78</v>
      </c>
      <c r="D6" s="69"/>
      <c r="E6" s="69"/>
    </row>
    <row r="7" spans="1:5" x14ac:dyDescent="0.2">
      <c r="A7" s="69" t="s">
        <v>28</v>
      </c>
      <c r="B7" s="69"/>
      <c r="C7" s="3" t="s">
        <v>82</v>
      </c>
      <c r="D7" s="69"/>
      <c r="E7" s="69"/>
    </row>
    <row r="8" spans="1:5" x14ac:dyDescent="0.2">
      <c r="A8" s="69" t="s">
        <v>29</v>
      </c>
      <c r="B8" s="69"/>
      <c r="C8" s="3" t="str">
        <f>VLOOKUP(C5,Index!N:W,6,FALSE)</f>
        <v>Corrosive HC service</v>
      </c>
      <c r="D8" s="69"/>
      <c r="E8" s="69"/>
    </row>
    <row r="9" spans="1:5" x14ac:dyDescent="0.2">
      <c r="A9" s="69" t="s">
        <v>30</v>
      </c>
      <c r="B9" s="69"/>
      <c r="C9" s="3" t="s">
        <v>148</v>
      </c>
      <c r="D9" s="69"/>
      <c r="E9" s="69"/>
    </row>
    <row r="10" spans="1:5" x14ac:dyDescent="0.2">
      <c r="A10" s="69" t="s">
        <v>31</v>
      </c>
      <c r="B10" s="69"/>
      <c r="C10" s="3" t="s">
        <v>59</v>
      </c>
      <c r="D10" s="69"/>
      <c r="E10" s="69"/>
    </row>
    <row r="11" spans="1:5" x14ac:dyDescent="0.2">
      <c r="A11" s="73" t="s">
        <v>119</v>
      </c>
      <c r="B11" s="74"/>
      <c r="C11" s="12" t="str">
        <f>VLOOKUP(C5,Index!N:W,10,FALSE)</f>
        <v>51.7 @ -46°C' 42.7 @ 200°C</v>
      </c>
      <c r="D11" s="75"/>
      <c r="E11" s="76"/>
    </row>
    <row r="12" spans="1:5" x14ac:dyDescent="0.2">
      <c r="A12" s="69" t="s">
        <v>32</v>
      </c>
      <c r="B12" s="69"/>
      <c r="C12" s="3" t="str">
        <f>VLOOKUP(C5,Index!N:W,5,FALSE)</f>
        <v>NIL</v>
      </c>
      <c r="D12" s="69"/>
      <c r="E12" s="69"/>
    </row>
    <row r="13" spans="1:5" ht="24" x14ac:dyDescent="0.2">
      <c r="A13" s="69" t="s">
        <v>33</v>
      </c>
      <c r="B13" s="69"/>
      <c r="C13" s="3" t="s">
        <v>98</v>
      </c>
      <c r="D13" s="69"/>
      <c r="E13" s="69"/>
    </row>
    <row r="14" spans="1:5" x14ac:dyDescent="0.2">
      <c r="A14" s="69" t="s">
        <v>35</v>
      </c>
      <c r="B14" s="69"/>
      <c r="C14" s="3" t="s">
        <v>245</v>
      </c>
      <c r="D14" s="69"/>
      <c r="E14" s="69"/>
    </row>
    <row r="15" spans="1:5" x14ac:dyDescent="0.2">
      <c r="A15" s="69" t="s">
        <v>36</v>
      </c>
      <c r="B15" s="69"/>
      <c r="C15" s="3" t="s">
        <v>67</v>
      </c>
      <c r="D15" s="69"/>
      <c r="E15" s="69"/>
    </row>
    <row r="16" spans="1:5" x14ac:dyDescent="0.2">
      <c r="A16" s="69" t="s">
        <v>37</v>
      </c>
      <c r="B16" s="4" t="s">
        <v>38</v>
      </c>
      <c r="C16" s="3" t="s">
        <v>73</v>
      </c>
      <c r="D16" s="69"/>
      <c r="E16" s="69"/>
    </row>
    <row r="17" spans="1:5" ht="24" x14ac:dyDescent="0.2">
      <c r="A17" s="69"/>
      <c r="B17" s="4" t="s">
        <v>75</v>
      </c>
      <c r="C17" s="3" t="s">
        <v>77</v>
      </c>
      <c r="D17" s="69"/>
      <c r="E17" s="69"/>
    </row>
    <row r="18" spans="1:5" ht="24" x14ac:dyDescent="0.2">
      <c r="A18" s="69"/>
      <c r="B18" s="4" t="s">
        <v>39</v>
      </c>
      <c r="C18" s="3" t="s">
        <v>87</v>
      </c>
      <c r="D18" s="69"/>
      <c r="E18" s="69"/>
    </row>
    <row r="19" spans="1:5" x14ac:dyDescent="0.2">
      <c r="A19" s="69"/>
      <c r="B19" s="4" t="s">
        <v>68</v>
      </c>
      <c r="C19" s="3" t="s">
        <v>146</v>
      </c>
      <c r="D19" s="69"/>
      <c r="E19" s="69"/>
    </row>
    <row r="20" spans="1:5" x14ac:dyDescent="0.2">
      <c r="A20" s="69"/>
      <c r="B20" s="4" t="s">
        <v>141</v>
      </c>
      <c r="C20" s="3" t="s">
        <v>142</v>
      </c>
      <c r="D20" s="69"/>
      <c r="E20" s="69"/>
    </row>
    <row r="21" spans="1:5" x14ac:dyDescent="0.2">
      <c r="A21" s="69"/>
      <c r="B21" s="4" t="s">
        <v>69</v>
      </c>
      <c r="C21" s="3" t="s">
        <v>106</v>
      </c>
      <c r="D21" s="69"/>
      <c r="E21" s="69"/>
    </row>
    <row r="22" spans="1:5" ht="24" x14ac:dyDescent="0.2">
      <c r="A22" s="69"/>
      <c r="B22" s="4" t="s">
        <v>40</v>
      </c>
      <c r="C22" s="3" t="s">
        <v>86</v>
      </c>
      <c r="D22" s="69"/>
      <c r="E22" s="69"/>
    </row>
    <row r="23" spans="1:5" ht="24" x14ac:dyDescent="0.2">
      <c r="A23" s="69" t="s">
        <v>41</v>
      </c>
      <c r="B23" s="69"/>
      <c r="C23" s="3" t="s">
        <v>121</v>
      </c>
      <c r="D23" s="69"/>
      <c r="E23" s="69"/>
    </row>
    <row r="24" spans="1:5" ht="36" x14ac:dyDescent="0.2">
      <c r="A24" s="69" t="s">
        <v>42</v>
      </c>
      <c r="B24" s="4" t="s">
        <v>91</v>
      </c>
      <c r="C24" s="3" t="s">
        <v>118</v>
      </c>
      <c r="D24" s="69"/>
      <c r="E24" s="69"/>
    </row>
    <row r="25" spans="1:5" x14ac:dyDescent="0.2">
      <c r="A25" s="69"/>
      <c r="B25" s="4" t="s">
        <v>93</v>
      </c>
      <c r="C25" s="3" t="s">
        <v>131</v>
      </c>
      <c r="D25" s="69"/>
      <c r="E25" s="69"/>
    </row>
    <row r="26" spans="1:5" x14ac:dyDescent="0.2">
      <c r="A26" s="69"/>
      <c r="B26" s="4" t="s">
        <v>94</v>
      </c>
      <c r="C26" s="3" t="s">
        <v>101</v>
      </c>
      <c r="D26" s="69"/>
      <c r="E26" s="69"/>
    </row>
    <row r="27" spans="1:5" x14ac:dyDescent="0.2">
      <c r="A27" s="69"/>
      <c r="B27" s="4" t="s">
        <v>95</v>
      </c>
      <c r="C27" s="3" t="s">
        <v>136</v>
      </c>
      <c r="D27" s="69"/>
      <c r="E27" s="69"/>
    </row>
    <row r="28" spans="1:5" x14ac:dyDescent="0.2">
      <c r="A28" s="69"/>
      <c r="B28" s="4" t="s">
        <v>144</v>
      </c>
      <c r="C28" s="3" t="s">
        <v>145</v>
      </c>
      <c r="D28" s="69"/>
      <c r="E28" s="69"/>
    </row>
    <row r="29" spans="1:5" x14ac:dyDescent="0.2">
      <c r="A29" s="69"/>
      <c r="B29" s="4" t="s">
        <v>92</v>
      </c>
      <c r="C29" s="3" t="s">
        <v>101</v>
      </c>
      <c r="D29" s="69"/>
      <c r="E29" s="69"/>
    </row>
    <row r="30" spans="1:5" x14ac:dyDescent="0.2">
      <c r="A30" s="69"/>
      <c r="B30" s="4" t="s">
        <v>96</v>
      </c>
      <c r="C30" s="3" t="s">
        <v>101</v>
      </c>
      <c r="D30" s="69"/>
      <c r="E30" s="69"/>
    </row>
    <row r="31" spans="1:5" ht="36" x14ac:dyDescent="0.2">
      <c r="A31" s="69"/>
      <c r="B31" s="4" t="s">
        <v>72</v>
      </c>
      <c r="C31" s="3" t="s">
        <v>139</v>
      </c>
      <c r="D31" s="69"/>
      <c r="E31" s="69"/>
    </row>
    <row r="32" spans="1:5" ht="24" x14ac:dyDescent="0.2">
      <c r="A32" s="69"/>
      <c r="B32" s="6" t="s">
        <v>140</v>
      </c>
      <c r="C32" s="5" t="s">
        <v>99</v>
      </c>
      <c r="D32" s="69"/>
      <c r="E32" s="69"/>
    </row>
    <row r="33" spans="1:5" ht="24" x14ac:dyDescent="0.2">
      <c r="A33" s="69"/>
      <c r="B33" s="4" t="s">
        <v>43</v>
      </c>
      <c r="C33" s="3" t="s">
        <v>188</v>
      </c>
      <c r="D33" s="69"/>
      <c r="E33" s="69"/>
    </row>
    <row r="34" spans="1:5" x14ac:dyDescent="0.2">
      <c r="A34" s="69"/>
      <c r="B34" s="4" t="s">
        <v>44</v>
      </c>
      <c r="C34" s="3" t="s">
        <v>294</v>
      </c>
      <c r="D34" s="69"/>
      <c r="E34" s="69"/>
    </row>
    <row r="35" spans="1:5" x14ac:dyDescent="0.2">
      <c r="A35" s="69"/>
      <c r="B35" s="4" t="s">
        <v>45</v>
      </c>
      <c r="C35" s="3" t="s">
        <v>294</v>
      </c>
      <c r="D35" s="69"/>
      <c r="E35" s="69"/>
    </row>
    <row r="36" spans="1:5" ht="36" x14ac:dyDescent="0.2">
      <c r="A36" s="69" t="s">
        <v>46</v>
      </c>
      <c r="B36" s="69"/>
      <c r="C36" s="3" t="s">
        <v>47</v>
      </c>
      <c r="D36" s="69"/>
      <c r="E36" s="69"/>
    </row>
    <row r="37" spans="1:5" x14ac:dyDescent="0.2">
      <c r="A37" s="69" t="s">
        <v>48</v>
      </c>
      <c r="B37" s="69"/>
      <c r="C37" s="3" t="s">
        <v>49</v>
      </c>
      <c r="D37" s="69"/>
      <c r="E37" s="69"/>
    </row>
    <row r="38" spans="1:5" x14ac:dyDescent="0.2">
      <c r="A38" s="69" t="s">
        <v>129</v>
      </c>
      <c r="B38" s="69"/>
      <c r="C38" s="3" t="s">
        <v>50</v>
      </c>
      <c r="D38" s="69"/>
      <c r="E38" s="69"/>
    </row>
    <row r="39" spans="1:5" x14ac:dyDescent="0.2">
      <c r="A39" s="69" t="s">
        <v>128</v>
      </c>
      <c r="B39" s="69"/>
      <c r="C39" s="3" t="s">
        <v>127</v>
      </c>
      <c r="D39" s="69"/>
      <c r="E39" s="69"/>
    </row>
    <row r="40" spans="1:5" x14ac:dyDescent="0.2">
      <c r="A40" s="64" t="s">
        <v>124</v>
      </c>
      <c r="B40" s="65"/>
      <c r="C40" s="3" t="s">
        <v>266</v>
      </c>
      <c r="D40" s="64"/>
      <c r="E40" s="65"/>
    </row>
    <row r="41" spans="1:5" x14ac:dyDescent="0.2">
      <c r="A41" s="64" t="s">
        <v>125</v>
      </c>
      <c r="B41" s="65"/>
      <c r="C41" s="3" t="s">
        <v>267</v>
      </c>
      <c r="D41" s="64"/>
      <c r="E41" s="65"/>
    </row>
    <row r="42" spans="1:5" x14ac:dyDescent="0.2">
      <c r="A42" s="64" t="s">
        <v>126</v>
      </c>
      <c r="B42" s="65"/>
      <c r="C42" s="3" t="s">
        <v>195</v>
      </c>
      <c r="D42" s="64"/>
      <c r="E42" s="65"/>
    </row>
    <row r="43" spans="1:5" ht="24" x14ac:dyDescent="0.2">
      <c r="A43" s="69" t="s">
        <v>51</v>
      </c>
      <c r="B43" s="69"/>
      <c r="C43" s="3" t="s">
        <v>52</v>
      </c>
      <c r="D43" s="69"/>
      <c r="E43" s="69"/>
    </row>
    <row r="44" spans="1:5" x14ac:dyDescent="0.2">
      <c r="A44" s="69" t="s">
        <v>53</v>
      </c>
      <c r="B44" s="69"/>
      <c r="C44" s="3" t="s">
        <v>149</v>
      </c>
      <c r="D44" s="69"/>
      <c r="E44" s="69"/>
    </row>
    <row r="45" spans="1:5" ht="24" x14ac:dyDescent="0.2">
      <c r="A45" s="69" t="s">
        <v>54</v>
      </c>
      <c r="B45" s="69"/>
      <c r="C45" s="3" t="s">
        <v>436</v>
      </c>
      <c r="D45" s="69"/>
      <c r="E45" s="69"/>
    </row>
    <row r="46" spans="1:5" x14ac:dyDescent="0.2">
      <c r="A46" s="7"/>
      <c r="B46" s="8"/>
      <c r="C46" s="8"/>
      <c r="D46" s="8"/>
      <c r="E46" s="9"/>
    </row>
    <row r="47" spans="1:5" x14ac:dyDescent="0.2">
      <c r="A47" s="10" t="s">
        <v>58</v>
      </c>
      <c r="E47" s="11"/>
    </row>
    <row r="48" spans="1:5" x14ac:dyDescent="0.2">
      <c r="A48" s="70" t="s">
        <v>70</v>
      </c>
      <c r="B48" s="71"/>
      <c r="C48" s="71"/>
      <c r="D48" s="71"/>
      <c r="E48" s="72"/>
    </row>
    <row r="49" spans="1:5" x14ac:dyDescent="0.2">
      <c r="A49" s="70"/>
      <c r="B49" s="71"/>
      <c r="C49" s="71"/>
      <c r="D49" s="71"/>
      <c r="E49" s="72"/>
    </row>
    <row r="50" spans="1:5" x14ac:dyDescent="0.2">
      <c r="A50" s="70" t="s">
        <v>437</v>
      </c>
      <c r="B50" s="71"/>
      <c r="C50" s="71"/>
      <c r="D50" s="71"/>
      <c r="E50" s="72"/>
    </row>
    <row r="51" spans="1:5" x14ac:dyDescent="0.2">
      <c r="A51" s="70" t="s">
        <v>97</v>
      </c>
      <c r="B51" s="71"/>
      <c r="C51" s="71"/>
      <c r="D51" s="71"/>
      <c r="E51" s="72"/>
    </row>
    <row r="52" spans="1:5" x14ac:dyDescent="0.2">
      <c r="A52" s="70"/>
      <c r="B52" s="71"/>
      <c r="C52" s="71"/>
      <c r="D52" s="71"/>
      <c r="E52" s="72"/>
    </row>
    <row r="53" spans="1:5" x14ac:dyDescent="0.2">
      <c r="A53" s="70" t="s">
        <v>150</v>
      </c>
      <c r="B53" s="71"/>
      <c r="C53" s="71"/>
      <c r="D53" s="71"/>
      <c r="E53" s="72"/>
    </row>
    <row r="54" spans="1:5" ht="11.45" customHeight="1" x14ac:dyDescent="0.2">
      <c r="A54" s="70" t="s">
        <v>151</v>
      </c>
      <c r="B54" s="71"/>
      <c r="C54" s="71"/>
      <c r="D54" s="71"/>
      <c r="E54" s="72"/>
    </row>
    <row r="55" spans="1:5" x14ac:dyDescent="0.2">
      <c r="A55" s="66" t="s">
        <v>104</v>
      </c>
      <c r="B55" s="67"/>
      <c r="C55" s="67"/>
      <c r="D55" s="67"/>
      <c r="E55" s="68"/>
    </row>
  </sheetData>
  <mergeCells count="75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2"/>
    <mergeCell ref="D16:E16"/>
    <mergeCell ref="D17:E17"/>
    <mergeCell ref="D18:E18"/>
    <mergeCell ref="D19:E19"/>
    <mergeCell ref="D20:E20"/>
    <mergeCell ref="D21:E21"/>
    <mergeCell ref="D22:E22"/>
    <mergeCell ref="A23:B23"/>
    <mergeCell ref="D23:E23"/>
    <mergeCell ref="A24:A35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D35:E35"/>
    <mergeCell ref="A37:B37"/>
    <mergeCell ref="D37:E37"/>
    <mergeCell ref="A38:B38"/>
    <mergeCell ref="D38:E38"/>
    <mergeCell ref="A36:B36"/>
    <mergeCell ref="D36:E36"/>
    <mergeCell ref="A39:B39"/>
    <mergeCell ref="D39:E39"/>
    <mergeCell ref="A40:B40"/>
    <mergeCell ref="D40:E40"/>
    <mergeCell ref="A41:B41"/>
    <mergeCell ref="D41:E41"/>
    <mergeCell ref="A42:B42"/>
    <mergeCell ref="D42:E42"/>
    <mergeCell ref="A55:E55"/>
    <mergeCell ref="A43:B43"/>
    <mergeCell ref="D43:E43"/>
    <mergeCell ref="A44:B44"/>
    <mergeCell ref="D44:E44"/>
    <mergeCell ref="A45:B45"/>
    <mergeCell ref="D45:E45"/>
    <mergeCell ref="A48:E49"/>
    <mergeCell ref="A50:E50"/>
    <mergeCell ref="A51:E52"/>
    <mergeCell ref="A53:E53"/>
    <mergeCell ref="A54:E54"/>
  </mergeCells>
  <conditionalFormatting sqref="B17">
    <cfRule type="duplicateValues" dxfId="194" priority="4"/>
  </conditionalFormatting>
  <conditionalFormatting sqref="B18">
    <cfRule type="duplicateValues" dxfId="193" priority="3"/>
  </conditionalFormatting>
  <conditionalFormatting sqref="B20">
    <cfRule type="duplicateValues" dxfId="192" priority="2"/>
  </conditionalFormatting>
  <conditionalFormatting sqref="B21">
    <cfRule type="duplicateValues" dxfId="191" priority="10"/>
  </conditionalFormatting>
  <conditionalFormatting sqref="B25">
    <cfRule type="duplicateValues" dxfId="190" priority="12"/>
  </conditionalFormatting>
  <conditionalFormatting sqref="B28">
    <cfRule type="duplicateValues" dxfId="189" priority="1"/>
  </conditionalFormatting>
  <conditionalFormatting sqref="B32">
    <cfRule type="duplicateValues" dxfId="188" priority="11"/>
  </conditionalFormatting>
  <conditionalFormatting sqref="B38">
    <cfRule type="duplicateValues" dxfId="187" priority="6"/>
  </conditionalFormatting>
  <conditionalFormatting sqref="B39">
    <cfRule type="duplicateValues" dxfId="186" priority="5"/>
  </conditionalFormatting>
  <conditionalFormatting sqref="B40">
    <cfRule type="duplicateValues" dxfId="185" priority="9"/>
  </conditionalFormatting>
  <conditionalFormatting sqref="B41">
    <cfRule type="duplicateValues" dxfId="184" priority="8"/>
  </conditionalFormatting>
  <conditionalFormatting sqref="B42">
    <cfRule type="duplicateValues" dxfId="183" priority="7"/>
  </conditionalFormatting>
  <conditionalFormatting sqref="B56:B1048576 B4:B10 B26:B27 B12:B16 B33:B37 B22:B24 B43:B47 B19 B29:B31">
    <cfRule type="duplicateValues" dxfId="182" priority="13"/>
  </conditionalFormatting>
  <pageMargins left="0.7" right="0.7" top="0.75" bottom="0.75" header="0.3" footer="0.3"/>
  <pageSetup paperSize="9" scale="88" orientation="portrait" horizontalDpi="4294967295" verticalDpi="4294967295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32588E-8A2E-4A07-90E2-AD6AB37078EB}">
  <sheetPr codeName="Sheet57">
    <tabColor theme="4" tint="-0.249977111117893"/>
    <pageSetUpPr fitToPage="1"/>
  </sheetPr>
  <dimension ref="A1:E55"/>
  <sheetViews>
    <sheetView zoomScaleNormal="100" workbookViewId="0">
      <selection sqref="A1:B3"/>
    </sheetView>
  </sheetViews>
  <sheetFormatPr defaultColWidth="8.85546875" defaultRowHeight="12" x14ac:dyDescent="0.2"/>
  <cols>
    <col min="1" max="1" width="12.5703125" style="1" customWidth="1"/>
    <col min="2" max="2" width="13.42578125" style="1" bestFit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4" customFormat="1" ht="30" customHeight="1" x14ac:dyDescent="0.25">
      <c r="A1" s="77" t="e" vm="1">
        <v>#VALUE!</v>
      </c>
      <c r="B1" s="78"/>
      <c r="C1" s="83" t="s">
        <v>112</v>
      </c>
      <c r="D1" s="13" t="s">
        <v>110</v>
      </c>
      <c r="E1" s="13" t="s">
        <v>435</v>
      </c>
    </row>
    <row r="2" spans="1:5" s="14" customFormat="1" ht="30" customHeight="1" x14ac:dyDescent="0.25">
      <c r="A2" s="79"/>
      <c r="B2" s="80"/>
      <c r="C2" s="84"/>
      <c r="D2" s="15" t="s">
        <v>109</v>
      </c>
      <c r="E2" s="16" t="str">
        <f>VLOOKUP(C4,Index!B:J,9,FALSE)</f>
        <v>C0</v>
      </c>
    </row>
    <row r="3" spans="1:5" s="14" customFormat="1" ht="30" customHeight="1" x14ac:dyDescent="0.25">
      <c r="A3" s="81"/>
      <c r="B3" s="82"/>
      <c r="C3" s="85"/>
      <c r="D3" s="15" t="s">
        <v>111</v>
      </c>
      <c r="E3" s="17">
        <f>VLOOKUP(C4,Index!B:I,8,FALSE)</f>
        <v>365</v>
      </c>
    </row>
    <row r="4" spans="1:5" x14ac:dyDescent="0.2">
      <c r="A4" s="86" t="s">
        <v>74</v>
      </c>
      <c r="B4" s="86"/>
      <c r="C4" s="2" t="s">
        <v>236</v>
      </c>
      <c r="D4" s="86" t="s">
        <v>55</v>
      </c>
      <c r="E4" s="86"/>
    </row>
    <row r="5" spans="1:5" x14ac:dyDescent="0.2">
      <c r="A5" s="69" t="s">
        <v>26</v>
      </c>
      <c r="B5" s="69"/>
      <c r="C5" s="3" t="s">
        <v>174</v>
      </c>
      <c r="D5" s="69"/>
      <c r="E5" s="69"/>
    </row>
    <row r="6" spans="1:5" x14ac:dyDescent="0.2">
      <c r="A6" s="69" t="s">
        <v>27</v>
      </c>
      <c r="B6" s="69"/>
      <c r="C6" s="3" t="s">
        <v>78</v>
      </c>
      <c r="D6" s="69"/>
      <c r="E6" s="69"/>
    </row>
    <row r="7" spans="1:5" x14ac:dyDescent="0.2">
      <c r="A7" s="69" t="s">
        <v>28</v>
      </c>
      <c r="B7" s="69"/>
      <c r="C7" s="3" t="s">
        <v>82</v>
      </c>
      <c r="D7" s="69"/>
      <c r="E7" s="69"/>
    </row>
    <row r="8" spans="1:5" x14ac:dyDescent="0.2">
      <c r="A8" s="69" t="s">
        <v>29</v>
      </c>
      <c r="B8" s="69"/>
      <c r="C8" s="3" t="str">
        <f>VLOOKUP(C5,Index!N:W,6,FALSE)</f>
        <v>Corrosive HC service</v>
      </c>
      <c r="D8" s="69"/>
      <c r="E8" s="69"/>
    </row>
    <row r="9" spans="1:5" x14ac:dyDescent="0.2">
      <c r="A9" s="69" t="s">
        <v>30</v>
      </c>
      <c r="B9" s="69"/>
      <c r="C9" s="3" t="s">
        <v>148</v>
      </c>
      <c r="D9" s="69"/>
      <c r="E9" s="69"/>
    </row>
    <row r="10" spans="1:5" x14ac:dyDescent="0.2">
      <c r="A10" s="69" t="s">
        <v>31</v>
      </c>
      <c r="B10" s="69"/>
      <c r="C10" s="3" t="s">
        <v>60</v>
      </c>
      <c r="D10" s="69"/>
      <c r="E10" s="69"/>
    </row>
    <row r="11" spans="1:5" x14ac:dyDescent="0.2">
      <c r="A11" s="73" t="s">
        <v>119</v>
      </c>
      <c r="B11" s="74"/>
      <c r="C11" s="12" t="str">
        <f>VLOOKUP(C5,Index!N:W,10,FALSE)</f>
        <v>103.4 @ -46°C' 85.3 @ 200°C</v>
      </c>
      <c r="D11" s="75"/>
      <c r="E11" s="76"/>
    </row>
    <row r="12" spans="1:5" x14ac:dyDescent="0.2">
      <c r="A12" s="69" t="s">
        <v>32</v>
      </c>
      <c r="B12" s="69"/>
      <c r="C12" s="3" t="str">
        <f>VLOOKUP(C5,Index!N:W,5,FALSE)</f>
        <v>NIL</v>
      </c>
      <c r="D12" s="69"/>
      <c r="E12" s="69"/>
    </row>
    <row r="13" spans="1:5" ht="24" x14ac:dyDescent="0.2">
      <c r="A13" s="69" t="s">
        <v>33</v>
      </c>
      <c r="B13" s="69"/>
      <c r="C13" s="3" t="s">
        <v>98</v>
      </c>
      <c r="D13" s="69"/>
      <c r="E13" s="69"/>
    </row>
    <row r="14" spans="1:5" x14ac:dyDescent="0.2">
      <c r="A14" s="69" t="s">
        <v>35</v>
      </c>
      <c r="B14" s="69"/>
      <c r="C14" s="3" t="s">
        <v>245</v>
      </c>
      <c r="D14" s="69"/>
      <c r="E14" s="69"/>
    </row>
    <row r="15" spans="1:5" x14ac:dyDescent="0.2">
      <c r="A15" s="69" t="s">
        <v>36</v>
      </c>
      <c r="B15" s="69"/>
      <c r="C15" s="3" t="s">
        <v>67</v>
      </c>
      <c r="D15" s="69"/>
      <c r="E15" s="69"/>
    </row>
    <row r="16" spans="1:5" x14ac:dyDescent="0.2">
      <c r="A16" s="69" t="s">
        <v>37</v>
      </c>
      <c r="B16" s="4" t="s">
        <v>38</v>
      </c>
      <c r="C16" s="3" t="s">
        <v>73</v>
      </c>
      <c r="D16" s="69"/>
      <c r="E16" s="69"/>
    </row>
    <row r="17" spans="1:5" ht="24" x14ac:dyDescent="0.2">
      <c r="A17" s="69"/>
      <c r="B17" s="4" t="s">
        <v>75</v>
      </c>
      <c r="C17" s="3" t="s">
        <v>77</v>
      </c>
      <c r="D17" s="69"/>
      <c r="E17" s="69"/>
    </row>
    <row r="18" spans="1:5" ht="24" x14ac:dyDescent="0.2">
      <c r="A18" s="69"/>
      <c r="B18" s="4" t="s">
        <v>39</v>
      </c>
      <c r="C18" s="3" t="s">
        <v>87</v>
      </c>
      <c r="D18" s="69"/>
      <c r="E18" s="69"/>
    </row>
    <row r="19" spans="1:5" x14ac:dyDescent="0.2">
      <c r="A19" s="69"/>
      <c r="B19" s="4" t="s">
        <v>68</v>
      </c>
      <c r="C19" s="3" t="s">
        <v>146</v>
      </c>
      <c r="D19" s="69"/>
      <c r="E19" s="69"/>
    </row>
    <row r="20" spans="1:5" x14ac:dyDescent="0.2">
      <c r="A20" s="69"/>
      <c r="B20" s="4" t="s">
        <v>141</v>
      </c>
      <c r="C20" s="3" t="s">
        <v>142</v>
      </c>
      <c r="D20" s="69"/>
      <c r="E20" s="69"/>
    </row>
    <row r="21" spans="1:5" x14ac:dyDescent="0.2">
      <c r="A21" s="69"/>
      <c r="B21" s="4" t="s">
        <v>69</v>
      </c>
      <c r="C21" s="3" t="s">
        <v>106</v>
      </c>
      <c r="D21" s="69"/>
      <c r="E21" s="69"/>
    </row>
    <row r="22" spans="1:5" ht="24" x14ac:dyDescent="0.2">
      <c r="A22" s="69"/>
      <c r="B22" s="4" t="s">
        <v>40</v>
      </c>
      <c r="C22" s="3" t="s">
        <v>86</v>
      </c>
      <c r="D22" s="69"/>
      <c r="E22" s="69"/>
    </row>
    <row r="23" spans="1:5" ht="24" x14ac:dyDescent="0.2">
      <c r="A23" s="69" t="s">
        <v>41</v>
      </c>
      <c r="B23" s="69"/>
      <c r="C23" s="3" t="s">
        <v>120</v>
      </c>
      <c r="D23" s="69"/>
      <c r="E23" s="69"/>
    </row>
    <row r="24" spans="1:5" ht="36" x14ac:dyDescent="0.2">
      <c r="A24" s="69" t="s">
        <v>42</v>
      </c>
      <c r="B24" s="4" t="s">
        <v>91</v>
      </c>
      <c r="C24" s="3" t="s">
        <v>118</v>
      </c>
      <c r="D24" s="69"/>
      <c r="E24" s="69"/>
    </row>
    <row r="25" spans="1:5" x14ac:dyDescent="0.2">
      <c r="A25" s="69"/>
      <c r="B25" s="4" t="s">
        <v>93</v>
      </c>
      <c r="C25" s="3" t="s">
        <v>131</v>
      </c>
      <c r="D25" s="69"/>
      <c r="E25" s="69"/>
    </row>
    <row r="26" spans="1:5" x14ac:dyDescent="0.2">
      <c r="A26" s="69"/>
      <c r="B26" s="4" t="s">
        <v>94</v>
      </c>
      <c r="C26" s="3" t="s">
        <v>101</v>
      </c>
      <c r="D26" s="69"/>
      <c r="E26" s="69"/>
    </row>
    <row r="27" spans="1:5" x14ac:dyDescent="0.2">
      <c r="A27" s="69"/>
      <c r="B27" s="4" t="s">
        <v>95</v>
      </c>
      <c r="C27" s="3" t="s">
        <v>136</v>
      </c>
      <c r="D27" s="69"/>
      <c r="E27" s="69"/>
    </row>
    <row r="28" spans="1:5" x14ac:dyDescent="0.2">
      <c r="A28" s="69"/>
      <c r="B28" s="4" t="s">
        <v>144</v>
      </c>
      <c r="C28" s="3" t="s">
        <v>145</v>
      </c>
      <c r="D28" s="69"/>
      <c r="E28" s="69"/>
    </row>
    <row r="29" spans="1:5" x14ac:dyDescent="0.2">
      <c r="A29" s="69"/>
      <c r="B29" s="4" t="s">
        <v>92</v>
      </c>
      <c r="C29" s="3" t="s">
        <v>101</v>
      </c>
      <c r="D29" s="69"/>
      <c r="E29" s="69"/>
    </row>
    <row r="30" spans="1:5" x14ac:dyDescent="0.2">
      <c r="A30" s="69"/>
      <c r="B30" s="4" t="s">
        <v>96</v>
      </c>
      <c r="C30" s="3" t="s">
        <v>101</v>
      </c>
      <c r="D30" s="69"/>
      <c r="E30" s="69"/>
    </row>
    <row r="31" spans="1:5" ht="36" x14ac:dyDescent="0.2">
      <c r="A31" s="69"/>
      <c r="B31" s="4" t="s">
        <v>72</v>
      </c>
      <c r="C31" s="3" t="s">
        <v>139</v>
      </c>
      <c r="D31" s="69"/>
      <c r="E31" s="69"/>
    </row>
    <row r="32" spans="1:5" ht="24" x14ac:dyDescent="0.2">
      <c r="A32" s="69"/>
      <c r="B32" s="6" t="s">
        <v>140</v>
      </c>
      <c r="C32" s="5" t="s">
        <v>99</v>
      </c>
      <c r="D32" s="69"/>
      <c r="E32" s="69"/>
    </row>
    <row r="33" spans="1:5" ht="24" x14ac:dyDescent="0.2">
      <c r="A33" s="69"/>
      <c r="B33" s="4" t="s">
        <v>43</v>
      </c>
      <c r="C33" s="3" t="s">
        <v>188</v>
      </c>
      <c r="D33" s="69"/>
      <c r="E33" s="69"/>
    </row>
    <row r="34" spans="1:5" x14ac:dyDescent="0.2">
      <c r="A34" s="69"/>
      <c r="B34" s="4" t="s">
        <v>44</v>
      </c>
      <c r="C34" s="3" t="s">
        <v>294</v>
      </c>
      <c r="D34" s="69"/>
      <c r="E34" s="69"/>
    </row>
    <row r="35" spans="1:5" x14ac:dyDescent="0.2">
      <c r="A35" s="69"/>
      <c r="B35" s="4" t="s">
        <v>45</v>
      </c>
      <c r="C35" s="3" t="s">
        <v>294</v>
      </c>
      <c r="D35" s="69"/>
      <c r="E35" s="69"/>
    </row>
    <row r="36" spans="1:5" ht="36" x14ac:dyDescent="0.2">
      <c r="A36" s="69" t="s">
        <v>46</v>
      </c>
      <c r="B36" s="69"/>
      <c r="C36" s="3" t="s">
        <v>47</v>
      </c>
      <c r="D36" s="69"/>
      <c r="E36" s="69"/>
    </row>
    <row r="37" spans="1:5" x14ac:dyDescent="0.2">
      <c r="A37" s="69" t="s">
        <v>48</v>
      </c>
      <c r="B37" s="69"/>
      <c r="C37" s="3" t="s">
        <v>49</v>
      </c>
      <c r="D37" s="69"/>
      <c r="E37" s="69"/>
    </row>
    <row r="38" spans="1:5" x14ac:dyDescent="0.2">
      <c r="A38" s="69" t="s">
        <v>129</v>
      </c>
      <c r="B38" s="69"/>
      <c r="C38" s="3" t="s">
        <v>50</v>
      </c>
      <c r="D38" s="69"/>
      <c r="E38" s="69"/>
    </row>
    <row r="39" spans="1:5" x14ac:dyDescent="0.2">
      <c r="A39" s="69" t="s">
        <v>128</v>
      </c>
      <c r="B39" s="69"/>
      <c r="C39" s="3" t="s">
        <v>127</v>
      </c>
      <c r="D39" s="69"/>
      <c r="E39" s="69"/>
    </row>
    <row r="40" spans="1:5" x14ac:dyDescent="0.2">
      <c r="A40" s="64" t="s">
        <v>124</v>
      </c>
      <c r="B40" s="65"/>
      <c r="C40" s="3" t="s">
        <v>264</v>
      </c>
      <c r="D40" s="64"/>
      <c r="E40" s="65"/>
    </row>
    <row r="41" spans="1:5" x14ac:dyDescent="0.2">
      <c r="A41" s="64" t="s">
        <v>125</v>
      </c>
      <c r="B41" s="65"/>
      <c r="C41" s="3" t="s">
        <v>265</v>
      </c>
      <c r="D41" s="64"/>
      <c r="E41" s="65"/>
    </row>
    <row r="42" spans="1:5" x14ac:dyDescent="0.2">
      <c r="A42" s="64" t="s">
        <v>126</v>
      </c>
      <c r="B42" s="65"/>
      <c r="C42" s="3" t="s">
        <v>195</v>
      </c>
      <c r="D42" s="64"/>
      <c r="E42" s="65"/>
    </row>
    <row r="43" spans="1:5" ht="24" x14ac:dyDescent="0.2">
      <c r="A43" s="69" t="s">
        <v>51</v>
      </c>
      <c r="B43" s="69"/>
      <c r="C43" s="3" t="s">
        <v>52</v>
      </c>
      <c r="D43" s="69"/>
      <c r="E43" s="69"/>
    </row>
    <row r="44" spans="1:5" x14ac:dyDescent="0.2">
      <c r="A44" s="69" t="s">
        <v>53</v>
      </c>
      <c r="B44" s="69"/>
      <c r="C44" s="3" t="s">
        <v>149</v>
      </c>
      <c r="D44" s="69"/>
      <c r="E44" s="69"/>
    </row>
    <row r="45" spans="1:5" ht="24" x14ac:dyDescent="0.2">
      <c r="A45" s="69" t="s">
        <v>54</v>
      </c>
      <c r="B45" s="69"/>
      <c r="C45" s="3" t="s">
        <v>436</v>
      </c>
      <c r="D45" s="69"/>
      <c r="E45" s="69"/>
    </row>
    <row r="46" spans="1:5" x14ac:dyDescent="0.2">
      <c r="A46" s="7"/>
      <c r="B46" s="8"/>
      <c r="C46" s="8"/>
      <c r="D46" s="8"/>
      <c r="E46" s="9"/>
    </row>
    <row r="47" spans="1:5" x14ac:dyDescent="0.2">
      <c r="A47" s="10" t="s">
        <v>58</v>
      </c>
      <c r="E47" s="11"/>
    </row>
    <row r="48" spans="1:5" x14ac:dyDescent="0.2">
      <c r="A48" s="70" t="s">
        <v>70</v>
      </c>
      <c r="B48" s="71"/>
      <c r="C48" s="71"/>
      <c r="D48" s="71"/>
      <c r="E48" s="72"/>
    </row>
    <row r="49" spans="1:5" x14ac:dyDescent="0.2">
      <c r="A49" s="70"/>
      <c r="B49" s="71"/>
      <c r="C49" s="71"/>
      <c r="D49" s="71"/>
      <c r="E49" s="72"/>
    </row>
    <row r="50" spans="1:5" x14ac:dyDescent="0.2">
      <c r="A50" s="70" t="s">
        <v>437</v>
      </c>
      <c r="B50" s="71"/>
      <c r="C50" s="71"/>
      <c r="D50" s="71"/>
      <c r="E50" s="72"/>
    </row>
    <row r="51" spans="1:5" x14ac:dyDescent="0.2">
      <c r="A51" s="70" t="s">
        <v>97</v>
      </c>
      <c r="B51" s="71"/>
      <c r="C51" s="71"/>
      <c r="D51" s="71"/>
      <c r="E51" s="72"/>
    </row>
    <row r="52" spans="1:5" x14ac:dyDescent="0.2">
      <c r="A52" s="70"/>
      <c r="B52" s="71"/>
      <c r="C52" s="71"/>
      <c r="D52" s="71"/>
      <c r="E52" s="72"/>
    </row>
    <row r="53" spans="1:5" x14ac:dyDescent="0.2">
      <c r="A53" s="70" t="s">
        <v>150</v>
      </c>
      <c r="B53" s="71"/>
      <c r="C53" s="71"/>
      <c r="D53" s="71"/>
      <c r="E53" s="72"/>
    </row>
    <row r="54" spans="1:5" ht="11.45" customHeight="1" x14ac:dyDescent="0.2">
      <c r="A54" s="70" t="s">
        <v>151</v>
      </c>
      <c r="B54" s="71"/>
      <c r="C54" s="71"/>
      <c r="D54" s="71"/>
      <c r="E54" s="72"/>
    </row>
    <row r="55" spans="1:5" x14ac:dyDescent="0.2">
      <c r="A55" s="66" t="s">
        <v>104</v>
      </c>
      <c r="B55" s="67"/>
      <c r="C55" s="67"/>
      <c r="D55" s="67"/>
      <c r="E55" s="68"/>
    </row>
  </sheetData>
  <mergeCells count="75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2"/>
    <mergeCell ref="D16:E16"/>
    <mergeCell ref="D17:E17"/>
    <mergeCell ref="D18:E18"/>
    <mergeCell ref="D19:E19"/>
    <mergeCell ref="D20:E20"/>
    <mergeCell ref="D21:E21"/>
    <mergeCell ref="D22:E22"/>
    <mergeCell ref="A23:B23"/>
    <mergeCell ref="D23:E23"/>
    <mergeCell ref="A24:A35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D35:E35"/>
    <mergeCell ref="A37:B37"/>
    <mergeCell ref="D37:E37"/>
    <mergeCell ref="A38:B38"/>
    <mergeCell ref="D38:E38"/>
    <mergeCell ref="A36:B36"/>
    <mergeCell ref="D36:E36"/>
    <mergeCell ref="A39:B39"/>
    <mergeCell ref="D39:E39"/>
    <mergeCell ref="A40:B40"/>
    <mergeCell ref="D40:E40"/>
    <mergeCell ref="A41:B41"/>
    <mergeCell ref="D41:E41"/>
    <mergeCell ref="A42:B42"/>
    <mergeCell ref="D42:E42"/>
    <mergeCell ref="A55:E55"/>
    <mergeCell ref="A43:B43"/>
    <mergeCell ref="D43:E43"/>
    <mergeCell ref="A44:B44"/>
    <mergeCell ref="D44:E44"/>
    <mergeCell ref="A45:B45"/>
    <mergeCell ref="D45:E45"/>
    <mergeCell ref="A48:E49"/>
    <mergeCell ref="A50:E50"/>
    <mergeCell ref="A51:E52"/>
    <mergeCell ref="A53:E53"/>
    <mergeCell ref="A54:E54"/>
  </mergeCells>
  <conditionalFormatting sqref="B17">
    <cfRule type="duplicateValues" dxfId="181" priority="4"/>
  </conditionalFormatting>
  <conditionalFormatting sqref="B18">
    <cfRule type="duplicateValues" dxfId="180" priority="3"/>
  </conditionalFormatting>
  <conditionalFormatting sqref="B20">
    <cfRule type="duplicateValues" dxfId="179" priority="2"/>
  </conditionalFormatting>
  <conditionalFormatting sqref="B21">
    <cfRule type="duplicateValues" dxfId="178" priority="10"/>
  </conditionalFormatting>
  <conditionalFormatting sqref="B25">
    <cfRule type="duplicateValues" dxfId="177" priority="12"/>
  </conditionalFormatting>
  <conditionalFormatting sqref="B28">
    <cfRule type="duplicateValues" dxfId="176" priority="1"/>
  </conditionalFormatting>
  <conditionalFormatting sqref="B32">
    <cfRule type="duplicateValues" dxfId="175" priority="11"/>
  </conditionalFormatting>
  <conditionalFormatting sqref="B38">
    <cfRule type="duplicateValues" dxfId="174" priority="6"/>
  </conditionalFormatting>
  <conditionalFormatting sqref="B39">
    <cfRule type="duplicateValues" dxfId="173" priority="5"/>
  </conditionalFormatting>
  <conditionalFormatting sqref="B40">
    <cfRule type="duplicateValues" dxfId="172" priority="9"/>
  </conditionalFormatting>
  <conditionalFormatting sqref="B41">
    <cfRule type="duplicateValues" dxfId="171" priority="8"/>
  </conditionalFormatting>
  <conditionalFormatting sqref="B42">
    <cfRule type="duplicateValues" dxfId="170" priority="7"/>
  </conditionalFormatting>
  <conditionalFormatting sqref="B56:B1048576 B4:B10 B26:B27 B12:B16 B33:B37 B22:B24 B43:B47 B19 B29:B31">
    <cfRule type="duplicateValues" dxfId="169" priority="13"/>
  </conditionalFormatting>
  <pageMargins left="0.7" right="0.7" top="0.75" bottom="0.75" header="0.3" footer="0.3"/>
  <pageSetup paperSize="9" scale="88" orientation="portrait" horizontalDpi="4294967295" verticalDpi="4294967295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ED0D53-E47C-421F-8239-31BD87C40480}">
  <sheetPr codeName="Sheet58">
    <tabColor theme="4" tint="-0.249977111117893"/>
    <pageSetUpPr fitToPage="1"/>
  </sheetPr>
  <dimension ref="A1:E55"/>
  <sheetViews>
    <sheetView zoomScaleNormal="100" workbookViewId="0">
      <selection sqref="A1:B3"/>
    </sheetView>
  </sheetViews>
  <sheetFormatPr defaultColWidth="8.85546875" defaultRowHeight="12" x14ac:dyDescent="0.2"/>
  <cols>
    <col min="1" max="1" width="12.5703125" style="1" customWidth="1"/>
    <col min="2" max="2" width="13.42578125" style="1" bestFit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4" customFormat="1" ht="30" customHeight="1" x14ac:dyDescent="0.25">
      <c r="A1" s="77" t="e" vm="1">
        <v>#VALUE!</v>
      </c>
      <c r="B1" s="78"/>
      <c r="C1" s="83" t="s">
        <v>112</v>
      </c>
      <c r="D1" s="13" t="s">
        <v>110</v>
      </c>
      <c r="E1" s="13" t="s">
        <v>435</v>
      </c>
    </row>
    <row r="2" spans="1:5" s="14" customFormat="1" ht="30" customHeight="1" x14ac:dyDescent="0.25">
      <c r="A2" s="79"/>
      <c r="B2" s="80"/>
      <c r="C2" s="84"/>
      <c r="D2" s="15" t="s">
        <v>109</v>
      </c>
      <c r="E2" s="16" t="str">
        <f>VLOOKUP(C4,Index!B:J,9,FALSE)</f>
        <v>C0</v>
      </c>
    </row>
    <row r="3" spans="1:5" s="14" customFormat="1" ht="30" customHeight="1" x14ac:dyDescent="0.25">
      <c r="A3" s="81"/>
      <c r="B3" s="82"/>
      <c r="C3" s="85"/>
      <c r="D3" s="15" t="s">
        <v>111</v>
      </c>
      <c r="E3" s="17">
        <f>VLOOKUP(C4,Index!B:I,8,FALSE)</f>
        <v>366</v>
      </c>
    </row>
    <row r="4" spans="1:5" x14ac:dyDescent="0.2">
      <c r="A4" s="86" t="s">
        <v>74</v>
      </c>
      <c r="B4" s="86"/>
      <c r="C4" s="2" t="s">
        <v>237</v>
      </c>
      <c r="D4" s="86" t="s">
        <v>55</v>
      </c>
      <c r="E4" s="86"/>
    </row>
    <row r="5" spans="1:5" x14ac:dyDescent="0.2">
      <c r="A5" s="69" t="s">
        <v>26</v>
      </c>
      <c r="B5" s="69"/>
      <c r="C5" s="3" t="s">
        <v>175</v>
      </c>
      <c r="D5" s="69"/>
      <c r="E5" s="69"/>
    </row>
    <row r="6" spans="1:5" x14ac:dyDescent="0.2">
      <c r="A6" s="69" t="s">
        <v>27</v>
      </c>
      <c r="B6" s="69"/>
      <c r="C6" s="3" t="s">
        <v>78</v>
      </c>
      <c r="D6" s="69"/>
      <c r="E6" s="69"/>
    </row>
    <row r="7" spans="1:5" x14ac:dyDescent="0.2">
      <c r="A7" s="69" t="s">
        <v>28</v>
      </c>
      <c r="B7" s="69"/>
      <c r="C7" s="3" t="s">
        <v>82</v>
      </c>
      <c r="D7" s="69"/>
      <c r="E7" s="69"/>
    </row>
    <row r="8" spans="1:5" x14ac:dyDescent="0.2">
      <c r="A8" s="69" t="s">
        <v>29</v>
      </c>
      <c r="B8" s="69"/>
      <c r="C8" s="3" t="str">
        <f>VLOOKUP(C5,Index!N:W,6,FALSE)</f>
        <v>Corrosive HC service</v>
      </c>
      <c r="D8" s="69"/>
      <c r="E8" s="69"/>
    </row>
    <row r="9" spans="1:5" x14ac:dyDescent="0.2">
      <c r="A9" s="69" t="s">
        <v>30</v>
      </c>
      <c r="B9" s="69"/>
      <c r="C9" s="3" t="s">
        <v>148</v>
      </c>
      <c r="D9" s="69"/>
      <c r="E9" s="69"/>
    </row>
    <row r="10" spans="1:5" x14ac:dyDescent="0.2">
      <c r="A10" s="69" t="s">
        <v>31</v>
      </c>
      <c r="B10" s="69"/>
      <c r="C10" s="3" t="s">
        <v>61</v>
      </c>
      <c r="D10" s="69"/>
      <c r="E10" s="69"/>
    </row>
    <row r="11" spans="1:5" x14ac:dyDescent="0.2">
      <c r="A11" s="73" t="s">
        <v>119</v>
      </c>
      <c r="B11" s="74"/>
      <c r="C11" s="12" t="str">
        <f>VLOOKUP(C5,Index!N:W,10,FALSE)</f>
        <v>155.1 @ -46°C' 128 @ 200°C</v>
      </c>
      <c r="D11" s="75"/>
      <c r="E11" s="76"/>
    </row>
    <row r="12" spans="1:5" x14ac:dyDescent="0.2">
      <c r="A12" s="69" t="s">
        <v>32</v>
      </c>
      <c r="B12" s="69"/>
      <c r="C12" s="3" t="str">
        <f>VLOOKUP(C5,Index!N:W,5,FALSE)</f>
        <v>NIL</v>
      </c>
      <c r="D12" s="69"/>
      <c r="E12" s="69"/>
    </row>
    <row r="13" spans="1:5" ht="24" x14ac:dyDescent="0.2">
      <c r="A13" s="69" t="s">
        <v>33</v>
      </c>
      <c r="B13" s="69"/>
      <c r="C13" s="3" t="s">
        <v>98</v>
      </c>
      <c r="D13" s="69"/>
      <c r="E13" s="69"/>
    </row>
    <row r="14" spans="1:5" x14ac:dyDescent="0.2">
      <c r="A14" s="69" t="s">
        <v>35</v>
      </c>
      <c r="B14" s="69"/>
      <c r="C14" s="3" t="s">
        <v>62</v>
      </c>
      <c r="D14" s="69"/>
      <c r="E14" s="69"/>
    </row>
    <row r="15" spans="1:5" x14ac:dyDescent="0.2">
      <c r="A15" s="69" t="s">
        <v>36</v>
      </c>
      <c r="B15" s="69"/>
      <c r="C15" s="3" t="s">
        <v>67</v>
      </c>
      <c r="D15" s="69"/>
      <c r="E15" s="69"/>
    </row>
    <row r="16" spans="1:5" x14ac:dyDescent="0.2">
      <c r="A16" s="69" t="s">
        <v>37</v>
      </c>
      <c r="B16" s="4" t="s">
        <v>38</v>
      </c>
      <c r="C16" s="3" t="s">
        <v>73</v>
      </c>
      <c r="D16" s="69"/>
      <c r="E16" s="69"/>
    </row>
    <row r="17" spans="1:5" ht="24" x14ac:dyDescent="0.2">
      <c r="A17" s="69"/>
      <c r="B17" s="4" t="s">
        <v>75</v>
      </c>
      <c r="C17" s="3" t="s">
        <v>77</v>
      </c>
      <c r="D17" s="69"/>
      <c r="E17" s="69"/>
    </row>
    <row r="18" spans="1:5" ht="24" x14ac:dyDescent="0.2">
      <c r="A18" s="69"/>
      <c r="B18" s="4" t="s">
        <v>39</v>
      </c>
      <c r="C18" s="3" t="s">
        <v>87</v>
      </c>
      <c r="D18" s="69"/>
      <c r="E18" s="69"/>
    </row>
    <row r="19" spans="1:5" x14ac:dyDescent="0.2">
      <c r="A19" s="69"/>
      <c r="B19" s="4" t="s">
        <v>68</v>
      </c>
      <c r="C19" s="3" t="s">
        <v>146</v>
      </c>
      <c r="D19" s="69"/>
      <c r="E19" s="69"/>
    </row>
    <row r="20" spans="1:5" x14ac:dyDescent="0.2">
      <c r="A20" s="69"/>
      <c r="B20" s="4" t="s">
        <v>141</v>
      </c>
      <c r="C20" s="3" t="s">
        <v>142</v>
      </c>
      <c r="D20" s="69"/>
      <c r="E20" s="69"/>
    </row>
    <row r="21" spans="1:5" x14ac:dyDescent="0.2">
      <c r="A21" s="69"/>
      <c r="B21" s="4" t="s">
        <v>69</v>
      </c>
      <c r="C21" s="3" t="s">
        <v>106</v>
      </c>
      <c r="D21" s="69"/>
      <c r="E21" s="69"/>
    </row>
    <row r="22" spans="1:5" ht="24" x14ac:dyDescent="0.2">
      <c r="A22" s="69"/>
      <c r="B22" s="4" t="s">
        <v>40</v>
      </c>
      <c r="C22" s="3" t="s">
        <v>86</v>
      </c>
      <c r="D22" s="69"/>
      <c r="E22" s="69"/>
    </row>
    <row r="23" spans="1:5" ht="24" x14ac:dyDescent="0.2">
      <c r="A23" s="69" t="s">
        <v>41</v>
      </c>
      <c r="B23" s="69"/>
      <c r="C23" s="3" t="s">
        <v>123</v>
      </c>
      <c r="D23" s="69"/>
      <c r="E23" s="69"/>
    </row>
    <row r="24" spans="1:5" ht="36" x14ac:dyDescent="0.2">
      <c r="A24" s="69" t="s">
        <v>42</v>
      </c>
      <c r="B24" s="4" t="s">
        <v>91</v>
      </c>
      <c r="C24" s="3" t="s">
        <v>118</v>
      </c>
      <c r="D24" s="69"/>
      <c r="E24" s="69"/>
    </row>
    <row r="25" spans="1:5" x14ac:dyDescent="0.2">
      <c r="A25" s="69"/>
      <c r="B25" s="4" t="s">
        <v>93</v>
      </c>
      <c r="C25" s="3" t="s">
        <v>131</v>
      </c>
      <c r="D25" s="69"/>
      <c r="E25" s="69"/>
    </row>
    <row r="26" spans="1:5" x14ac:dyDescent="0.2">
      <c r="A26" s="69"/>
      <c r="B26" s="4" t="s">
        <v>94</v>
      </c>
      <c r="C26" s="3" t="s">
        <v>101</v>
      </c>
      <c r="D26" s="69"/>
      <c r="E26" s="69"/>
    </row>
    <row r="27" spans="1:5" x14ac:dyDescent="0.2">
      <c r="A27" s="69"/>
      <c r="B27" s="4" t="s">
        <v>95</v>
      </c>
      <c r="C27" s="3" t="s">
        <v>136</v>
      </c>
      <c r="D27" s="69"/>
      <c r="E27" s="69"/>
    </row>
    <row r="28" spans="1:5" x14ac:dyDescent="0.2">
      <c r="A28" s="69"/>
      <c r="B28" s="4" t="s">
        <v>144</v>
      </c>
      <c r="C28" s="3" t="s">
        <v>145</v>
      </c>
      <c r="D28" s="69"/>
      <c r="E28" s="69"/>
    </row>
    <row r="29" spans="1:5" x14ac:dyDescent="0.2">
      <c r="A29" s="69"/>
      <c r="B29" s="4" t="s">
        <v>92</v>
      </c>
      <c r="C29" s="3" t="s">
        <v>101</v>
      </c>
      <c r="D29" s="69"/>
      <c r="E29" s="69"/>
    </row>
    <row r="30" spans="1:5" x14ac:dyDescent="0.2">
      <c r="A30" s="69"/>
      <c r="B30" s="4" t="s">
        <v>96</v>
      </c>
      <c r="C30" s="3" t="s">
        <v>101</v>
      </c>
      <c r="D30" s="69"/>
      <c r="E30" s="69"/>
    </row>
    <row r="31" spans="1:5" ht="36" x14ac:dyDescent="0.2">
      <c r="A31" s="69"/>
      <c r="B31" s="4" t="s">
        <v>72</v>
      </c>
      <c r="C31" s="3" t="s">
        <v>139</v>
      </c>
      <c r="D31" s="69"/>
      <c r="E31" s="69"/>
    </row>
    <row r="32" spans="1:5" ht="24" x14ac:dyDescent="0.2">
      <c r="A32" s="69"/>
      <c r="B32" s="6" t="s">
        <v>140</v>
      </c>
      <c r="C32" s="5" t="s">
        <v>99</v>
      </c>
      <c r="D32" s="69"/>
      <c r="E32" s="69"/>
    </row>
    <row r="33" spans="1:5" ht="24" x14ac:dyDescent="0.2">
      <c r="A33" s="69"/>
      <c r="B33" s="4" t="s">
        <v>43</v>
      </c>
      <c r="C33" s="3" t="s">
        <v>189</v>
      </c>
      <c r="D33" s="69"/>
      <c r="E33" s="69"/>
    </row>
    <row r="34" spans="1:5" x14ac:dyDescent="0.2">
      <c r="A34" s="69"/>
      <c r="B34" s="4" t="s">
        <v>44</v>
      </c>
      <c r="C34" s="3" t="s">
        <v>294</v>
      </c>
      <c r="D34" s="69"/>
      <c r="E34" s="69"/>
    </row>
    <row r="35" spans="1:5" x14ac:dyDescent="0.2">
      <c r="A35" s="69"/>
      <c r="B35" s="4" t="s">
        <v>45</v>
      </c>
      <c r="C35" s="3" t="s">
        <v>294</v>
      </c>
      <c r="D35" s="69"/>
      <c r="E35" s="69"/>
    </row>
    <row r="36" spans="1:5" ht="36" x14ac:dyDescent="0.2">
      <c r="A36" s="69" t="s">
        <v>46</v>
      </c>
      <c r="B36" s="69"/>
      <c r="C36" s="3" t="s">
        <v>47</v>
      </c>
      <c r="D36" s="69"/>
      <c r="E36" s="69"/>
    </row>
    <row r="37" spans="1:5" x14ac:dyDescent="0.2">
      <c r="A37" s="69" t="s">
        <v>48</v>
      </c>
      <c r="B37" s="69"/>
      <c r="C37" s="3" t="s">
        <v>49</v>
      </c>
      <c r="D37" s="69"/>
      <c r="E37" s="69"/>
    </row>
    <row r="38" spans="1:5" x14ac:dyDescent="0.2">
      <c r="A38" s="69" t="s">
        <v>129</v>
      </c>
      <c r="B38" s="69"/>
      <c r="C38" s="3" t="s">
        <v>50</v>
      </c>
      <c r="D38" s="69"/>
      <c r="E38" s="69"/>
    </row>
    <row r="39" spans="1:5" x14ac:dyDescent="0.2">
      <c r="A39" s="69" t="s">
        <v>128</v>
      </c>
      <c r="B39" s="69"/>
      <c r="C39" s="3" t="s">
        <v>127</v>
      </c>
      <c r="D39" s="69"/>
      <c r="E39" s="69"/>
    </row>
    <row r="40" spans="1:5" x14ac:dyDescent="0.2">
      <c r="A40" s="64" t="s">
        <v>124</v>
      </c>
      <c r="B40" s="65"/>
      <c r="C40" s="3" t="s">
        <v>262</v>
      </c>
      <c r="D40" s="64"/>
      <c r="E40" s="65"/>
    </row>
    <row r="41" spans="1:5" x14ac:dyDescent="0.2">
      <c r="A41" s="64" t="s">
        <v>125</v>
      </c>
      <c r="B41" s="65"/>
      <c r="C41" s="3" t="s">
        <v>263</v>
      </c>
      <c r="D41" s="64"/>
      <c r="E41" s="65"/>
    </row>
    <row r="42" spans="1:5" x14ac:dyDescent="0.2">
      <c r="A42" s="64" t="s">
        <v>126</v>
      </c>
      <c r="B42" s="65"/>
      <c r="C42" s="3" t="s">
        <v>195</v>
      </c>
      <c r="D42" s="64"/>
      <c r="E42" s="65"/>
    </row>
    <row r="43" spans="1:5" ht="24" x14ac:dyDescent="0.2">
      <c r="A43" s="69" t="s">
        <v>51</v>
      </c>
      <c r="B43" s="69"/>
      <c r="C43" s="3" t="s">
        <v>52</v>
      </c>
      <c r="D43" s="69"/>
      <c r="E43" s="69"/>
    </row>
    <row r="44" spans="1:5" x14ac:dyDescent="0.2">
      <c r="A44" s="69" t="s">
        <v>53</v>
      </c>
      <c r="B44" s="69"/>
      <c r="C44" s="3" t="s">
        <v>149</v>
      </c>
      <c r="D44" s="69"/>
      <c r="E44" s="69"/>
    </row>
    <row r="45" spans="1:5" ht="24" x14ac:dyDescent="0.2">
      <c r="A45" s="69" t="s">
        <v>54</v>
      </c>
      <c r="B45" s="69"/>
      <c r="C45" s="3" t="s">
        <v>436</v>
      </c>
      <c r="D45" s="69"/>
      <c r="E45" s="69"/>
    </row>
    <row r="46" spans="1:5" x14ac:dyDescent="0.2">
      <c r="A46" s="7"/>
      <c r="B46" s="8"/>
      <c r="C46" s="8"/>
      <c r="D46" s="8"/>
      <c r="E46" s="9"/>
    </row>
    <row r="47" spans="1:5" x14ac:dyDescent="0.2">
      <c r="A47" s="10" t="s">
        <v>58</v>
      </c>
      <c r="E47" s="11"/>
    </row>
    <row r="48" spans="1:5" x14ac:dyDescent="0.2">
      <c r="A48" s="70" t="s">
        <v>70</v>
      </c>
      <c r="B48" s="71"/>
      <c r="C48" s="71"/>
      <c r="D48" s="71"/>
      <c r="E48" s="72"/>
    </row>
    <row r="49" spans="1:5" x14ac:dyDescent="0.2">
      <c r="A49" s="70"/>
      <c r="B49" s="71"/>
      <c r="C49" s="71"/>
      <c r="D49" s="71"/>
      <c r="E49" s="72"/>
    </row>
    <row r="50" spans="1:5" x14ac:dyDescent="0.2">
      <c r="A50" s="70" t="s">
        <v>437</v>
      </c>
      <c r="B50" s="71"/>
      <c r="C50" s="71"/>
      <c r="D50" s="71"/>
      <c r="E50" s="72"/>
    </row>
    <row r="51" spans="1:5" x14ac:dyDescent="0.2">
      <c r="A51" s="70" t="s">
        <v>97</v>
      </c>
      <c r="B51" s="71"/>
      <c r="C51" s="71"/>
      <c r="D51" s="71"/>
      <c r="E51" s="72"/>
    </row>
    <row r="52" spans="1:5" x14ac:dyDescent="0.2">
      <c r="A52" s="70"/>
      <c r="B52" s="71"/>
      <c r="C52" s="71"/>
      <c r="D52" s="71"/>
      <c r="E52" s="72"/>
    </row>
    <row r="53" spans="1:5" x14ac:dyDescent="0.2">
      <c r="A53" s="70" t="s">
        <v>150</v>
      </c>
      <c r="B53" s="71"/>
      <c r="C53" s="71"/>
      <c r="D53" s="71"/>
      <c r="E53" s="72"/>
    </row>
    <row r="54" spans="1:5" ht="11.45" customHeight="1" x14ac:dyDescent="0.2">
      <c r="A54" s="70" t="s">
        <v>151</v>
      </c>
      <c r="B54" s="71"/>
      <c r="C54" s="71"/>
      <c r="D54" s="71"/>
      <c r="E54" s="72"/>
    </row>
    <row r="55" spans="1:5" x14ac:dyDescent="0.2">
      <c r="A55" s="66" t="s">
        <v>104</v>
      </c>
      <c r="B55" s="67"/>
      <c r="C55" s="67"/>
      <c r="D55" s="67"/>
      <c r="E55" s="68"/>
    </row>
  </sheetData>
  <mergeCells count="75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2"/>
    <mergeCell ref="D16:E16"/>
    <mergeCell ref="D17:E17"/>
    <mergeCell ref="D18:E18"/>
    <mergeCell ref="D19:E19"/>
    <mergeCell ref="D20:E20"/>
    <mergeCell ref="D21:E21"/>
    <mergeCell ref="D22:E22"/>
    <mergeCell ref="A23:B23"/>
    <mergeCell ref="D23:E23"/>
    <mergeCell ref="A24:A35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D35:E35"/>
    <mergeCell ref="A37:B37"/>
    <mergeCell ref="D37:E37"/>
    <mergeCell ref="A38:B38"/>
    <mergeCell ref="D38:E38"/>
    <mergeCell ref="A36:B36"/>
    <mergeCell ref="D36:E36"/>
    <mergeCell ref="A39:B39"/>
    <mergeCell ref="D39:E39"/>
    <mergeCell ref="A40:B40"/>
    <mergeCell ref="D40:E40"/>
    <mergeCell ref="A41:B41"/>
    <mergeCell ref="D41:E41"/>
    <mergeCell ref="A42:B42"/>
    <mergeCell ref="D42:E42"/>
    <mergeCell ref="A55:E55"/>
    <mergeCell ref="A43:B43"/>
    <mergeCell ref="D43:E43"/>
    <mergeCell ref="A44:B44"/>
    <mergeCell ref="D44:E44"/>
    <mergeCell ref="A45:B45"/>
    <mergeCell ref="D45:E45"/>
    <mergeCell ref="A48:E49"/>
    <mergeCell ref="A50:E50"/>
    <mergeCell ref="A51:E52"/>
    <mergeCell ref="A53:E53"/>
    <mergeCell ref="A54:E54"/>
  </mergeCells>
  <conditionalFormatting sqref="B17">
    <cfRule type="duplicateValues" dxfId="168" priority="4"/>
  </conditionalFormatting>
  <conditionalFormatting sqref="B18">
    <cfRule type="duplicateValues" dxfId="167" priority="3"/>
  </conditionalFormatting>
  <conditionalFormatting sqref="B20">
    <cfRule type="duplicateValues" dxfId="166" priority="2"/>
  </conditionalFormatting>
  <conditionalFormatting sqref="B21">
    <cfRule type="duplicateValues" dxfId="165" priority="10"/>
  </conditionalFormatting>
  <conditionalFormatting sqref="B25">
    <cfRule type="duplicateValues" dxfId="164" priority="12"/>
  </conditionalFormatting>
  <conditionalFormatting sqref="B28">
    <cfRule type="duplicateValues" dxfId="163" priority="1"/>
  </conditionalFormatting>
  <conditionalFormatting sqref="B32">
    <cfRule type="duplicateValues" dxfId="162" priority="11"/>
  </conditionalFormatting>
  <conditionalFormatting sqref="B38">
    <cfRule type="duplicateValues" dxfId="161" priority="6"/>
  </conditionalFormatting>
  <conditionalFormatting sqref="B39">
    <cfRule type="duplicateValues" dxfId="160" priority="5"/>
  </conditionalFormatting>
  <conditionalFormatting sqref="B40">
    <cfRule type="duplicateValues" dxfId="159" priority="9"/>
  </conditionalFormatting>
  <conditionalFormatting sqref="B41">
    <cfRule type="duplicateValues" dxfId="158" priority="8"/>
  </conditionalFormatting>
  <conditionalFormatting sqref="B42">
    <cfRule type="duplicateValues" dxfId="157" priority="7"/>
  </conditionalFormatting>
  <conditionalFormatting sqref="B56:B1048576 B4:B10 B26:B27 B12:B16 B33:B37 B22:B24 B43:B47 B19 B29:B31">
    <cfRule type="duplicateValues" dxfId="156" priority="13"/>
  </conditionalFormatting>
  <pageMargins left="0.7" right="0.7" top="0.75" bottom="0.75" header="0.3" footer="0.3"/>
  <pageSetup paperSize="9" scale="88" orientation="portrait" horizontalDpi="4294967295" verticalDpi="4294967295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E98D30-DAA8-48B3-AF85-7D725A498AD1}">
  <sheetPr codeName="Sheet59">
    <tabColor theme="4" tint="-0.249977111117893"/>
    <pageSetUpPr fitToPage="1"/>
  </sheetPr>
  <dimension ref="A1:E55"/>
  <sheetViews>
    <sheetView topLeftCell="A17" zoomScaleNormal="100" workbookViewId="0">
      <selection sqref="A1:B3"/>
    </sheetView>
  </sheetViews>
  <sheetFormatPr defaultColWidth="8.85546875" defaultRowHeight="12" x14ac:dyDescent="0.2"/>
  <cols>
    <col min="1" max="1" width="12.5703125" style="1" customWidth="1"/>
    <col min="2" max="2" width="13.42578125" style="1" bestFit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4" customFormat="1" ht="30" customHeight="1" x14ac:dyDescent="0.25">
      <c r="A1" s="77" t="e" vm="1">
        <v>#VALUE!</v>
      </c>
      <c r="B1" s="78"/>
      <c r="C1" s="83" t="s">
        <v>112</v>
      </c>
      <c r="D1" s="13" t="s">
        <v>110</v>
      </c>
      <c r="E1" s="13" t="s">
        <v>435</v>
      </c>
    </row>
    <row r="2" spans="1:5" s="14" customFormat="1" ht="30" customHeight="1" x14ac:dyDescent="0.25">
      <c r="A2" s="79"/>
      <c r="B2" s="80"/>
      <c r="C2" s="84"/>
      <c r="D2" s="15" t="s">
        <v>109</v>
      </c>
      <c r="E2" s="16" t="str">
        <f>VLOOKUP(C4,Index!B:J,9,FALSE)</f>
        <v>C0</v>
      </c>
    </row>
    <row r="3" spans="1:5" s="14" customFormat="1" ht="30" customHeight="1" x14ac:dyDescent="0.25">
      <c r="A3" s="81"/>
      <c r="B3" s="82"/>
      <c r="C3" s="85"/>
      <c r="D3" s="15" t="s">
        <v>111</v>
      </c>
      <c r="E3" s="17">
        <f>VLOOKUP(C4,Index!B:I,8,FALSE)</f>
        <v>367</v>
      </c>
    </row>
    <row r="4" spans="1:5" x14ac:dyDescent="0.2">
      <c r="A4" s="86" t="s">
        <v>74</v>
      </c>
      <c r="B4" s="86"/>
      <c r="C4" s="2" t="s">
        <v>238</v>
      </c>
      <c r="D4" s="86" t="s">
        <v>55</v>
      </c>
      <c r="E4" s="86"/>
    </row>
    <row r="5" spans="1:5" x14ac:dyDescent="0.2">
      <c r="A5" s="69" t="s">
        <v>26</v>
      </c>
      <c r="B5" s="69"/>
      <c r="C5" s="3" t="s">
        <v>176</v>
      </c>
      <c r="D5" s="69"/>
      <c r="E5" s="69"/>
    </row>
    <row r="6" spans="1:5" x14ac:dyDescent="0.2">
      <c r="A6" s="69" t="s">
        <v>27</v>
      </c>
      <c r="B6" s="69"/>
      <c r="C6" s="3" t="s">
        <v>78</v>
      </c>
      <c r="D6" s="69"/>
      <c r="E6" s="69"/>
    </row>
    <row r="7" spans="1:5" x14ac:dyDescent="0.2">
      <c r="A7" s="69" t="s">
        <v>28</v>
      </c>
      <c r="B7" s="69"/>
      <c r="C7" s="3" t="s">
        <v>82</v>
      </c>
      <c r="D7" s="69"/>
      <c r="E7" s="69"/>
    </row>
    <row r="8" spans="1:5" x14ac:dyDescent="0.2">
      <c r="A8" s="69" t="s">
        <v>29</v>
      </c>
      <c r="B8" s="69"/>
      <c r="C8" s="3" t="str">
        <f>VLOOKUP(C5,Index!N:W,6,FALSE)</f>
        <v>Corrosive HC service</v>
      </c>
      <c r="D8" s="69"/>
      <c r="E8" s="69"/>
    </row>
    <row r="9" spans="1:5" x14ac:dyDescent="0.2">
      <c r="A9" s="69" t="s">
        <v>30</v>
      </c>
      <c r="B9" s="69"/>
      <c r="C9" s="3" t="s">
        <v>148</v>
      </c>
      <c r="D9" s="69"/>
      <c r="E9" s="69"/>
    </row>
    <row r="10" spans="1:5" x14ac:dyDescent="0.2">
      <c r="A10" s="69" t="s">
        <v>31</v>
      </c>
      <c r="B10" s="69"/>
      <c r="C10" s="3" t="s">
        <v>63</v>
      </c>
      <c r="D10" s="69"/>
      <c r="E10" s="69"/>
    </row>
    <row r="11" spans="1:5" x14ac:dyDescent="0.2">
      <c r="A11" s="73" t="s">
        <v>119</v>
      </c>
      <c r="B11" s="74"/>
      <c r="C11" s="12" t="str">
        <f>VLOOKUP(C5,Index!N:W,10,FALSE)</f>
        <v>258.6 @ -46°C' 213.3 @ 200°C</v>
      </c>
      <c r="D11" s="75"/>
      <c r="E11" s="76"/>
    </row>
    <row r="12" spans="1:5" x14ac:dyDescent="0.2">
      <c r="A12" s="69" t="s">
        <v>32</v>
      </c>
      <c r="B12" s="69"/>
      <c r="C12" s="3" t="str">
        <f>VLOOKUP(C5,Index!N:W,5,FALSE)</f>
        <v>NIL</v>
      </c>
      <c r="D12" s="69"/>
      <c r="E12" s="69"/>
    </row>
    <row r="13" spans="1:5" ht="24" x14ac:dyDescent="0.2">
      <c r="A13" s="69" t="s">
        <v>33</v>
      </c>
      <c r="B13" s="69"/>
      <c r="C13" s="3" t="s">
        <v>98</v>
      </c>
      <c r="D13" s="69"/>
      <c r="E13" s="69"/>
    </row>
    <row r="14" spans="1:5" ht="24" x14ac:dyDescent="0.2">
      <c r="A14" s="69" t="s">
        <v>35</v>
      </c>
      <c r="B14" s="69"/>
      <c r="C14" s="3" t="s">
        <v>316</v>
      </c>
      <c r="D14" s="69"/>
      <c r="E14" s="69"/>
    </row>
    <row r="15" spans="1:5" x14ac:dyDescent="0.2">
      <c r="A15" s="69" t="s">
        <v>36</v>
      </c>
      <c r="B15" s="69"/>
      <c r="C15" s="3" t="s">
        <v>67</v>
      </c>
      <c r="D15" s="69"/>
      <c r="E15" s="69"/>
    </row>
    <row r="16" spans="1:5" x14ac:dyDescent="0.2">
      <c r="A16" s="69" t="s">
        <v>37</v>
      </c>
      <c r="B16" s="4" t="s">
        <v>38</v>
      </c>
      <c r="C16" s="3" t="s">
        <v>73</v>
      </c>
      <c r="D16" s="69"/>
      <c r="E16" s="69"/>
    </row>
    <row r="17" spans="1:5" ht="24" x14ac:dyDescent="0.2">
      <c r="A17" s="69"/>
      <c r="B17" s="4" t="s">
        <v>75</v>
      </c>
      <c r="C17" s="3" t="s">
        <v>77</v>
      </c>
      <c r="D17" s="69"/>
      <c r="E17" s="69"/>
    </row>
    <row r="18" spans="1:5" ht="24" x14ac:dyDescent="0.2">
      <c r="A18" s="69"/>
      <c r="B18" s="4" t="s">
        <v>39</v>
      </c>
      <c r="C18" s="3" t="s">
        <v>87</v>
      </c>
      <c r="D18" s="69"/>
      <c r="E18" s="69"/>
    </row>
    <row r="19" spans="1:5" x14ac:dyDescent="0.2">
      <c r="A19" s="69"/>
      <c r="B19" s="4" t="s">
        <v>68</v>
      </c>
      <c r="C19" s="3" t="s">
        <v>146</v>
      </c>
      <c r="D19" s="69"/>
      <c r="E19" s="69"/>
    </row>
    <row r="20" spans="1:5" x14ac:dyDescent="0.2">
      <c r="A20" s="69"/>
      <c r="B20" s="4" t="s">
        <v>141</v>
      </c>
      <c r="C20" s="3" t="s">
        <v>142</v>
      </c>
      <c r="D20" s="69"/>
      <c r="E20" s="69"/>
    </row>
    <row r="21" spans="1:5" x14ac:dyDescent="0.2">
      <c r="A21" s="69"/>
      <c r="B21" s="4" t="s">
        <v>69</v>
      </c>
      <c r="C21" s="3" t="s">
        <v>106</v>
      </c>
      <c r="D21" s="69"/>
      <c r="E21" s="69"/>
    </row>
    <row r="22" spans="1:5" ht="24" x14ac:dyDescent="0.2">
      <c r="A22" s="69"/>
      <c r="B22" s="4" t="s">
        <v>40</v>
      </c>
      <c r="C22" s="3" t="s">
        <v>86</v>
      </c>
      <c r="D22" s="69"/>
      <c r="E22" s="69"/>
    </row>
    <row r="23" spans="1:5" ht="24" x14ac:dyDescent="0.2">
      <c r="A23" s="69" t="s">
        <v>41</v>
      </c>
      <c r="B23" s="69"/>
      <c r="C23" s="3" t="s">
        <v>122</v>
      </c>
      <c r="D23" s="69"/>
      <c r="E23" s="69"/>
    </row>
    <row r="24" spans="1:5" ht="36" x14ac:dyDescent="0.2">
      <c r="A24" s="69" t="s">
        <v>42</v>
      </c>
      <c r="B24" s="4" t="s">
        <v>91</v>
      </c>
      <c r="C24" s="3" t="s">
        <v>118</v>
      </c>
      <c r="D24" s="69"/>
      <c r="E24" s="69"/>
    </row>
    <row r="25" spans="1:5" x14ac:dyDescent="0.2">
      <c r="A25" s="69"/>
      <c r="B25" s="4" t="s">
        <v>93</v>
      </c>
      <c r="C25" s="3" t="s">
        <v>131</v>
      </c>
      <c r="D25" s="69"/>
      <c r="E25" s="69"/>
    </row>
    <row r="26" spans="1:5" x14ac:dyDescent="0.2">
      <c r="A26" s="69"/>
      <c r="B26" s="4" t="s">
        <v>94</v>
      </c>
      <c r="C26" s="3" t="s">
        <v>101</v>
      </c>
      <c r="D26" s="69"/>
      <c r="E26" s="69"/>
    </row>
    <row r="27" spans="1:5" x14ac:dyDescent="0.2">
      <c r="A27" s="69"/>
      <c r="B27" s="4" t="s">
        <v>95</v>
      </c>
      <c r="C27" s="3" t="s">
        <v>136</v>
      </c>
      <c r="D27" s="69"/>
      <c r="E27" s="69"/>
    </row>
    <row r="28" spans="1:5" x14ac:dyDescent="0.2">
      <c r="A28" s="69"/>
      <c r="B28" s="4" t="s">
        <v>144</v>
      </c>
      <c r="C28" s="3" t="s">
        <v>145</v>
      </c>
      <c r="D28" s="69"/>
      <c r="E28" s="69"/>
    </row>
    <row r="29" spans="1:5" x14ac:dyDescent="0.2">
      <c r="A29" s="69"/>
      <c r="B29" s="4" t="s">
        <v>92</v>
      </c>
      <c r="C29" s="3" t="s">
        <v>101</v>
      </c>
      <c r="D29" s="69"/>
      <c r="E29" s="69"/>
    </row>
    <row r="30" spans="1:5" x14ac:dyDescent="0.2">
      <c r="A30" s="69"/>
      <c r="B30" s="4" t="s">
        <v>96</v>
      </c>
      <c r="C30" s="3" t="s">
        <v>101</v>
      </c>
      <c r="D30" s="69"/>
      <c r="E30" s="69"/>
    </row>
    <row r="31" spans="1:5" ht="36" x14ac:dyDescent="0.2">
      <c r="A31" s="69"/>
      <c r="B31" s="4" t="s">
        <v>72</v>
      </c>
      <c r="C31" s="3" t="s">
        <v>139</v>
      </c>
      <c r="D31" s="69"/>
      <c r="E31" s="69"/>
    </row>
    <row r="32" spans="1:5" ht="24" x14ac:dyDescent="0.2">
      <c r="A32" s="69"/>
      <c r="B32" s="6" t="s">
        <v>140</v>
      </c>
      <c r="C32" s="5" t="s">
        <v>99</v>
      </c>
      <c r="D32" s="69"/>
      <c r="E32" s="69"/>
    </row>
    <row r="33" spans="1:5" ht="24" x14ac:dyDescent="0.2">
      <c r="A33" s="69"/>
      <c r="B33" s="4" t="s">
        <v>43</v>
      </c>
      <c r="C33" s="3" t="s">
        <v>189</v>
      </c>
      <c r="D33" s="69"/>
      <c r="E33" s="69"/>
    </row>
    <row r="34" spans="1:5" x14ac:dyDescent="0.2">
      <c r="A34" s="69"/>
      <c r="B34" s="4" t="s">
        <v>44</v>
      </c>
      <c r="C34" s="3" t="s">
        <v>294</v>
      </c>
      <c r="D34" s="69"/>
      <c r="E34" s="69"/>
    </row>
    <row r="35" spans="1:5" x14ac:dyDescent="0.2">
      <c r="A35" s="69"/>
      <c r="B35" s="4" t="s">
        <v>45</v>
      </c>
      <c r="C35" s="3" t="s">
        <v>294</v>
      </c>
      <c r="D35" s="69"/>
      <c r="E35" s="69"/>
    </row>
    <row r="36" spans="1:5" ht="36" x14ac:dyDescent="0.2">
      <c r="A36" s="69" t="s">
        <v>46</v>
      </c>
      <c r="B36" s="69"/>
      <c r="C36" s="3" t="s">
        <v>47</v>
      </c>
      <c r="D36" s="69"/>
      <c r="E36" s="69"/>
    </row>
    <row r="37" spans="1:5" x14ac:dyDescent="0.2">
      <c r="A37" s="69" t="s">
        <v>48</v>
      </c>
      <c r="B37" s="69"/>
      <c r="C37" s="3" t="s">
        <v>49</v>
      </c>
      <c r="D37" s="69"/>
      <c r="E37" s="69"/>
    </row>
    <row r="38" spans="1:5" x14ac:dyDescent="0.2">
      <c r="A38" s="69" t="s">
        <v>129</v>
      </c>
      <c r="B38" s="69"/>
      <c r="C38" s="3" t="s">
        <v>50</v>
      </c>
      <c r="D38" s="69"/>
      <c r="E38" s="69"/>
    </row>
    <row r="39" spans="1:5" x14ac:dyDescent="0.2">
      <c r="A39" s="69" t="s">
        <v>128</v>
      </c>
      <c r="B39" s="69"/>
      <c r="C39" s="3" t="s">
        <v>127</v>
      </c>
      <c r="D39" s="69"/>
      <c r="E39" s="69"/>
    </row>
    <row r="40" spans="1:5" x14ac:dyDescent="0.2">
      <c r="A40" s="64" t="s">
        <v>124</v>
      </c>
      <c r="B40" s="65"/>
      <c r="C40" s="3" t="s">
        <v>260</v>
      </c>
      <c r="D40" s="64"/>
      <c r="E40" s="65"/>
    </row>
    <row r="41" spans="1:5" x14ac:dyDescent="0.2">
      <c r="A41" s="64" t="s">
        <v>125</v>
      </c>
      <c r="B41" s="65"/>
      <c r="C41" s="3" t="s">
        <v>261</v>
      </c>
      <c r="D41" s="64"/>
      <c r="E41" s="65"/>
    </row>
    <row r="42" spans="1:5" x14ac:dyDescent="0.2">
      <c r="A42" s="64" t="s">
        <v>126</v>
      </c>
      <c r="B42" s="65"/>
      <c r="C42" s="3" t="s">
        <v>195</v>
      </c>
      <c r="D42" s="64"/>
      <c r="E42" s="65"/>
    </row>
    <row r="43" spans="1:5" ht="24" x14ac:dyDescent="0.2">
      <c r="A43" s="69" t="s">
        <v>51</v>
      </c>
      <c r="B43" s="69"/>
      <c r="C43" s="3" t="s">
        <v>52</v>
      </c>
      <c r="D43" s="69"/>
      <c r="E43" s="69"/>
    </row>
    <row r="44" spans="1:5" x14ac:dyDescent="0.2">
      <c r="A44" s="69" t="s">
        <v>53</v>
      </c>
      <c r="B44" s="69"/>
      <c r="C44" s="3" t="s">
        <v>149</v>
      </c>
      <c r="D44" s="69"/>
      <c r="E44" s="69"/>
    </row>
    <row r="45" spans="1:5" ht="24" x14ac:dyDescent="0.2">
      <c r="A45" s="69" t="s">
        <v>54</v>
      </c>
      <c r="B45" s="69"/>
      <c r="C45" s="3" t="s">
        <v>436</v>
      </c>
      <c r="D45" s="69"/>
      <c r="E45" s="69"/>
    </row>
    <row r="46" spans="1:5" x14ac:dyDescent="0.2">
      <c r="A46" s="7"/>
      <c r="B46" s="8"/>
      <c r="C46" s="8"/>
      <c r="D46" s="8"/>
      <c r="E46" s="9"/>
    </row>
    <row r="47" spans="1:5" x14ac:dyDescent="0.2">
      <c r="A47" s="10" t="s">
        <v>58</v>
      </c>
      <c r="E47" s="11"/>
    </row>
    <row r="48" spans="1:5" x14ac:dyDescent="0.2">
      <c r="A48" s="70" t="s">
        <v>70</v>
      </c>
      <c r="B48" s="71"/>
      <c r="C48" s="71"/>
      <c r="D48" s="71"/>
      <c r="E48" s="72"/>
    </row>
    <row r="49" spans="1:5" x14ac:dyDescent="0.2">
      <c r="A49" s="70"/>
      <c r="B49" s="71"/>
      <c r="C49" s="71"/>
      <c r="D49" s="71"/>
      <c r="E49" s="72"/>
    </row>
    <row r="50" spans="1:5" x14ac:dyDescent="0.2">
      <c r="A50" s="70" t="s">
        <v>437</v>
      </c>
      <c r="B50" s="71"/>
      <c r="C50" s="71"/>
      <c r="D50" s="71"/>
      <c r="E50" s="72"/>
    </row>
    <row r="51" spans="1:5" x14ac:dyDescent="0.2">
      <c r="A51" s="70" t="s">
        <v>97</v>
      </c>
      <c r="B51" s="71"/>
      <c r="C51" s="71"/>
      <c r="D51" s="71"/>
      <c r="E51" s="72"/>
    </row>
    <row r="52" spans="1:5" x14ac:dyDescent="0.2">
      <c r="A52" s="70"/>
      <c r="B52" s="71"/>
      <c r="C52" s="71"/>
      <c r="D52" s="71"/>
      <c r="E52" s="72"/>
    </row>
    <row r="53" spans="1:5" x14ac:dyDescent="0.2">
      <c r="A53" s="70" t="s">
        <v>150</v>
      </c>
      <c r="B53" s="71"/>
      <c r="C53" s="71"/>
      <c r="D53" s="71"/>
      <c r="E53" s="72"/>
    </row>
    <row r="54" spans="1:5" ht="11.45" customHeight="1" x14ac:dyDescent="0.2">
      <c r="A54" s="70" t="s">
        <v>151</v>
      </c>
      <c r="B54" s="71"/>
      <c r="C54" s="71"/>
      <c r="D54" s="71"/>
      <c r="E54" s="72"/>
    </row>
    <row r="55" spans="1:5" x14ac:dyDescent="0.2">
      <c r="A55" s="66" t="s">
        <v>104</v>
      </c>
      <c r="B55" s="67"/>
      <c r="C55" s="67"/>
      <c r="D55" s="67"/>
      <c r="E55" s="68"/>
    </row>
  </sheetData>
  <mergeCells count="75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2"/>
    <mergeCell ref="D16:E16"/>
    <mergeCell ref="D17:E17"/>
    <mergeCell ref="D18:E18"/>
    <mergeCell ref="D19:E19"/>
    <mergeCell ref="D20:E20"/>
    <mergeCell ref="D21:E21"/>
    <mergeCell ref="D22:E22"/>
    <mergeCell ref="A23:B23"/>
    <mergeCell ref="D23:E23"/>
    <mergeCell ref="A24:A35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D35:E35"/>
    <mergeCell ref="A37:B37"/>
    <mergeCell ref="D37:E37"/>
    <mergeCell ref="A38:B38"/>
    <mergeCell ref="D38:E38"/>
    <mergeCell ref="A36:B36"/>
    <mergeCell ref="D36:E36"/>
    <mergeCell ref="A39:B39"/>
    <mergeCell ref="D39:E39"/>
    <mergeCell ref="A40:B40"/>
    <mergeCell ref="D40:E40"/>
    <mergeCell ref="A41:B41"/>
    <mergeCell ref="D41:E41"/>
    <mergeCell ref="A42:B42"/>
    <mergeCell ref="D42:E42"/>
    <mergeCell ref="A55:E55"/>
    <mergeCell ref="A43:B43"/>
    <mergeCell ref="D43:E43"/>
    <mergeCell ref="A44:B44"/>
    <mergeCell ref="D44:E44"/>
    <mergeCell ref="A45:B45"/>
    <mergeCell ref="D45:E45"/>
    <mergeCell ref="A48:E49"/>
    <mergeCell ref="A50:E50"/>
    <mergeCell ref="A51:E52"/>
    <mergeCell ref="A53:E53"/>
    <mergeCell ref="A54:E54"/>
  </mergeCells>
  <conditionalFormatting sqref="B17">
    <cfRule type="duplicateValues" dxfId="155" priority="4"/>
  </conditionalFormatting>
  <conditionalFormatting sqref="B18">
    <cfRule type="duplicateValues" dxfId="154" priority="3"/>
  </conditionalFormatting>
  <conditionalFormatting sqref="B20">
    <cfRule type="duplicateValues" dxfId="153" priority="2"/>
  </conditionalFormatting>
  <conditionalFormatting sqref="B21">
    <cfRule type="duplicateValues" dxfId="152" priority="10"/>
  </conditionalFormatting>
  <conditionalFormatting sqref="B25">
    <cfRule type="duplicateValues" dxfId="151" priority="12"/>
  </conditionalFormatting>
  <conditionalFormatting sqref="B28">
    <cfRule type="duplicateValues" dxfId="150" priority="1"/>
  </conditionalFormatting>
  <conditionalFormatting sqref="B32">
    <cfRule type="duplicateValues" dxfId="149" priority="11"/>
  </conditionalFormatting>
  <conditionalFormatting sqref="B38">
    <cfRule type="duplicateValues" dxfId="148" priority="6"/>
  </conditionalFormatting>
  <conditionalFormatting sqref="B39">
    <cfRule type="duplicateValues" dxfId="147" priority="5"/>
  </conditionalFormatting>
  <conditionalFormatting sqref="B40">
    <cfRule type="duplicateValues" dxfId="146" priority="9"/>
  </conditionalFormatting>
  <conditionalFormatting sqref="B41">
    <cfRule type="duplicateValues" dxfId="145" priority="8"/>
  </conditionalFormatting>
  <conditionalFormatting sqref="B42">
    <cfRule type="duplicateValues" dxfId="144" priority="7"/>
  </conditionalFormatting>
  <conditionalFormatting sqref="B56:B1048576 B4:B10 B26:B27 B12:B16 B33:B37 B22:B24 B43:B47 B19 B29:B31">
    <cfRule type="duplicateValues" dxfId="143" priority="13"/>
  </conditionalFormatting>
  <pageMargins left="0.7" right="0.7" top="0.75" bottom="0.75" header="0.3" footer="0.3"/>
  <pageSetup paperSize="9" scale="88" orientation="portrait" horizontalDpi="4294967295" verticalDpi="4294967295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85E127-63F0-4033-9B84-D373B4DC681C}">
  <sheetPr codeName="Sheet60">
    <tabColor theme="4" tint="-0.249977111117893"/>
    <pageSetUpPr fitToPage="1"/>
  </sheetPr>
  <dimension ref="A1:E55"/>
  <sheetViews>
    <sheetView zoomScaleNormal="100" workbookViewId="0">
      <selection sqref="A1:B3"/>
    </sheetView>
  </sheetViews>
  <sheetFormatPr defaultColWidth="8.85546875" defaultRowHeight="12" x14ac:dyDescent="0.2"/>
  <cols>
    <col min="1" max="1" width="12.5703125" style="1" customWidth="1"/>
    <col min="2" max="2" width="13.42578125" style="1" bestFit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4" customFormat="1" ht="30" customHeight="1" x14ac:dyDescent="0.25">
      <c r="A1" s="77" t="e" vm="1">
        <v>#VALUE!</v>
      </c>
      <c r="B1" s="78"/>
      <c r="C1" s="83" t="s">
        <v>112</v>
      </c>
      <c r="D1" s="13" t="s">
        <v>110</v>
      </c>
      <c r="E1" s="13" t="s">
        <v>435</v>
      </c>
    </row>
    <row r="2" spans="1:5" s="14" customFormat="1" ht="30" customHeight="1" x14ac:dyDescent="0.25">
      <c r="A2" s="79"/>
      <c r="B2" s="80"/>
      <c r="C2" s="84"/>
      <c r="D2" s="15" t="s">
        <v>109</v>
      </c>
      <c r="E2" s="16" t="str">
        <f>VLOOKUP(C4,Index!B:J,9,FALSE)</f>
        <v>C0</v>
      </c>
    </row>
    <row r="3" spans="1:5" s="14" customFormat="1" ht="30" customHeight="1" x14ac:dyDescent="0.25">
      <c r="A3" s="81"/>
      <c r="B3" s="82"/>
      <c r="C3" s="85"/>
      <c r="D3" s="15" t="s">
        <v>111</v>
      </c>
      <c r="E3" s="17">
        <f>VLOOKUP(C4,Index!B:I,8,FALSE)</f>
        <v>368</v>
      </c>
    </row>
    <row r="4" spans="1:5" x14ac:dyDescent="0.2">
      <c r="A4" s="86" t="s">
        <v>74</v>
      </c>
      <c r="B4" s="86"/>
      <c r="C4" s="2" t="s">
        <v>239</v>
      </c>
      <c r="D4" s="86" t="s">
        <v>55</v>
      </c>
      <c r="E4" s="86"/>
    </row>
    <row r="5" spans="1:5" x14ac:dyDescent="0.2">
      <c r="A5" s="69" t="s">
        <v>26</v>
      </c>
      <c r="B5" s="69"/>
      <c r="C5" s="3" t="s">
        <v>177</v>
      </c>
      <c r="D5" s="69"/>
      <c r="E5" s="69"/>
    </row>
    <row r="6" spans="1:5" x14ac:dyDescent="0.2">
      <c r="A6" s="69" t="s">
        <v>27</v>
      </c>
      <c r="B6" s="69"/>
      <c r="C6" s="3" t="s">
        <v>78</v>
      </c>
      <c r="D6" s="69"/>
      <c r="E6" s="69"/>
    </row>
    <row r="7" spans="1:5" x14ac:dyDescent="0.2">
      <c r="A7" s="69" t="s">
        <v>28</v>
      </c>
      <c r="B7" s="69"/>
      <c r="C7" s="3" t="s">
        <v>82</v>
      </c>
      <c r="D7" s="69"/>
      <c r="E7" s="69"/>
    </row>
    <row r="8" spans="1:5" x14ac:dyDescent="0.2">
      <c r="A8" s="69" t="s">
        <v>29</v>
      </c>
      <c r="B8" s="69"/>
      <c r="C8" s="3" t="str">
        <f>VLOOKUP(C5,Index!N:W,6,FALSE)</f>
        <v>Corrosive HC service</v>
      </c>
      <c r="D8" s="69"/>
      <c r="E8" s="69"/>
    </row>
    <row r="9" spans="1:5" x14ac:dyDescent="0.2">
      <c r="A9" s="69" t="s">
        <v>30</v>
      </c>
      <c r="B9" s="69"/>
      <c r="C9" s="3" t="s">
        <v>148</v>
      </c>
      <c r="D9" s="69"/>
      <c r="E9" s="69"/>
    </row>
    <row r="10" spans="1:5" x14ac:dyDescent="0.2">
      <c r="A10" s="69" t="s">
        <v>31</v>
      </c>
      <c r="B10" s="69"/>
      <c r="C10" s="3" t="s">
        <v>64</v>
      </c>
      <c r="D10" s="69"/>
      <c r="E10" s="69"/>
    </row>
    <row r="11" spans="1:5" x14ac:dyDescent="0.2">
      <c r="A11" s="73" t="s">
        <v>119</v>
      </c>
      <c r="B11" s="74"/>
      <c r="C11" s="12" t="str">
        <f>VLOOKUP(C5,Index!N:W,10,FALSE)</f>
        <v>430.9 @ -46°C' 355.4 @ 200°C</v>
      </c>
      <c r="D11" s="75"/>
      <c r="E11" s="76"/>
    </row>
    <row r="12" spans="1:5" x14ac:dyDescent="0.2">
      <c r="A12" s="69" t="s">
        <v>32</v>
      </c>
      <c r="B12" s="69"/>
      <c r="C12" s="3" t="str">
        <f>VLOOKUP(C5,Index!N:W,5,FALSE)</f>
        <v>NIL</v>
      </c>
      <c r="D12" s="69"/>
      <c r="E12" s="69"/>
    </row>
    <row r="13" spans="1:5" ht="24" x14ac:dyDescent="0.2">
      <c r="A13" s="69" t="s">
        <v>33</v>
      </c>
      <c r="B13" s="69"/>
      <c r="C13" s="3" t="s">
        <v>98</v>
      </c>
      <c r="D13" s="69"/>
      <c r="E13" s="69"/>
    </row>
    <row r="14" spans="1:5" ht="24" x14ac:dyDescent="0.2">
      <c r="A14" s="69" t="s">
        <v>35</v>
      </c>
      <c r="B14" s="69"/>
      <c r="C14" s="3" t="s">
        <v>316</v>
      </c>
      <c r="D14" s="69"/>
      <c r="E14" s="69"/>
    </row>
    <row r="15" spans="1:5" x14ac:dyDescent="0.2">
      <c r="A15" s="69" t="s">
        <v>36</v>
      </c>
      <c r="B15" s="69"/>
      <c r="C15" s="3" t="s">
        <v>67</v>
      </c>
      <c r="D15" s="69"/>
      <c r="E15" s="69"/>
    </row>
    <row r="16" spans="1:5" x14ac:dyDescent="0.2">
      <c r="A16" s="69" t="s">
        <v>37</v>
      </c>
      <c r="B16" s="4" t="s">
        <v>38</v>
      </c>
      <c r="C16" s="3" t="s">
        <v>73</v>
      </c>
      <c r="D16" s="69"/>
      <c r="E16" s="69"/>
    </row>
    <row r="17" spans="1:5" ht="24" x14ac:dyDescent="0.2">
      <c r="A17" s="69"/>
      <c r="B17" s="4" t="s">
        <v>75</v>
      </c>
      <c r="C17" s="3" t="s">
        <v>77</v>
      </c>
      <c r="D17" s="69"/>
      <c r="E17" s="69"/>
    </row>
    <row r="18" spans="1:5" ht="24" x14ac:dyDescent="0.2">
      <c r="A18" s="69"/>
      <c r="B18" s="4" t="s">
        <v>39</v>
      </c>
      <c r="C18" s="3" t="s">
        <v>87</v>
      </c>
      <c r="D18" s="69"/>
      <c r="E18" s="69"/>
    </row>
    <row r="19" spans="1:5" x14ac:dyDescent="0.2">
      <c r="A19" s="69"/>
      <c r="B19" s="4" t="s">
        <v>68</v>
      </c>
      <c r="C19" s="3" t="s">
        <v>146</v>
      </c>
      <c r="D19" s="69"/>
      <c r="E19" s="69"/>
    </row>
    <row r="20" spans="1:5" x14ac:dyDescent="0.2">
      <c r="A20" s="69"/>
      <c r="B20" s="4" t="s">
        <v>141</v>
      </c>
      <c r="C20" s="3" t="s">
        <v>142</v>
      </c>
      <c r="D20" s="69"/>
      <c r="E20" s="69"/>
    </row>
    <row r="21" spans="1:5" x14ac:dyDescent="0.2">
      <c r="A21" s="69"/>
      <c r="B21" s="4" t="s">
        <v>69</v>
      </c>
      <c r="C21" s="3" t="s">
        <v>106</v>
      </c>
      <c r="D21" s="69"/>
      <c r="E21" s="69"/>
    </row>
    <row r="22" spans="1:5" ht="24" x14ac:dyDescent="0.2">
      <c r="A22" s="69"/>
      <c r="B22" s="4" t="s">
        <v>40</v>
      </c>
      <c r="C22" s="3" t="s">
        <v>86</v>
      </c>
      <c r="D22" s="69"/>
      <c r="E22" s="69"/>
    </row>
    <row r="23" spans="1:5" ht="24" x14ac:dyDescent="0.2">
      <c r="A23" s="69" t="s">
        <v>41</v>
      </c>
      <c r="B23" s="69"/>
      <c r="C23" s="3" t="s">
        <v>122</v>
      </c>
      <c r="D23" s="69"/>
      <c r="E23" s="69"/>
    </row>
    <row r="24" spans="1:5" ht="36" x14ac:dyDescent="0.2">
      <c r="A24" s="69" t="s">
        <v>42</v>
      </c>
      <c r="B24" s="4" t="s">
        <v>91</v>
      </c>
      <c r="C24" s="3" t="s">
        <v>118</v>
      </c>
      <c r="D24" s="69"/>
      <c r="E24" s="69"/>
    </row>
    <row r="25" spans="1:5" x14ac:dyDescent="0.2">
      <c r="A25" s="69"/>
      <c r="B25" s="4" t="s">
        <v>93</v>
      </c>
      <c r="C25" s="3" t="s">
        <v>131</v>
      </c>
      <c r="D25" s="69"/>
      <c r="E25" s="69"/>
    </row>
    <row r="26" spans="1:5" x14ac:dyDescent="0.2">
      <c r="A26" s="69"/>
      <c r="B26" s="4" t="s">
        <v>94</v>
      </c>
      <c r="C26" s="3" t="s">
        <v>101</v>
      </c>
      <c r="D26" s="69"/>
      <c r="E26" s="69"/>
    </row>
    <row r="27" spans="1:5" x14ac:dyDescent="0.2">
      <c r="A27" s="69"/>
      <c r="B27" s="4" t="s">
        <v>95</v>
      </c>
      <c r="C27" s="3" t="s">
        <v>136</v>
      </c>
      <c r="D27" s="69"/>
      <c r="E27" s="69"/>
    </row>
    <row r="28" spans="1:5" x14ac:dyDescent="0.2">
      <c r="A28" s="69"/>
      <c r="B28" s="4" t="s">
        <v>144</v>
      </c>
      <c r="C28" s="3" t="s">
        <v>145</v>
      </c>
      <c r="D28" s="69"/>
      <c r="E28" s="69"/>
    </row>
    <row r="29" spans="1:5" x14ac:dyDescent="0.2">
      <c r="A29" s="69"/>
      <c r="B29" s="4" t="s">
        <v>92</v>
      </c>
      <c r="C29" s="3" t="s">
        <v>101</v>
      </c>
      <c r="D29" s="69"/>
      <c r="E29" s="69"/>
    </row>
    <row r="30" spans="1:5" x14ac:dyDescent="0.2">
      <c r="A30" s="69"/>
      <c r="B30" s="4" t="s">
        <v>96</v>
      </c>
      <c r="C30" s="3" t="s">
        <v>101</v>
      </c>
      <c r="D30" s="69"/>
      <c r="E30" s="69"/>
    </row>
    <row r="31" spans="1:5" ht="36" x14ac:dyDescent="0.2">
      <c r="A31" s="69"/>
      <c r="B31" s="4" t="s">
        <v>72</v>
      </c>
      <c r="C31" s="3" t="s">
        <v>139</v>
      </c>
      <c r="D31" s="69"/>
      <c r="E31" s="69"/>
    </row>
    <row r="32" spans="1:5" ht="24" x14ac:dyDescent="0.2">
      <c r="A32" s="69"/>
      <c r="B32" s="6" t="s">
        <v>140</v>
      </c>
      <c r="C32" s="5" t="s">
        <v>99</v>
      </c>
      <c r="D32" s="69"/>
      <c r="E32" s="69"/>
    </row>
    <row r="33" spans="1:5" ht="24" x14ac:dyDescent="0.2">
      <c r="A33" s="69"/>
      <c r="B33" s="4" t="s">
        <v>43</v>
      </c>
      <c r="C33" s="3" t="s">
        <v>189</v>
      </c>
      <c r="D33" s="69"/>
      <c r="E33" s="69"/>
    </row>
    <row r="34" spans="1:5" x14ac:dyDescent="0.2">
      <c r="A34" s="69"/>
      <c r="B34" s="4" t="s">
        <v>44</v>
      </c>
      <c r="C34" s="3" t="s">
        <v>294</v>
      </c>
      <c r="D34" s="69"/>
      <c r="E34" s="69"/>
    </row>
    <row r="35" spans="1:5" x14ac:dyDescent="0.2">
      <c r="A35" s="69"/>
      <c r="B35" s="4" t="s">
        <v>45</v>
      </c>
      <c r="C35" s="3" t="s">
        <v>294</v>
      </c>
      <c r="D35" s="69"/>
      <c r="E35" s="69"/>
    </row>
    <row r="36" spans="1:5" ht="36" x14ac:dyDescent="0.2">
      <c r="A36" s="69" t="s">
        <v>46</v>
      </c>
      <c r="B36" s="69"/>
      <c r="C36" s="3" t="s">
        <v>47</v>
      </c>
      <c r="D36" s="69"/>
      <c r="E36" s="69"/>
    </row>
    <row r="37" spans="1:5" x14ac:dyDescent="0.2">
      <c r="A37" s="69" t="s">
        <v>48</v>
      </c>
      <c r="B37" s="69"/>
      <c r="C37" s="3" t="s">
        <v>49</v>
      </c>
      <c r="D37" s="69"/>
      <c r="E37" s="69"/>
    </row>
    <row r="38" spans="1:5" x14ac:dyDescent="0.2">
      <c r="A38" s="69" t="s">
        <v>129</v>
      </c>
      <c r="B38" s="69"/>
      <c r="C38" s="3" t="s">
        <v>50</v>
      </c>
      <c r="D38" s="69"/>
      <c r="E38" s="69"/>
    </row>
    <row r="39" spans="1:5" x14ac:dyDescent="0.2">
      <c r="A39" s="69" t="s">
        <v>128</v>
      </c>
      <c r="B39" s="69"/>
      <c r="C39" s="3" t="s">
        <v>127</v>
      </c>
      <c r="D39" s="69"/>
      <c r="E39" s="69"/>
    </row>
    <row r="40" spans="1:5" x14ac:dyDescent="0.2">
      <c r="A40" s="64" t="s">
        <v>124</v>
      </c>
      <c r="B40" s="65"/>
      <c r="C40" s="3" t="s">
        <v>258</v>
      </c>
      <c r="D40" s="64"/>
      <c r="E40" s="65"/>
    </row>
    <row r="41" spans="1:5" x14ac:dyDescent="0.2">
      <c r="A41" s="64" t="s">
        <v>125</v>
      </c>
      <c r="B41" s="65"/>
      <c r="C41" s="3" t="s">
        <v>259</v>
      </c>
      <c r="D41" s="64"/>
      <c r="E41" s="65"/>
    </row>
    <row r="42" spans="1:5" x14ac:dyDescent="0.2">
      <c r="A42" s="64" t="s">
        <v>126</v>
      </c>
      <c r="B42" s="65"/>
      <c r="C42" s="3" t="s">
        <v>195</v>
      </c>
      <c r="D42" s="64"/>
      <c r="E42" s="65"/>
    </row>
    <row r="43" spans="1:5" ht="24" x14ac:dyDescent="0.2">
      <c r="A43" s="69" t="s">
        <v>51</v>
      </c>
      <c r="B43" s="69"/>
      <c r="C43" s="3" t="s">
        <v>52</v>
      </c>
      <c r="D43" s="69"/>
      <c r="E43" s="69"/>
    </row>
    <row r="44" spans="1:5" x14ac:dyDescent="0.2">
      <c r="A44" s="69" t="s">
        <v>53</v>
      </c>
      <c r="B44" s="69"/>
      <c r="C44" s="3" t="s">
        <v>149</v>
      </c>
      <c r="D44" s="69"/>
      <c r="E44" s="69"/>
    </row>
    <row r="45" spans="1:5" ht="24" x14ac:dyDescent="0.2">
      <c r="A45" s="69" t="s">
        <v>54</v>
      </c>
      <c r="B45" s="69"/>
      <c r="C45" s="3" t="s">
        <v>436</v>
      </c>
      <c r="D45" s="69"/>
      <c r="E45" s="69"/>
    </row>
    <row r="46" spans="1:5" x14ac:dyDescent="0.2">
      <c r="A46" s="7"/>
      <c r="B46" s="8"/>
      <c r="C46" s="8"/>
      <c r="D46" s="8"/>
      <c r="E46" s="9"/>
    </row>
    <row r="47" spans="1:5" x14ac:dyDescent="0.2">
      <c r="A47" s="10" t="s">
        <v>58</v>
      </c>
      <c r="E47" s="11"/>
    </row>
    <row r="48" spans="1:5" x14ac:dyDescent="0.2">
      <c r="A48" s="70" t="s">
        <v>70</v>
      </c>
      <c r="B48" s="71"/>
      <c r="C48" s="71"/>
      <c r="D48" s="71"/>
      <c r="E48" s="72"/>
    </row>
    <row r="49" spans="1:5" x14ac:dyDescent="0.2">
      <c r="A49" s="70"/>
      <c r="B49" s="71"/>
      <c r="C49" s="71"/>
      <c r="D49" s="71"/>
      <c r="E49" s="72"/>
    </row>
    <row r="50" spans="1:5" x14ac:dyDescent="0.2">
      <c r="A50" s="70" t="s">
        <v>437</v>
      </c>
      <c r="B50" s="71"/>
      <c r="C50" s="71"/>
      <c r="D50" s="71"/>
      <c r="E50" s="72"/>
    </row>
    <row r="51" spans="1:5" x14ac:dyDescent="0.2">
      <c r="A51" s="70" t="s">
        <v>97</v>
      </c>
      <c r="B51" s="71"/>
      <c r="C51" s="71"/>
      <c r="D51" s="71"/>
      <c r="E51" s="72"/>
    </row>
    <row r="52" spans="1:5" x14ac:dyDescent="0.2">
      <c r="A52" s="70"/>
      <c r="B52" s="71"/>
      <c r="C52" s="71"/>
      <c r="D52" s="71"/>
      <c r="E52" s="72"/>
    </row>
    <row r="53" spans="1:5" x14ac:dyDescent="0.2">
      <c r="A53" s="70" t="s">
        <v>150</v>
      </c>
      <c r="B53" s="71"/>
      <c r="C53" s="71"/>
      <c r="D53" s="71"/>
      <c r="E53" s="72"/>
    </row>
    <row r="54" spans="1:5" ht="11.45" customHeight="1" x14ac:dyDescent="0.2">
      <c r="A54" s="70" t="s">
        <v>151</v>
      </c>
      <c r="B54" s="71"/>
      <c r="C54" s="71"/>
      <c r="D54" s="71"/>
      <c r="E54" s="72"/>
    </row>
    <row r="55" spans="1:5" x14ac:dyDescent="0.2">
      <c r="A55" s="66" t="s">
        <v>104</v>
      </c>
      <c r="B55" s="67"/>
      <c r="C55" s="67"/>
      <c r="D55" s="67"/>
      <c r="E55" s="68"/>
    </row>
  </sheetData>
  <mergeCells count="75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2"/>
    <mergeCell ref="D16:E16"/>
    <mergeCell ref="D17:E17"/>
    <mergeCell ref="D18:E18"/>
    <mergeCell ref="D19:E19"/>
    <mergeCell ref="D20:E20"/>
    <mergeCell ref="D21:E21"/>
    <mergeCell ref="D22:E22"/>
    <mergeCell ref="A23:B23"/>
    <mergeCell ref="D23:E23"/>
    <mergeCell ref="A24:A35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D35:E35"/>
    <mergeCell ref="A37:B37"/>
    <mergeCell ref="D37:E37"/>
    <mergeCell ref="A38:B38"/>
    <mergeCell ref="D38:E38"/>
    <mergeCell ref="A36:B36"/>
    <mergeCell ref="D36:E36"/>
    <mergeCell ref="A39:B39"/>
    <mergeCell ref="D39:E39"/>
    <mergeCell ref="A40:B40"/>
    <mergeCell ref="D40:E40"/>
    <mergeCell ref="A41:B41"/>
    <mergeCell ref="D41:E41"/>
    <mergeCell ref="A42:B42"/>
    <mergeCell ref="D42:E42"/>
    <mergeCell ref="A55:E55"/>
    <mergeCell ref="A43:B43"/>
    <mergeCell ref="D43:E43"/>
    <mergeCell ref="A44:B44"/>
    <mergeCell ref="D44:E44"/>
    <mergeCell ref="A45:B45"/>
    <mergeCell ref="D45:E45"/>
    <mergeCell ref="A48:E49"/>
    <mergeCell ref="A50:E50"/>
    <mergeCell ref="A51:E52"/>
    <mergeCell ref="A53:E53"/>
    <mergeCell ref="A54:E54"/>
  </mergeCells>
  <conditionalFormatting sqref="B17">
    <cfRule type="duplicateValues" dxfId="142" priority="4"/>
  </conditionalFormatting>
  <conditionalFormatting sqref="B18">
    <cfRule type="duplicateValues" dxfId="141" priority="3"/>
  </conditionalFormatting>
  <conditionalFormatting sqref="B20">
    <cfRule type="duplicateValues" dxfId="140" priority="2"/>
  </conditionalFormatting>
  <conditionalFormatting sqref="B21">
    <cfRule type="duplicateValues" dxfId="139" priority="10"/>
  </conditionalFormatting>
  <conditionalFormatting sqref="B25">
    <cfRule type="duplicateValues" dxfId="138" priority="12"/>
  </conditionalFormatting>
  <conditionalFormatting sqref="B28">
    <cfRule type="duplicateValues" dxfId="137" priority="1"/>
  </conditionalFormatting>
  <conditionalFormatting sqref="B32">
    <cfRule type="duplicateValues" dxfId="136" priority="11"/>
  </conditionalFormatting>
  <conditionalFormatting sqref="B38">
    <cfRule type="duplicateValues" dxfId="135" priority="6"/>
  </conditionalFormatting>
  <conditionalFormatting sqref="B39">
    <cfRule type="duplicateValues" dxfId="134" priority="5"/>
  </conditionalFormatting>
  <conditionalFormatting sqref="B40">
    <cfRule type="duplicateValues" dxfId="133" priority="9"/>
  </conditionalFormatting>
  <conditionalFormatting sqref="B41">
    <cfRule type="duplicateValues" dxfId="132" priority="8"/>
  </conditionalFormatting>
  <conditionalFormatting sqref="B42">
    <cfRule type="duplicateValues" dxfId="131" priority="7"/>
  </conditionalFormatting>
  <conditionalFormatting sqref="B56:B1048576 B4:B10 B26:B27 B12:B16 B33:B37 B22:B24 B43:B47 B19 B29:B31">
    <cfRule type="duplicateValues" dxfId="130" priority="13"/>
  </conditionalFormatting>
  <pageMargins left="0.7" right="0.7" top="0.75" bottom="0.75" header="0.3" footer="0.3"/>
  <pageSetup paperSize="9" scale="88" orientation="portrait" horizontalDpi="4294967295" verticalDpi="4294967295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789C7F-46CF-441A-8577-C17AE9F02B95}">
  <sheetPr codeName="Sheet3">
    <tabColor theme="4" tint="-0.249977111117893"/>
    <pageSetUpPr fitToPage="1"/>
  </sheetPr>
  <dimension ref="A1:E55"/>
  <sheetViews>
    <sheetView zoomScaleNormal="100" workbookViewId="0">
      <selection sqref="A1:B3"/>
    </sheetView>
  </sheetViews>
  <sheetFormatPr defaultColWidth="8.85546875" defaultRowHeight="12" x14ac:dyDescent="0.2"/>
  <cols>
    <col min="1" max="1" width="12.5703125" style="1" customWidth="1"/>
    <col min="2" max="2" width="13.42578125" style="1" bestFit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4" customFormat="1" ht="30" customHeight="1" x14ac:dyDescent="0.25">
      <c r="A1" s="77" t="e" vm="1">
        <v>#VALUE!</v>
      </c>
      <c r="B1" s="78"/>
      <c r="C1" s="83" t="s">
        <v>112</v>
      </c>
      <c r="D1" s="13" t="s">
        <v>110</v>
      </c>
      <c r="E1" s="13" t="s">
        <v>435</v>
      </c>
    </row>
    <row r="2" spans="1:5" s="14" customFormat="1" ht="30" customHeight="1" x14ac:dyDescent="0.25">
      <c r="A2" s="79"/>
      <c r="B2" s="80"/>
      <c r="C2" s="84"/>
      <c r="D2" s="15" t="s">
        <v>109</v>
      </c>
      <c r="E2" s="16" t="str">
        <f>VLOOKUP(C4,Index!B:J,9,FALSE)</f>
        <v>C0</v>
      </c>
    </row>
    <row r="3" spans="1:5" s="14" customFormat="1" ht="30" customHeight="1" x14ac:dyDescent="0.25">
      <c r="A3" s="81"/>
      <c r="B3" s="82"/>
      <c r="C3" s="85"/>
      <c r="D3" s="15" t="s">
        <v>111</v>
      </c>
      <c r="E3" s="17">
        <f>VLOOKUP(C4,Index!B:I,8,FALSE)</f>
        <v>369</v>
      </c>
    </row>
    <row r="4" spans="1:5" x14ac:dyDescent="0.2">
      <c r="A4" s="86" t="s">
        <v>74</v>
      </c>
      <c r="B4" s="86"/>
      <c r="C4" s="2" t="s">
        <v>295</v>
      </c>
      <c r="D4" s="86" t="s">
        <v>55</v>
      </c>
      <c r="E4" s="86"/>
    </row>
    <row r="5" spans="1:5" x14ac:dyDescent="0.2">
      <c r="A5" s="69" t="s">
        <v>26</v>
      </c>
      <c r="B5" s="69"/>
      <c r="C5" s="3" t="s">
        <v>296</v>
      </c>
      <c r="D5" s="69"/>
      <c r="E5" s="69"/>
    </row>
    <row r="6" spans="1:5" x14ac:dyDescent="0.2">
      <c r="A6" s="69" t="s">
        <v>27</v>
      </c>
      <c r="B6" s="69"/>
      <c r="C6" s="3" t="s">
        <v>78</v>
      </c>
      <c r="D6" s="69"/>
      <c r="E6" s="69"/>
    </row>
    <row r="7" spans="1:5" x14ac:dyDescent="0.2">
      <c r="A7" s="69" t="s">
        <v>28</v>
      </c>
      <c r="B7" s="69"/>
      <c r="C7" s="3" t="s">
        <v>82</v>
      </c>
      <c r="D7" s="69"/>
      <c r="E7" s="69"/>
    </row>
    <row r="8" spans="1:5" x14ac:dyDescent="0.2">
      <c r="A8" s="69" t="s">
        <v>29</v>
      </c>
      <c r="B8" s="69"/>
      <c r="C8" s="3" t="str">
        <f>VLOOKUP(C5,Index!N:W,6,FALSE)</f>
        <v>Firewater, Raw Seawater and Topsides Seawater</v>
      </c>
      <c r="D8" s="69"/>
      <c r="E8" s="69"/>
    </row>
    <row r="9" spans="1:5" x14ac:dyDescent="0.2">
      <c r="A9" s="69" t="s">
        <v>30</v>
      </c>
      <c r="B9" s="69"/>
      <c r="C9" s="3" t="s">
        <v>148</v>
      </c>
      <c r="D9" s="69"/>
      <c r="E9" s="69"/>
    </row>
    <row r="10" spans="1:5" x14ac:dyDescent="0.2">
      <c r="A10" s="69" t="s">
        <v>31</v>
      </c>
      <c r="B10" s="69"/>
      <c r="C10" s="3" t="s">
        <v>56</v>
      </c>
      <c r="D10" s="69"/>
      <c r="E10" s="69"/>
    </row>
    <row r="11" spans="1:5" x14ac:dyDescent="0.2">
      <c r="A11" s="73" t="s">
        <v>119</v>
      </c>
      <c r="B11" s="74"/>
      <c r="C11" s="12" t="str">
        <f>VLOOKUP(C5,Index!N:W,10,FALSE)</f>
        <v>20 @ -46°C' 13.8 @ 200°C</v>
      </c>
      <c r="D11" s="75"/>
      <c r="E11" s="76"/>
    </row>
    <row r="12" spans="1:5" x14ac:dyDescent="0.2">
      <c r="A12" s="69" t="s">
        <v>32</v>
      </c>
      <c r="B12" s="69"/>
      <c r="C12" s="3" t="str">
        <f>VLOOKUP(C5,Index!N:W,5,FALSE)</f>
        <v>NIL</v>
      </c>
      <c r="D12" s="69"/>
      <c r="E12" s="69"/>
    </row>
    <row r="13" spans="1:5" x14ac:dyDescent="0.2">
      <c r="A13" s="69" t="s">
        <v>33</v>
      </c>
      <c r="B13" s="69"/>
      <c r="C13" s="3" t="s">
        <v>34</v>
      </c>
      <c r="D13" s="69"/>
      <c r="E13" s="69"/>
    </row>
    <row r="14" spans="1:5" x14ac:dyDescent="0.2">
      <c r="A14" s="69" t="s">
        <v>35</v>
      </c>
      <c r="B14" s="69"/>
      <c r="C14" s="3" t="s">
        <v>245</v>
      </c>
      <c r="D14" s="69"/>
      <c r="E14" s="69"/>
    </row>
    <row r="15" spans="1:5" x14ac:dyDescent="0.2">
      <c r="A15" s="69" t="s">
        <v>36</v>
      </c>
      <c r="B15" s="69"/>
      <c r="C15" s="3" t="s">
        <v>67</v>
      </c>
      <c r="D15" s="69"/>
      <c r="E15" s="69"/>
    </row>
    <row r="16" spans="1:5" x14ac:dyDescent="0.2">
      <c r="A16" s="69" t="s">
        <v>37</v>
      </c>
      <c r="B16" s="4" t="s">
        <v>38</v>
      </c>
      <c r="C16" s="3" t="s">
        <v>73</v>
      </c>
      <c r="D16" s="69"/>
      <c r="E16" s="69"/>
    </row>
    <row r="17" spans="1:5" ht="24" x14ac:dyDescent="0.2">
      <c r="A17" s="69"/>
      <c r="B17" s="4" t="s">
        <v>75</v>
      </c>
      <c r="C17" s="3" t="s">
        <v>77</v>
      </c>
      <c r="D17" s="69"/>
      <c r="E17" s="69"/>
    </row>
    <row r="18" spans="1:5" ht="24" x14ac:dyDescent="0.2">
      <c r="A18" s="69"/>
      <c r="B18" s="4" t="s">
        <v>39</v>
      </c>
      <c r="C18" s="3" t="s">
        <v>87</v>
      </c>
      <c r="D18" s="69"/>
      <c r="E18" s="69"/>
    </row>
    <row r="19" spans="1:5" x14ac:dyDescent="0.2">
      <c r="A19" s="69"/>
      <c r="B19" s="4" t="s">
        <v>68</v>
      </c>
      <c r="C19" s="3" t="s">
        <v>146</v>
      </c>
      <c r="D19" s="69"/>
      <c r="E19" s="69"/>
    </row>
    <row r="20" spans="1:5" x14ac:dyDescent="0.2">
      <c r="A20" s="69"/>
      <c r="B20" s="4" t="s">
        <v>141</v>
      </c>
      <c r="C20" s="3" t="s">
        <v>142</v>
      </c>
      <c r="D20" s="69"/>
      <c r="E20" s="69"/>
    </row>
    <row r="21" spans="1:5" x14ac:dyDescent="0.2">
      <c r="A21" s="69"/>
      <c r="B21" s="4" t="s">
        <v>69</v>
      </c>
      <c r="C21" s="3" t="s">
        <v>106</v>
      </c>
      <c r="D21" s="69"/>
      <c r="E21" s="69"/>
    </row>
    <row r="22" spans="1:5" ht="24" x14ac:dyDescent="0.2">
      <c r="A22" s="69"/>
      <c r="B22" s="4" t="s">
        <v>40</v>
      </c>
      <c r="C22" s="3" t="s">
        <v>86</v>
      </c>
      <c r="D22" s="69"/>
      <c r="E22" s="69"/>
    </row>
    <row r="23" spans="1:5" ht="24" x14ac:dyDescent="0.2">
      <c r="A23" s="69" t="s">
        <v>41</v>
      </c>
      <c r="B23" s="69"/>
      <c r="C23" s="3" t="s">
        <v>121</v>
      </c>
      <c r="D23" s="69"/>
      <c r="E23" s="69"/>
    </row>
    <row r="24" spans="1:5" ht="36" x14ac:dyDescent="0.2">
      <c r="A24" s="69" t="s">
        <v>42</v>
      </c>
      <c r="B24" s="4" t="s">
        <v>91</v>
      </c>
      <c r="C24" s="3" t="s">
        <v>108</v>
      </c>
      <c r="D24" s="69"/>
      <c r="E24" s="69"/>
    </row>
    <row r="25" spans="1:5" x14ac:dyDescent="0.2">
      <c r="A25" s="69"/>
      <c r="B25" s="4" t="s">
        <v>93</v>
      </c>
      <c r="C25" s="3" t="s">
        <v>130</v>
      </c>
      <c r="D25" s="69"/>
      <c r="E25" s="69"/>
    </row>
    <row r="26" spans="1:5" x14ac:dyDescent="0.2">
      <c r="A26" s="69"/>
      <c r="B26" s="4" t="s">
        <v>94</v>
      </c>
      <c r="C26" s="3" t="s">
        <v>71</v>
      </c>
      <c r="D26" s="69"/>
      <c r="E26" s="69"/>
    </row>
    <row r="27" spans="1:5" x14ac:dyDescent="0.2">
      <c r="A27" s="69"/>
      <c r="B27" s="4" t="s">
        <v>95</v>
      </c>
      <c r="C27" s="3" t="s">
        <v>135</v>
      </c>
      <c r="D27" s="69"/>
      <c r="E27" s="69"/>
    </row>
    <row r="28" spans="1:5" x14ac:dyDescent="0.2">
      <c r="A28" s="69"/>
      <c r="B28" s="4" t="s">
        <v>144</v>
      </c>
      <c r="C28" s="3" t="s">
        <v>145</v>
      </c>
      <c r="D28" s="69"/>
      <c r="E28" s="69"/>
    </row>
    <row r="29" spans="1:5" x14ac:dyDescent="0.2">
      <c r="A29" s="69"/>
      <c r="B29" s="4" t="s">
        <v>92</v>
      </c>
      <c r="C29" s="3" t="s">
        <v>71</v>
      </c>
      <c r="D29" s="69"/>
      <c r="E29" s="69"/>
    </row>
    <row r="30" spans="1:5" x14ac:dyDescent="0.2">
      <c r="A30" s="69"/>
      <c r="B30" s="4" t="s">
        <v>96</v>
      </c>
      <c r="C30" s="3" t="s">
        <v>71</v>
      </c>
      <c r="D30" s="69"/>
      <c r="E30" s="69"/>
    </row>
    <row r="31" spans="1:5" ht="36" x14ac:dyDescent="0.2">
      <c r="A31" s="69"/>
      <c r="B31" s="4" t="s">
        <v>72</v>
      </c>
      <c r="C31" s="3" t="s">
        <v>139</v>
      </c>
      <c r="D31" s="69"/>
      <c r="E31" s="69"/>
    </row>
    <row r="32" spans="1:5" ht="24" x14ac:dyDescent="0.2">
      <c r="A32" s="69"/>
      <c r="B32" s="6" t="s">
        <v>140</v>
      </c>
      <c r="C32" s="5" t="s">
        <v>99</v>
      </c>
      <c r="D32" s="69"/>
      <c r="E32" s="69"/>
    </row>
    <row r="33" spans="1:5" ht="24" x14ac:dyDescent="0.2">
      <c r="A33" s="69"/>
      <c r="B33" s="4" t="s">
        <v>43</v>
      </c>
      <c r="C33" s="3" t="s">
        <v>190</v>
      </c>
      <c r="D33" s="69"/>
      <c r="E33" s="69"/>
    </row>
    <row r="34" spans="1:5" x14ac:dyDescent="0.2">
      <c r="A34" s="69"/>
      <c r="B34" s="4" t="s">
        <v>44</v>
      </c>
      <c r="C34" s="3" t="s">
        <v>294</v>
      </c>
      <c r="D34" s="69"/>
      <c r="E34" s="69"/>
    </row>
    <row r="35" spans="1:5" x14ac:dyDescent="0.2">
      <c r="A35" s="69"/>
      <c r="B35" s="4" t="s">
        <v>45</v>
      </c>
      <c r="C35" s="3" t="s">
        <v>294</v>
      </c>
      <c r="D35" s="69"/>
      <c r="E35" s="69"/>
    </row>
    <row r="36" spans="1:5" ht="36" x14ac:dyDescent="0.2">
      <c r="A36" s="69" t="s">
        <v>46</v>
      </c>
      <c r="B36" s="69"/>
      <c r="C36" s="3" t="s">
        <v>47</v>
      </c>
      <c r="D36" s="69"/>
      <c r="E36" s="69"/>
    </row>
    <row r="37" spans="1:5" x14ac:dyDescent="0.2">
      <c r="A37" s="69" t="s">
        <v>48</v>
      </c>
      <c r="B37" s="69"/>
      <c r="C37" s="3" t="s">
        <v>49</v>
      </c>
      <c r="D37" s="69"/>
      <c r="E37" s="69"/>
    </row>
    <row r="38" spans="1:5" x14ac:dyDescent="0.2">
      <c r="A38" s="69" t="s">
        <v>129</v>
      </c>
      <c r="B38" s="69"/>
      <c r="C38" s="3" t="s">
        <v>50</v>
      </c>
      <c r="D38" s="69"/>
      <c r="E38" s="69"/>
    </row>
    <row r="39" spans="1:5" x14ac:dyDescent="0.2">
      <c r="A39" s="69" t="s">
        <v>128</v>
      </c>
      <c r="B39" s="69"/>
      <c r="C39" s="3" t="s">
        <v>127</v>
      </c>
      <c r="D39" s="69"/>
      <c r="E39" s="69"/>
    </row>
    <row r="40" spans="1:5" x14ac:dyDescent="0.2">
      <c r="A40" s="64" t="s">
        <v>124</v>
      </c>
      <c r="B40" s="65"/>
      <c r="C40" s="3" t="s">
        <v>268</v>
      </c>
      <c r="D40" s="64"/>
      <c r="E40" s="65"/>
    </row>
    <row r="41" spans="1:5" x14ac:dyDescent="0.2">
      <c r="A41" s="64" t="s">
        <v>125</v>
      </c>
      <c r="B41" s="65"/>
      <c r="C41" s="3" t="s">
        <v>269</v>
      </c>
      <c r="D41" s="64"/>
      <c r="E41" s="65"/>
    </row>
    <row r="42" spans="1:5" x14ac:dyDescent="0.2">
      <c r="A42" s="64" t="s">
        <v>126</v>
      </c>
      <c r="B42" s="65"/>
      <c r="C42" s="3" t="s">
        <v>195</v>
      </c>
      <c r="D42" s="64"/>
      <c r="E42" s="65"/>
    </row>
    <row r="43" spans="1:5" ht="24" x14ac:dyDescent="0.2">
      <c r="A43" s="69" t="s">
        <v>51</v>
      </c>
      <c r="B43" s="69"/>
      <c r="C43" s="3" t="s">
        <v>52</v>
      </c>
      <c r="D43" s="69"/>
      <c r="E43" s="69"/>
    </row>
    <row r="44" spans="1:5" x14ac:dyDescent="0.2">
      <c r="A44" s="69" t="s">
        <v>53</v>
      </c>
      <c r="B44" s="69"/>
      <c r="C44" s="3" t="s">
        <v>149</v>
      </c>
      <c r="D44" s="69"/>
      <c r="E44" s="69"/>
    </row>
    <row r="45" spans="1:5" ht="24" x14ac:dyDescent="0.2">
      <c r="A45" s="69" t="s">
        <v>54</v>
      </c>
      <c r="B45" s="69"/>
      <c r="C45" s="3" t="s">
        <v>436</v>
      </c>
      <c r="D45" s="69"/>
      <c r="E45" s="69"/>
    </row>
    <row r="46" spans="1:5" x14ac:dyDescent="0.2">
      <c r="A46" s="7"/>
      <c r="B46" s="8"/>
      <c r="C46" s="8"/>
      <c r="D46" s="8"/>
      <c r="E46" s="9"/>
    </row>
    <row r="47" spans="1:5" x14ac:dyDescent="0.2">
      <c r="A47" s="10" t="s">
        <v>58</v>
      </c>
      <c r="E47" s="11"/>
    </row>
    <row r="48" spans="1:5" x14ac:dyDescent="0.2">
      <c r="A48" s="70" t="s">
        <v>70</v>
      </c>
      <c r="B48" s="71"/>
      <c r="C48" s="71"/>
      <c r="D48" s="71"/>
      <c r="E48" s="72"/>
    </row>
    <row r="49" spans="1:5" x14ac:dyDescent="0.2">
      <c r="A49" s="70"/>
      <c r="B49" s="71"/>
      <c r="C49" s="71"/>
      <c r="D49" s="71"/>
      <c r="E49" s="72"/>
    </row>
    <row r="50" spans="1:5" x14ac:dyDescent="0.2">
      <c r="A50" s="70" t="s">
        <v>437</v>
      </c>
      <c r="B50" s="71"/>
      <c r="C50" s="71"/>
      <c r="D50" s="71"/>
      <c r="E50" s="72"/>
    </row>
    <row r="51" spans="1:5" x14ac:dyDescent="0.2">
      <c r="A51" s="70" t="s">
        <v>97</v>
      </c>
      <c r="B51" s="71"/>
      <c r="C51" s="71"/>
      <c r="D51" s="71"/>
      <c r="E51" s="72"/>
    </row>
    <row r="52" spans="1:5" x14ac:dyDescent="0.2">
      <c r="A52" s="70"/>
      <c r="B52" s="71"/>
      <c r="C52" s="71"/>
      <c r="D52" s="71"/>
      <c r="E52" s="72"/>
    </row>
    <row r="53" spans="1:5" x14ac:dyDescent="0.2">
      <c r="A53" s="70" t="s">
        <v>150</v>
      </c>
      <c r="B53" s="71"/>
      <c r="C53" s="71"/>
      <c r="D53" s="71"/>
      <c r="E53" s="72"/>
    </row>
    <row r="54" spans="1:5" ht="11.45" customHeight="1" x14ac:dyDescent="0.2">
      <c r="A54" s="70" t="s">
        <v>151</v>
      </c>
      <c r="B54" s="71"/>
      <c r="C54" s="71"/>
      <c r="D54" s="71"/>
      <c r="E54" s="72"/>
    </row>
    <row r="55" spans="1:5" x14ac:dyDescent="0.2">
      <c r="A55" s="66" t="s">
        <v>104</v>
      </c>
      <c r="B55" s="67"/>
      <c r="C55" s="67"/>
      <c r="D55" s="67"/>
      <c r="E55" s="68"/>
    </row>
  </sheetData>
  <mergeCells count="75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2"/>
    <mergeCell ref="D16:E16"/>
    <mergeCell ref="D17:E17"/>
    <mergeCell ref="D18:E18"/>
    <mergeCell ref="D19:E19"/>
    <mergeCell ref="D20:E20"/>
    <mergeCell ref="D21:E21"/>
    <mergeCell ref="D22:E22"/>
    <mergeCell ref="A23:B23"/>
    <mergeCell ref="D23:E23"/>
    <mergeCell ref="A24:A35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D35:E35"/>
    <mergeCell ref="A37:B37"/>
    <mergeCell ref="D37:E37"/>
    <mergeCell ref="A38:B38"/>
    <mergeCell ref="D38:E38"/>
    <mergeCell ref="A36:B36"/>
    <mergeCell ref="D36:E36"/>
    <mergeCell ref="A39:B39"/>
    <mergeCell ref="D39:E39"/>
    <mergeCell ref="A40:B40"/>
    <mergeCell ref="D40:E40"/>
    <mergeCell ref="A41:B41"/>
    <mergeCell ref="D41:E41"/>
    <mergeCell ref="A42:B42"/>
    <mergeCell ref="D42:E42"/>
    <mergeCell ref="A55:E55"/>
    <mergeCell ref="A43:B43"/>
    <mergeCell ref="D43:E43"/>
    <mergeCell ref="A44:B44"/>
    <mergeCell ref="D44:E44"/>
    <mergeCell ref="A45:B45"/>
    <mergeCell ref="D45:E45"/>
    <mergeCell ref="A48:E49"/>
    <mergeCell ref="A50:E50"/>
    <mergeCell ref="A51:E52"/>
    <mergeCell ref="A53:E53"/>
    <mergeCell ref="A54:E54"/>
  </mergeCells>
  <conditionalFormatting sqref="B17">
    <cfRule type="duplicateValues" dxfId="129" priority="4"/>
  </conditionalFormatting>
  <conditionalFormatting sqref="B18">
    <cfRule type="duplicateValues" dxfId="128" priority="3"/>
  </conditionalFormatting>
  <conditionalFormatting sqref="B20">
    <cfRule type="duplicateValues" dxfId="127" priority="2"/>
  </conditionalFormatting>
  <conditionalFormatting sqref="B21">
    <cfRule type="duplicateValues" dxfId="126" priority="10"/>
  </conditionalFormatting>
  <conditionalFormatting sqref="B25">
    <cfRule type="duplicateValues" dxfId="125" priority="12"/>
  </conditionalFormatting>
  <conditionalFormatting sqref="B28">
    <cfRule type="duplicateValues" dxfId="124" priority="1"/>
  </conditionalFormatting>
  <conditionalFormatting sqref="B32">
    <cfRule type="duplicateValues" dxfId="123" priority="11"/>
  </conditionalFormatting>
  <conditionalFormatting sqref="B38">
    <cfRule type="duplicateValues" dxfId="122" priority="6"/>
  </conditionalFormatting>
  <conditionalFormatting sqref="B39">
    <cfRule type="duplicateValues" dxfId="121" priority="5"/>
  </conditionalFormatting>
  <conditionalFormatting sqref="B40">
    <cfRule type="duplicateValues" dxfId="120" priority="9"/>
  </conditionalFormatting>
  <conditionalFormatting sqref="B41">
    <cfRule type="duplicateValues" dxfId="119" priority="8"/>
  </conditionalFormatting>
  <conditionalFormatting sqref="B42">
    <cfRule type="duplicateValues" dxfId="118" priority="7"/>
  </conditionalFormatting>
  <conditionalFormatting sqref="B56:B1048576 B4:B10 B26:B27 B12:B16 B33:B37 B22:B24 B43:B47 B19 B29:B31">
    <cfRule type="duplicateValues" dxfId="117" priority="13"/>
  </conditionalFormatting>
  <pageMargins left="0.7" right="0.7" top="0.75" bottom="0.75" header="0.3" footer="0.3"/>
  <pageSetup paperSize="9" scale="88" orientation="portrait" horizontalDpi="4294967295" verticalDpi="4294967295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3117E8-AC20-4638-8CD7-534974363998}">
  <sheetPr codeName="Sheet4">
    <tabColor theme="4" tint="-0.249977111117893"/>
    <pageSetUpPr fitToPage="1"/>
  </sheetPr>
  <dimension ref="A1:E55"/>
  <sheetViews>
    <sheetView zoomScaleNormal="100" workbookViewId="0">
      <selection sqref="A1:B3"/>
    </sheetView>
  </sheetViews>
  <sheetFormatPr defaultColWidth="8.85546875" defaultRowHeight="12" x14ac:dyDescent="0.2"/>
  <cols>
    <col min="1" max="1" width="12.5703125" style="1" customWidth="1"/>
    <col min="2" max="2" width="13.42578125" style="1" bestFit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4" customFormat="1" ht="30" customHeight="1" x14ac:dyDescent="0.25">
      <c r="A1" s="77" t="e" vm="1">
        <v>#VALUE!</v>
      </c>
      <c r="B1" s="78"/>
      <c r="C1" s="83" t="s">
        <v>112</v>
      </c>
      <c r="D1" s="13" t="s">
        <v>110</v>
      </c>
      <c r="E1" s="13" t="s">
        <v>435</v>
      </c>
    </row>
    <row r="2" spans="1:5" s="14" customFormat="1" ht="30" customHeight="1" x14ac:dyDescent="0.25">
      <c r="A2" s="79"/>
      <c r="B2" s="80"/>
      <c r="C2" s="84"/>
      <c r="D2" s="15" t="s">
        <v>109</v>
      </c>
      <c r="E2" s="16" t="str">
        <f>VLOOKUP(C4,Index!B:J,9,FALSE)</f>
        <v>C0</v>
      </c>
    </row>
    <row r="3" spans="1:5" s="14" customFormat="1" ht="30" customHeight="1" x14ac:dyDescent="0.25">
      <c r="A3" s="81"/>
      <c r="B3" s="82"/>
      <c r="C3" s="85"/>
      <c r="D3" s="15" t="s">
        <v>111</v>
      </c>
      <c r="E3" s="17">
        <f>VLOOKUP(C4,Index!B:I,8,FALSE)</f>
        <v>370</v>
      </c>
    </row>
    <row r="4" spans="1:5" x14ac:dyDescent="0.2">
      <c r="A4" s="86" t="s">
        <v>74</v>
      </c>
      <c r="B4" s="86"/>
      <c r="C4" s="2" t="s">
        <v>297</v>
      </c>
      <c r="D4" s="86" t="s">
        <v>55</v>
      </c>
      <c r="E4" s="86"/>
    </row>
    <row r="5" spans="1:5" x14ac:dyDescent="0.2">
      <c r="A5" s="69" t="s">
        <v>26</v>
      </c>
      <c r="B5" s="69"/>
      <c r="C5" s="3" t="s">
        <v>314</v>
      </c>
      <c r="D5" s="69"/>
      <c r="E5" s="69"/>
    </row>
    <row r="6" spans="1:5" x14ac:dyDescent="0.2">
      <c r="A6" s="69" t="s">
        <v>27</v>
      </c>
      <c r="B6" s="69"/>
      <c r="C6" s="3" t="s">
        <v>78</v>
      </c>
      <c r="D6" s="69"/>
      <c r="E6" s="69"/>
    </row>
    <row r="7" spans="1:5" x14ac:dyDescent="0.2">
      <c r="A7" s="69" t="s">
        <v>28</v>
      </c>
      <c r="B7" s="69"/>
      <c r="C7" s="3" t="s">
        <v>82</v>
      </c>
      <c r="D7" s="69"/>
      <c r="E7" s="69"/>
    </row>
    <row r="8" spans="1:5" x14ac:dyDescent="0.2">
      <c r="A8" s="69" t="s">
        <v>29</v>
      </c>
      <c r="B8" s="69"/>
      <c r="C8" s="3" t="str">
        <f>VLOOKUP(C5,Index!N:W,6,FALSE)</f>
        <v>Topside Seawater and Water Injection</v>
      </c>
      <c r="D8" s="69"/>
      <c r="E8" s="69"/>
    </row>
    <row r="9" spans="1:5" x14ac:dyDescent="0.2">
      <c r="A9" s="69" t="s">
        <v>30</v>
      </c>
      <c r="B9" s="69"/>
      <c r="C9" s="3" t="s">
        <v>148</v>
      </c>
      <c r="D9" s="69"/>
      <c r="E9" s="69"/>
    </row>
    <row r="10" spans="1:5" x14ac:dyDescent="0.2">
      <c r="A10" s="69" t="s">
        <v>31</v>
      </c>
      <c r="B10" s="69"/>
      <c r="C10" s="3" t="s">
        <v>64</v>
      </c>
      <c r="D10" s="69"/>
      <c r="E10" s="69"/>
    </row>
    <row r="11" spans="1:5" x14ac:dyDescent="0.2">
      <c r="A11" s="73" t="s">
        <v>119</v>
      </c>
      <c r="B11" s="74"/>
      <c r="C11" s="12" t="str">
        <f>VLOOKUP(C5,Index!N:W,10,FALSE)</f>
        <v>430.9 @ -46°C' 355.4 @ 200°C</v>
      </c>
      <c r="D11" s="75"/>
      <c r="E11" s="76"/>
    </row>
    <row r="12" spans="1:5" x14ac:dyDescent="0.2">
      <c r="A12" s="69" t="s">
        <v>32</v>
      </c>
      <c r="B12" s="69"/>
      <c r="C12" s="3" t="str">
        <f>VLOOKUP(C5,Index!N:W,5,FALSE)</f>
        <v>NIL</v>
      </c>
      <c r="D12" s="69"/>
      <c r="E12" s="69"/>
    </row>
    <row r="13" spans="1:5" x14ac:dyDescent="0.2">
      <c r="A13" s="69" t="s">
        <v>33</v>
      </c>
      <c r="B13" s="69"/>
      <c r="C13" s="3" t="s">
        <v>34</v>
      </c>
      <c r="D13" s="69"/>
      <c r="E13" s="69"/>
    </row>
    <row r="14" spans="1:5" ht="24" x14ac:dyDescent="0.2">
      <c r="A14" s="69" t="s">
        <v>35</v>
      </c>
      <c r="B14" s="69"/>
      <c r="C14" s="3" t="s">
        <v>316</v>
      </c>
      <c r="D14" s="69"/>
      <c r="E14" s="69"/>
    </row>
    <row r="15" spans="1:5" x14ac:dyDescent="0.2">
      <c r="A15" s="69" t="s">
        <v>36</v>
      </c>
      <c r="B15" s="69"/>
      <c r="C15" s="3" t="s">
        <v>67</v>
      </c>
      <c r="D15" s="69"/>
      <c r="E15" s="69"/>
    </row>
    <row r="16" spans="1:5" x14ac:dyDescent="0.2">
      <c r="A16" s="69" t="s">
        <v>37</v>
      </c>
      <c r="B16" s="4" t="s">
        <v>38</v>
      </c>
      <c r="C16" s="3" t="s">
        <v>73</v>
      </c>
      <c r="D16" s="69"/>
      <c r="E16" s="69"/>
    </row>
    <row r="17" spans="1:5" ht="24" x14ac:dyDescent="0.2">
      <c r="A17" s="69"/>
      <c r="B17" s="4" t="s">
        <v>75</v>
      </c>
      <c r="C17" s="3" t="s">
        <v>77</v>
      </c>
      <c r="D17" s="69"/>
      <c r="E17" s="69"/>
    </row>
    <row r="18" spans="1:5" ht="24" x14ac:dyDescent="0.2">
      <c r="A18" s="69"/>
      <c r="B18" s="4" t="s">
        <v>39</v>
      </c>
      <c r="C18" s="3" t="s">
        <v>87</v>
      </c>
      <c r="D18" s="69"/>
      <c r="E18" s="69"/>
    </row>
    <row r="19" spans="1:5" x14ac:dyDescent="0.2">
      <c r="A19" s="69"/>
      <c r="B19" s="4" t="s">
        <v>68</v>
      </c>
      <c r="C19" s="3" t="s">
        <v>146</v>
      </c>
      <c r="D19" s="69"/>
      <c r="E19" s="69"/>
    </row>
    <row r="20" spans="1:5" x14ac:dyDescent="0.2">
      <c r="A20" s="69"/>
      <c r="B20" s="4" t="s">
        <v>141</v>
      </c>
      <c r="C20" s="3" t="s">
        <v>142</v>
      </c>
      <c r="D20" s="69"/>
      <c r="E20" s="69"/>
    </row>
    <row r="21" spans="1:5" x14ac:dyDescent="0.2">
      <c r="A21" s="69"/>
      <c r="B21" s="4" t="s">
        <v>69</v>
      </c>
      <c r="C21" s="3" t="s">
        <v>106</v>
      </c>
      <c r="D21" s="69"/>
      <c r="E21" s="69"/>
    </row>
    <row r="22" spans="1:5" ht="24" x14ac:dyDescent="0.2">
      <c r="A22" s="69"/>
      <c r="B22" s="4" t="s">
        <v>40</v>
      </c>
      <c r="C22" s="3" t="s">
        <v>86</v>
      </c>
      <c r="D22" s="69"/>
      <c r="E22" s="69"/>
    </row>
    <row r="23" spans="1:5" ht="24" x14ac:dyDescent="0.2">
      <c r="A23" s="69" t="s">
        <v>41</v>
      </c>
      <c r="B23" s="69"/>
      <c r="C23" s="3" t="s">
        <v>120</v>
      </c>
      <c r="D23" s="69"/>
      <c r="E23" s="69"/>
    </row>
    <row r="24" spans="1:5" ht="36" x14ac:dyDescent="0.2">
      <c r="A24" s="69" t="s">
        <v>42</v>
      </c>
      <c r="B24" s="4" t="s">
        <v>91</v>
      </c>
      <c r="C24" s="3" t="s">
        <v>108</v>
      </c>
      <c r="D24" s="69"/>
      <c r="E24" s="69"/>
    </row>
    <row r="25" spans="1:5" x14ac:dyDescent="0.2">
      <c r="A25" s="69"/>
      <c r="B25" s="4" t="s">
        <v>93</v>
      </c>
      <c r="C25" s="3" t="s">
        <v>130</v>
      </c>
      <c r="D25" s="69"/>
      <c r="E25" s="69"/>
    </row>
    <row r="26" spans="1:5" x14ac:dyDescent="0.2">
      <c r="A26" s="69"/>
      <c r="B26" s="4" t="s">
        <v>94</v>
      </c>
      <c r="C26" s="3" t="s">
        <v>71</v>
      </c>
      <c r="D26" s="69"/>
      <c r="E26" s="69"/>
    </row>
    <row r="27" spans="1:5" x14ac:dyDescent="0.2">
      <c r="A27" s="69"/>
      <c r="B27" s="4" t="s">
        <v>95</v>
      </c>
      <c r="C27" s="3" t="s">
        <v>135</v>
      </c>
      <c r="D27" s="69"/>
      <c r="E27" s="69"/>
    </row>
    <row r="28" spans="1:5" x14ac:dyDescent="0.2">
      <c r="A28" s="69"/>
      <c r="B28" s="4" t="s">
        <v>144</v>
      </c>
      <c r="C28" s="3" t="s">
        <v>152</v>
      </c>
      <c r="D28" s="69"/>
      <c r="E28" s="69"/>
    </row>
    <row r="29" spans="1:5" x14ac:dyDescent="0.2">
      <c r="A29" s="69"/>
      <c r="B29" s="4" t="s">
        <v>92</v>
      </c>
      <c r="C29" s="3" t="s">
        <v>71</v>
      </c>
      <c r="D29" s="69"/>
      <c r="E29" s="69"/>
    </row>
    <row r="30" spans="1:5" x14ac:dyDescent="0.2">
      <c r="A30" s="69"/>
      <c r="B30" s="4" t="s">
        <v>96</v>
      </c>
      <c r="C30" s="3" t="s">
        <v>71</v>
      </c>
      <c r="D30" s="69"/>
      <c r="E30" s="69"/>
    </row>
    <row r="31" spans="1:5" ht="36" x14ac:dyDescent="0.2">
      <c r="A31" s="69"/>
      <c r="B31" s="4" t="s">
        <v>72</v>
      </c>
      <c r="C31" s="3" t="s">
        <v>139</v>
      </c>
      <c r="D31" s="69"/>
      <c r="E31" s="69"/>
    </row>
    <row r="32" spans="1:5" ht="24" x14ac:dyDescent="0.2">
      <c r="A32" s="69"/>
      <c r="B32" s="6" t="s">
        <v>140</v>
      </c>
      <c r="C32" s="5" t="s">
        <v>99</v>
      </c>
      <c r="D32" s="69"/>
      <c r="E32" s="69"/>
    </row>
    <row r="33" spans="1:5" ht="24" x14ac:dyDescent="0.2">
      <c r="A33" s="69"/>
      <c r="B33" s="4" t="s">
        <v>43</v>
      </c>
      <c r="C33" s="3" t="s">
        <v>191</v>
      </c>
      <c r="D33" s="69"/>
      <c r="E33" s="69"/>
    </row>
    <row r="34" spans="1:5" x14ac:dyDescent="0.2">
      <c r="A34" s="69"/>
      <c r="B34" s="4" t="s">
        <v>44</v>
      </c>
      <c r="C34" s="3" t="s">
        <v>294</v>
      </c>
      <c r="D34" s="69"/>
      <c r="E34" s="69"/>
    </row>
    <row r="35" spans="1:5" x14ac:dyDescent="0.2">
      <c r="A35" s="69"/>
      <c r="B35" s="4" t="s">
        <v>45</v>
      </c>
      <c r="C35" s="3" t="s">
        <v>294</v>
      </c>
      <c r="D35" s="69"/>
      <c r="E35" s="69"/>
    </row>
    <row r="36" spans="1:5" ht="36" x14ac:dyDescent="0.2">
      <c r="A36" s="69" t="s">
        <v>46</v>
      </c>
      <c r="B36" s="69"/>
      <c r="C36" s="3" t="s">
        <v>47</v>
      </c>
      <c r="D36" s="69"/>
      <c r="E36" s="69"/>
    </row>
    <row r="37" spans="1:5" x14ac:dyDescent="0.2">
      <c r="A37" s="69" t="s">
        <v>48</v>
      </c>
      <c r="B37" s="69"/>
      <c r="C37" s="3" t="s">
        <v>49</v>
      </c>
      <c r="D37" s="69"/>
      <c r="E37" s="69"/>
    </row>
    <row r="38" spans="1:5" x14ac:dyDescent="0.2">
      <c r="A38" s="69" t="s">
        <v>129</v>
      </c>
      <c r="B38" s="69"/>
      <c r="C38" s="3" t="s">
        <v>50</v>
      </c>
      <c r="D38" s="69"/>
      <c r="E38" s="69"/>
    </row>
    <row r="39" spans="1:5" x14ac:dyDescent="0.2">
      <c r="A39" s="69" t="s">
        <v>128</v>
      </c>
      <c r="B39" s="69"/>
      <c r="C39" s="3" t="s">
        <v>127</v>
      </c>
      <c r="D39" s="69"/>
      <c r="E39" s="69"/>
    </row>
    <row r="40" spans="1:5" x14ac:dyDescent="0.2">
      <c r="A40" s="64" t="s">
        <v>124</v>
      </c>
      <c r="B40" s="65"/>
      <c r="C40" s="3" t="s">
        <v>258</v>
      </c>
      <c r="D40" s="64"/>
      <c r="E40" s="65"/>
    </row>
    <row r="41" spans="1:5" x14ac:dyDescent="0.2">
      <c r="A41" s="64" t="s">
        <v>125</v>
      </c>
      <c r="B41" s="65"/>
      <c r="C41" s="3" t="s">
        <v>259</v>
      </c>
      <c r="D41" s="64"/>
      <c r="E41" s="65"/>
    </row>
    <row r="42" spans="1:5" x14ac:dyDescent="0.2">
      <c r="A42" s="64" t="s">
        <v>126</v>
      </c>
      <c r="B42" s="65"/>
      <c r="C42" s="3" t="s">
        <v>195</v>
      </c>
      <c r="D42" s="64"/>
      <c r="E42" s="65"/>
    </row>
    <row r="43" spans="1:5" ht="24" x14ac:dyDescent="0.2">
      <c r="A43" s="69" t="s">
        <v>51</v>
      </c>
      <c r="B43" s="69"/>
      <c r="C43" s="3" t="s">
        <v>52</v>
      </c>
      <c r="D43" s="69"/>
      <c r="E43" s="69"/>
    </row>
    <row r="44" spans="1:5" x14ac:dyDescent="0.2">
      <c r="A44" s="69" t="s">
        <v>53</v>
      </c>
      <c r="B44" s="69"/>
      <c r="C44" s="3" t="s">
        <v>149</v>
      </c>
      <c r="D44" s="69"/>
      <c r="E44" s="69"/>
    </row>
    <row r="45" spans="1:5" ht="24" x14ac:dyDescent="0.2">
      <c r="A45" s="69" t="s">
        <v>54</v>
      </c>
      <c r="B45" s="69"/>
      <c r="C45" s="3" t="s">
        <v>436</v>
      </c>
      <c r="D45" s="69"/>
      <c r="E45" s="69"/>
    </row>
    <row r="46" spans="1:5" x14ac:dyDescent="0.2">
      <c r="A46" s="7"/>
      <c r="B46" s="8"/>
      <c r="C46" s="8"/>
      <c r="D46" s="8"/>
      <c r="E46" s="9"/>
    </row>
    <row r="47" spans="1:5" x14ac:dyDescent="0.2">
      <c r="A47" s="10" t="s">
        <v>58</v>
      </c>
      <c r="E47" s="11"/>
    </row>
    <row r="48" spans="1:5" x14ac:dyDescent="0.2">
      <c r="A48" s="70" t="s">
        <v>70</v>
      </c>
      <c r="B48" s="71"/>
      <c r="C48" s="71"/>
      <c r="D48" s="71"/>
      <c r="E48" s="72"/>
    </row>
    <row r="49" spans="1:5" x14ac:dyDescent="0.2">
      <c r="A49" s="70"/>
      <c r="B49" s="71"/>
      <c r="C49" s="71"/>
      <c r="D49" s="71"/>
      <c r="E49" s="72"/>
    </row>
    <row r="50" spans="1:5" x14ac:dyDescent="0.2">
      <c r="A50" s="70" t="s">
        <v>437</v>
      </c>
      <c r="B50" s="71"/>
      <c r="C50" s="71"/>
      <c r="D50" s="71"/>
      <c r="E50" s="72"/>
    </row>
    <row r="51" spans="1:5" x14ac:dyDescent="0.2">
      <c r="A51" s="70" t="s">
        <v>97</v>
      </c>
      <c r="B51" s="71"/>
      <c r="C51" s="71"/>
      <c r="D51" s="71"/>
      <c r="E51" s="72"/>
    </row>
    <row r="52" spans="1:5" x14ac:dyDescent="0.2">
      <c r="A52" s="70"/>
      <c r="B52" s="71"/>
      <c r="C52" s="71"/>
      <c r="D52" s="71"/>
      <c r="E52" s="72"/>
    </row>
    <row r="53" spans="1:5" x14ac:dyDescent="0.2">
      <c r="A53" s="70" t="s">
        <v>150</v>
      </c>
      <c r="B53" s="71"/>
      <c r="C53" s="71"/>
      <c r="D53" s="71"/>
      <c r="E53" s="72"/>
    </row>
    <row r="54" spans="1:5" ht="11.45" customHeight="1" x14ac:dyDescent="0.2">
      <c r="A54" s="70" t="s">
        <v>151</v>
      </c>
      <c r="B54" s="71"/>
      <c r="C54" s="71"/>
      <c r="D54" s="71"/>
      <c r="E54" s="72"/>
    </row>
    <row r="55" spans="1:5" x14ac:dyDescent="0.2">
      <c r="A55" s="66" t="s">
        <v>104</v>
      </c>
      <c r="B55" s="67"/>
      <c r="C55" s="67"/>
      <c r="D55" s="67"/>
      <c r="E55" s="68"/>
    </row>
  </sheetData>
  <mergeCells count="75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2"/>
    <mergeCell ref="D16:E16"/>
    <mergeCell ref="D17:E17"/>
    <mergeCell ref="D18:E18"/>
    <mergeCell ref="D19:E19"/>
    <mergeCell ref="D20:E20"/>
    <mergeCell ref="D21:E21"/>
    <mergeCell ref="D22:E22"/>
    <mergeCell ref="A23:B23"/>
    <mergeCell ref="D23:E23"/>
    <mergeCell ref="A24:A35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D35:E35"/>
    <mergeCell ref="A37:B37"/>
    <mergeCell ref="D37:E37"/>
    <mergeCell ref="A38:B38"/>
    <mergeCell ref="D38:E38"/>
    <mergeCell ref="A36:B36"/>
    <mergeCell ref="D36:E36"/>
    <mergeCell ref="A39:B39"/>
    <mergeCell ref="D39:E39"/>
    <mergeCell ref="A40:B40"/>
    <mergeCell ref="D40:E40"/>
    <mergeCell ref="A41:B41"/>
    <mergeCell ref="D41:E41"/>
    <mergeCell ref="A42:B42"/>
    <mergeCell ref="D42:E42"/>
    <mergeCell ref="A55:E55"/>
    <mergeCell ref="A43:B43"/>
    <mergeCell ref="D43:E43"/>
    <mergeCell ref="A44:B44"/>
    <mergeCell ref="D44:E44"/>
    <mergeCell ref="A45:B45"/>
    <mergeCell ref="D45:E45"/>
    <mergeCell ref="A48:E49"/>
    <mergeCell ref="A50:E50"/>
    <mergeCell ref="A51:E52"/>
    <mergeCell ref="A53:E53"/>
    <mergeCell ref="A54:E54"/>
  </mergeCells>
  <conditionalFormatting sqref="B17">
    <cfRule type="duplicateValues" dxfId="116" priority="4"/>
  </conditionalFormatting>
  <conditionalFormatting sqref="B18">
    <cfRule type="duplicateValues" dxfId="115" priority="3"/>
  </conditionalFormatting>
  <conditionalFormatting sqref="B20">
    <cfRule type="duplicateValues" dxfId="114" priority="2"/>
  </conditionalFormatting>
  <conditionalFormatting sqref="B21">
    <cfRule type="duplicateValues" dxfId="113" priority="10"/>
  </conditionalFormatting>
  <conditionalFormatting sqref="B25">
    <cfRule type="duplicateValues" dxfId="112" priority="12"/>
  </conditionalFormatting>
  <conditionalFormatting sqref="B28">
    <cfRule type="duplicateValues" dxfId="111" priority="1"/>
  </conditionalFormatting>
  <conditionalFormatting sqref="B32">
    <cfRule type="duplicateValues" dxfId="110" priority="11"/>
  </conditionalFormatting>
  <conditionalFormatting sqref="B38">
    <cfRule type="duplicateValues" dxfId="109" priority="6"/>
  </conditionalFormatting>
  <conditionalFormatting sqref="B39">
    <cfRule type="duplicateValues" dxfId="108" priority="5"/>
  </conditionalFormatting>
  <conditionalFormatting sqref="B40">
    <cfRule type="duplicateValues" dxfId="107" priority="9"/>
  </conditionalFormatting>
  <conditionalFormatting sqref="B41">
    <cfRule type="duplicateValues" dxfId="106" priority="8"/>
  </conditionalFormatting>
  <conditionalFormatting sqref="B42">
    <cfRule type="duplicateValues" dxfId="105" priority="7"/>
  </conditionalFormatting>
  <conditionalFormatting sqref="B56:B1048576 B4:B10 B26:B27 B12:B16 B33:B37 B22:B24 B43:B47 B19 B29:B31">
    <cfRule type="duplicateValues" dxfId="104" priority="13"/>
  </conditionalFormatting>
  <pageMargins left="0.7" right="0.7" top="0.75" bottom="0.75" header="0.3" footer="0.3"/>
  <pageSetup paperSize="9" scale="88" orientation="portrait" horizontalDpi="4294967295" verticalDpi="4294967295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BEB5E9-3388-47E8-9F11-5B8FEC38C4D0}">
  <sheetPr codeName="Sheet61">
    <tabColor theme="4" tint="-0.249977111117893"/>
    <pageSetUpPr fitToPage="1"/>
  </sheetPr>
  <dimension ref="A1:E55"/>
  <sheetViews>
    <sheetView zoomScaleNormal="100" workbookViewId="0">
      <selection sqref="A1:B3"/>
    </sheetView>
  </sheetViews>
  <sheetFormatPr defaultColWidth="8.85546875" defaultRowHeight="12" x14ac:dyDescent="0.2"/>
  <cols>
    <col min="1" max="1" width="12.5703125" style="1" customWidth="1"/>
    <col min="2" max="2" width="13.42578125" style="1" bestFit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4" customFormat="1" ht="30" customHeight="1" x14ac:dyDescent="0.25">
      <c r="A1" s="77" t="e" vm="1">
        <v>#VALUE!</v>
      </c>
      <c r="B1" s="78"/>
      <c r="C1" s="83" t="s">
        <v>112</v>
      </c>
      <c r="D1" s="13" t="s">
        <v>110</v>
      </c>
      <c r="E1" s="13" t="s">
        <v>435</v>
      </c>
    </row>
    <row r="2" spans="1:5" s="14" customFormat="1" ht="30" customHeight="1" x14ac:dyDescent="0.25">
      <c r="A2" s="79"/>
      <c r="B2" s="80"/>
      <c r="C2" s="84"/>
      <c r="D2" s="15" t="s">
        <v>109</v>
      </c>
      <c r="E2" s="16" t="str">
        <f>VLOOKUP(C4,Index!B:J,9,FALSE)</f>
        <v>C0</v>
      </c>
    </row>
    <row r="3" spans="1:5" s="14" customFormat="1" ht="30" customHeight="1" x14ac:dyDescent="0.25">
      <c r="A3" s="81"/>
      <c r="B3" s="82"/>
      <c r="C3" s="85"/>
      <c r="D3" s="15" t="s">
        <v>111</v>
      </c>
      <c r="E3" s="17">
        <f>VLOOKUP(C4,Index!B:I,8,FALSE)</f>
        <v>371</v>
      </c>
    </row>
    <row r="4" spans="1:5" x14ac:dyDescent="0.2">
      <c r="A4" s="86" t="s">
        <v>74</v>
      </c>
      <c r="B4" s="86"/>
      <c r="C4" s="2" t="s">
        <v>240</v>
      </c>
      <c r="D4" s="86" t="s">
        <v>55</v>
      </c>
      <c r="E4" s="86"/>
    </row>
    <row r="5" spans="1:5" x14ac:dyDescent="0.2">
      <c r="A5" s="69" t="s">
        <v>26</v>
      </c>
      <c r="B5" s="69"/>
      <c r="C5" s="3" t="s">
        <v>4</v>
      </c>
      <c r="D5" s="69"/>
      <c r="E5" s="69"/>
    </row>
    <row r="6" spans="1:5" x14ac:dyDescent="0.2">
      <c r="A6" s="69" t="s">
        <v>27</v>
      </c>
      <c r="B6" s="69"/>
      <c r="C6" s="3" t="s">
        <v>78</v>
      </c>
      <c r="D6" s="69"/>
      <c r="E6" s="69"/>
    </row>
    <row r="7" spans="1:5" x14ac:dyDescent="0.2">
      <c r="A7" s="69" t="s">
        <v>28</v>
      </c>
      <c r="B7" s="69"/>
      <c r="C7" s="3" t="s">
        <v>82</v>
      </c>
      <c r="D7" s="69"/>
      <c r="E7" s="69"/>
    </row>
    <row r="8" spans="1:5" x14ac:dyDescent="0.2">
      <c r="A8" s="69" t="s">
        <v>29</v>
      </c>
      <c r="B8" s="69"/>
      <c r="C8" s="3" t="str">
        <f>VLOOKUP(C5,Index!N:W,6,FALSE)</f>
        <v>Corrosive HC service</v>
      </c>
      <c r="D8" s="69"/>
      <c r="E8" s="69"/>
    </row>
    <row r="9" spans="1:5" x14ac:dyDescent="0.2">
      <c r="A9" s="69" t="s">
        <v>30</v>
      </c>
      <c r="B9" s="69"/>
      <c r="C9" s="3" t="s">
        <v>148</v>
      </c>
      <c r="D9" s="69"/>
      <c r="E9" s="69"/>
    </row>
    <row r="10" spans="1:5" x14ac:dyDescent="0.2">
      <c r="A10" s="69" t="s">
        <v>31</v>
      </c>
      <c r="B10" s="69"/>
      <c r="C10" s="3" t="s">
        <v>56</v>
      </c>
      <c r="D10" s="69"/>
      <c r="E10" s="69"/>
    </row>
    <row r="11" spans="1:5" x14ac:dyDescent="0.2">
      <c r="A11" s="73" t="s">
        <v>119</v>
      </c>
      <c r="B11" s="74"/>
      <c r="C11" s="12" t="str">
        <f>VLOOKUP(C5,Index!N:W,10,FALSE)</f>
        <v>20 @ -46°C' 13.8 @ 200°C</v>
      </c>
      <c r="D11" s="75"/>
      <c r="E11" s="76"/>
    </row>
    <row r="12" spans="1:5" x14ac:dyDescent="0.2">
      <c r="A12" s="69" t="s">
        <v>32</v>
      </c>
      <c r="B12" s="69"/>
      <c r="C12" s="3" t="str">
        <f>VLOOKUP(C5,Index!N:W,5,FALSE)</f>
        <v>NIL</v>
      </c>
      <c r="D12" s="69"/>
      <c r="E12" s="69"/>
    </row>
    <row r="13" spans="1:5" ht="24" x14ac:dyDescent="0.2">
      <c r="A13" s="69" t="s">
        <v>33</v>
      </c>
      <c r="B13" s="69"/>
      <c r="C13" s="3" t="s">
        <v>98</v>
      </c>
      <c r="D13" s="69"/>
      <c r="E13" s="69"/>
    </row>
    <row r="14" spans="1:5" x14ac:dyDescent="0.2">
      <c r="A14" s="69" t="s">
        <v>35</v>
      </c>
      <c r="B14" s="69"/>
      <c r="C14" s="3" t="s">
        <v>245</v>
      </c>
      <c r="D14" s="69"/>
      <c r="E14" s="69"/>
    </row>
    <row r="15" spans="1:5" x14ac:dyDescent="0.2">
      <c r="A15" s="69" t="s">
        <v>36</v>
      </c>
      <c r="B15" s="69"/>
      <c r="C15" s="3" t="s">
        <v>67</v>
      </c>
      <c r="D15" s="69"/>
      <c r="E15" s="69"/>
    </row>
    <row r="16" spans="1:5" x14ac:dyDescent="0.2">
      <c r="A16" s="69" t="s">
        <v>37</v>
      </c>
      <c r="B16" s="4" t="s">
        <v>38</v>
      </c>
      <c r="C16" s="3" t="s">
        <v>73</v>
      </c>
      <c r="D16" s="69"/>
      <c r="E16" s="69"/>
    </row>
    <row r="17" spans="1:5" ht="24" x14ac:dyDescent="0.2">
      <c r="A17" s="69"/>
      <c r="B17" s="4" t="s">
        <v>75</v>
      </c>
      <c r="C17" s="3" t="s">
        <v>77</v>
      </c>
      <c r="D17" s="69"/>
      <c r="E17" s="69"/>
    </row>
    <row r="18" spans="1:5" ht="24" x14ac:dyDescent="0.2">
      <c r="A18" s="69"/>
      <c r="B18" s="4" t="s">
        <v>39</v>
      </c>
      <c r="C18" s="3" t="s">
        <v>87</v>
      </c>
      <c r="D18" s="69"/>
      <c r="E18" s="69"/>
    </row>
    <row r="19" spans="1:5" x14ac:dyDescent="0.2">
      <c r="A19" s="69"/>
      <c r="B19" s="4" t="s">
        <v>68</v>
      </c>
      <c r="C19" s="3" t="s">
        <v>146</v>
      </c>
      <c r="D19" s="69"/>
      <c r="E19" s="69"/>
    </row>
    <row r="20" spans="1:5" x14ac:dyDescent="0.2">
      <c r="A20" s="69"/>
      <c r="B20" s="4" t="s">
        <v>141</v>
      </c>
      <c r="C20" s="3" t="s">
        <v>142</v>
      </c>
      <c r="D20" s="69"/>
      <c r="E20" s="69"/>
    </row>
    <row r="21" spans="1:5" x14ac:dyDescent="0.2">
      <c r="A21" s="69"/>
      <c r="B21" s="4" t="s">
        <v>69</v>
      </c>
      <c r="C21" s="3" t="s">
        <v>106</v>
      </c>
      <c r="D21" s="69"/>
      <c r="E21" s="69"/>
    </row>
    <row r="22" spans="1:5" ht="24" x14ac:dyDescent="0.2">
      <c r="A22" s="69"/>
      <c r="B22" s="4" t="s">
        <v>40</v>
      </c>
      <c r="C22" s="3" t="s">
        <v>86</v>
      </c>
      <c r="D22" s="69"/>
      <c r="E22" s="69"/>
    </row>
    <row r="23" spans="1:5" ht="24" x14ac:dyDescent="0.2">
      <c r="A23" s="69" t="s">
        <v>41</v>
      </c>
      <c r="B23" s="69"/>
      <c r="C23" s="3" t="s">
        <v>121</v>
      </c>
      <c r="D23" s="69"/>
      <c r="E23" s="69"/>
    </row>
    <row r="24" spans="1:5" ht="36" x14ac:dyDescent="0.2">
      <c r="A24" s="69" t="s">
        <v>42</v>
      </c>
      <c r="B24" s="4" t="s">
        <v>91</v>
      </c>
      <c r="C24" s="3" t="s">
        <v>108</v>
      </c>
      <c r="D24" s="69"/>
      <c r="E24" s="69"/>
    </row>
    <row r="25" spans="1:5" x14ac:dyDescent="0.2">
      <c r="A25" s="69"/>
      <c r="B25" s="4" t="s">
        <v>93</v>
      </c>
      <c r="C25" s="3" t="s">
        <v>130</v>
      </c>
      <c r="D25" s="69"/>
      <c r="E25" s="69"/>
    </row>
    <row r="26" spans="1:5" x14ac:dyDescent="0.2">
      <c r="A26" s="69"/>
      <c r="B26" s="4" t="s">
        <v>94</v>
      </c>
      <c r="C26" s="3" t="s">
        <v>71</v>
      </c>
      <c r="D26" s="69"/>
      <c r="E26" s="69"/>
    </row>
    <row r="27" spans="1:5" x14ac:dyDescent="0.2">
      <c r="A27" s="69"/>
      <c r="B27" s="4" t="s">
        <v>95</v>
      </c>
      <c r="C27" s="3" t="s">
        <v>135</v>
      </c>
      <c r="D27" s="69"/>
      <c r="E27" s="69"/>
    </row>
    <row r="28" spans="1:5" x14ac:dyDescent="0.2">
      <c r="A28" s="69"/>
      <c r="B28" s="4" t="s">
        <v>144</v>
      </c>
      <c r="C28" s="3" t="s">
        <v>145</v>
      </c>
      <c r="D28" s="69"/>
      <c r="E28" s="69"/>
    </row>
    <row r="29" spans="1:5" x14ac:dyDescent="0.2">
      <c r="A29" s="69"/>
      <c r="B29" s="4" t="s">
        <v>92</v>
      </c>
      <c r="C29" s="3" t="s">
        <v>71</v>
      </c>
      <c r="D29" s="69"/>
      <c r="E29" s="69"/>
    </row>
    <row r="30" spans="1:5" x14ac:dyDescent="0.2">
      <c r="A30" s="69"/>
      <c r="B30" s="4" t="s">
        <v>96</v>
      </c>
      <c r="C30" s="3" t="s">
        <v>71</v>
      </c>
      <c r="D30" s="69"/>
      <c r="E30" s="69"/>
    </row>
    <row r="31" spans="1:5" ht="36" x14ac:dyDescent="0.2">
      <c r="A31" s="69"/>
      <c r="B31" s="4" t="s">
        <v>72</v>
      </c>
      <c r="C31" s="3" t="s">
        <v>139</v>
      </c>
      <c r="D31" s="69"/>
      <c r="E31" s="69"/>
    </row>
    <row r="32" spans="1:5" ht="24" x14ac:dyDescent="0.2">
      <c r="A32" s="69"/>
      <c r="B32" s="6" t="s">
        <v>140</v>
      </c>
      <c r="C32" s="5" t="s">
        <v>99</v>
      </c>
      <c r="D32" s="69"/>
      <c r="E32" s="69"/>
    </row>
    <row r="33" spans="1:5" ht="24" x14ac:dyDescent="0.2">
      <c r="A33" s="69"/>
      <c r="B33" s="4" t="s">
        <v>43</v>
      </c>
      <c r="C33" s="3" t="s">
        <v>190</v>
      </c>
      <c r="D33" s="69"/>
      <c r="E33" s="69"/>
    </row>
    <row r="34" spans="1:5" x14ac:dyDescent="0.2">
      <c r="A34" s="69"/>
      <c r="B34" s="4" t="s">
        <v>44</v>
      </c>
      <c r="C34" s="3" t="s">
        <v>294</v>
      </c>
      <c r="D34" s="69"/>
      <c r="E34" s="69"/>
    </row>
    <row r="35" spans="1:5" x14ac:dyDescent="0.2">
      <c r="A35" s="69"/>
      <c r="B35" s="4" t="s">
        <v>45</v>
      </c>
      <c r="C35" s="3" t="s">
        <v>294</v>
      </c>
      <c r="D35" s="69"/>
      <c r="E35" s="69"/>
    </row>
    <row r="36" spans="1:5" ht="36" x14ac:dyDescent="0.2">
      <c r="A36" s="69" t="s">
        <v>46</v>
      </c>
      <c r="B36" s="69"/>
      <c r="C36" s="3" t="s">
        <v>47</v>
      </c>
      <c r="D36" s="69"/>
      <c r="E36" s="69"/>
    </row>
    <row r="37" spans="1:5" x14ac:dyDescent="0.2">
      <c r="A37" s="69" t="s">
        <v>48</v>
      </c>
      <c r="B37" s="69"/>
      <c r="C37" s="3" t="s">
        <v>49</v>
      </c>
      <c r="D37" s="69"/>
      <c r="E37" s="69"/>
    </row>
    <row r="38" spans="1:5" x14ac:dyDescent="0.2">
      <c r="A38" s="69" t="s">
        <v>129</v>
      </c>
      <c r="B38" s="69"/>
      <c r="C38" s="3" t="s">
        <v>50</v>
      </c>
      <c r="D38" s="69"/>
      <c r="E38" s="69"/>
    </row>
    <row r="39" spans="1:5" x14ac:dyDescent="0.2">
      <c r="A39" s="69" t="s">
        <v>128</v>
      </c>
      <c r="B39" s="69"/>
      <c r="C39" s="3" t="s">
        <v>127</v>
      </c>
      <c r="D39" s="69"/>
      <c r="E39" s="69"/>
    </row>
    <row r="40" spans="1:5" x14ac:dyDescent="0.2">
      <c r="A40" s="64" t="s">
        <v>124</v>
      </c>
      <c r="B40" s="65"/>
      <c r="C40" s="3" t="s">
        <v>268</v>
      </c>
      <c r="D40" s="64"/>
      <c r="E40" s="65"/>
    </row>
    <row r="41" spans="1:5" x14ac:dyDescent="0.2">
      <c r="A41" s="64" t="s">
        <v>125</v>
      </c>
      <c r="B41" s="65"/>
      <c r="C41" s="3" t="s">
        <v>269</v>
      </c>
      <c r="D41" s="64"/>
      <c r="E41" s="65"/>
    </row>
    <row r="42" spans="1:5" x14ac:dyDescent="0.2">
      <c r="A42" s="64" t="s">
        <v>126</v>
      </c>
      <c r="B42" s="65"/>
      <c r="C42" s="3" t="s">
        <v>195</v>
      </c>
      <c r="D42" s="64"/>
      <c r="E42" s="65"/>
    </row>
    <row r="43" spans="1:5" ht="24" x14ac:dyDescent="0.2">
      <c r="A43" s="69" t="s">
        <v>51</v>
      </c>
      <c r="B43" s="69"/>
      <c r="C43" s="3" t="s">
        <v>52</v>
      </c>
      <c r="D43" s="69"/>
      <c r="E43" s="69"/>
    </row>
    <row r="44" spans="1:5" x14ac:dyDescent="0.2">
      <c r="A44" s="69" t="s">
        <v>53</v>
      </c>
      <c r="B44" s="69"/>
      <c r="C44" s="3" t="s">
        <v>149</v>
      </c>
      <c r="D44" s="69"/>
      <c r="E44" s="69"/>
    </row>
    <row r="45" spans="1:5" ht="24" x14ac:dyDescent="0.2">
      <c r="A45" s="69" t="s">
        <v>54</v>
      </c>
      <c r="B45" s="69"/>
      <c r="C45" s="3" t="s">
        <v>436</v>
      </c>
      <c r="D45" s="69"/>
      <c r="E45" s="69"/>
    </row>
    <row r="46" spans="1:5" x14ac:dyDescent="0.2">
      <c r="A46" s="7"/>
      <c r="B46" s="8"/>
      <c r="C46" s="8"/>
      <c r="D46" s="8"/>
      <c r="E46" s="9"/>
    </row>
    <row r="47" spans="1:5" x14ac:dyDescent="0.2">
      <c r="A47" s="10" t="s">
        <v>58</v>
      </c>
      <c r="E47" s="11"/>
    </row>
    <row r="48" spans="1:5" x14ac:dyDescent="0.2">
      <c r="A48" s="70" t="s">
        <v>70</v>
      </c>
      <c r="B48" s="71"/>
      <c r="C48" s="71"/>
      <c r="D48" s="71"/>
      <c r="E48" s="72"/>
    </row>
    <row r="49" spans="1:5" x14ac:dyDescent="0.2">
      <c r="A49" s="70"/>
      <c r="B49" s="71"/>
      <c r="C49" s="71"/>
      <c r="D49" s="71"/>
      <c r="E49" s="72"/>
    </row>
    <row r="50" spans="1:5" x14ac:dyDescent="0.2">
      <c r="A50" s="70" t="s">
        <v>437</v>
      </c>
      <c r="B50" s="71"/>
      <c r="C50" s="71"/>
      <c r="D50" s="71"/>
      <c r="E50" s="72"/>
    </row>
    <row r="51" spans="1:5" x14ac:dyDescent="0.2">
      <c r="A51" s="70" t="s">
        <v>97</v>
      </c>
      <c r="B51" s="71"/>
      <c r="C51" s="71"/>
      <c r="D51" s="71"/>
      <c r="E51" s="72"/>
    </row>
    <row r="52" spans="1:5" x14ac:dyDescent="0.2">
      <c r="A52" s="70"/>
      <c r="B52" s="71"/>
      <c r="C52" s="71"/>
      <c r="D52" s="71"/>
      <c r="E52" s="72"/>
    </row>
    <row r="53" spans="1:5" x14ac:dyDescent="0.2">
      <c r="A53" s="70" t="s">
        <v>150</v>
      </c>
      <c r="B53" s="71"/>
      <c r="C53" s="71"/>
      <c r="D53" s="71"/>
      <c r="E53" s="72"/>
    </row>
    <row r="54" spans="1:5" ht="11.45" customHeight="1" x14ac:dyDescent="0.2">
      <c r="A54" s="70" t="s">
        <v>151</v>
      </c>
      <c r="B54" s="71"/>
      <c r="C54" s="71"/>
      <c r="D54" s="71"/>
      <c r="E54" s="72"/>
    </row>
    <row r="55" spans="1:5" x14ac:dyDescent="0.2">
      <c r="A55" s="66" t="s">
        <v>104</v>
      </c>
      <c r="B55" s="67"/>
      <c r="C55" s="67"/>
      <c r="D55" s="67"/>
      <c r="E55" s="68"/>
    </row>
  </sheetData>
  <mergeCells count="75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2"/>
    <mergeCell ref="D16:E16"/>
    <mergeCell ref="D17:E17"/>
    <mergeCell ref="D18:E18"/>
    <mergeCell ref="D19:E19"/>
    <mergeCell ref="D20:E20"/>
    <mergeCell ref="D21:E21"/>
    <mergeCell ref="D22:E22"/>
    <mergeCell ref="A23:B23"/>
    <mergeCell ref="D23:E23"/>
    <mergeCell ref="A24:A35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D35:E35"/>
    <mergeCell ref="A37:B37"/>
    <mergeCell ref="D37:E37"/>
    <mergeCell ref="A38:B38"/>
    <mergeCell ref="D38:E38"/>
    <mergeCell ref="A36:B36"/>
    <mergeCell ref="D36:E36"/>
    <mergeCell ref="A39:B39"/>
    <mergeCell ref="D39:E39"/>
    <mergeCell ref="A40:B40"/>
    <mergeCell ref="D40:E40"/>
    <mergeCell ref="A41:B41"/>
    <mergeCell ref="D41:E41"/>
    <mergeCell ref="A42:B42"/>
    <mergeCell ref="D42:E42"/>
    <mergeCell ref="A55:E55"/>
    <mergeCell ref="A43:B43"/>
    <mergeCell ref="D43:E43"/>
    <mergeCell ref="A44:B44"/>
    <mergeCell ref="D44:E44"/>
    <mergeCell ref="A45:B45"/>
    <mergeCell ref="D45:E45"/>
    <mergeCell ref="A48:E49"/>
    <mergeCell ref="A50:E50"/>
    <mergeCell ref="A51:E52"/>
    <mergeCell ref="A53:E53"/>
    <mergeCell ref="A54:E54"/>
  </mergeCells>
  <conditionalFormatting sqref="B17">
    <cfRule type="duplicateValues" dxfId="103" priority="4"/>
  </conditionalFormatting>
  <conditionalFormatting sqref="B18">
    <cfRule type="duplicateValues" dxfId="102" priority="3"/>
  </conditionalFormatting>
  <conditionalFormatting sqref="B20">
    <cfRule type="duplicateValues" dxfId="101" priority="2"/>
  </conditionalFormatting>
  <conditionalFormatting sqref="B21">
    <cfRule type="duplicateValues" dxfId="100" priority="10"/>
  </conditionalFormatting>
  <conditionalFormatting sqref="B25">
    <cfRule type="duplicateValues" dxfId="99" priority="12"/>
  </conditionalFormatting>
  <conditionalFormatting sqref="B28">
    <cfRule type="duplicateValues" dxfId="98" priority="1"/>
  </conditionalFormatting>
  <conditionalFormatting sqref="B32">
    <cfRule type="duplicateValues" dxfId="97" priority="11"/>
  </conditionalFormatting>
  <conditionalFormatting sqref="B38">
    <cfRule type="duplicateValues" dxfId="96" priority="6"/>
  </conditionalFormatting>
  <conditionalFormatting sqref="B39">
    <cfRule type="duplicateValues" dxfId="95" priority="5"/>
  </conditionalFormatting>
  <conditionalFormatting sqref="B40">
    <cfRule type="duplicateValues" dxfId="94" priority="9"/>
  </conditionalFormatting>
  <conditionalFormatting sqref="B41">
    <cfRule type="duplicateValues" dxfId="93" priority="8"/>
  </conditionalFormatting>
  <conditionalFormatting sqref="B42">
    <cfRule type="duplicateValues" dxfId="92" priority="7"/>
  </conditionalFormatting>
  <conditionalFormatting sqref="B56:B1048576 B4:B10 B26:B27 B12:B16 B33:B37 B22:B24 B43:B47 B19 B29:B31">
    <cfRule type="duplicateValues" dxfId="91" priority="13"/>
  </conditionalFormatting>
  <pageMargins left="0.7" right="0.7" top="0.75" bottom="0.75" header="0.3" footer="0.3"/>
  <pageSetup paperSize="9" scale="88" orientation="portrait" horizontalDpi="4294967295" verticalDpi="4294967295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AF7032-F883-4041-B8CC-6E60C651F29F}">
  <sheetPr codeName="Sheet62">
    <tabColor theme="4" tint="-0.249977111117893"/>
    <pageSetUpPr fitToPage="1"/>
  </sheetPr>
  <dimension ref="A1:E55"/>
  <sheetViews>
    <sheetView topLeftCell="A15" zoomScaleNormal="100" workbookViewId="0">
      <selection sqref="A1:B3"/>
    </sheetView>
  </sheetViews>
  <sheetFormatPr defaultColWidth="8.85546875" defaultRowHeight="12" x14ac:dyDescent="0.2"/>
  <cols>
    <col min="1" max="1" width="12.5703125" style="1" customWidth="1"/>
    <col min="2" max="2" width="13.42578125" style="1" bestFit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4" customFormat="1" ht="30" customHeight="1" x14ac:dyDescent="0.25">
      <c r="A1" s="77" t="e" vm="1">
        <v>#VALUE!</v>
      </c>
      <c r="B1" s="78"/>
      <c r="C1" s="83" t="s">
        <v>112</v>
      </c>
      <c r="D1" s="13" t="s">
        <v>110</v>
      </c>
      <c r="E1" s="13" t="s">
        <v>435</v>
      </c>
    </row>
    <row r="2" spans="1:5" s="14" customFormat="1" ht="30" customHeight="1" x14ac:dyDescent="0.25">
      <c r="A2" s="79"/>
      <c r="B2" s="80"/>
      <c r="C2" s="84"/>
      <c r="D2" s="15" t="s">
        <v>109</v>
      </c>
      <c r="E2" s="16" t="str">
        <f>VLOOKUP(C4,Index!B:J,9,FALSE)</f>
        <v>C0</v>
      </c>
    </row>
    <row r="3" spans="1:5" s="14" customFormat="1" ht="30" customHeight="1" x14ac:dyDescent="0.25">
      <c r="A3" s="81"/>
      <c r="B3" s="82"/>
      <c r="C3" s="85"/>
      <c r="D3" s="15" t="s">
        <v>111</v>
      </c>
      <c r="E3" s="17">
        <f>VLOOKUP(C4,Index!B:I,8,FALSE)</f>
        <v>372</v>
      </c>
    </row>
    <row r="4" spans="1:5" x14ac:dyDescent="0.2">
      <c r="A4" s="86" t="s">
        <v>74</v>
      </c>
      <c r="B4" s="86"/>
      <c r="C4" s="2" t="s">
        <v>241</v>
      </c>
      <c r="D4" s="86" t="s">
        <v>55</v>
      </c>
      <c r="E4" s="86"/>
    </row>
    <row r="5" spans="1:5" x14ac:dyDescent="0.2">
      <c r="A5" s="69" t="s">
        <v>26</v>
      </c>
      <c r="B5" s="69"/>
      <c r="C5" s="3" t="s">
        <v>24</v>
      </c>
      <c r="D5" s="69"/>
      <c r="E5" s="69"/>
    </row>
    <row r="6" spans="1:5" x14ac:dyDescent="0.2">
      <c r="A6" s="69" t="s">
        <v>27</v>
      </c>
      <c r="B6" s="69"/>
      <c r="C6" s="3" t="s">
        <v>78</v>
      </c>
      <c r="D6" s="69"/>
      <c r="E6" s="69"/>
    </row>
    <row r="7" spans="1:5" x14ac:dyDescent="0.2">
      <c r="A7" s="69" t="s">
        <v>28</v>
      </c>
      <c r="B7" s="69"/>
      <c r="C7" s="3" t="s">
        <v>82</v>
      </c>
      <c r="D7" s="69"/>
      <c r="E7" s="69"/>
    </row>
    <row r="8" spans="1:5" x14ac:dyDescent="0.2">
      <c r="A8" s="69" t="s">
        <v>29</v>
      </c>
      <c r="B8" s="69"/>
      <c r="C8" s="3" t="str">
        <f>VLOOKUP(C5,Index!N:W,6,FALSE)</f>
        <v>Corrosive HC service</v>
      </c>
      <c r="D8" s="69"/>
      <c r="E8" s="69"/>
    </row>
    <row r="9" spans="1:5" x14ac:dyDescent="0.2">
      <c r="A9" s="69" t="s">
        <v>30</v>
      </c>
      <c r="B9" s="69"/>
      <c r="C9" s="3" t="s">
        <v>148</v>
      </c>
      <c r="D9" s="69"/>
      <c r="E9" s="69"/>
    </row>
    <row r="10" spans="1:5" x14ac:dyDescent="0.2">
      <c r="A10" s="69" t="s">
        <v>31</v>
      </c>
      <c r="B10" s="69"/>
      <c r="C10" s="3" t="s">
        <v>59</v>
      </c>
      <c r="D10" s="69"/>
      <c r="E10" s="69"/>
    </row>
    <row r="11" spans="1:5" x14ac:dyDescent="0.2">
      <c r="A11" s="73" t="s">
        <v>119</v>
      </c>
      <c r="B11" s="74"/>
      <c r="C11" s="12" t="str">
        <f>VLOOKUP(C5,Index!N:W,10,FALSE)</f>
        <v>51.7 @ -46°C' 42.7 @ 200°C</v>
      </c>
      <c r="D11" s="75"/>
      <c r="E11" s="76"/>
    </row>
    <row r="12" spans="1:5" x14ac:dyDescent="0.2">
      <c r="A12" s="69" t="s">
        <v>32</v>
      </c>
      <c r="B12" s="69"/>
      <c r="C12" s="3" t="str">
        <f>VLOOKUP(C5,Index!N:W,5,FALSE)</f>
        <v>NIL</v>
      </c>
      <c r="D12" s="69"/>
      <c r="E12" s="69"/>
    </row>
    <row r="13" spans="1:5" ht="24" x14ac:dyDescent="0.2">
      <c r="A13" s="69" t="s">
        <v>33</v>
      </c>
      <c r="B13" s="69"/>
      <c r="C13" s="3" t="s">
        <v>98</v>
      </c>
      <c r="D13" s="69"/>
      <c r="E13" s="69"/>
    </row>
    <row r="14" spans="1:5" x14ac:dyDescent="0.2">
      <c r="A14" s="69" t="s">
        <v>35</v>
      </c>
      <c r="B14" s="69"/>
      <c r="C14" s="3" t="s">
        <v>245</v>
      </c>
      <c r="D14" s="69"/>
      <c r="E14" s="69"/>
    </row>
    <row r="15" spans="1:5" x14ac:dyDescent="0.2">
      <c r="A15" s="69" t="s">
        <v>36</v>
      </c>
      <c r="B15" s="69"/>
      <c r="C15" s="3" t="s">
        <v>67</v>
      </c>
      <c r="D15" s="69"/>
      <c r="E15" s="69"/>
    </row>
    <row r="16" spans="1:5" x14ac:dyDescent="0.2">
      <c r="A16" s="69" t="s">
        <v>37</v>
      </c>
      <c r="B16" s="4" t="s">
        <v>38</v>
      </c>
      <c r="C16" s="3" t="s">
        <v>73</v>
      </c>
      <c r="D16" s="69"/>
      <c r="E16" s="69"/>
    </row>
    <row r="17" spans="1:5" ht="24" x14ac:dyDescent="0.2">
      <c r="A17" s="69"/>
      <c r="B17" s="4" t="s">
        <v>75</v>
      </c>
      <c r="C17" s="3" t="s">
        <v>77</v>
      </c>
      <c r="D17" s="69"/>
      <c r="E17" s="69"/>
    </row>
    <row r="18" spans="1:5" ht="24" x14ac:dyDescent="0.2">
      <c r="A18" s="69"/>
      <c r="B18" s="4" t="s">
        <v>39</v>
      </c>
      <c r="C18" s="3" t="s">
        <v>87</v>
      </c>
      <c r="D18" s="69"/>
      <c r="E18" s="69"/>
    </row>
    <row r="19" spans="1:5" x14ac:dyDescent="0.2">
      <c r="A19" s="69"/>
      <c r="B19" s="4" t="s">
        <v>68</v>
      </c>
      <c r="C19" s="3" t="s">
        <v>146</v>
      </c>
      <c r="D19" s="69"/>
      <c r="E19" s="69"/>
    </row>
    <row r="20" spans="1:5" x14ac:dyDescent="0.2">
      <c r="A20" s="69"/>
      <c r="B20" s="4" t="s">
        <v>141</v>
      </c>
      <c r="C20" s="3" t="s">
        <v>142</v>
      </c>
      <c r="D20" s="69"/>
      <c r="E20" s="69"/>
    </row>
    <row r="21" spans="1:5" x14ac:dyDescent="0.2">
      <c r="A21" s="69"/>
      <c r="B21" s="4" t="s">
        <v>69</v>
      </c>
      <c r="C21" s="3" t="s">
        <v>106</v>
      </c>
      <c r="D21" s="69"/>
      <c r="E21" s="69"/>
    </row>
    <row r="22" spans="1:5" ht="24" x14ac:dyDescent="0.2">
      <c r="A22" s="69"/>
      <c r="B22" s="4" t="s">
        <v>40</v>
      </c>
      <c r="C22" s="3" t="s">
        <v>86</v>
      </c>
      <c r="D22" s="69"/>
      <c r="E22" s="69"/>
    </row>
    <row r="23" spans="1:5" ht="24" x14ac:dyDescent="0.2">
      <c r="A23" s="69" t="s">
        <v>41</v>
      </c>
      <c r="B23" s="69"/>
      <c r="C23" s="3" t="s">
        <v>121</v>
      </c>
      <c r="D23" s="69"/>
      <c r="E23" s="69"/>
    </row>
    <row r="24" spans="1:5" ht="36" x14ac:dyDescent="0.2">
      <c r="A24" s="69" t="s">
        <v>42</v>
      </c>
      <c r="B24" s="4" t="s">
        <v>91</v>
      </c>
      <c r="C24" s="3" t="s">
        <v>108</v>
      </c>
      <c r="D24" s="69"/>
      <c r="E24" s="69"/>
    </row>
    <row r="25" spans="1:5" x14ac:dyDescent="0.2">
      <c r="A25" s="69"/>
      <c r="B25" s="4" t="s">
        <v>93</v>
      </c>
      <c r="C25" s="3" t="s">
        <v>130</v>
      </c>
      <c r="D25" s="69"/>
      <c r="E25" s="69"/>
    </row>
    <row r="26" spans="1:5" x14ac:dyDescent="0.2">
      <c r="A26" s="69"/>
      <c r="B26" s="4" t="s">
        <v>94</v>
      </c>
      <c r="C26" s="3" t="s">
        <v>71</v>
      </c>
      <c r="D26" s="69"/>
      <c r="E26" s="69"/>
    </row>
    <row r="27" spans="1:5" x14ac:dyDescent="0.2">
      <c r="A27" s="69"/>
      <c r="B27" s="4" t="s">
        <v>95</v>
      </c>
      <c r="C27" s="3" t="s">
        <v>135</v>
      </c>
      <c r="D27" s="69"/>
      <c r="E27" s="69"/>
    </row>
    <row r="28" spans="1:5" x14ac:dyDescent="0.2">
      <c r="A28" s="69"/>
      <c r="B28" s="4" t="s">
        <v>144</v>
      </c>
      <c r="C28" s="3" t="s">
        <v>145</v>
      </c>
      <c r="D28" s="69"/>
      <c r="E28" s="69"/>
    </row>
    <row r="29" spans="1:5" x14ac:dyDescent="0.2">
      <c r="A29" s="69"/>
      <c r="B29" s="4" t="s">
        <v>92</v>
      </c>
      <c r="C29" s="3" t="s">
        <v>71</v>
      </c>
      <c r="D29" s="69"/>
      <c r="E29" s="69"/>
    </row>
    <row r="30" spans="1:5" x14ac:dyDescent="0.2">
      <c r="A30" s="69"/>
      <c r="B30" s="4" t="s">
        <v>96</v>
      </c>
      <c r="C30" s="3" t="s">
        <v>71</v>
      </c>
      <c r="D30" s="69"/>
      <c r="E30" s="69"/>
    </row>
    <row r="31" spans="1:5" ht="36" x14ac:dyDescent="0.2">
      <c r="A31" s="69"/>
      <c r="B31" s="4" t="s">
        <v>72</v>
      </c>
      <c r="C31" s="3" t="s">
        <v>139</v>
      </c>
      <c r="D31" s="69"/>
      <c r="E31" s="69"/>
    </row>
    <row r="32" spans="1:5" ht="24" x14ac:dyDescent="0.2">
      <c r="A32" s="69"/>
      <c r="B32" s="6" t="s">
        <v>140</v>
      </c>
      <c r="C32" s="5" t="s">
        <v>99</v>
      </c>
      <c r="D32" s="69"/>
      <c r="E32" s="69"/>
    </row>
    <row r="33" spans="1:5" ht="24" x14ac:dyDescent="0.2">
      <c r="A33" s="69"/>
      <c r="B33" s="4" t="s">
        <v>43</v>
      </c>
      <c r="C33" s="3" t="s">
        <v>190</v>
      </c>
      <c r="D33" s="69"/>
      <c r="E33" s="69"/>
    </row>
    <row r="34" spans="1:5" x14ac:dyDescent="0.2">
      <c r="A34" s="69"/>
      <c r="B34" s="4" t="s">
        <v>44</v>
      </c>
      <c r="C34" s="3" t="s">
        <v>294</v>
      </c>
      <c r="D34" s="69"/>
      <c r="E34" s="69"/>
    </row>
    <row r="35" spans="1:5" x14ac:dyDescent="0.2">
      <c r="A35" s="69"/>
      <c r="B35" s="4" t="s">
        <v>45</v>
      </c>
      <c r="C35" s="3" t="s">
        <v>294</v>
      </c>
      <c r="D35" s="69"/>
      <c r="E35" s="69"/>
    </row>
    <row r="36" spans="1:5" ht="36" x14ac:dyDescent="0.2">
      <c r="A36" s="69" t="s">
        <v>46</v>
      </c>
      <c r="B36" s="69"/>
      <c r="C36" s="3" t="s">
        <v>47</v>
      </c>
      <c r="D36" s="69"/>
      <c r="E36" s="69"/>
    </row>
    <row r="37" spans="1:5" x14ac:dyDescent="0.2">
      <c r="A37" s="69" t="s">
        <v>48</v>
      </c>
      <c r="B37" s="69"/>
      <c r="C37" s="3" t="s">
        <v>49</v>
      </c>
      <c r="D37" s="69"/>
      <c r="E37" s="69"/>
    </row>
    <row r="38" spans="1:5" x14ac:dyDescent="0.2">
      <c r="A38" s="69" t="s">
        <v>129</v>
      </c>
      <c r="B38" s="69"/>
      <c r="C38" s="3" t="s">
        <v>50</v>
      </c>
      <c r="D38" s="69"/>
      <c r="E38" s="69"/>
    </row>
    <row r="39" spans="1:5" x14ac:dyDescent="0.2">
      <c r="A39" s="69" t="s">
        <v>128</v>
      </c>
      <c r="B39" s="69"/>
      <c r="C39" s="3" t="s">
        <v>127</v>
      </c>
      <c r="D39" s="69"/>
      <c r="E39" s="69"/>
    </row>
    <row r="40" spans="1:5" x14ac:dyDescent="0.2">
      <c r="A40" s="64" t="s">
        <v>124</v>
      </c>
      <c r="B40" s="65"/>
      <c r="C40" s="3" t="s">
        <v>266</v>
      </c>
      <c r="D40" s="64"/>
      <c r="E40" s="65"/>
    </row>
    <row r="41" spans="1:5" x14ac:dyDescent="0.2">
      <c r="A41" s="64" t="s">
        <v>125</v>
      </c>
      <c r="B41" s="65"/>
      <c r="C41" s="3" t="s">
        <v>267</v>
      </c>
      <c r="D41" s="64"/>
      <c r="E41" s="65"/>
    </row>
    <row r="42" spans="1:5" x14ac:dyDescent="0.2">
      <c r="A42" s="64" t="s">
        <v>126</v>
      </c>
      <c r="B42" s="65"/>
      <c r="C42" s="3" t="s">
        <v>195</v>
      </c>
      <c r="D42" s="64"/>
      <c r="E42" s="65"/>
    </row>
    <row r="43" spans="1:5" ht="24" x14ac:dyDescent="0.2">
      <c r="A43" s="69" t="s">
        <v>51</v>
      </c>
      <c r="B43" s="69"/>
      <c r="C43" s="3" t="s">
        <v>52</v>
      </c>
      <c r="D43" s="69"/>
      <c r="E43" s="69"/>
    </row>
    <row r="44" spans="1:5" x14ac:dyDescent="0.2">
      <c r="A44" s="69" t="s">
        <v>53</v>
      </c>
      <c r="B44" s="69"/>
      <c r="C44" s="3" t="s">
        <v>149</v>
      </c>
      <c r="D44" s="69"/>
      <c r="E44" s="69"/>
    </row>
    <row r="45" spans="1:5" ht="24" x14ac:dyDescent="0.2">
      <c r="A45" s="69" t="s">
        <v>54</v>
      </c>
      <c r="B45" s="69"/>
      <c r="C45" s="3" t="s">
        <v>436</v>
      </c>
      <c r="D45" s="69"/>
      <c r="E45" s="69"/>
    </row>
    <row r="46" spans="1:5" x14ac:dyDescent="0.2">
      <c r="A46" s="7"/>
      <c r="B46" s="8"/>
      <c r="C46" s="8"/>
      <c r="D46" s="8"/>
      <c r="E46" s="9"/>
    </row>
    <row r="47" spans="1:5" x14ac:dyDescent="0.2">
      <c r="A47" s="10" t="s">
        <v>58</v>
      </c>
      <c r="E47" s="11"/>
    </row>
    <row r="48" spans="1:5" x14ac:dyDescent="0.2">
      <c r="A48" s="70" t="s">
        <v>70</v>
      </c>
      <c r="B48" s="71"/>
      <c r="C48" s="71"/>
      <c r="D48" s="71"/>
      <c r="E48" s="72"/>
    </row>
    <row r="49" spans="1:5" x14ac:dyDescent="0.2">
      <c r="A49" s="70"/>
      <c r="B49" s="71"/>
      <c r="C49" s="71"/>
      <c r="D49" s="71"/>
      <c r="E49" s="72"/>
    </row>
    <row r="50" spans="1:5" x14ac:dyDescent="0.2">
      <c r="A50" s="70" t="s">
        <v>437</v>
      </c>
      <c r="B50" s="71"/>
      <c r="C50" s="71"/>
      <c r="D50" s="71"/>
      <c r="E50" s="72"/>
    </row>
    <row r="51" spans="1:5" x14ac:dyDescent="0.2">
      <c r="A51" s="70" t="s">
        <v>97</v>
      </c>
      <c r="B51" s="71"/>
      <c r="C51" s="71"/>
      <c r="D51" s="71"/>
      <c r="E51" s="72"/>
    </row>
    <row r="52" spans="1:5" x14ac:dyDescent="0.2">
      <c r="A52" s="70"/>
      <c r="B52" s="71"/>
      <c r="C52" s="71"/>
      <c r="D52" s="71"/>
      <c r="E52" s="72"/>
    </row>
    <row r="53" spans="1:5" x14ac:dyDescent="0.2">
      <c r="A53" s="70" t="s">
        <v>150</v>
      </c>
      <c r="B53" s="71"/>
      <c r="C53" s="71"/>
      <c r="D53" s="71"/>
      <c r="E53" s="72"/>
    </row>
    <row r="54" spans="1:5" ht="11.45" customHeight="1" x14ac:dyDescent="0.2">
      <c r="A54" s="70" t="s">
        <v>151</v>
      </c>
      <c r="B54" s="71"/>
      <c r="C54" s="71"/>
      <c r="D54" s="71"/>
      <c r="E54" s="72"/>
    </row>
    <row r="55" spans="1:5" x14ac:dyDescent="0.2">
      <c r="A55" s="66" t="s">
        <v>104</v>
      </c>
      <c r="B55" s="67"/>
      <c r="C55" s="67"/>
      <c r="D55" s="67"/>
      <c r="E55" s="68"/>
    </row>
  </sheetData>
  <mergeCells count="75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2"/>
    <mergeCell ref="D16:E16"/>
    <mergeCell ref="D17:E17"/>
    <mergeCell ref="D18:E18"/>
    <mergeCell ref="D19:E19"/>
    <mergeCell ref="D20:E20"/>
    <mergeCell ref="D21:E21"/>
    <mergeCell ref="D22:E22"/>
    <mergeCell ref="A23:B23"/>
    <mergeCell ref="D23:E23"/>
    <mergeCell ref="A24:A35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D35:E35"/>
    <mergeCell ref="A37:B37"/>
    <mergeCell ref="D37:E37"/>
    <mergeCell ref="A38:B38"/>
    <mergeCell ref="D38:E38"/>
    <mergeCell ref="A36:B36"/>
    <mergeCell ref="D36:E36"/>
    <mergeCell ref="A39:B39"/>
    <mergeCell ref="D39:E39"/>
    <mergeCell ref="A40:B40"/>
    <mergeCell ref="D40:E40"/>
    <mergeCell ref="A41:B41"/>
    <mergeCell ref="D41:E41"/>
    <mergeCell ref="A42:B42"/>
    <mergeCell ref="D42:E42"/>
    <mergeCell ref="A55:E55"/>
    <mergeCell ref="A43:B43"/>
    <mergeCell ref="D43:E43"/>
    <mergeCell ref="A44:B44"/>
    <mergeCell ref="D44:E44"/>
    <mergeCell ref="A45:B45"/>
    <mergeCell ref="D45:E45"/>
    <mergeCell ref="A48:E49"/>
    <mergeCell ref="A50:E50"/>
    <mergeCell ref="A51:E52"/>
    <mergeCell ref="A53:E53"/>
    <mergeCell ref="A54:E54"/>
  </mergeCells>
  <conditionalFormatting sqref="B17">
    <cfRule type="duplicateValues" dxfId="90" priority="4"/>
  </conditionalFormatting>
  <conditionalFormatting sqref="B18">
    <cfRule type="duplicateValues" dxfId="89" priority="3"/>
  </conditionalFormatting>
  <conditionalFormatting sqref="B20">
    <cfRule type="duplicateValues" dxfId="88" priority="2"/>
  </conditionalFormatting>
  <conditionalFormatting sqref="B21">
    <cfRule type="duplicateValues" dxfId="87" priority="10"/>
  </conditionalFormatting>
  <conditionalFormatting sqref="B25">
    <cfRule type="duplicateValues" dxfId="86" priority="12"/>
  </conditionalFormatting>
  <conditionalFormatting sqref="B28">
    <cfRule type="duplicateValues" dxfId="85" priority="1"/>
  </conditionalFormatting>
  <conditionalFormatting sqref="B32">
    <cfRule type="duplicateValues" dxfId="84" priority="11"/>
  </conditionalFormatting>
  <conditionalFormatting sqref="B38">
    <cfRule type="duplicateValues" dxfId="83" priority="6"/>
  </conditionalFormatting>
  <conditionalFormatting sqref="B39">
    <cfRule type="duplicateValues" dxfId="82" priority="5"/>
  </conditionalFormatting>
  <conditionalFormatting sqref="B40">
    <cfRule type="duplicateValues" dxfId="81" priority="9"/>
  </conditionalFormatting>
  <conditionalFormatting sqref="B41">
    <cfRule type="duplicateValues" dxfId="80" priority="8"/>
  </conditionalFormatting>
  <conditionalFormatting sqref="B42">
    <cfRule type="duplicateValues" dxfId="79" priority="7"/>
  </conditionalFormatting>
  <conditionalFormatting sqref="B56:B1048576 B4:B10 B26:B27 B12:B16 B33:B37 B22:B24 B43:B47 B19 B29:B31">
    <cfRule type="duplicateValues" dxfId="78" priority="13"/>
  </conditionalFormatting>
  <pageMargins left="0.7" right="0.7" top="0.75" bottom="0.75" header="0.3" footer="0.3"/>
  <pageSetup paperSize="9" scale="88" orientation="portrait" horizontalDpi="4294967295" verticalDpi="4294967295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8664AB-F1A5-40D3-84CA-C3A7E538D3DD}">
  <sheetPr codeName="Sheet63">
    <tabColor theme="4" tint="-0.249977111117893"/>
    <pageSetUpPr fitToPage="1"/>
  </sheetPr>
  <dimension ref="A1:E55"/>
  <sheetViews>
    <sheetView zoomScaleNormal="100" workbookViewId="0">
      <selection sqref="A1:B3"/>
    </sheetView>
  </sheetViews>
  <sheetFormatPr defaultColWidth="8.85546875" defaultRowHeight="12" x14ac:dyDescent="0.2"/>
  <cols>
    <col min="1" max="1" width="12.5703125" style="1" customWidth="1"/>
    <col min="2" max="2" width="13.42578125" style="1" bestFit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4" customFormat="1" ht="30" customHeight="1" x14ac:dyDescent="0.25">
      <c r="A1" s="77" t="e" vm="1">
        <v>#VALUE!</v>
      </c>
      <c r="B1" s="78"/>
      <c r="C1" s="83" t="s">
        <v>112</v>
      </c>
      <c r="D1" s="13" t="s">
        <v>110</v>
      </c>
      <c r="E1" s="13" t="s">
        <v>435</v>
      </c>
    </row>
    <row r="2" spans="1:5" s="14" customFormat="1" ht="30" customHeight="1" x14ac:dyDescent="0.25">
      <c r="A2" s="79"/>
      <c r="B2" s="80"/>
      <c r="C2" s="84"/>
      <c r="D2" s="15" t="s">
        <v>109</v>
      </c>
      <c r="E2" s="16" t="str">
        <f>VLOOKUP(C4,Index!B:J,9,FALSE)</f>
        <v>C0</v>
      </c>
    </row>
    <row r="3" spans="1:5" s="14" customFormat="1" ht="30" customHeight="1" x14ac:dyDescent="0.25">
      <c r="A3" s="81"/>
      <c r="B3" s="82"/>
      <c r="C3" s="85"/>
      <c r="D3" s="15" t="s">
        <v>111</v>
      </c>
      <c r="E3" s="17">
        <f>VLOOKUP(C4,Index!B:I,8,FALSE)</f>
        <v>373</v>
      </c>
    </row>
    <row r="4" spans="1:5" x14ac:dyDescent="0.2">
      <c r="A4" s="86" t="s">
        <v>74</v>
      </c>
      <c r="B4" s="86"/>
      <c r="C4" s="2" t="s">
        <v>242</v>
      </c>
      <c r="D4" s="86" t="s">
        <v>55</v>
      </c>
      <c r="E4" s="86"/>
    </row>
    <row r="5" spans="1:5" x14ac:dyDescent="0.2">
      <c r="A5" s="69" t="s">
        <v>26</v>
      </c>
      <c r="B5" s="69"/>
      <c r="C5" s="3" t="s">
        <v>25</v>
      </c>
      <c r="D5" s="69"/>
      <c r="E5" s="69"/>
    </row>
    <row r="6" spans="1:5" x14ac:dyDescent="0.2">
      <c r="A6" s="69" t="s">
        <v>27</v>
      </c>
      <c r="B6" s="69"/>
      <c r="C6" s="3" t="s">
        <v>78</v>
      </c>
      <c r="D6" s="69"/>
      <c r="E6" s="69"/>
    </row>
    <row r="7" spans="1:5" x14ac:dyDescent="0.2">
      <c r="A7" s="69" t="s">
        <v>28</v>
      </c>
      <c r="B7" s="69"/>
      <c r="C7" s="3" t="s">
        <v>82</v>
      </c>
      <c r="D7" s="69"/>
      <c r="E7" s="69"/>
    </row>
    <row r="8" spans="1:5" x14ac:dyDescent="0.2">
      <c r="A8" s="69" t="s">
        <v>29</v>
      </c>
      <c r="B8" s="69"/>
      <c r="C8" s="3" t="str">
        <f>VLOOKUP(C5,Index!N:W,6,FALSE)</f>
        <v>Corrosive HC service</v>
      </c>
      <c r="D8" s="69"/>
      <c r="E8" s="69"/>
    </row>
    <row r="9" spans="1:5" x14ac:dyDescent="0.2">
      <c r="A9" s="69" t="s">
        <v>30</v>
      </c>
      <c r="B9" s="69"/>
      <c r="C9" s="3" t="s">
        <v>148</v>
      </c>
      <c r="D9" s="69"/>
      <c r="E9" s="69"/>
    </row>
    <row r="10" spans="1:5" x14ac:dyDescent="0.2">
      <c r="A10" s="69" t="s">
        <v>31</v>
      </c>
      <c r="B10" s="69"/>
      <c r="C10" s="3" t="s">
        <v>60</v>
      </c>
      <c r="D10" s="69"/>
      <c r="E10" s="69"/>
    </row>
    <row r="11" spans="1:5" x14ac:dyDescent="0.2">
      <c r="A11" s="73" t="s">
        <v>119</v>
      </c>
      <c r="B11" s="74"/>
      <c r="C11" s="12" t="str">
        <f>VLOOKUP(C5,Index!N:W,10,FALSE)</f>
        <v>103.4 @ -46°C' 85.3 @ 200°C</v>
      </c>
      <c r="D11" s="75"/>
      <c r="E11" s="76"/>
    </row>
    <row r="12" spans="1:5" x14ac:dyDescent="0.2">
      <c r="A12" s="69" t="s">
        <v>32</v>
      </c>
      <c r="B12" s="69"/>
      <c r="C12" s="3" t="str">
        <f>VLOOKUP(C5,Index!N:W,5,FALSE)</f>
        <v>NIL</v>
      </c>
      <c r="D12" s="69"/>
      <c r="E12" s="69"/>
    </row>
    <row r="13" spans="1:5" ht="24" x14ac:dyDescent="0.2">
      <c r="A13" s="69" t="s">
        <v>33</v>
      </c>
      <c r="B13" s="69"/>
      <c r="C13" s="3" t="s">
        <v>98</v>
      </c>
      <c r="D13" s="69"/>
      <c r="E13" s="69"/>
    </row>
    <row r="14" spans="1:5" x14ac:dyDescent="0.2">
      <c r="A14" s="69" t="s">
        <v>35</v>
      </c>
      <c r="B14" s="69"/>
      <c r="C14" s="3" t="s">
        <v>245</v>
      </c>
      <c r="D14" s="69"/>
      <c r="E14" s="69"/>
    </row>
    <row r="15" spans="1:5" x14ac:dyDescent="0.2">
      <c r="A15" s="69" t="s">
        <v>36</v>
      </c>
      <c r="B15" s="69"/>
      <c r="C15" s="3" t="s">
        <v>67</v>
      </c>
      <c r="D15" s="69"/>
      <c r="E15" s="69"/>
    </row>
    <row r="16" spans="1:5" x14ac:dyDescent="0.2">
      <c r="A16" s="69" t="s">
        <v>37</v>
      </c>
      <c r="B16" s="4" t="s">
        <v>38</v>
      </c>
      <c r="C16" s="3" t="s">
        <v>73</v>
      </c>
      <c r="D16" s="69"/>
      <c r="E16" s="69"/>
    </row>
    <row r="17" spans="1:5" ht="24" x14ac:dyDescent="0.2">
      <c r="A17" s="69"/>
      <c r="B17" s="4" t="s">
        <v>75</v>
      </c>
      <c r="C17" s="3" t="s">
        <v>77</v>
      </c>
      <c r="D17" s="69"/>
      <c r="E17" s="69"/>
    </row>
    <row r="18" spans="1:5" ht="24" x14ac:dyDescent="0.2">
      <c r="A18" s="69"/>
      <c r="B18" s="4" t="s">
        <v>39</v>
      </c>
      <c r="C18" s="3" t="s">
        <v>87</v>
      </c>
      <c r="D18" s="69"/>
      <c r="E18" s="69"/>
    </row>
    <row r="19" spans="1:5" x14ac:dyDescent="0.2">
      <c r="A19" s="69"/>
      <c r="B19" s="4" t="s">
        <v>68</v>
      </c>
      <c r="C19" s="3" t="s">
        <v>146</v>
      </c>
      <c r="D19" s="69"/>
      <c r="E19" s="69"/>
    </row>
    <row r="20" spans="1:5" x14ac:dyDescent="0.2">
      <c r="A20" s="69"/>
      <c r="B20" s="4" t="s">
        <v>141</v>
      </c>
      <c r="C20" s="3" t="s">
        <v>142</v>
      </c>
      <c r="D20" s="69"/>
      <c r="E20" s="69"/>
    </row>
    <row r="21" spans="1:5" x14ac:dyDescent="0.2">
      <c r="A21" s="69"/>
      <c r="B21" s="4" t="s">
        <v>69</v>
      </c>
      <c r="C21" s="3" t="s">
        <v>106</v>
      </c>
      <c r="D21" s="69"/>
      <c r="E21" s="69"/>
    </row>
    <row r="22" spans="1:5" ht="24" x14ac:dyDescent="0.2">
      <c r="A22" s="69"/>
      <c r="B22" s="4" t="s">
        <v>40</v>
      </c>
      <c r="C22" s="3" t="s">
        <v>86</v>
      </c>
      <c r="D22" s="69"/>
      <c r="E22" s="69"/>
    </row>
    <row r="23" spans="1:5" ht="24" x14ac:dyDescent="0.2">
      <c r="A23" s="69" t="s">
        <v>41</v>
      </c>
      <c r="B23" s="69"/>
      <c r="C23" s="3" t="s">
        <v>120</v>
      </c>
      <c r="D23" s="69"/>
      <c r="E23" s="69"/>
    </row>
    <row r="24" spans="1:5" ht="36" x14ac:dyDescent="0.2">
      <c r="A24" s="69" t="s">
        <v>42</v>
      </c>
      <c r="B24" s="4" t="s">
        <v>91</v>
      </c>
      <c r="C24" s="3" t="s">
        <v>108</v>
      </c>
      <c r="D24" s="69"/>
      <c r="E24" s="69"/>
    </row>
    <row r="25" spans="1:5" x14ac:dyDescent="0.2">
      <c r="A25" s="69"/>
      <c r="B25" s="4" t="s">
        <v>93</v>
      </c>
      <c r="C25" s="3" t="s">
        <v>130</v>
      </c>
      <c r="D25" s="69"/>
      <c r="E25" s="69"/>
    </row>
    <row r="26" spans="1:5" x14ac:dyDescent="0.2">
      <c r="A26" s="69"/>
      <c r="B26" s="4" t="s">
        <v>94</v>
      </c>
      <c r="C26" s="3" t="s">
        <v>71</v>
      </c>
      <c r="D26" s="69"/>
      <c r="E26" s="69"/>
    </row>
    <row r="27" spans="1:5" x14ac:dyDescent="0.2">
      <c r="A27" s="69"/>
      <c r="B27" s="4" t="s">
        <v>95</v>
      </c>
      <c r="C27" s="3" t="s">
        <v>135</v>
      </c>
      <c r="D27" s="69"/>
      <c r="E27" s="69"/>
    </row>
    <row r="28" spans="1:5" x14ac:dyDescent="0.2">
      <c r="A28" s="69"/>
      <c r="B28" s="4" t="s">
        <v>144</v>
      </c>
      <c r="C28" s="3" t="s">
        <v>152</v>
      </c>
      <c r="D28" s="69"/>
      <c r="E28" s="69"/>
    </row>
    <row r="29" spans="1:5" x14ac:dyDescent="0.2">
      <c r="A29" s="69"/>
      <c r="B29" s="4" t="s">
        <v>92</v>
      </c>
      <c r="C29" s="3" t="s">
        <v>71</v>
      </c>
      <c r="D29" s="69"/>
      <c r="E29" s="69"/>
    </row>
    <row r="30" spans="1:5" x14ac:dyDescent="0.2">
      <c r="A30" s="69"/>
      <c r="B30" s="4" t="s">
        <v>96</v>
      </c>
      <c r="C30" s="3" t="s">
        <v>71</v>
      </c>
      <c r="D30" s="69"/>
      <c r="E30" s="69"/>
    </row>
    <row r="31" spans="1:5" ht="36" x14ac:dyDescent="0.2">
      <c r="A31" s="69"/>
      <c r="B31" s="4" t="s">
        <v>72</v>
      </c>
      <c r="C31" s="3" t="s">
        <v>139</v>
      </c>
      <c r="D31" s="69"/>
      <c r="E31" s="69"/>
    </row>
    <row r="32" spans="1:5" ht="24" x14ac:dyDescent="0.2">
      <c r="A32" s="69"/>
      <c r="B32" s="6" t="s">
        <v>140</v>
      </c>
      <c r="C32" s="5" t="s">
        <v>99</v>
      </c>
      <c r="D32" s="69"/>
      <c r="E32" s="69"/>
    </row>
    <row r="33" spans="1:5" ht="24" x14ac:dyDescent="0.2">
      <c r="A33" s="69"/>
      <c r="B33" s="4" t="s">
        <v>43</v>
      </c>
      <c r="C33" s="3" t="s">
        <v>190</v>
      </c>
      <c r="D33" s="69"/>
      <c r="E33" s="69"/>
    </row>
    <row r="34" spans="1:5" x14ac:dyDescent="0.2">
      <c r="A34" s="69"/>
      <c r="B34" s="4" t="s">
        <v>44</v>
      </c>
      <c r="C34" s="3" t="s">
        <v>294</v>
      </c>
      <c r="D34" s="69"/>
      <c r="E34" s="69"/>
    </row>
    <row r="35" spans="1:5" x14ac:dyDescent="0.2">
      <c r="A35" s="69"/>
      <c r="B35" s="4" t="s">
        <v>45</v>
      </c>
      <c r="C35" s="3" t="s">
        <v>294</v>
      </c>
      <c r="D35" s="69"/>
      <c r="E35" s="69"/>
    </row>
    <row r="36" spans="1:5" ht="36" x14ac:dyDescent="0.2">
      <c r="A36" s="69" t="s">
        <v>46</v>
      </c>
      <c r="B36" s="69"/>
      <c r="C36" s="3" t="s">
        <v>47</v>
      </c>
      <c r="D36" s="69"/>
      <c r="E36" s="69"/>
    </row>
    <row r="37" spans="1:5" x14ac:dyDescent="0.2">
      <c r="A37" s="69" t="s">
        <v>48</v>
      </c>
      <c r="B37" s="69"/>
      <c r="C37" s="3" t="s">
        <v>49</v>
      </c>
      <c r="D37" s="69"/>
      <c r="E37" s="69"/>
    </row>
    <row r="38" spans="1:5" x14ac:dyDescent="0.2">
      <c r="A38" s="69" t="s">
        <v>129</v>
      </c>
      <c r="B38" s="69"/>
      <c r="C38" s="3" t="s">
        <v>50</v>
      </c>
      <c r="D38" s="69"/>
      <c r="E38" s="69"/>
    </row>
    <row r="39" spans="1:5" x14ac:dyDescent="0.2">
      <c r="A39" s="69" t="s">
        <v>128</v>
      </c>
      <c r="B39" s="69"/>
      <c r="C39" s="3" t="s">
        <v>127</v>
      </c>
      <c r="D39" s="69"/>
      <c r="E39" s="69"/>
    </row>
    <row r="40" spans="1:5" x14ac:dyDescent="0.2">
      <c r="A40" s="64" t="s">
        <v>124</v>
      </c>
      <c r="B40" s="65"/>
      <c r="C40" s="3" t="s">
        <v>264</v>
      </c>
      <c r="D40" s="64"/>
      <c r="E40" s="65"/>
    </row>
    <row r="41" spans="1:5" x14ac:dyDescent="0.2">
      <c r="A41" s="64" t="s">
        <v>125</v>
      </c>
      <c r="B41" s="65"/>
      <c r="C41" s="3" t="s">
        <v>265</v>
      </c>
      <c r="D41" s="64"/>
      <c r="E41" s="65"/>
    </row>
    <row r="42" spans="1:5" x14ac:dyDescent="0.2">
      <c r="A42" s="64" t="s">
        <v>126</v>
      </c>
      <c r="B42" s="65"/>
      <c r="C42" s="3" t="s">
        <v>195</v>
      </c>
      <c r="D42" s="64"/>
      <c r="E42" s="65"/>
    </row>
    <row r="43" spans="1:5" ht="24" x14ac:dyDescent="0.2">
      <c r="A43" s="69" t="s">
        <v>51</v>
      </c>
      <c r="B43" s="69"/>
      <c r="C43" s="3" t="s">
        <v>52</v>
      </c>
      <c r="D43" s="69"/>
      <c r="E43" s="69"/>
    </row>
    <row r="44" spans="1:5" x14ac:dyDescent="0.2">
      <c r="A44" s="69" t="s">
        <v>53</v>
      </c>
      <c r="B44" s="69"/>
      <c r="C44" s="3" t="s">
        <v>149</v>
      </c>
      <c r="D44" s="69"/>
      <c r="E44" s="69"/>
    </row>
    <row r="45" spans="1:5" ht="24" x14ac:dyDescent="0.2">
      <c r="A45" s="69" t="s">
        <v>54</v>
      </c>
      <c r="B45" s="69"/>
      <c r="C45" s="3" t="s">
        <v>436</v>
      </c>
      <c r="D45" s="69"/>
      <c r="E45" s="69"/>
    </row>
    <row r="46" spans="1:5" x14ac:dyDescent="0.2">
      <c r="A46" s="7"/>
      <c r="B46" s="8"/>
      <c r="C46" s="8"/>
      <c r="D46" s="8"/>
      <c r="E46" s="9"/>
    </row>
    <row r="47" spans="1:5" x14ac:dyDescent="0.2">
      <c r="A47" s="10" t="s">
        <v>58</v>
      </c>
      <c r="E47" s="11"/>
    </row>
    <row r="48" spans="1:5" x14ac:dyDescent="0.2">
      <c r="A48" s="70" t="s">
        <v>70</v>
      </c>
      <c r="B48" s="71"/>
      <c r="C48" s="71"/>
      <c r="D48" s="71"/>
      <c r="E48" s="72"/>
    </row>
    <row r="49" spans="1:5" x14ac:dyDescent="0.2">
      <c r="A49" s="70"/>
      <c r="B49" s="71"/>
      <c r="C49" s="71"/>
      <c r="D49" s="71"/>
      <c r="E49" s="72"/>
    </row>
    <row r="50" spans="1:5" x14ac:dyDescent="0.2">
      <c r="A50" s="70" t="s">
        <v>437</v>
      </c>
      <c r="B50" s="71"/>
      <c r="C50" s="71"/>
      <c r="D50" s="71"/>
      <c r="E50" s="72"/>
    </row>
    <row r="51" spans="1:5" x14ac:dyDescent="0.2">
      <c r="A51" s="70" t="s">
        <v>97</v>
      </c>
      <c r="B51" s="71"/>
      <c r="C51" s="71"/>
      <c r="D51" s="71"/>
      <c r="E51" s="72"/>
    </row>
    <row r="52" spans="1:5" x14ac:dyDescent="0.2">
      <c r="A52" s="70"/>
      <c r="B52" s="71"/>
      <c r="C52" s="71"/>
      <c r="D52" s="71"/>
      <c r="E52" s="72"/>
    </row>
    <row r="53" spans="1:5" x14ac:dyDescent="0.2">
      <c r="A53" s="70" t="s">
        <v>150</v>
      </c>
      <c r="B53" s="71"/>
      <c r="C53" s="71"/>
      <c r="D53" s="71"/>
      <c r="E53" s="72"/>
    </row>
    <row r="54" spans="1:5" ht="11.45" customHeight="1" x14ac:dyDescent="0.2">
      <c r="A54" s="70" t="s">
        <v>151</v>
      </c>
      <c r="B54" s="71"/>
      <c r="C54" s="71"/>
      <c r="D54" s="71"/>
      <c r="E54" s="72"/>
    </row>
    <row r="55" spans="1:5" x14ac:dyDescent="0.2">
      <c r="A55" s="66" t="s">
        <v>104</v>
      </c>
      <c r="B55" s="67"/>
      <c r="C55" s="67"/>
      <c r="D55" s="67"/>
      <c r="E55" s="68"/>
    </row>
  </sheetData>
  <mergeCells count="75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2"/>
    <mergeCell ref="D16:E16"/>
    <mergeCell ref="D17:E17"/>
    <mergeCell ref="D18:E18"/>
    <mergeCell ref="D19:E19"/>
    <mergeCell ref="D20:E20"/>
    <mergeCell ref="D21:E21"/>
    <mergeCell ref="D22:E22"/>
    <mergeCell ref="A23:B23"/>
    <mergeCell ref="D23:E23"/>
    <mergeCell ref="A24:A35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D35:E35"/>
    <mergeCell ref="A37:B37"/>
    <mergeCell ref="D37:E37"/>
    <mergeCell ref="A38:B38"/>
    <mergeCell ref="D38:E38"/>
    <mergeCell ref="A36:B36"/>
    <mergeCell ref="D36:E36"/>
    <mergeCell ref="A39:B39"/>
    <mergeCell ref="D39:E39"/>
    <mergeCell ref="A40:B40"/>
    <mergeCell ref="D40:E40"/>
    <mergeCell ref="A41:B41"/>
    <mergeCell ref="D41:E41"/>
    <mergeCell ref="A42:B42"/>
    <mergeCell ref="D42:E42"/>
    <mergeCell ref="A55:E55"/>
    <mergeCell ref="A43:B43"/>
    <mergeCell ref="D43:E43"/>
    <mergeCell ref="A44:B44"/>
    <mergeCell ref="D44:E44"/>
    <mergeCell ref="A45:B45"/>
    <mergeCell ref="D45:E45"/>
    <mergeCell ref="A48:E49"/>
    <mergeCell ref="A50:E50"/>
    <mergeCell ref="A51:E52"/>
    <mergeCell ref="A53:E53"/>
    <mergeCell ref="A54:E54"/>
  </mergeCells>
  <conditionalFormatting sqref="B17">
    <cfRule type="duplicateValues" dxfId="77" priority="4"/>
  </conditionalFormatting>
  <conditionalFormatting sqref="B18">
    <cfRule type="duplicateValues" dxfId="76" priority="3"/>
  </conditionalFormatting>
  <conditionalFormatting sqref="B20">
    <cfRule type="duplicateValues" dxfId="75" priority="2"/>
  </conditionalFormatting>
  <conditionalFormatting sqref="B21">
    <cfRule type="duplicateValues" dxfId="74" priority="10"/>
  </conditionalFormatting>
  <conditionalFormatting sqref="B25">
    <cfRule type="duplicateValues" dxfId="73" priority="12"/>
  </conditionalFormatting>
  <conditionalFormatting sqref="B28">
    <cfRule type="duplicateValues" dxfId="72" priority="1"/>
  </conditionalFormatting>
  <conditionalFormatting sqref="B32">
    <cfRule type="duplicateValues" dxfId="71" priority="11"/>
  </conditionalFormatting>
  <conditionalFormatting sqref="B38">
    <cfRule type="duplicateValues" dxfId="70" priority="6"/>
  </conditionalFormatting>
  <conditionalFormatting sqref="B39">
    <cfRule type="duplicateValues" dxfId="69" priority="5"/>
  </conditionalFormatting>
  <conditionalFormatting sqref="B40">
    <cfRule type="duplicateValues" dxfId="68" priority="9"/>
  </conditionalFormatting>
  <conditionalFormatting sqref="B41">
    <cfRule type="duplicateValues" dxfId="67" priority="8"/>
  </conditionalFormatting>
  <conditionalFormatting sqref="B42">
    <cfRule type="duplicateValues" dxfId="66" priority="7"/>
  </conditionalFormatting>
  <conditionalFormatting sqref="B56:B1048576 B4:B10 B26:B27 B12:B16 B33:B37 B22:B24 B43:B47 B19 B29:B31">
    <cfRule type="duplicateValues" dxfId="65" priority="13"/>
  </conditionalFormatting>
  <pageMargins left="0.7" right="0.7" top="0.75" bottom="0.75" header="0.3" footer="0.3"/>
  <pageSetup paperSize="9" scale="88" orientation="portrait" horizontalDpi="4294967295" verticalDpi="4294967295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22A944-D67A-4292-AFDE-DF0CEB0611F5}">
  <sheetPr codeName="Sheet64">
    <tabColor theme="4" tint="-0.249977111117893"/>
    <pageSetUpPr fitToPage="1"/>
  </sheetPr>
  <dimension ref="A1:E55"/>
  <sheetViews>
    <sheetView zoomScaleNormal="100" workbookViewId="0">
      <selection sqref="A1:B3"/>
    </sheetView>
  </sheetViews>
  <sheetFormatPr defaultColWidth="8.85546875" defaultRowHeight="12" x14ac:dyDescent="0.2"/>
  <cols>
    <col min="1" max="1" width="12.5703125" style="1" customWidth="1"/>
    <col min="2" max="2" width="13.42578125" style="1" bestFit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4" customFormat="1" ht="30" customHeight="1" x14ac:dyDescent="0.25">
      <c r="A1" s="77" t="e" vm="1">
        <v>#VALUE!</v>
      </c>
      <c r="B1" s="78"/>
      <c r="C1" s="83" t="s">
        <v>112</v>
      </c>
      <c r="D1" s="13" t="s">
        <v>110</v>
      </c>
      <c r="E1" s="13" t="s">
        <v>435</v>
      </c>
    </row>
    <row r="2" spans="1:5" s="14" customFormat="1" ht="30" customHeight="1" x14ac:dyDescent="0.25">
      <c r="A2" s="79"/>
      <c r="B2" s="80"/>
      <c r="C2" s="84"/>
      <c r="D2" s="15" t="s">
        <v>109</v>
      </c>
      <c r="E2" s="16" t="str">
        <f>VLOOKUP(C4,Index!B:J,9,FALSE)</f>
        <v>C0</v>
      </c>
    </row>
    <row r="3" spans="1:5" s="14" customFormat="1" ht="30" customHeight="1" x14ac:dyDescent="0.25">
      <c r="A3" s="81"/>
      <c r="B3" s="82"/>
      <c r="C3" s="85"/>
      <c r="D3" s="15" t="s">
        <v>111</v>
      </c>
      <c r="E3" s="17">
        <f>VLOOKUP(C4,Index!B:I,8,FALSE)</f>
        <v>374</v>
      </c>
    </row>
    <row r="4" spans="1:5" x14ac:dyDescent="0.2">
      <c r="A4" s="86" t="s">
        <v>74</v>
      </c>
      <c r="B4" s="86"/>
      <c r="C4" s="2" t="s">
        <v>249</v>
      </c>
      <c r="D4" s="86" t="s">
        <v>55</v>
      </c>
      <c r="E4" s="86"/>
    </row>
    <row r="5" spans="1:5" x14ac:dyDescent="0.2">
      <c r="A5" s="69" t="s">
        <v>26</v>
      </c>
      <c r="B5" s="69"/>
      <c r="C5" s="3" t="s">
        <v>178</v>
      </c>
      <c r="D5" s="69"/>
      <c r="E5" s="69"/>
    </row>
    <row r="6" spans="1:5" x14ac:dyDescent="0.2">
      <c r="A6" s="69" t="s">
        <v>27</v>
      </c>
      <c r="B6" s="69"/>
      <c r="C6" s="3" t="s">
        <v>78</v>
      </c>
      <c r="D6" s="69"/>
      <c r="E6" s="69"/>
    </row>
    <row r="7" spans="1:5" x14ac:dyDescent="0.2">
      <c r="A7" s="69" t="s">
        <v>28</v>
      </c>
      <c r="B7" s="69"/>
      <c r="C7" s="3" t="s">
        <v>82</v>
      </c>
      <c r="D7" s="69"/>
      <c r="E7" s="69"/>
    </row>
    <row r="8" spans="1:5" x14ac:dyDescent="0.2">
      <c r="A8" s="69" t="s">
        <v>29</v>
      </c>
      <c r="B8" s="69"/>
      <c r="C8" s="3" t="str">
        <f>VLOOKUP(C5,Index!N:W,6,FALSE)</f>
        <v>Corrosive HC service</v>
      </c>
      <c r="D8" s="69"/>
      <c r="E8" s="69"/>
    </row>
    <row r="9" spans="1:5" x14ac:dyDescent="0.2">
      <c r="A9" s="69" t="s">
        <v>30</v>
      </c>
      <c r="B9" s="69"/>
      <c r="C9" s="3" t="s">
        <v>148</v>
      </c>
      <c r="D9" s="69"/>
      <c r="E9" s="69"/>
    </row>
    <row r="10" spans="1:5" x14ac:dyDescent="0.2">
      <c r="A10" s="69" t="s">
        <v>31</v>
      </c>
      <c r="B10" s="69"/>
      <c r="C10" s="3" t="s">
        <v>61</v>
      </c>
      <c r="D10" s="69"/>
      <c r="E10" s="69"/>
    </row>
    <row r="11" spans="1:5" x14ac:dyDescent="0.2">
      <c r="A11" s="73" t="s">
        <v>119</v>
      </c>
      <c r="B11" s="74"/>
      <c r="C11" s="12" t="str">
        <f>VLOOKUP(C5,Index!N:W,10,FALSE)</f>
        <v>155.1 @ -46°C' 128 @ 200°C</v>
      </c>
      <c r="D11" s="75"/>
      <c r="E11" s="76"/>
    </row>
    <row r="12" spans="1:5" x14ac:dyDescent="0.2">
      <c r="A12" s="69" t="s">
        <v>32</v>
      </c>
      <c r="B12" s="69"/>
      <c r="C12" s="3" t="str">
        <f>VLOOKUP(C5,Index!N:W,5,FALSE)</f>
        <v>NIL</v>
      </c>
      <c r="D12" s="69"/>
      <c r="E12" s="69"/>
    </row>
    <row r="13" spans="1:5" ht="24" x14ac:dyDescent="0.2">
      <c r="A13" s="69" t="s">
        <v>33</v>
      </c>
      <c r="B13" s="69"/>
      <c r="C13" s="3" t="s">
        <v>98</v>
      </c>
      <c r="D13" s="69"/>
      <c r="E13" s="69"/>
    </row>
    <row r="14" spans="1:5" x14ac:dyDescent="0.2">
      <c r="A14" s="69" t="s">
        <v>35</v>
      </c>
      <c r="B14" s="69"/>
      <c r="C14" s="3" t="s">
        <v>62</v>
      </c>
      <c r="D14" s="69"/>
      <c r="E14" s="69"/>
    </row>
    <row r="15" spans="1:5" x14ac:dyDescent="0.2">
      <c r="A15" s="69" t="s">
        <v>36</v>
      </c>
      <c r="B15" s="69"/>
      <c r="C15" s="3" t="s">
        <v>67</v>
      </c>
      <c r="D15" s="69"/>
      <c r="E15" s="69"/>
    </row>
    <row r="16" spans="1:5" x14ac:dyDescent="0.2">
      <c r="A16" s="69" t="s">
        <v>37</v>
      </c>
      <c r="B16" s="4" t="s">
        <v>38</v>
      </c>
      <c r="C16" s="3" t="s">
        <v>73</v>
      </c>
      <c r="D16" s="69"/>
      <c r="E16" s="69"/>
    </row>
    <row r="17" spans="1:5" ht="24" x14ac:dyDescent="0.2">
      <c r="A17" s="69"/>
      <c r="B17" s="4" t="s">
        <v>75</v>
      </c>
      <c r="C17" s="3" t="s">
        <v>77</v>
      </c>
      <c r="D17" s="69"/>
      <c r="E17" s="69"/>
    </row>
    <row r="18" spans="1:5" ht="24" x14ac:dyDescent="0.2">
      <c r="A18" s="69"/>
      <c r="B18" s="4" t="s">
        <v>39</v>
      </c>
      <c r="C18" s="3" t="s">
        <v>87</v>
      </c>
      <c r="D18" s="69"/>
      <c r="E18" s="69"/>
    </row>
    <row r="19" spans="1:5" x14ac:dyDescent="0.2">
      <c r="A19" s="69"/>
      <c r="B19" s="4" t="s">
        <v>68</v>
      </c>
      <c r="C19" s="3" t="s">
        <v>146</v>
      </c>
      <c r="D19" s="69"/>
      <c r="E19" s="69"/>
    </row>
    <row r="20" spans="1:5" x14ac:dyDescent="0.2">
      <c r="A20" s="69"/>
      <c r="B20" s="4" t="s">
        <v>141</v>
      </c>
      <c r="C20" s="3" t="s">
        <v>142</v>
      </c>
      <c r="D20" s="69"/>
      <c r="E20" s="69"/>
    </row>
    <row r="21" spans="1:5" x14ac:dyDescent="0.2">
      <c r="A21" s="69"/>
      <c r="B21" s="4" t="s">
        <v>69</v>
      </c>
      <c r="C21" s="3" t="s">
        <v>106</v>
      </c>
      <c r="D21" s="69"/>
      <c r="E21" s="69"/>
    </row>
    <row r="22" spans="1:5" ht="24" x14ac:dyDescent="0.2">
      <c r="A22" s="69"/>
      <c r="B22" s="4" t="s">
        <v>40</v>
      </c>
      <c r="C22" s="3" t="s">
        <v>86</v>
      </c>
      <c r="D22" s="69"/>
      <c r="E22" s="69"/>
    </row>
    <row r="23" spans="1:5" ht="24" x14ac:dyDescent="0.2">
      <c r="A23" s="69" t="s">
        <v>41</v>
      </c>
      <c r="B23" s="69"/>
      <c r="C23" s="3" t="s">
        <v>120</v>
      </c>
      <c r="D23" s="69"/>
      <c r="E23" s="69"/>
    </row>
    <row r="24" spans="1:5" ht="36" x14ac:dyDescent="0.2">
      <c r="A24" s="69" t="s">
        <v>42</v>
      </c>
      <c r="B24" s="4" t="s">
        <v>91</v>
      </c>
      <c r="C24" s="3" t="s">
        <v>108</v>
      </c>
      <c r="D24" s="69"/>
      <c r="E24" s="69"/>
    </row>
    <row r="25" spans="1:5" x14ac:dyDescent="0.2">
      <c r="A25" s="69"/>
      <c r="B25" s="4" t="s">
        <v>93</v>
      </c>
      <c r="C25" s="3" t="s">
        <v>130</v>
      </c>
      <c r="D25" s="69"/>
      <c r="E25" s="69"/>
    </row>
    <row r="26" spans="1:5" x14ac:dyDescent="0.2">
      <c r="A26" s="69"/>
      <c r="B26" s="4" t="s">
        <v>94</v>
      </c>
      <c r="C26" s="3" t="s">
        <v>71</v>
      </c>
      <c r="D26" s="69"/>
      <c r="E26" s="69"/>
    </row>
    <row r="27" spans="1:5" x14ac:dyDescent="0.2">
      <c r="A27" s="69"/>
      <c r="B27" s="4" t="s">
        <v>95</v>
      </c>
      <c r="C27" s="3" t="s">
        <v>135</v>
      </c>
      <c r="D27" s="69"/>
      <c r="E27" s="69"/>
    </row>
    <row r="28" spans="1:5" x14ac:dyDescent="0.2">
      <c r="A28" s="69"/>
      <c r="B28" s="4" t="s">
        <v>144</v>
      </c>
      <c r="C28" s="3" t="s">
        <v>152</v>
      </c>
      <c r="D28" s="69"/>
      <c r="E28" s="69"/>
    </row>
    <row r="29" spans="1:5" x14ac:dyDescent="0.2">
      <c r="A29" s="69"/>
      <c r="B29" s="4" t="s">
        <v>92</v>
      </c>
      <c r="C29" s="3" t="s">
        <v>71</v>
      </c>
      <c r="D29" s="69"/>
      <c r="E29" s="69"/>
    </row>
    <row r="30" spans="1:5" x14ac:dyDescent="0.2">
      <c r="A30" s="69"/>
      <c r="B30" s="4" t="s">
        <v>96</v>
      </c>
      <c r="C30" s="3" t="s">
        <v>71</v>
      </c>
      <c r="D30" s="69"/>
      <c r="E30" s="69"/>
    </row>
    <row r="31" spans="1:5" ht="36" x14ac:dyDescent="0.2">
      <c r="A31" s="69"/>
      <c r="B31" s="4" t="s">
        <v>72</v>
      </c>
      <c r="C31" s="3" t="s">
        <v>139</v>
      </c>
      <c r="D31" s="69"/>
      <c r="E31" s="69"/>
    </row>
    <row r="32" spans="1:5" ht="24" x14ac:dyDescent="0.2">
      <c r="A32" s="69"/>
      <c r="B32" s="6" t="s">
        <v>140</v>
      </c>
      <c r="C32" s="5" t="s">
        <v>99</v>
      </c>
      <c r="D32" s="69"/>
      <c r="E32" s="69"/>
    </row>
    <row r="33" spans="1:5" ht="24" x14ac:dyDescent="0.2">
      <c r="A33" s="69"/>
      <c r="B33" s="4" t="s">
        <v>43</v>
      </c>
      <c r="C33" s="3" t="s">
        <v>191</v>
      </c>
      <c r="D33" s="69"/>
      <c r="E33" s="69"/>
    </row>
    <row r="34" spans="1:5" x14ac:dyDescent="0.2">
      <c r="A34" s="69"/>
      <c r="B34" s="4" t="s">
        <v>44</v>
      </c>
      <c r="C34" s="3" t="s">
        <v>294</v>
      </c>
      <c r="D34" s="69"/>
      <c r="E34" s="69"/>
    </row>
    <row r="35" spans="1:5" x14ac:dyDescent="0.2">
      <c r="A35" s="69"/>
      <c r="B35" s="4" t="s">
        <v>45</v>
      </c>
      <c r="C35" s="3" t="s">
        <v>294</v>
      </c>
      <c r="D35" s="69"/>
      <c r="E35" s="69"/>
    </row>
    <row r="36" spans="1:5" ht="36" x14ac:dyDescent="0.2">
      <c r="A36" s="69" t="s">
        <v>46</v>
      </c>
      <c r="B36" s="69"/>
      <c r="C36" s="3" t="s">
        <v>47</v>
      </c>
      <c r="D36" s="69"/>
      <c r="E36" s="69"/>
    </row>
    <row r="37" spans="1:5" x14ac:dyDescent="0.2">
      <c r="A37" s="69" t="s">
        <v>48</v>
      </c>
      <c r="B37" s="69"/>
      <c r="C37" s="3" t="s">
        <v>49</v>
      </c>
      <c r="D37" s="69"/>
      <c r="E37" s="69"/>
    </row>
    <row r="38" spans="1:5" x14ac:dyDescent="0.2">
      <c r="A38" s="69" t="s">
        <v>129</v>
      </c>
      <c r="B38" s="69"/>
      <c r="C38" s="3" t="s">
        <v>50</v>
      </c>
      <c r="D38" s="69"/>
      <c r="E38" s="69"/>
    </row>
    <row r="39" spans="1:5" x14ac:dyDescent="0.2">
      <c r="A39" s="69" t="s">
        <v>128</v>
      </c>
      <c r="B39" s="69"/>
      <c r="C39" s="3" t="s">
        <v>127</v>
      </c>
      <c r="D39" s="69"/>
      <c r="E39" s="69"/>
    </row>
    <row r="40" spans="1:5" x14ac:dyDescent="0.2">
      <c r="A40" s="64" t="s">
        <v>124</v>
      </c>
      <c r="B40" s="65"/>
      <c r="C40" s="3" t="s">
        <v>262</v>
      </c>
      <c r="D40" s="64"/>
      <c r="E40" s="65"/>
    </row>
    <row r="41" spans="1:5" x14ac:dyDescent="0.2">
      <c r="A41" s="64" t="s">
        <v>125</v>
      </c>
      <c r="B41" s="65"/>
      <c r="C41" s="3" t="s">
        <v>263</v>
      </c>
      <c r="D41" s="64"/>
      <c r="E41" s="65"/>
    </row>
    <row r="42" spans="1:5" x14ac:dyDescent="0.2">
      <c r="A42" s="64" t="s">
        <v>126</v>
      </c>
      <c r="B42" s="65"/>
      <c r="C42" s="3" t="s">
        <v>195</v>
      </c>
      <c r="D42" s="64"/>
      <c r="E42" s="65"/>
    </row>
    <row r="43" spans="1:5" ht="24" x14ac:dyDescent="0.2">
      <c r="A43" s="69" t="s">
        <v>51</v>
      </c>
      <c r="B43" s="69"/>
      <c r="C43" s="3" t="s">
        <v>52</v>
      </c>
      <c r="D43" s="69"/>
      <c r="E43" s="69"/>
    </row>
    <row r="44" spans="1:5" x14ac:dyDescent="0.2">
      <c r="A44" s="69" t="s">
        <v>53</v>
      </c>
      <c r="B44" s="69"/>
      <c r="C44" s="3" t="s">
        <v>149</v>
      </c>
      <c r="D44" s="69"/>
      <c r="E44" s="69"/>
    </row>
    <row r="45" spans="1:5" ht="24" x14ac:dyDescent="0.2">
      <c r="A45" s="69" t="s">
        <v>54</v>
      </c>
      <c r="B45" s="69"/>
      <c r="C45" s="3" t="s">
        <v>436</v>
      </c>
      <c r="D45" s="69"/>
      <c r="E45" s="69"/>
    </row>
    <row r="46" spans="1:5" x14ac:dyDescent="0.2">
      <c r="A46" s="7"/>
      <c r="B46" s="8"/>
      <c r="C46" s="8"/>
      <c r="D46" s="8"/>
      <c r="E46" s="9"/>
    </row>
    <row r="47" spans="1:5" x14ac:dyDescent="0.2">
      <c r="A47" s="10" t="s">
        <v>58</v>
      </c>
      <c r="E47" s="11"/>
    </row>
    <row r="48" spans="1:5" x14ac:dyDescent="0.2">
      <c r="A48" s="70" t="s">
        <v>70</v>
      </c>
      <c r="B48" s="71"/>
      <c r="C48" s="71"/>
      <c r="D48" s="71"/>
      <c r="E48" s="72"/>
    </row>
    <row r="49" spans="1:5" x14ac:dyDescent="0.2">
      <c r="A49" s="70"/>
      <c r="B49" s="71"/>
      <c r="C49" s="71"/>
      <c r="D49" s="71"/>
      <c r="E49" s="72"/>
    </row>
    <row r="50" spans="1:5" x14ac:dyDescent="0.2">
      <c r="A50" s="70" t="s">
        <v>437</v>
      </c>
      <c r="B50" s="71"/>
      <c r="C50" s="71"/>
      <c r="D50" s="71"/>
      <c r="E50" s="72"/>
    </row>
    <row r="51" spans="1:5" x14ac:dyDescent="0.2">
      <c r="A51" s="70" t="s">
        <v>97</v>
      </c>
      <c r="B51" s="71"/>
      <c r="C51" s="71"/>
      <c r="D51" s="71"/>
      <c r="E51" s="72"/>
    </row>
    <row r="52" spans="1:5" x14ac:dyDescent="0.2">
      <c r="A52" s="70"/>
      <c r="B52" s="71"/>
      <c r="C52" s="71"/>
      <c r="D52" s="71"/>
      <c r="E52" s="72"/>
    </row>
    <row r="53" spans="1:5" x14ac:dyDescent="0.2">
      <c r="A53" s="70" t="s">
        <v>150</v>
      </c>
      <c r="B53" s="71"/>
      <c r="C53" s="71"/>
      <c r="D53" s="71"/>
      <c r="E53" s="72"/>
    </row>
    <row r="54" spans="1:5" ht="11.45" customHeight="1" x14ac:dyDescent="0.2">
      <c r="A54" s="70" t="s">
        <v>151</v>
      </c>
      <c r="B54" s="71"/>
      <c r="C54" s="71"/>
      <c r="D54" s="71"/>
      <c r="E54" s="72"/>
    </row>
    <row r="55" spans="1:5" x14ac:dyDescent="0.2">
      <c r="A55" s="66" t="s">
        <v>104</v>
      </c>
      <c r="B55" s="67"/>
      <c r="C55" s="67"/>
      <c r="D55" s="67"/>
      <c r="E55" s="68"/>
    </row>
  </sheetData>
  <mergeCells count="75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2"/>
    <mergeCell ref="D16:E16"/>
    <mergeCell ref="D17:E17"/>
    <mergeCell ref="D18:E18"/>
    <mergeCell ref="D19:E19"/>
    <mergeCell ref="D20:E20"/>
    <mergeCell ref="D21:E21"/>
    <mergeCell ref="D22:E22"/>
    <mergeCell ref="A23:B23"/>
    <mergeCell ref="D23:E23"/>
    <mergeCell ref="A24:A35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D35:E35"/>
    <mergeCell ref="A37:B37"/>
    <mergeCell ref="D37:E37"/>
    <mergeCell ref="A38:B38"/>
    <mergeCell ref="D38:E38"/>
    <mergeCell ref="A36:B36"/>
    <mergeCell ref="D36:E36"/>
    <mergeCell ref="A39:B39"/>
    <mergeCell ref="D39:E39"/>
    <mergeCell ref="A40:B40"/>
    <mergeCell ref="D40:E40"/>
    <mergeCell ref="A41:B41"/>
    <mergeCell ref="D41:E41"/>
    <mergeCell ref="A42:B42"/>
    <mergeCell ref="D42:E42"/>
    <mergeCell ref="A55:E55"/>
    <mergeCell ref="A43:B43"/>
    <mergeCell ref="D43:E43"/>
    <mergeCell ref="A44:B44"/>
    <mergeCell ref="D44:E44"/>
    <mergeCell ref="A45:B45"/>
    <mergeCell ref="D45:E45"/>
    <mergeCell ref="A48:E49"/>
    <mergeCell ref="A50:E50"/>
    <mergeCell ref="A51:E52"/>
    <mergeCell ref="A53:E53"/>
    <mergeCell ref="A54:E54"/>
  </mergeCells>
  <conditionalFormatting sqref="B17">
    <cfRule type="duplicateValues" dxfId="64" priority="4"/>
  </conditionalFormatting>
  <conditionalFormatting sqref="B18">
    <cfRule type="duplicateValues" dxfId="63" priority="3"/>
  </conditionalFormatting>
  <conditionalFormatting sqref="B20">
    <cfRule type="duplicateValues" dxfId="62" priority="2"/>
  </conditionalFormatting>
  <conditionalFormatting sqref="B21">
    <cfRule type="duplicateValues" dxfId="61" priority="10"/>
  </conditionalFormatting>
  <conditionalFormatting sqref="B25">
    <cfRule type="duplicateValues" dxfId="60" priority="12"/>
  </conditionalFormatting>
  <conditionalFormatting sqref="B28">
    <cfRule type="duplicateValues" dxfId="59" priority="1"/>
  </conditionalFormatting>
  <conditionalFormatting sqref="B32">
    <cfRule type="duplicateValues" dxfId="58" priority="11"/>
  </conditionalFormatting>
  <conditionalFormatting sqref="B38">
    <cfRule type="duplicateValues" dxfId="57" priority="6"/>
  </conditionalFormatting>
  <conditionalFormatting sqref="B39">
    <cfRule type="duplicateValues" dxfId="56" priority="5"/>
  </conditionalFormatting>
  <conditionalFormatting sqref="B40">
    <cfRule type="duplicateValues" dxfId="55" priority="9"/>
  </conditionalFormatting>
  <conditionalFormatting sqref="B41">
    <cfRule type="duplicateValues" dxfId="54" priority="8"/>
  </conditionalFormatting>
  <conditionalFormatting sqref="B42">
    <cfRule type="duplicateValues" dxfId="53" priority="7"/>
  </conditionalFormatting>
  <conditionalFormatting sqref="B56:B1048576 B4:B10 B26:B27 B12:B16 B33:B37 B22:B24 B43:B47 B19 B29:B31">
    <cfRule type="duplicateValues" dxfId="52" priority="13"/>
  </conditionalFormatting>
  <pageMargins left="0.7" right="0.7" top="0.75" bottom="0.75" header="0.3" footer="0.3"/>
  <pageSetup paperSize="9" scale="88" orientation="portrait" horizontalDpi="4294967295" verticalDpi="4294967295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A3C091-3682-4CCD-B02B-2359EE04DCCF}">
  <sheetPr codeName="Sheet65">
    <tabColor theme="4" tint="-0.249977111117893"/>
    <pageSetUpPr fitToPage="1"/>
  </sheetPr>
  <dimension ref="A1:E55"/>
  <sheetViews>
    <sheetView topLeftCell="A15" zoomScaleNormal="100" workbookViewId="0">
      <selection sqref="A1:B3"/>
    </sheetView>
  </sheetViews>
  <sheetFormatPr defaultColWidth="8.85546875" defaultRowHeight="12" x14ac:dyDescent="0.2"/>
  <cols>
    <col min="1" max="1" width="12.5703125" style="1" customWidth="1"/>
    <col min="2" max="2" width="13.42578125" style="1" bestFit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4" customFormat="1" ht="30" customHeight="1" x14ac:dyDescent="0.25">
      <c r="A1" s="77" t="e" vm="1">
        <v>#VALUE!</v>
      </c>
      <c r="B1" s="78"/>
      <c r="C1" s="83" t="s">
        <v>112</v>
      </c>
      <c r="D1" s="13" t="s">
        <v>110</v>
      </c>
      <c r="E1" s="13" t="s">
        <v>435</v>
      </c>
    </row>
    <row r="2" spans="1:5" s="14" customFormat="1" ht="30" customHeight="1" x14ac:dyDescent="0.25">
      <c r="A2" s="79"/>
      <c r="B2" s="80"/>
      <c r="C2" s="84"/>
      <c r="D2" s="15" t="s">
        <v>109</v>
      </c>
      <c r="E2" s="16" t="str">
        <f>VLOOKUP(C4,Index!B:J,9,FALSE)</f>
        <v>C0</v>
      </c>
    </row>
    <row r="3" spans="1:5" s="14" customFormat="1" ht="30" customHeight="1" x14ac:dyDescent="0.25">
      <c r="A3" s="81"/>
      <c r="B3" s="82"/>
      <c r="C3" s="85"/>
      <c r="D3" s="15" t="s">
        <v>111</v>
      </c>
      <c r="E3" s="17">
        <f>VLOOKUP(C4,Index!B:I,8,FALSE)</f>
        <v>375</v>
      </c>
    </row>
    <row r="4" spans="1:5" x14ac:dyDescent="0.2">
      <c r="A4" s="86" t="s">
        <v>74</v>
      </c>
      <c r="B4" s="86"/>
      <c r="C4" s="2" t="s">
        <v>250</v>
      </c>
      <c r="D4" s="86" t="s">
        <v>55</v>
      </c>
      <c r="E4" s="86"/>
    </row>
    <row r="5" spans="1:5" x14ac:dyDescent="0.2">
      <c r="A5" s="69" t="s">
        <v>26</v>
      </c>
      <c r="B5" s="69"/>
      <c r="C5" s="3" t="s">
        <v>179</v>
      </c>
      <c r="D5" s="69"/>
      <c r="E5" s="69"/>
    </row>
    <row r="6" spans="1:5" x14ac:dyDescent="0.2">
      <c r="A6" s="69" t="s">
        <v>27</v>
      </c>
      <c r="B6" s="69"/>
      <c r="C6" s="3" t="s">
        <v>78</v>
      </c>
      <c r="D6" s="69"/>
      <c r="E6" s="69"/>
    </row>
    <row r="7" spans="1:5" x14ac:dyDescent="0.2">
      <c r="A7" s="69" t="s">
        <v>28</v>
      </c>
      <c r="B7" s="69"/>
      <c r="C7" s="3" t="s">
        <v>82</v>
      </c>
      <c r="D7" s="69"/>
      <c r="E7" s="69"/>
    </row>
    <row r="8" spans="1:5" x14ac:dyDescent="0.2">
      <c r="A8" s="69" t="s">
        <v>29</v>
      </c>
      <c r="B8" s="69"/>
      <c r="C8" s="3" t="str">
        <f>VLOOKUP(C5,Index!N:W,6,FALSE)</f>
        <v>Corrosive HC service</v>
      </c>
      <c r="D8" s="69"/>
      <c r="E8" s="69"/>
    </row>
    <row r="9" spans="1:5" x14ac:dyDescent="0.2">
      <c r="A9" s="69" t="s">
        <v>30</v>
      </c>
      <c r="B9" s="69"/>
      <c r="C9" s="3" t="s">
        <v>148</v>
      </c>
      <c r="D9" s="69"/>
      <c r="E9" s="69"/>
    </row>
    <row r="10" spans="1:5" x14ac:dyDescent="0.2">
      <c r="A10" s="69" t="s">
        <v>31</v>
      </c>
      <c r="B10" s="69"/>
      <c r="C10" s="3" t="s">
        <v>63</v>
      </c>
      <c r="D10" s="69"/>
      <c r="E10" s="69"/>
    </row>
    <row r="11" spans="1:5" x14ac:dyDescent="0.2">
      <c r="A11" s="73" t="s">
        <v>119</v>
      </c>
      <c r="B11" s="74"/>
      <c r="C11" s="12" t="str">
        <f>VLOOKUP(C5,Index!N:W,10,FALSE)</f>
        <v>258.6 @ -46°C' 213.3 @ 200°C</v>
      </c>
      <c r="D11" s="75"/>
      <c r="E11" s="76"/>
    </row>
    <row r="12" spans="1:5" x14ac:dyDescent="0.2">
      <c r="A12" s="69" t="s">
        <v>32</v>
      </c>
      <c r="B12" s="69"/>
      <c r="C12" s="3" t="str">
        <f>VLOOKUP(C5,Index!N:W,5,FALSE)</f>
        <v>NIL</v>
      </c>
      <c r="D12" s="69"/>
      <c r="E12" s="69"/>
    </row>
    <row r="13" spans="1:5" ht="24" x14ac:dyDescent="0.2">
      <c r="A13" s="69" t="s">
        <v>33</v>
      </c>
      <c r="B13" s="69"/>
      <c r="C13" s="3" t="s">
        <v>98</v>
      </c>
      <c r="D13" s="69"/>
      <c r="E13" s="69"/>
    </row>
    <row r="14" spans="1:5" ht="24" x14ac:dyDescent="0.2">
      <c r="A14" s="69" t="s">
        <v>35</v>
      </c>
      <c r="B14" s="69"/>
      <c r="C14" s="3" t="s">
        <v>316</v>
      </c>
      <c r="D14" s="69"/>
      <c r="E14" s="69"/>
    </row>
    <row r="15" spans="1:5" x14ac:dyDescent="0.2">
      <c r="A15" s="69" t="s">
        <v>36</v>
      </c>
      <c r="B15" s="69"/>
      <c r="C15" s="3" t="s">
        <v>67</v>
      </c>
      <c r="D15" s="69"/>
      <c r="E15" s="69"/>
    </row>
    <row r="16" spans="1:5" x14ac:dyDescent="0.2">
      <c r="A16" s="69" t="s">
        <v>37</v>
      </c>
      <c r="B16" s="4" t="s">
        <v>38</v>
      </c>
      <c r="C16" s="3" t="s">
        <v>73</v>
      </c>
      <c r="D16" s="69"/>
      <c r="E16" s="69"/>
    </row>
    <row r="17" spans="1:5" ht="24" x14ac:dyDescent="0.2">
      <c r="A17" s="69"/>
      <c r="B17" s="4" t="s">
        <v>75</v>
      </c>
      <c r="C17" s="3" t="s">
        <v>77</v>
      </c>
      <c r="D17" s="69"/>
      <c r="E17" s="69"/>
    </row>
    <row r="18" spans="1:5" ht="24" x14ac:dyDescent="0.2">
      <c r="A18" s="69"/>
      <c r="B18" s="4" t="s">
        <v>39</v>
      </c>
      <c r="C18" s="3" t="s">
        <v>87</v>
      </c>
      <c r="D18" s="69"/>
      <c r="E18" s="69"/>
    </row>
    <row r="19" spans="1:5" x14ac:dyDescent="0.2">
      <c r="A19" s="69"/>
      <c r="B19" s="4" t="s">
        <v>68</v>
      </c>
      <c r="C19" s="3" t="s">
        <v>146</v>
      </c>
      <c r="D19" s="69"/>
      <c r="E19" s="69"/>
    </row>
    <row r="20" spans="1:5" x14ac:dyDescent="0.2">
      <c r="A20" s="69"/>
      <c r="B20" s="4" t="s">
        <v>141</v>
      </c>
      <c r="C20" s="3" t="s">
        <v>142</v>
      </c>
      <c r="D20" s="69"/>
      <c r="E20" s="69"/>
    </row>
    <row r="21" spans="1:5" x14ac:dyDescent="0.2">
      <c r="A21" s="69"/>
      <c r="B21" s="4" t="s">
        <v>69</v>
      </c>
      <c r="C21" s="3" t="s">
        <v>106</v>
      </c>
      <c r="D21" s="69"/>
      <c r="E21" s="69"/>
    </row>
    <row r="22" spans="1:5" ht="24" x14ac:dyDescent="0.2">
      <c r="A22" s="69"/>
      <c r="B22" s="4" t="s">
        <v>40</v>
      </c>
      <c r="C22" s="3" t="s">
        <v>86</v>
      </c>
      <c r="D22" s="69"/>
      <c r="E22" s="69"/>
    </row>
    <row r="23" spans="1:5" ht="24" x14ac:dyDescent="0.2">
      <c r="A23" s="69" t="s">
        <v>41</v>
      </c>
      <c r="B23" s="69"/>
      <c r="C23" s="3" t="s">
        <v>120</v>
      </c>
      <c r="D23" s="69"/>
      <c r="E23" s="69"/>
    </row>
    <row r="24" spans="1:5" ht="36" x14ac:dyDescent="0.2">
      <c r="A24" s="69" t="s">
        <v>42</v>
      </c>
      <c r="B24" s="4" t="s">
        <v>91</v>
      </c>
      <c r="C24" s="3" t="s">
        <v>108</v>
      </c>
      <c r="D24" s="69"/>
      <c r="E24" s="69"/>
    </row>
    <row r="25" spans="1:5" x14ac:dyDescent="0.2">
      <c r="A25" s="69"/>
      <c r="B25" s="4" t="s">
        <v>93</v>
      </c>
      <c r="C25" s="3" t="s">
        <v>130</v>
      </c>
      <c r="D25" s="69"/>
      <c r="E25" s="69"/>
    </row>
    <row r="26" spans="1:5" x14ac:dyDescent="0.2">
      <c r="A26" s="69"/>
      <c r="B26" s="4" t="s">
        <v>94</v>
      </c>
      <c r="C26" s="3" t="s">
        <v>71</v>
      </c>
      <c r="D26" s="69"/>
      <c r="E26" s="69"/>
    </row>
    <row r="27" spans="1:5" x14ac:dyDescent="0.2">
      <c r="A27" s="69"/>
      <c r="B27" s="4" t="s">
        <v>95</v>
      </c>
      <c r="C27" s="3" t="s">
        <v>135</v>
      </c>
      <c r="D27" s="69"/>
      <c r="E27" s="69"/>
    </row>
    <row r="28" spans="1:5" x14ac:dyDescent="0.2">
      <c r="A28" s="69"/>
      <c r="B28" s="4" t="s">
        <v>144</v>
      </c>
      <c r="C28" s="3" t="s">
        <v>152</v>
      </c>
      <c r="D28" s="69"/>
      <c r="E28" s="69"/>
    </row>
    <row r="29" spans="1:5" x14ac:dyDescent="0.2">
      <c r="A29" s="69"/>
      <c r="B29" s="4" t="s">
        <v>92</v>
      </c>
      <c r="C29" s="3" t="s">
        <v>71</v>
      </c>
      <c r="D29" s="69"/>
      <c r="E29" s="69"/>
    </row>
    <row r="30" spans="1:5" x14ac:dyDescent="0.2">
      <c r="A30" s="69"/>
      <c r="B30" s="4" t="s">
        <v>96</v>
      </c>
      <c r="C30" s="3" t="s">
        <v>71</v>
      </c>
      <c r="D30" s="69"/>
      <c r="E30" s="69"/>
    </row>
    <row r="31" spans="1:5" ht="36" x14ac:dyDescent="0.2">
      <c r="A31" s="69"/>
      <c r="B31" s="4" t="s">
        <v>72</v>
      </c>
      <c r="C31" s="3" t="s">
        <v>139</v>
      </c>
      <c r="D31" s="69"/>
      <c r="E31" s="69"/>
    </row>
    <row r="32" spans="1:5" ht="24" x14ac:dyDescent="0.2">
      <c r="A32" s="69"/>
      <c r="B32" s="6" t="s">
        <v>140</v>
      </c>
      <c r="C32" s="5" t="s">
        <v>99</v>
      </c>
      <c r="D32" s="69"/>
      <c r="E32" s="69"/>
    </row>
    <row r="33" spans="1:5" ht="24" x14ac:dyDescent="0.2">
      <c r="A33" s="69"/>
      <c r="B33" s="4" t="s">
        <v>43</v>
      </c>
      <c r="C33" s="3" t="s">
        <v>191</v>
      </c>
      <c r="D33" s="69"/>
      <c r="E33" s="69"/>
    </row>
    <row r="34" spans="1:5" x14ac:dyDescent="0.2">
      <c r="A34" s="69"/>
      <c r="B34" s="4" t="s">
        <v>44</v>
      </c>
      <c r="C34" s="3" t="s">
        <v>294</v>
      </c>
      <c r="D34" s="69"/>
      <c r="E34" s="69"/>
    </row>
    <row r="35" spans="1:5" x14ac:dyDescent="0.2">
      <c r="A35" s="69"/>
      <c r="B35" s="4" t="s">
        <v>45</v>
      </c>
      <c r="C35" s="3" t="s">
        <v>294</v>
      </c>
      <c r="D35" s="69"/>
      <c r="E35" s="69"/>
    </row>
    <row r="36" spans="1:5" ht="36" x14ac:dyDescent="0.2">
      <c r="A36" s="69" t="s">
        <v>46</v>
      </c>
      <c r="B36" s="69"/>
      <c r="C36" s="3" t="s">
        <v>47</v>
      </c>
      <c r="D36" s="69"/>
      <c r="E36" s="69"/>
    </row>
    <row r="37" spans="1:5" x14ac:dyDescent="0.2">
      <c r="A37" s="69" t="s">
        <v>48</v>
      </c>
      <c r="B37" s="69"/>
      <c r="C37" s="3" t="s">
        <v>49</v>
      </c>
      <c r="D37" s="69"/>
      <c r="E37" s="69"/>
    </row>
    <row r="38" spans="1:5" x14ac:dyDescent="0.2">
      <c r="A38" s="69" t="s">
        <v>129</v>
      </c>
      <c r="B38" s="69"/>
      <c r="C38" s="3" t="s">
        <v>50</v>
      </c>
      <c r="D38" s="69"/>
      <c r="E38" s="69"/>
    </row>
    <row r="39" spans="1:5" x14ac:dyDescent="0.2">
      <c r="A39" s="69" t="s">
        <v>128</v>
      </c>
      <c r="B39" s="69"/>
      <c r="C39" s="3" t="s">
        <v>127</v>
      </c>
      <c r="D39" s="69"/>
      <c r="E39" s="69"/>
    </row>
    <row r="40" spans="1:5" x14ac:dyDescent="0.2">
      <c r="A40" s="64" t="s">
        <v>124</v>
      </c>
      <c r="B40" s="65"/>
      <c r="C40" s="3" t="s">
        <v>260</v>
      </c>
      <c r="D40" s="64"/>
      <c r="E40" s="65"/>
    </row>
    <row r="41" spans="1:5" x14ac:dyDescent="0.2">
      <c r="A41" s="64" t="s">
        <v>125</v>
      </c>
      <c r="B41" s="65"/>
      <c r="C41" s="3" t="s">
        <v>261</v>
      </c>
      <c r="D41" s="64"/>
      <c r="E41" s="65"/>
    </row>
    <row r="42" spans="1:5" x14ac:dyDescent="0.2">
      <c r="A42" s="64" t="s">
        <v>126</v>
      </c>
      <c r="B42" s="65"/>
      <c r="C42" s="3" t="s">
        <v>195</v>
      </c>
      <c r="D42" s="64"/>
      <c r="E42" s="65"/>
    </row>
    <row r="43" spans="1:5" ht="24" x14ac:dyDescent="0.2">
      <c r="A43" s="69" t="s">
        <v>51</v>
      </c>
      <c r="B43" s="69"/>
      <c r="C43" s="3" t="s">
        <v>52</v>
      </c>
      <c r="D43" s="69"/>
      <c r="E43" s="69"/>
    </row>
    <row r="44" spans="1:5" x14ac:dyDescent="0.2">
      <c r="A44" s="69" t="s">
        <v>53</v>
      </c>
      <c r="B44" s="69"/>
      <c r="C44" s="3" t="s">
        <v>149</v>
      </c>
      <c r="D44" s="69"/>
      <c r="E44" s="69"/>
    </row>
    <row r="45" spans="1:5" ht="24" x14ac:dyDescent="0.2">
      <c r="A45" s="69" t="s">
        <v>54</v>
      </c>
      <c r="B45" s="69"/>
      <c r="C45" s="3" t="s">
        <v>436</v>
      </c>
      <c r="D45" s="69"/>
      <c r="E45" s="69"/>
    </row>
    <row r="46" spans="1:5" x14ac:dyDescent="0.2">
      <c r="A46" s="7"/>
      <c r="B46" s="8"/>
      <c r="C46" s="8"/>
      <c r="D46" s="8"/>
      <c r="E46" s="9"/>
    </row>
    <row r="47" spans="1:5" x14ac:dyDescent="0.2">
      <c r="A47" s="10" t="s">
        <v>58</v>
      </c>
      <c r="E47" s="11"/>
    </row>
    <row r="48" spans="1:5" x14ac:dyDescent="0.2">
      <c r="A48" s="70" t="s">
        <v>70</v>
      </c>
      <c r="B48" s="71"/>
      <c r="C48" s="71"/>
      <c r="D48" s="71"/>
      <c r="E48" s="72"/>
    </row>
    <row r="49" spans="1:5" x14ac:dyDescent="0.2">
      <c r="A49" s="70"/>
      <c r="B49" s="71"/>
      <c r="C49" s="71"/>
      <c r="D49" s="71"/>
      <c r="E49" s="72"/>
    </row>
    <row r="50" spans="1:5" x14ac:dyDescent="0.2">
      <c r="A50" s="70" t="s">
        <v>437</v>
      </c>
      <c r="B50" s="71"/>
      <c r="C50" s="71"/>
      <c r="D50" s="71"/>
      <c r="E50" s="72"/>
    </row>
    <row r="51" spans="1:5" x14ac:dyDescent="0.2">
      <c r="A51" s="70" t="s">
        <v>97</v>
      </c>
      <c r="B51" s="71"/>
      <c r="C51" s="71"/>
      <c r="D51" s="71"/>
      <c r="E51" s="72"/>
    </row>
    <row r="52" spans="1:5" x14ac:dyDescent="0.2">
      <c r="A52" s="70"/>
      <c r="B52" s="71"/>
      <c r="C52" s="71"/>
      <c r="D52" s="71"/>
      <c r="E52" s="72"/>
    </row>
    <row r="53" spans="1:5" x14ac:dyDescent="0.2">
      <c r="A53" s="70" t="s">
        <v>150</v>
      </c>
      <c r="B53" s="71"/>
      <c r="C53" s="71"/>
      <c r="D53" s="71"/>
      <c r="E53" s="72"/>
    </row>
    <row r="54" spans="1:5" ht="11.45" customHeight="1" x14ac:dyDescent="0.2">
      <c r="A54" s="70" t="s">
        <v>151</v>
      </c>
      <c r="B54" s="71"/>
      <c r="C54" s="71"/>
      <c r="D54" s="71"/>
      <c r="E54" s="72"/>
    </row>
    <row r="55" spans="1:5" x14ac:dyDescent="0.2">
      <c r="A55" s="66" t="s">
        <v>104</v>
      </c>
      <c r="B55" s="67"/>
      <c r="C55" s="67"/>
      <c r="D55" s="67"/>
      <c r="E55" s="68"/>
    </row>
  </sheetData>
  <mergeCells count="75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2"/>
    <mergeCell ref="D16:E16"/>
    <mergeCell ref="D17:E17"/>
    <mergeCell ref="D18:E18"/>
    <mergeCell ref="D19:E19"/>
    <mergeCell ref="D20:E20"/>
    <mergeCell ref="D21:E21"/>
    <mergeCell ref="D22:E22"/>
    <mergeCell ref="A23:B23"/>
    <mergeCell ref="D23:E23"/>
    <mergeCell ref="A24:A35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D35:E35"/>
    <mergeCell ref="A37:B37"/>
    <mergeCell ref="D37:E37"/>
    <mergeCell ref="A38:B38"/>
    <mergeCell ref="D38:E38"/>
    <mergeCell ref="A36:B36"/>
    <mergeCell ref="D36:E36"/>
    <mergeCell ref="A39:B39"/>
    <mergeCell ref="D39:E39"/>
    <mergeCell ref="A40:B40"/>
    <mergeCell ref="D40:E40"/>
    <mergeCell ref="A41:B41"/>
    <mergeCell ref="D41:E41"/>
    <mergeCell ref="A42:B42"/>
    <mergeCell ref="D42:E42"/>
    <mergeCell ref="A55:E55"/>
    <mergeCell ref="A43:B43"/>
    <mergeCell ref="D43:E43"/>
    <mergeCell ref="A44:B44"/>
    <mergeCell ref="D44:E44"/>
    <mergeCell ref="A45:B45"/>
    <mergeCell ref="D45:E45"/>
    <mergeCell ref="A48:E49"/>
    <mergeCell ref="A50:E50"/>
    <mergeCell ref="A51:E52"/>
    <mergeCell ref="A53:E53"/>
    <mergeCell ref="A54:E54"/>
  </mergeCells>
  <conditionalFormatting sqref="B17">
    <cfRule type="duplicateValues" dxfId="51" priority="4"/>
  </conditionalFormatting>
  <conditionalFormatting sqref="B18">
    <cfRule type="duplicateValues" dxfId="50" priority="3"/>
  </conditionalFormatting>
  <conditionalFormatting sqref="B20">
    <cfRule type="duplicateValues" dxfId="49" priority="2"/>
  </conditionalFormatting>
  <conditionalFormatting sqref="B21">
    <cfRule type="duplicateValues" dxfId="48" priority="10"/>
  </conditionalFormatting>
  <conditionalFormatting sqref="B25">
    <cfRule type="duplicateValues" dxfId="47" priority="12"/>
  </conditionalFormatting>
  <conditionalFormatting sqref="B28">
    <cfRule type="duplicateValues" dxfId="46" priority="1"/>
  </conditionalFormatting>
  <conditionalFormatting sqref="B32">
    <cfRule type="duplicateValues" dxfId="45" priority="11"/>
  </conditionalFormatting>
  <conditionalFormatting sqref="B38">
    <cfRule type="duplicateValues" dxfId="44" priority="6"/>
  </conditionalFormatting>
  <conditionalFormatting sqref="B39">
    <cfRule type="duplicateValues" dxfId="43" priority="5"/>
  </conditionalFormatting>
  <conditionalFormatting sqref="B40">
    <cfRule type="duplicateValues" dxfId="42" priority="9"/>
  </conditionalFormatting>
  <conditionalFormatting sqref="B41">
    <cfRule type="duplicateValues" dxfId="41" priority="8"/>
  </conditionalFormatting>
  <conditionalFormatting sqref="B42">
    <cfRule type="duplicateValues" dxfId="40" priority="7"/>
  </conditionalFormatting>
  <conditionalFormatting sqref="B56:B1048576 B4:B10 B26:B27 B12:B16 B33:B37 B22:B24 B43:B47 B19 B29:B31">
    <cfRule type="duplicateValues" dxfId="39" priority="13"/>
  </conditionalFormatting>
  <pageMargins left="0.7" right="0.7" top="0.75" bottom="0.75" header="0.3" footer="0.3"/>
  <pageSetup paperSize="9" scale="88" orientation="portrait" horizontalDpi="4294967295" verticalDpi="4294967295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316C8D-5209-42A1-83C1-E09E1ED07FDC}">
  <sheetPr codeName="Sheet66">
    <tabColor theme="4" tint="-0.249977111117893"/>
    <pageSetUpPr fitToPage="1"/>
  </sheetPr>
  <dimension ref="A1:E55"/>
  <sheetViews>
    <sheetView zoomScaleNormal="100" workbookViewId="0">
      <selection sqref="A1:B3"/>
    </sheetView>
  </sheetViews>
  <sheetFormatPr defaultColWidth="8.85546875" defaultRowHeight="12" x14ac:dyDescent="0.2"/>
  <cols>
    <col min="1" max="1" width="12.5703125" style="1" customWidth="1"/>
    <col min="2" max="2" width="13.42578125" style="1" bestFit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4" customFormat="1" ht="30" customHeight="1" x14ac:dyDescent="0.25">
      <c r="A1" s="77" t="e" vm="1">
        <v>#VALUE!</v>
      </c>
      <c r="B1" s="78"/>
      <c r="C1" s="83" t="s">
        <v>112</v>
      </c>
      <c r="D1" s="13" t="s">
        <v>110</v>
      </c>
      <c r="E1" s="13" t="s">
        <v>435</v>
      </c>
    </row>
    <row r="2" spans="1:5" s="14" customFormat="1" ht="30" customHeight="1" x14ac:dyDescent="0.25">
      <c r="A2" s="79"/>
      <c r="B2" s="80"/>
      <c r="C2" s="84"/>
      <c r="D2" s="15" t="s">
        <v>109</v>
      </c>
      <c r="E2" s="16" t="str">
        <f>VLOOKUP(C4,Index!B:J,9,FALSE)</f>
        <v>C0</v>
      </c>
    </row>
    <row r="3" spans="1:5" s="14" customFormat="1" ht="30" customHeight="1" x14ac:dyDescent="0.25">
      <c r="A3" s="81"/>
      <c r="B3" s="82"/>
      <c r="C3" s="85"/>
      <c r="D3" s="15" t="s">
        <v>111</v>
      </c>
      <c r="E3" s="17">
        <f>VLOOKUP(C4,Index!B:I,8,FALSE)</f>
        <v>376</v>
      </c>
    </row>
    <row r="4" spans="1:5" x14ac:dyDescent="0.2">
      <c r="A4" s="86" t="s">
        <v>74</v>
      </c>
      <c r="B4" s="86"/>
      <c r="C4" s="2" t="s">
        <v>251</v>
      </c>
      <c r="D4" s="86" t="s">
        <v>55</v>
      </c>
      <c r="E4" s="86"/>
    </row>
    <row r="5" spans="1:5" x14ac:dyDescent="0.2">
      <c r="A5" s="69" t="s">
        <v>26</v>
      </c>
      <c r="B5" s="69"/>
      <c r="C5" s="3" t="s">
        <v>180</v>
      </c>
      <c r="D5" s="69"/>
      <c r="E5" s="69"/>
    </row>
    <row r="6" spans="1:5" x14ac:dyDescent="0.2">
      <c r="A6" s="69" t="s">
        <v>27</v>
      </c>
      <c r="B6" s="69"/>
      <c r="C6" s="3" t="s">
        <v>78</v>
      </c>
      <c r="D6" s="69"/>
      <c r="E6" s="69"/>
    </row>
    <row r="7" spans="1:5" x14ac:dyDescent="0.2">
      <c r="A7" s="69" t="s">
        <v>28</v>
      </c>
      <c r="B7" s="69"/>
      <c r="C7" s="3" t="s">
        <v>82</v>
      </c>
      <c r="D7" s="69"/>
      <c r="E7" s="69"/>
    </row>
    <row r="8" spans="1:5" x14ac:dyDescent="0.2">
      <c r="A8" s="69" t="s">
        <v>29</v>
      </c>
      <c r="B8" s="69"/>
      <c r="C8" s="3" t="str">
        <f>VLOOKUP(C5,Index!N:W,6,FALSE)</f>
        <v>Corrosive HC service</v>
      </c>
      <c r="D8" s="69"/>
      <c r="E8" s="69"/>
    </row>
    <row r="9" spans="1:5" x14ac:dyDescent="0.2">
      <c r="A9" s="69" t="s">
        <v>30</v>
      </c>
      <c r="B9" s="69"/>
      <c r="C9" s="3" t="s">
        <v>148</v>
      </c>
      <c r="D9" s="69"/>
      <c r="E9" s="69"/>
    </row>
    <row r="10" spans="1:5" x14ac:dyDescent="0.2">
      <c r="A10" s="69" t="s">
        <v>31</v>
      </c>
      <c r="B10" s="69"/>
      <c r="C10" s="3" t="s">
        <v>64</v>
      </c>
      <c r="D10" s="69"/>
      <c r="E10" s="69"/>
    </row>
    <row r="11" spans="1:5" x14ac:dyDescent="0.2">
      <c r="A11" s="73" t="s">
        <v>119</v>
      </c>
      <c r="B11" s="74"/>
      <c r="C11" s="12" t="str">
        <f>VLOOKUP(C5,Index!N:W,10,FALSE)</f>
        <v>430.9 @ -46°C' 355.4 @ 200°C</v>
      </c>
      <c r="D11" s="75"/>
      <c r="E11" s="76"/>
    </row>
    <row r="12" spans="1:5" x14ac:dyDescent="0.2">
      <c r="A12" s="69" t="s">
        <v>32</v>
      </c>
      <c r="B12" s="69"/>
      <c r="C12" s="3" t="str">
        <f>VLOOKUP(C5,Index!N:W,5,FALSE)</f>
        <v>NIL</v>
      </c>
      <c r="D12" s="69"/>
      <c r="E12" s="69"/>
    </row>
    <row r="13" spans="1:5" ht="24" x14ac:dyDescent="0.2">
      <c r="A13" s="69" t="s">
        <v>33</v>
      </c>
      <c r="B13" s="69"/>
      <c r="C13" s="3" t="s">
        <v>98</v>
      </c>
      <c r="D13" s="69"/>
      <c r="E13" s="69"/>
    </row>
    <row r="14" spans="1:5" ht="24" x14ac:dyDescent="0.2">
      <c r="A14" s="69" t="s">
        <v>35</v>
      </c>
      <c r="B14" s="69"/>
      <c r="C14" s="3" t="s">
        <v>316</v>
      </c>
      <c r="D14" s="69"/>
      <c r="E14" s="69"/>
    </row>
    <row r="15" spans="1:5" x14ac:dyDescent="0.2">
      <c r="A15" s="69" t="s">
        <v>36</v>
      </c>
      <c r="B15" s="69"/>
      <c r="C15" s="3" t="s">
        <v>67</v>
      </c>
      <c r="D15" s="69"/>
      <c r="E15" s="69"/>
    </row>
    <row r="16" spans="1:5" x14ac:dyDescent="0.2">
      <c r="A16" s="69" t="s">
        <v>37</v>
      </c>
      <c r="B16" s="4" t="s">
        <v>38</v>
      </c>
      <c r="C16" s="3" t="s">
        <v>73</v>
      </c>
      <c r="D16" s="69"/>
      <c r="E16" s="69"/>
    </row>
    <row r="17" spans="1:5" ht="24" x14ac:dyDescent="0.2">
      <c r="A17" s="69"/>
      <c r="B17" s="4" t="s">
        <v>75</v>
      </c>
      <c r="C17" s="3" t="s">
        <v>77</v>
      </c>
      <c r="D17" s="69"/>
      <c r="E17" s="69"/>
    </row>
    <row r="18" spans="1:5" ht="24" x14ac:dyDescent="0.2">
      <c r="A18" s="69"/>
      <c r="B18" s="4" t="s">
        <v>39</v>
      </c>
      <c r="C18" s="3" t="s">
        <v>87</v>
      </c>
      <c r="D18" s="69"/>
      <c r="E18" s="69"/>
    </row>
    <row r="19" spans="1:5" x14ac:dyDescent="0.2">
      <c r="A19" s="69"/>
      <c r="B19" s="4" t="s">
        <v>68</v>
      </c>
      <c r="C19" s="3" t="s">
        <v>146</v>
      </c>
      <c r="D19" s="69"/>
      <c r="E19" s="69"/>
    </row>
    <row r="20" spans="1:5" x14ac:dyDescent="0.2">
      <c r="A20" s="69"/>
      <c r="B20" s="4" t="s">
        <v>141</v>
      </c>
      <c r="C20" s="3" t="s">
        <v>142</v>
      </c>
      <c r="D20" s="69"/>
      <c r="E20" s="69"/>
    </row>
    <row r="21" spans="1:5" x14ac:dyDescent="0.2">
      <c r="A21" s="69"/>
      <c r="B21" s="4" t="s">
        <v>69</v>
      </c>
      <c r="C21" s="3" t="s">
        <v>106</v>
      </c>
      <c r="D21" s="69"/>
      <c r="E21" s="69"/>
    </row>
    <row r="22" spans="1:5" ht="24" x14ac:dyDescent="0.2">
      <c r="A22" s="69"/>
      <c r="B22" s="4" t="s">
        <v>40</v>
      </c>
      <c r="C22" s="3" t="s">
        <v>86</v>
      </c>
      <c r="D22" s="69"/>
      <c r="E22" s="69"/>
    </row>
    <row r="23" spans="1:5" ht="24" x14ac:dyDescent="0.2">
      <c r="A23" s="69" t="s">
        <v>41</v>
      </c>
      <c r="B23" s="69"/>
      <c r="C23" s="3" t="s">
        <v>120</v>
      </c>
      <c r="D23" s="69"/>
      <c r="E23" s="69"/>
    </row>
    <row r="24" spans="1:5" ht="36" x14ac:dyDescent="0.2">
      <c r="A24" s="69" t="s">
        <v>42</v>
      </c>
      <c r="B24" s="4" t="s">
        <v>91</v>
      </c>
      <c r="C24" s="3" t="s">
        <v>108</v>
      </c>
      <c r="D24" s="69"/>
      <c r="E24" s="69"/>
    </row>
    <row r="25" spans="1:5" x14ac:dyDescent="0.2">
      <c r="A25" s="69"/>
      <c r="B25" s="4" t="s">
        <v>93</v>
      </c>
      <c r="C25" s="3" t="s">
        <v>130</v>
      </c>
      <c r="D25" s="69"/>
      <c r="E25" s="69"/>
    </row>
    <row r="26" spans="1:5" x14ac:dyDescent="0.2">
      <c r="A26" s="69"/>
      <c r="B26" s="4" t="s">
        <v>94</v>
      </c>
      <c r="C26" s="3" t="s">
        <v>71</v>
      </c>
      <c r="D26" s="69"/>
      <c r="E26" s="69"/>
    </row>
    <row r="27" spans="1:5" x14ac:dyDescent="0.2">
      <c r="A27" s="69"/>
      <c r="B27" s="4" t="s">
        <v>95</v>
      </c>
      <c r="C27" s="3" t="s">
        <v>135</v>
      </c>
      <c r="D27" s="69"/>
      <c r="E27" s="69"/>
    </row>
    <row r="28" spans="1:5" x14ac:dyDescent="0.2">
      <c r="A28" s="69"/>
      <c r="B28" s="4" t="s">
        <v>144</v>
      </c>
      <c r="C28" s="3" t="s">
        <v>152</v>
      </c>
      <c r="D28" s="69"/>
      <c r="E28" s="69"/>
    </row>
    <row r="29" spans="1:5" x14ac:dyDescent="0.2">
      <c r="A29" s="69"/>
      <c r="B29" s="4" t="s">
        <v>92</v>
      </c>
      <c r="C29" s="3" t="s">
        <v>71</v>
      </c>
      <c r="D29" s="69"/>
      <c r="E29" s="69"/>
    </row>
    <row r="30" spans="1:5" x14ac:dyDescent="0.2">
      <c r="A30" s="69"/>
      <c r="B30" s="4" t="s">
        <v>96</v>
      </c>
      <c r="C30" s="3" t="s">
        <v>71</v>
      </c>
      <c r="D30" s="69"/>
      <c r="E30" s="69"/>
    </row>
    <row r="31" spans="1:5" ht="36" x14ac:dyDescent="0.2">
      <c r="A31" s="69"/>
      <c r="B31" s="4" t="s">
        <v>72</v>
      </c>
      <c r="C31" s="3" t="s">
        <v>139</v>
      </c>
      <c r="D31" s="69"/>
      <c r="E31" s="69"/>
    </row>
    <row r="32" spans="1:5" ht="24" x14ac:dyDescent="0.2">
      <c r="A32" s="69"/>
      <c r="B32" s="6" t="s">
        <v>140</v>
      </c>
      <c r="C32" s="5" t="s">
        <v>99</v>
      </c>
      <c r="D32" s="69"/>
      <c r="E32" s="69"/>
    </row>
    <row r="33" spans="1:5" ht="24" x14ac:dyDescent="0.2">
      <c r="A33" s="69"/>
      <c r="B33" s="4" t="s">
        <v>43</v>
      </c>
      <c r="C33" s="3" t="s">
        <v>191</v>
      </c>
      <c r="D33" s="69"/>
      <c r="E33" s="69"/>
    </row>
    <row r="34" spans="1:5" x14ac:dyDescent="0.2">
      <c r="A34" s="69"/>
      <c r="B34" s="4" t="s">
        <v>44</v>
      </c>
      <c r="C34" s="3" t="s">
        <v>294</v>
      </c>
      <c r="D34" s="69"/>
      <c r="E34" s="69"/>
    </row>
    <row r="35" spans="1:5" x14ac:dyDescent="0.2">
      <c r="A35" s="69"/>
      <c r="B35" s="4" t="s">
        <v>45</v>
      </c>
      <c r="C35" s="3" t="s">
        <v>294</v>
      </c>
      <c r="D35" s="69"/>
      <c r="E35" s="69"/>
    </row>
    <row r="36" spans="1:5" ht="36" x14ac:dyDescent="0.2">
      <c r="A36" s="69" t="s">
        <v>46</v>
      </c>
      <c r="B36" s="69"/>
      <c r="C36" s="3" t="s">
        <v>47</v>
      </c>
      <c r="D36" s="69"/>
      <c r="E36" s="69"/>
    </row>
    <row r="37" spans="1:5" x14ac:dyDescent="0.2">
      <c r="A37" s="69" t="s">
        <v>48</v>
      </c>
      <c r="B37" s="69"/>
      <c r="C37" s="3" t="s">
        <v>49</v>
      </c>
      <c r="D37" s="69"/>
      <c r="E37" s="69"/>
    </row>
    <row r="38" spans="1:5" x14ac:dyDescent="0.2">
      <c r="A38" s="69" t="s">
        <v>129</v>
      </c>
      <c r="B38" s="69"/>
      <c r="C38" s="3" t="s">
        <v>50</v>
      </c>
      <c r="D38" s="69"/>
      <c r="E38" s="69"/>
    </row>
    <row r="39" spans="1:5" x14ac:dyDescent="0.2">
      <c r="A39" s="69" t="s">
        <v>128</v>
      </c>
      <c r="B39" s="69"/>
      <c r="C39" s="3" t="s">
        <v>127</v>
      </c>
      <c r="D39" s="69"/>
      <c r="E39" s="69"/>
    </row>
    <row r="40" spans="1:5" x14ac:dyDescent="0.2">
      <c r="A40" s="64" t="s">
        <v>124</v>
      </c>
      <c r="B40" s="65"/>
      <c r="C40" s="3" t="s">
        <v>258</v>
      </c>
      <c r="D40" s="64"/>
      <c r="E40" s="65"/>
    </row>
    <row r="41" spans="1:5" x14ac:dyDescent="0.2">
      <c r="A41" s="64" t="s">
        <v>125</v>
      </c>
      <c r="B41" s="65"/>
      <c r="C41" s="3" t="s">
        <v>259</v>
      </c>
      <c r="D41" s="64"/>
      <c r="E41" s="65"/>
    </row>
    <row r="42" spans="1:5" x14ac:dyDescent="0.2">
      <c r="A42" s="64" t="s">
        <v>126</v>
      </c>
      <c r="B42" s="65"/>
      <c r="C42" s="3" t="s">
        <v>195</v>
      </c>
      <c r="D42" s="64"/>
      <c r="E42" s="65"/>
    </row>
    <row r="43" spans="1:5" ht="24" x14ac:dyDescent="0.2">
      <c r="A43" s="69" t="s">
        <v>51</v>
      </c>
      <c r="B43" s="69"/>
      <c r="C43" s="3" t="s">
        <v>52</v>
      </c>
      <c r="D43" s="69"/>
      <c r="E43" s="69"/>
    </row>
    <row r="44" spans="1:5" x14ac:dyDescent="0.2">
      <c r="A44" s="69" t="s">
        <v>53</v>
      </c>
      <c r="B44" s="69"/>
      <c r="C44" s="3" t="s">
        <v>149</v>
      </c>
      <c r="D44" s="69"/>
      <c r="E44" s="69"/>
    </row>
    <row r="45" spans="1:5" ht="24" x14ac:dyDescent="0.2">
      <c r="A45" s="69" t="s">
        <v>54</v>
      </c>
      <c r="B45" s="69"/>
      <c r="C45" s="3" t="s">
        <v>436</v>
      </c>
      <c r="D45" s="69"/>
      <c r="E45" s="69"/>
    </row>
    <row r="46" spans="1:5" x14ac:dyDescent="0.2">
      <c r="A46" s="7"/>
      <c r="B46" s="8"/>
      <c r="C46" s="8"/>
      <c r="D46" s="8"/>
      <c r="E46" s="9"/>
    </row>
    <row r="47" spans="1:5" x14ac:dyDescent="0.2">
      <c r="A47" s="10" t="s">
        <v>58</v>
      </c>
      <c r="E47" s="11"/>
    </row>
    <row r="48" spans="1:5" x14ac:dyDescent="0.2">
      <c r="A48" s="70" t="s">
        <v>70</v>
      </c>
      <c r="B48" s="71"/>
      <c r="C48" s="71"/>
      <c r="D48" s="71"/>
      <c r="E48" s="72"/>
    </row>
    <row r="49" spans="1:5" x14ac:dyDescent="0.2">
      <c r="A49" s="70"/>
      <c r="B49" s="71"/>
      <c r="C49" s="71"/>
      <c r="D49" s="71"/>
      <c r="E49" s="72"/>
    </row>
    <row r="50" spans="1:5" x14ac:dyDescent="0.2">
      <c r="A50" s="70" t="s">
        <v>437</v>
      </c>
      <c r="B50" s="71"/>
      <c r="C50" s="71"/>
      <c r="D50" s="71"/>
      <c r="E50" s="72"/>
    </row>
    <row r="51" spans="1:5" x14ac:dyDescent="0.2">
      <c r="A51" s="70" t="s">
        <v>97</v>
      </c>
      <c r="B51" s="71"/>
      <c r="C51" s="71"/>
      <c r="D51" s="71"/>
      <c r="E51" s="72"/>
    </row>
    <row r="52" spans="1:5" x14ac:dyDescent="0.2">
      <c r="A52" s="70"/>
      <c r="B52" s="71"/>
      <c r="C52" s="71"/>
      <c r="D52" s="71"/>
      <c r="E52" s="72"/>
    </row>
    <row r="53" spans="1:5" x14ac:dyDescent="0.2">
      <c r="A53" s="70" t="s">
        <v>150</v>
      </c>
      <c r="B53" s="71"/>
      <c r="C53" s="71"/>
      <c r="D53" s="71"/>
      <c r="E53" s="72"/>
    </row>
    <row r="54" spans="1:5" ht="11.45" customHeight="1" x14ac:dyDescent="0.2">
      <c r="A54" s="70" t="s">
        <v>151</v>
      </c>
      <c r="B54" s="71"/>
      <c r="C54" s="71"/>
      <c r="D54" s="71"/>
      <c r="E54" s="72"/>
    </row>
    <row r="55" spans="1:5" x14ac:dyDescent="0.2">
      <c r="A55" s="66" t="s">
        <v>104</v>
      </c>
      <c r="B55" s="67"/>
      <c r="C55" s="67"/>
      <c r="D55" s="67"/>
      <c r="E55" s="68"/>
    </row>
  </sheetData>
  <mergeCells count="75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2"/>
    <mergeCell ref="D16:E16"/>
    <mergeCell ref="D17:E17"/>
    <mergeCell ref="D18:E18"/>
    <mergeCell ref="D19:E19"/>
    <mergeCell ref="D20:E20"/>
    <mergeCell ref="D21:E21"/>
    <mergeCell ref="D22:E22"/>
    <mergeCell ref="A23:B23"/>
    <mergeCell ref="D23:E23"/>
    <mergeCell ref="A24:A35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D35:E35"/>
    <mergeCell ref="A37:B37"/>
    <mergeCell ref="D37:E37"/>
    <mergeCell ref="A38:B38"/>
    <mergeCell ref="D38:E38"/>
    <mergeCell ref="A36:B36"/>
    <mergeCell ref="D36:E36"/>
    <mergeCell ref="A39:B39"/>
    <mergeCell ref="D39:E39"/>
    <mergeCell ref="A40:B40"/>
    <mergeCell ref="D40:E40"/>
    <mergeCell ref="A41:B41"/>
    <mergeCell ref="D41:E41"/>
    <mergeCell ref="A42:B42"/>
    <mergeCell ref="D42:E42"/>
    <mergeCell ref="A55:E55"/>
    <mergeCell ref="A43:B43"/>
    <mergeCell ref="D43:E43"/>
    <mergeCell ref="A44:B44"/>
    <mergeCell ref="D44:E44"/>
    <mergeCell ref="A45:B45"/>
    <mergeCell ref="D45:E45"/>
    <mergeCell ref="A48:E49"/>
    <mergeCell ref="A50:E50"/>
    <mergeCell ref="A51:E52"/>
    <mergeCell ref="A53:E53"/>
    <mergeCell ref="A54:E54"/>
  </mergeCells>
  <conditionalFormatting sqref="B17">
    <cfRule type="duplicateValues" dxfId="38" priority="4"/>
  </conditionalFormatting>
  <conditionalFormatting sqref="B18">
    <cfRule type="duplicateValues" dxfId="37" priority="3"/>
  </conditionalFormatting>
  <conditionalFormatting sqref="B20">
    <cfRule type="duplicateValues" dxfId="36" priority="2"/>
  </conditionalFormatting>
  <conditionalFormatting sqref="B21">
    <cfRule type="duplicateValues" dxfId="35" priority="10"/>
  </conditionalFormatting>
  <conditionalFormatting sqref="B25">
    <cfRule type="duplicateValues" dxfId="34" priority="12"/>
  </conditionalFormatting>
  <conditionalFormatting sqref="B28">
    <cfRule type="duplicateValues" dxfId="33" priority="1"/>
  </conditionalFormatting>
  <conditionalFormatting sqref="B32">
    <cfRule type="duplicateValues" dxfId="32" priority="11"/>
  </conditionalFormatting>
  <conditionalFormatting sqref="B38">
    <cfRule type="duplicateValues" dxfId="31" priority="6"/>
  </conditionalFormatting>
  <conditionalFormatting sqref="B39">
    <cfRule type="duplicateValues" dxfId="30" priority="5"/>
  </conditionalFormatting>
  <conditionalFormatting sqref="B40">
    <cfRule type="duplicateValues" dxfId="29" priority="9"/>
  </conditionalFormatting>
  <conditionalFormatting sqref="B41">
    <cfRule type="duplicateValues" dxfId="28" priority="8"/>
  </conditionalFormatting>
  <conditionalFormatting sqref="B42">
    <cfRule type="duplicateValues" dxfId="27" priority="7"/>
  </conditionalFormatting>
  <conditionalFormatting sqref="B56:B1048576 B4:B10 B26:B27 B12:B16 B33:B37 B22:B24 B43:B47 B19 B29:B31">
    <cfRule type="duplicateValues" dxfId="26" priority="13"/>
  </conditionalFormatting>
  <pageMargins left="0.7" right="0.7" top="0.75" bottom="0.75" header="0.3" footer="0.3"/>
  <pageSetup paperSize="9" scale="88" orientation="portrait" horizontalDpi="4294967295" verticalDpi="4294967295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93F04C-0363-4D47-9C05-6C57B572C9A5}">
  <sheetPr codeName="Sheet36">
    <tabColor theme="4" tint="-0.249977111117893"/>
    <pageSetUpPr fitToPage="1"/>
  </sheetPr>
  <dimension ref="A1:E55"/>
  <sheetViews>
    <sheetView zoomScaleNormal="100" workbookViewId="0">
      <selection sqref="A1:B3"/>
    </sheetView>
  </sheetViews>
  <sheetFormatPr defaultColWidth="8.85546875" defaultRowHeight="12" x14ac:dyDescent="0.2"/>
  <cols>
    <col min="1" max="1" width="12.5703125" style="1" customWidth="1"/>
    <col min="2" max="2" width="13.42578125" style="1" bestFit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4" customFormat="1" ht="30" customHeight="1" x14ac:dyDescent="0.25">
      <c r="A1" s="77" t="e" vm="1">
        <v>#VALUE!</v>
      </c>
      <c r="B1" s="78"/>
      <c r="C1" s="83" t="s">
        <v>112</v>
      </c>
      <c r="D1" s="13" t="s">
        <v>110</v>
      </c>
      <c r="E1" s="13" t="s">
        <v>435</v>
      </c>
    </row>
    <row r="2" spans="1:5" s="14" customFormat="1" ht="30" customHeight="1" x14ac:dyDescent="0.25">
      <c r="A2" s="79"/>
      <c r="B2" s="80"/>
      <c r="C2" s="84"/>
      <c r="D2" s="15" t="s">
        <v>109</v>
      </c>
      <c r="E2" s="16" t="str">
        <f>VLOOKUP(C4,Index!B:J,9,FALSE)</f>
        <v>C0</v>
      </c>
    </row>
    <row r="3" spans="1:5" s="14" customFormat="1" ht="30" customHeight="1" x14ac:dyDescent="0.25">
      <c r="A3" s="81"/>
      <c r="B3" s="82"/>
      <c r="C3" s="85"/>
      <c r="D3" s="15" t="s">
        <v>111</v>
      </c>
      <c r="E3" s="17">
        <f>VLOOKUP(C4,Index!B:I,8,FALSE)</f>
        <v>377</v>
      </c>
    </row>
    <row r="4" spans="1:5" x14ac:dyDescent="0.2">
      <c r="A4" s="86" t="s">
        <v>74</v>
      </c>
      <c r="B4" s="86"/>
      <c r="C4" s="2" t="s">
        <v>299</v>
      </c>
      <c r="D4" s="86" t="s">
        <v>55</v>
      </c>
      <c r="E4" s="86"/>
    </row>
    <row r="5" spans="1:5" x14ac:dyDescent="0.2">
      <c r="A5" s="69" t="s">
        <v>26</v>
      </c>
      <c r="B5" s="69"/>
      <c r="C5" s="3" t="s">
        <v>300</v>
      </c>
      <c r="D5" s="69"/>
      <c r="E5" s="69"/>
    </row>
    <row r="6" spans="1:5" x14ac:dyDescent="0.2">
      <c r="A6" s="69" t="s">
        <v>27</v>
      </c>
      <c r="B6" s="69"/>
      <c r="C6" s="3" t="s">
        <v>78</v>
      </c>
      <c r="D6" s="69"/>
      <c r="E6" s="69"/>
    </row>
    <row r="7" spans="1:5" x14ac:dyDescent="0.2">
      <c r="A7" s="69" t="s">
        <v>28</v>
      </c>
      <c r="B7" s="69"/>
      <c r="C7" s="3" t="s">
        <v>82</v>
      </c>
      <c r="D7" s="69"/>
      <c r="E7" s="69"/>
    </row>
    <row r="8" spans="1:5" x14ac:dyDescent="0.2">
      <c r="A8" s="69" t="s">
        <v>29</v>
      </c>
      <c r="B8" s="69"/>
      <c r="C8" s="3" t="str">
        <f>VLOOKUP(C5,Index!N:W,6,FALSE)</f>
        <v>Raw Sea Water, Fire Water, Hypochlorite, Sewage</v>
      </c>
      <c r="D8" s="69"/>
      <c r="E8" s="69"/>
    </row>
    <row r="9" spans="1:5" x14ac:dyDescent="0.2">
      <c r="A9" s="69" t="s">
        <v>30</v>
      </c>
      <c r="B9" s="69"/>
      <c r="C9" s="3" t="s">
        <v>148</v>
      </c>
      <c r="D9" s="69"/>
      <c r="E9" s="69"/>
    </row>
    <row r="10" spans="1:5" x14ac:dyDescent="0.2">
      <c r="A10" s="69" t="s">
        <v>31</v>
      </c>
      <c r="B10" s="69"/>
      <c r="C10" s="3" t="s">
        <v>65</v>
      </c>
      <c r="D10" s="69"/>
      <c r="E10" s="69"/>
    </row>
    <row r="11" spans="1:5" x14ac:dyDescent="0.2">
      <c r="A11" s="73" t="s">
        <v>119</v>
      </c>
      <c r="B11" s="74"/>
      <c r="C11" s="12" t="str">
        <f>VLOOKUP(C5,Index!N:W,10,FALSE)</f>
        <v>20 @ 0°C' 17.3 @ 100°C</v>
      </c>
      <c r="D11" s="75"/>
      <c r="E11" s="76"/>
    </row>
    <row r="12" spans="1:5" x14ac:dyDescent="0.2">
      <c r="A12" s="69" t="s">
        <v>32</v>
      </c>
      <c r="B12" s="69"/>
      <c r="C12" s="3" t="str">
        <f>VLOOKUP(C5,Index!N:W,5,FALSE)</f>
        <v>NIL</v>
      </c>
      <c r="D12" s="69"/>
      <c r="E12" s="69"/>
    </row>
    <row r="13" spans="1:5" x14ac:dyDescent="0.2">
      <c r="A13" s="69" t="s">
        <v>33</v>
      </c>
      <c r="B13" s="69"/>
      <c r="C13" s="3" t="s">
        <v>34</v>
      </c>
      <c r="D13" s="69"/>
      <c r="E13" s="69"/>
    </row>
    <row r="14" spans="1:5" x14ac:dyDescent="0.2">
      <c r="A14" s="69" t="s">
        <v>35</v>
      </c>
      <c r="B14" s="69"/>
      <c r="C14" s="3" t="s">
        <v>57</v>
      </c>
      <c r="D14" s="69"/>
      <c r="E14" s="69"/>
    </row>
    <row r="15" spans="1:5" x14ac:dyDescent="0.2">
      <c r="A15" s="69" t="s">
        <v>36</v>
      </c>
      <c r="B15" s="69"/>
      <c r="C15" s="3" t="s">
        <v>66</v>
      </c>
      <c r="D15" s="69"/>
      <c r="E15" s="69"/>
    </row>
    <row r="16" spans="1:5" x14ac:dyDescent="0.2">
      <c r="A16" s="69" t="s">
        <v>37</v>
      </c>
      <c r="B16" s="4" t="s">
        <v>38</v>
      </c>
      <c r="C16" s="3" t="s">
        <v>73</v>
      </c>
      <c r="D16" s="69"/>
      <c r="E16" s="69"/>
    </row>
    <row r="17" spans="1:5" ht="24" x14ac:dyDescent="0.2">
      <c r="A17" s="69"/>
      <c r="B17" s="4" t="s">
        <v>75</v>
      </c>
      <c r="C17" s="3" t="s">
        <v>77</v>
      </c>
      <c r="D17" s="69"/>
      <c r="E17" s="69"/>
    </row>
    <row r="18" spans="1:5" ht="24" x14ac:dyDescent="0.2">
      <c r="A18" s="69"/>
      <c r="B18" s="4" t="s">
        <v>39</v>
      </c>
      <c r="C18" s="3" t="s">
        <v>87</v>
      </c>
      <c r="D18" s="69"/>
      <c r="E18" s="69"/>
    </row>
    <row r="19" spans="1:5" x14ac:dyDescent="0.2">
      <c r="A19" s="69"/>
      <c r="B19" s="4" t="s">
        <v>68</v>
      </c>
      <c r="C19" s="3" t="s">
        <v>143</v>
      </c>
      <c r="D19" s="69"/>
      <c r="E19" s="69"/>
    </row>
    <row r="20" spans="1:5" x14ac:dyDescent="0.2">
      <c r="A20" s="69"/>
      <c r="B20" s="4" t="s">
        <v>141</v>
      </c>
      <c r="C20" s="3" t="s">
        <v>142</v>
      </c>
      <c r="D20" s="69"/>
      <c r="E20" s="69"/>
    </row>
    <row r="21" spans="1:5" x14ac:dyDescent="0.2">
      <c r="A21" s="69"/>
      <c r="B21" s="4" t="s">
        <v>69</v>
      </c>
      <c r="C21" s="3" t="s">
        <v>106</v>
      </c>
      <c r="D21" s="69"/>
      <c r="E21" s="69"/>
    </row>
    <row r="22" spans="1:5" ht="24" x14ac:dyDescent="0.2">
      <c r="A22" s="69"/>
      <c r="B22" s="4" t="s">
        <v>40</v>
      </c>
      <c r="C22" s="3" t="s">
        <v>86</v>
      </c>
      <c r="D22" s="69"/>
      <c r="E22" s="69"/>
    </row>
    <row r="23" spans="1:5" ht="24" x14ac:dyDescent="0.2">
      <c r="A23" s="69" t="s">
        <v>41</v>
      </c>
      <c r="B23" s="69"/>
      <c r="C23" s="3" t="s">
        <v>121</v>
      </c>
      <c r="D23" s="69"/>
      <c r="E23" s="69"/>
    </row>
    <row r="24" spans="1:5" x14ac:dyDescent="0.2">
      <c r="A24" s="69" t="s">
        <v>42</v>
      </c>
      <c r="B24" s="4" t="s">
        <v>91</v>
      </c>
      <c r="C24" s="3" t="s">
        <v>100</v>
      </c>
      <c r="D24" s="69"/>
      <c r="E24" s="69"/>
    </row>
    <row r="25" spans="1:5" x14ac:dyDescent="0.2">
      <c r="A25" s="69"/>
      <c r="B25" s="4" t="s">
        <v>93</v>
      </c>
      <c r="C25" s="3" t="s">
        <v>1</v>
      </c>
      <c r="D25" s="69"/>
      <c r="E25" s="69"/>
    </row>
    <row r="26" spans="1:5" x14ac:dyDescent="0.2">
      <c r="A26" s="69"/>
      <c r="B26" s="4" t="s">
        <v>94</v>
      </c>
      <c r="C26" s="3" t="s">
        <v>1</v>
      </c>
      <c r="D26" s="69"/>
      <c r="E26" s="69"/>
    </row>
    <row r="27" spans="1:5" x14ac:dyDescent="0.2">
      <c r="A27" s="69"/>
      <c r="B27" s="4" t="s">
        <v>95</v>
      </c>
      <c r="C27" s="3" t="s">
        <v>147</v>
      </c>
      <c r="D27" s="69"/>
      <c r="E27" s="69"/>
    </row>
    <row r="28" spans="1:5" x14ac:dyDescent="0.2">
      <c r="A28" s="69"/>
      <c r="B28" s="4" t="s">
        <v>144</v>
      </c>
      <c r="C28" s="3" t="s">
        <v>1</v>
      </c>
      <c r="D28" s="69"/>
      <c r="E28" s="69"/>
    </row>
    <row r="29" spans="1:5" x14ac:dyDescent="0.2">
      <c r="A29" s="69"/>
      <c r="B29" s="4" t="s">
        <v>92</v>
      </c>
      <c r="C29" s="3" t="s">
        <v>1</v>
      </c>
      <c r="D29" s="69"/>
      <c r="E29" s="69"/>
    </row>
    <row r="30" spans="1:5" x14ac:dyDescent="0.2">
      <c r="A30" s="69"/>
      <c r="B30" s="4" t="s">
        <v>96</v>
      </c>
      <c r="C30" s="3" t="s">
        <v>1</v>
      </c>
      <c r="D30" s="69"/>
      <c r="E30" s="69"/>
    </row>
    <row r="31" spans="1:5" ht="24" x14ac:dyDescent="0.2">
      <c r="A31" s="69"/>
      <c r="B31" s="4" t="s">
        <v>72</v>
      </c>
      <c r="C31" s="3" t="s">
        <v>138</v>
      </c>
      <c r="D31" s="69"/>
      <c r="E31" s="69"/>
    </row>
    <row r="32" spans="1:5" ht="24" x14ac:dyDescent="0.2">
      <c r="A32" s="69"/>
      <c r="B32" s="6" t="s">
        <v>140</v>
      </c>
      <c r="C32" s="5" t="s">
        <v>99</v>
      </c>
      <c r="D32" s="69"/>
      <c r="E32" s="69"/>
    </row>
    <row r="33" spans="1:5" ht="36" x14ac:dyDescent="0.2">
      <c r="A33" s="69"/>
      <c r="B33" s="4" t="s">
        <v>43</v>
      </c>
      <c r="C33" s="3" t="s">
        <v>193</v>
      </c>
      <c r="D33" s="69"/>
      <c r="E33" s="69"/>
    </row>
    <row r="34" spans="1:5" ht="36" x14ac:dyDescent="0.2">
      <c r="A34" s="69"/>
      <c r="B34" s="4" t="s">
        <v>44</v>
      </c>
      <c r="C34" s="3" t="s">
        <v>192</v>
      </c>
      <c r="D34" s="69"/>
      <c r="E34" s="69"/>
    </row>
    <row r="35" spans="1:5" ht="36" x14ac:dyDescent="0.2">
      <c r="A35" s="69"/>
      <c r="B35" s="4" t="s">
        <v>45</v>
      </c>
      <c r="C35" s="3" t="s">
        <v>181</v>
      </c>
      <c r="D35" s="69"/>
      <c r="E35" s="69"/>
    </row>
    <row r="36" spans="1:5" ht="36" x14ac:dyDescent="0.2">
      <c r="A36" s="69" t="s">
        <v>46</v>
      </c>
      <c r="B36" s="69"/>
      <c r="C36" s="3" t="s">
        <v>47</v>
      </c>
      <c r="D36" s="69"/>
      <c r="E36" s="69"/>
    </row>
    <row r="37" spans="1:5" x14ac:dyDescent="0.2">
      <c r="A37" s="69" t="s">
        <v>48</v>
      </c>
      <c r="B37" s="69"/>
      <c r="C37" s="3" t="s">
        <v>49</v>
      </c>
      <c r="D37" s="69"/>
      <c r="E37" s="69"/>
    </row>
    <row r="38" spans="1:5" x14ac:dyDescent="0.2">
      <c r="A38" s="69" t="s">
        <v>129</v>
      </c>
      <c r="B38" s="69"/>
      <c r="C38" s="3" t="s">
        <v>50</v>
      </c>
      <c r="D38" s="69"/>
      <c r="E38" s="69"/>
    </row>
    <row r="39" spans="1:5" x14ac:dyDescent="0.2">
      <c r="A39" s="69" t="s">
        <v>128</v>
      </c>
      <c r="B39" s="69"/>
      <c r="C39" s="3" t="s">
        <v>127</v>
      </c>
      <c r="D39" s="69"/>
      <c r="E39" s="69"/>
    </row>
    <row r="40" spans="1:5" x14ac:dyDescent="0.2">
      <c r="A40" s="64" t="s">
        <v>124</v>
      </c>
      <c r="B40" s="65"/>
      <c r="C40" s="3" t="s">
        <v>268</v>
      </c>
      <c r="D40" s="64"/>
      <c r="E40" s="65"/>
    </row>
    <row r="41" spans="1:5" x14ac:dyDescent="0.2">
      <c r="A41" s="64" t="s">
        <v>125</v>
      </c>
      <c r="B41" s="65"/>
      <c r="C41" s="3" t="s">
        <v>269</v>
      </c>
      <c r="D41" s="64"/>
      <c r="E41" s="65"/>
    </row>
    <row r="42" spans="1:5" x14ac:dyDescent="0.2">
      <c r="A42" s="64" t="s">
        <v>126</v>
      </c>
      <c r="B42" s="65"/>
      <c r="C42" s="3" t="s">
        <v>195</v>
      </c>
      <c r="D42" s="64"/>
      <c r="E42" s="65"/>
    </row>
    <row r="43" spans="1:5" ht="24" x14ac:dyDescent="0.2">
      <c r="A43" s="69" t="s">
        <v>51</v>
      </c>
      <c r="B43" s="69"/>
      <c r="C43" s="3" t="s">
        <v>52</v>
      </c>
      <c r="D43" s="69"/>
      <c r="E43" s="69"/>
    </row>
    <row r="44" spans="1:5" x14ac:dyDescent="0.2">
      <c r="A44" s="69" t="s">
        <v>53</v>
      </c>
      <c r="B44" s="69"/>
      <c r="C44" s="3" t="s">
        <v>34</v>
      </c>
      <c r="D44" s="69"/>
      <c r="E44" s="69"/>
    </row>
    <row r="45" spans="1:5" ht="24" x14ac:dyDescent="0.2">
      <c r="A45" s="69" t="s">
        <v>54</v>
      </c>
      <c r="B45" s="69"/>
      <c r="C45" s="3" t="s">
        <v>436</v>
      </c>
      <c r="D45" s="69"/>
      <c r="E45" s="69"/>
    </row>
    <row r="46" spans="1:5" x14ac:dyDescent="0.2">
      <c r="A46" s="7"/>
      <c r="B46" s="8"/>
      <c r="C46" s="8"/>
      <c r="D46" s="8"/>
      <c r="E46" s="9"/>
    </row>
    <row r="47" spans="1:5" x14ac:dyDescent="0.2">
      <c r="A47" s="10" t="s">
        <v>58</v>
      </c>
      <c r="E47" s="11"/>
    </row>
    <row r="48" spans="1:5" x14ac:dyDescent="0.2">
      <c r="A48" s="70" t="s">
        <v>70</v>
      </c>
      <c r="B48" s="71"/>
      <c r="C48" s="71"/>
      <c r="D48" s="71"/>
      <c r="E48" s="72"/>
    </row>
    <row r="49" spans="1:5" x14ac:dyDescent="0.2">
      <c r="A49" s="70"/>
      <c r="B49" s="71"/>
      <c r="C49" s="71"/>
      <c r="D49" s="71"/>
      <c r="E49" s="72"/>
    </row>
    <row r="50" spans="1:5" x14ac:dyDescent="0.2">
      <c r="A50" s="70" t="s">
        <v>437</v>
      </c>
      <c r="B50" s="71"/>
      <c r="C50" s="71"/>
      <c r="D50" s="71"/>
      <c r="E50" s="72"/>
    </row>
    <row r="51" spans="1:5" x14ac:dyDescent="0.2">
      <c r="A51" s="70" t="s">
        <v>97</v>
      </c>
      <c r="B51" s="71"/>
      <c r="C51" s="71"/>
      <c r="D51" s="71"/>
      <c r="E51" s="72"/>
    </row>
    <row r="52" spans="1:5" x14ac:dyDescent="0.2">
      <c r="A52" s="70"/>
      <c r="B52" s="71"/>
      <c r="C52" s="71"/>
      <c r="D52" s="71"/>
      <c r="E52" s="72"/>
    </row>
    <row r="53" spans="1:5" x14ac:dyDescent="0.2">
      <c r="A53" s="70" t="s">
        <v>150</v>
      </c>
      <c r="B53" s="71"/>
      <c r="C53" s="71"/>
      <c r="D53" s="71"/>
      <c r="E53" s="72"/>
    </row>
    <row r="54" spans="1:5" ht="11.45" customHeight="1" x14ac:dyDescent="0.2">
      <c r="A54" s="70" t="s">
        <v>151</v>
      </c>
      <c r="B54" s="71"/>
      <c r="C54" s="71"/>
      <c r="D54" s="71"/>
      <c r="E54" s="72"/>
    </row>
    <row r="55" spans="1:5" x14ac:dyDescent="0.2">
      <c r="A55" s="66" t="s">
        <v>107</v>
      </c>
      <c r="B55" s="67"/>
      <c r="C55" s="67"/>
      <c r="D55" s="67"/>
      <c r="E55" s="68"/>
    </row>
  </sheetData>
  <mergeCells count="75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2"/>
    <mergeCell ref="D16:E16"/>
    <mergeCell ref="D17:E17"/>
    <mergeCell ref="D18:E18"/>
    <mergeCell ref="D19:E19"/>
    <mergeCell ref="D20:E20"/>
    <mergeCell ref="D21:E21"/>
    <mergeCell ref="D22:E22"/>
    <mergeCell ref="A23:B23"/>
    <mergeCell ref="D23:E23"/>
    <mergeCell ref="A24:A35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D35:E35"/>
    <mergeCell ref="A37:B37"/>
    <mergeCell ref="D37:E37"/>
    <mergeCell ref="A38:B38"/>
    <mergeCell ref="D38:E38"/>
    <mergeCell ref="A36:B36"/>
    <mergeCell ref="D36:E36"/>
    <mergeCell ref="A39:B39"/>
    <mergeCell ref="D39:E39"/>
    <mergeCell ref="A40:B40"/>
    <mergeCell ref="D40:E40"/>
    <mergeCell ref="A41:B41"/>
    <mergeCell ref="D41:E41"/>
    <mergeCell ref="A42:B42"/>
    <mergeCell ref="D42:E42"/>
    <mergeCell ref="A55:E55"/>
    <mergeCell ref="A43:B43"/>
    <mergeCell ref="D43:E43"/>
    <mergeCell ref="A44:B44"/>
    <mergeCell ref="D44:E44"/>
    <mergeCell ref="A45:B45"/>
    <mergeCell ref="D45:E45"/>
    <mergeCell ref="A48:E49"/>
    <mergeCell ref="A50:E50"/>
    <mergeCell ref="A51:E52"/>
    <mergeCell ref="A53:E53"/>
    <mergeCell ref="A54:E54"/>
  </mergeCells>
  <conditionalFormatting sqref="B17">
    <cfRule type="duplicateValues" dxfId="25" priority="4"/>
  </conditionalFormatting>
  <conditionalFormatting sqref="B18">
    <cfRule type="duplicateValues" dxfId="24" priority="3"/>
  </conditionalFormatting>
  <conditionalFormatting sqref="B20">
    <cfRule type="duplicateValues" dxfId="23" priority="2"/>
  </conditionalFormatting>
  <conditionalFormatting sqref="B21">
    <cfRule type="duplicateValues" dxfId="22" priority="10"/>
  </conditionalFormatting>
  <conditionalFormatting sqref="B25">
    <cfRule type="duplicateValues" dxfId="21" priority="12"/>
  </conditionalFormatting>
  <conditionalFormatting sqref="B28">
    <cfRule type="duplicateValues" dxfId="20" priority="1"/>
  </conditionalFormatting>
  <conditionalFormatting sqref="B32">
    <cfRule type="duplicateValues" dxfId="19" priority="11"/>
  </conditionalFormatting>
  <conditionalFormatting sqref="B38">
    <cfRule type="duplicateValues" dxfId="18" priority="6"/>
  </conditionalFormatting>
  <conditionalFormatting sqref="B39">
    <cfRule type="duplicateValues" dxfId="17" priority="5"/>
  </conditionalFormatting>
  <conditionalFormatting sqref="B40">
    <cfRule type="duplicateValues" dxfId="16" priority="9"/>
  </conditionalFormatting>
  <conditionalFormatting sqref="B41">
    <cfRule type="duplicateValues" dxfId="15" priority="8"/>
  </conditionalFormatting>
  <conditionalFormatting sqref="B42">
    <cfRule type="duplicateValues" dxfId="14" priority="7"/>
  </conditionalFormatting>
  <conditionalFormatting sqref="B56:B1048576 B4:B10 B26:B27 B12:B16 B33:B37 B22:B24 B43:B47 B19 B29:B31">
    <cfRule type="duplicateValues" dxfId="13" priority="13"/>
  </conditionalFormatting>
  <pageMargins left="0.7" right="0.7" top="0.75" bottom="0.75" header="0.3" footer="0.3"/>
  <pageSetup paperSize="9" scale="88" orientation="portrait" horizontalDpi="4294967295" verticalDpi="4294967295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F80702-5E9C-49EF-95FA-90BBD7B609BB}">
  <sheetPr codeName="Sheet5">
    <tabColor theme="4" tint="-0.249977111117893"/>
    <pageSetUpPr fitToPage="1"/>
  </sheetPr>
  <dimension ref="A1:E55"/>
  <sheetViews>
    <sheetView zoomScaleNormal="100" workbookViewId="0">
      <selection sqref="A1:B3"/>
    </sheetView>
  </sheetViews>
  <sheetFormatPr defaultColWidth="8.85546875" defaultRowHeight="12" x14ac:dyDescent="0.2"/>
  <cols>
    <col min="1" max="1" width="12.5703125" style="1" customWidth="1"/>
    <col min="2" max="2" width="13.42578125" style="1" bestFit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4" customFormat="1" ht="30" customHeight="1" x14ac:dyDescent="0.25">
      <c r="A1" s="77" t="e" vm="1">
        <v>#VALUE!</v>
      </c>
      <c r="B1" s="78"/>
      <c r="C1" s="83" t="s">
        <v>112</v>
      </c>
      <c r="D1" s="13" t="s">
        <v>110</v>
      </c>
      <c r="E1" s="13" t="s">
        <v>435</v>
      </c>
    </row>
    <row r="2" spans="1:5" s="14" customFormat="1" ht="30" customHeight="1" x14ac:dyDescent="0.25">
      <c r="A2" s="79"/>
      <c r="B2" s="80"/>
      <c r="C2" s="84"/>
      <c r="D2" s="15" t="s">
        <v>109</v>
      </c>
      <c r="E2" s="16" t="str">
        <f>VLOOKUP(C4,Index!B:J,9,FALSE)</f>
        <v>C0</v>
      </c>
    </row>
    <row r="3" spans="1:5" s="14" customFormat="1" ht="30" customHeight="1" x14ac:dyDescent="0.25">
      <c r="A3" s="81"/>
      <c r="B3" s="82"/>
      <c r="C3" s="85"/>
      <c r="D3" s="15" t="s">
        <v>111</v>
      </c>
      <c r="E3" s="17">
        <f>VLOOKUP(C4,Index!B:I,8,FALSE)</f>
        <v>378</v>
      </c>
    </row>
    <row r="4" spans="1:5" x14ac:dyDescent="0.2">
      <c r="A4" s="86" t="s">
        <v>74</v>
      </c>
      <c r="B4" s="86"/>
      <c r="C4" s="2" t="s">
        <v>301</v>
      </c>
      <c r="D4" s="86" t="s">
        <v>55</v>
      </c>
      <c r="E4" s="86"/>
    </row>
    <row r="5" spans="1:5" x14ac:dyDescent="0.2">
      <c r="A5" s="69" t="s">
        <v>26</v>
      </c>
      <c r="B5" s="69"/>
      <c r="C5" s="3" t="s">
        <v>302</v>
      </c>
      <c r="D5" s="69"/>
      <c r="E5" s="69"/>
    </row>
    <row r="6" spans="1:5" x14ac:dyDescent="0.2">
      <c r="A6" s="69" t="s">
        <v>27</v>
      </c>
      <c r="B6" s="69"/>
      <c r="C6" s="3" t="s">
        <v>303</v>
      </c>
      <c r="D6" s="69"/>
      <c r="E6" s="69"/>
    </row>
    <row r="7" spans="1:5" x14ac:dyDescent="0.2">
      <c r="A7" s="69" t="s">
        <v>28</v>
      </c>
      <c r="B7" s="69"/>
      <c r="C7" s="3" t="s">
        <v>82</v>
      </c>
      <c r="D7" s="69"/>
      <c r="E7" s="69"/>
    </row>
    <row r="8" spans="1:5" x14ac:dyDescent="0.2">
      <c r="A8" s="69" t="s">
        <v>29</v>
      </c>
      <c r="B8" s="69"/>
      <c r="C8" s="3" t="str">
        <f>VLOOKUP(C5,Index!N:W,6,FALSE)</f>
        <v>Potable Water</v>
      </c>
      <c r="D8" s="69"/>
      <c r="E8" s="69"/>
    </row>
    <row r="9" spans="1:5" x14ac:dyDescent="0.2">
      <c r="A9" s="69" t="s">
        <v>30</v>
      </c>
      <c r="B9" s="69"/>
      <c r="C9" s="3" t="s">
        <v>148</v>
      </c>
      <c r="D9" s="69"/>
      <c r="E9" s="69"/>
    </row>
    <row r="10" spans="1:5" x14ac:dyDescent="0.2">
      <c r="A10" s="69" t="s">
        <v>31</v>
      </c>
      <c r="B10" s="69"/>
      <c r="C10" s="3" t="s">
        <v>65</v>
      </c>
      <c r="D10" s="69"/>
      <c r="E10" s="69"/>
    </row>
    <row r="11" spans="1:5" x14ac:dyDescent="0.2">
      <c r="A11" s="73" t="s">
        <v>119</v>
      </c>
      <c r="B11" s="74"/>
      <c r="C11" s="12" t="str">
        <f>VLOOKUP(C5,Index!N:W,10,FALSE)</f>
        <v>20 @ 0°C' 17.3 @ 100°C</v>
      </c>
      <c r="D11" s="75"/>
      <c r="E11" s="76"/>
    </row>
    <row r="12" spans="1:5" x14ac:dyDescent="0.2">
      <c r="A12" s="69" t="s">
        <v>32</v>
      </c>
      <c r="B12" s="69"/>
      <c r="C12" s="3" t="str">
        <f>VLOOKUP(C5,Index!N:W,5,FALSE)</f>
        <v>NIL</v>
      </c>
      <c r="D12" s="69"/>
      <c r="E12" s="69"/>
    </row>
    <row r="13" spans="1:5" x14ac:dyDescent="0.2">
      <c r="A13" s="69" t="s">
        <v>33</v>
      </c>
      <c r="B13" s="69"/>
      <c r="C13" s="3" t="s">
        <v>34</v>
      </c>
      <c r="D13" s="69"/>
      <c r="E13" s="69"/>
    </row>
    <row r="14" spans="1:5" ht="36" x14ac:dyDescent="0.2">
      <c r="A14" s="69" t="s">
        <v>35</v>
      </c>
      <c r="B14" s="69"/>
      <c r="C14" s="3" t="s">
        <v>317</v>
      </c>
      <c r="D14" s="69"/>
      <c r="E14" s="69"/>
    </row>
    <row r="15" spans="1:5" x14ac:dyDescent="0.2">
      <c r="A15" s="69" t="s">
        <v>36</v>
      </c>
      <c r="B15" s="69"/>
      <c r="C15" s="3" t="s">
        <v>66</v>
      </c>
      <c r="D15" s="69"/>
      <c r="E15" s="69"/>
    </row>
    <row r="16" spans="1:5" ht="24" x14ac:dyDescent="0.2">
      <c r="A16" s="69" t="s">
        <v>37</v>
      </c>
      <c r="B16" s="4" t="s">
        <v>38</v>
      </c>
      <c r="C16" s="3" t="s">
        <v>318</v>
      </c>
      <c r="D16" s="69"/>
      <c r="E16" s="69"/>
    </row>
    <row r="17" spans="1:5" ht="24" x14ac:dyDescent="0.2">
      <c r="A17" s="69"/>
      <c r="B17" s="4" t="s">
        <v>75</v>
      </c>
      <c r="C17" s="3" t="s">
        <v>77</v>
      </c>
      <c r="D17" s="69"/>
      <c r="E17" s="69"/>
    </row>
    <row r="18" spans="1:5" ht="24" x14ac:dyDescent="0.2">
      <c r="A18" s="69"/>
      <c r="B18" s="4" t="s">
        <v>39</v>
      </c>
      <c r="C18" s="3" t="s">
        <v>87</v>
      </c>
      <c r="D18" s="69"/>
      <c r="E18" s="69"/>
    </row>
    <row r="19" spans="1:5" x14ac:dyDescent="0.2">
      <c r="A19" s="69"/>
      <c r="B19" s="4" t="s">
        <v>68</v>
      </c>
      <c r="C19" s="3" t="s">
        <v>143</v>
      </c>
      <c r="D19" s="69"/>
      <c r="E19" s="69"/>
    </row>
    <row r="20" spans="1:5" x14ac:dyDescent="0.2">
      <c r="A20" s="69"/>
      <c r="B20" s="4" t="s">
        <v>141</v>
      </c>
      <c r="C20" s="3" t="s">
        <v>142</v>
      </c>
      <c r="D20" s="69"/>
      <c r="E20" s="69"/>
    </row>
    <row r="21" spans="1:5" x14ac:dyDescent="0.2">
      <c r="A21" s="69"/>
      <c r="B21" s="4" t="s">
        <v>69</v>
      </c>
      <c r="C21" s="3" t="s">
        <v>106</v>
      </c>
      <c r="D21" s="69"/>
      <c r="E21" s="69"/>
    </row>
    <row r="22" spans="1:5" ht="24" x14ac:dyDescent="0.2">
      <c r="A22" s="69"/>
      <c r="B22" s="4" t="s">
        <v>40</v>
      </c>
      <c r="C22" s="3" t="s">
        <v>86</v>
      </c>
      <c r="D22" s="69"/>
      <c r="E22" s="69"/>
    </row>
    <row r="23" spans="1:5" ht="24" x14ac:dyDescent="0.2">
      <c r="A23" s="69" t="s">
        <v>41</v>
      </c>
      <c r="B23" s="69"/>
      <c r="C23" s="3" t="s">
        <v>121</v>
      </c>
      <c r="D23" s="69"/>
      <c r="E23" s="69"/>
    </row>
    <row r="24" spans="1:5" x14ac:dyDescent="0.2">
      <c r="A24" s="69" t="s">
        <v>42</v>
      </c>
      <c r="B24" s="4" t="s">
        <v>91</v>
      </c>
      <c r="C24" s="3" t="s">
        <v>304</v>
      </c>
      <c r="D24" s="69"/>
      <c r="E24" s="69"/>
    </row>
    <row r="25" spans="1:5" x14ac:dyDescent="0.2">
      <c r="A25" s="69"/>
      <c r="B25" s="4" t="s">
        <v>93</v>
      </c>
      <c r="C25" s="3" t="s">
        <v>305</v>
      </c>
      <c r="D25" s="69"/>
      <c r="E25" s="69"/>
    </row>
    <row r="26" spans="1:5" x14ac:dyDescent="0.2">
      <c r="A26" s="69"/>
      <c r="B26" s="4" t="s">
        <v>94</v>
      </c>
      <c r="C26" s="3" t="s">
        <v>306</v>
      </c>
      <c r="D26" s="69"/>
      <c r="E26" s="69"/>
    </row>
    <row r="27" spans="1:5" x14ac:dyDescent="0.2">
      <c r="A27" s="69"/>
      <c r="B27" s="4" t="s">
        <v>95</v>
      </c>
      <c r="C27" s="3" t="s">
        <v>307</v>
      </c>
      <c r="D27" s="69"/>
      <c r="E27" s="69"/>
    </row>
    <row r="28" spans="1:5" x14ac:dyDescent="0.2">
      <c r="A28" s="69"/>
      <c r="B28" s="4" t="s">
        <v>144</v>
      </c>
      <c r="C28" s="3" t="s">
        <v>305</v>
      </c>
      <c r="D28" s="69"/>
      <c r="E28" s="69"/>
    </row>
    <row r="29" spans="1:5" x14ac:dyDescent="0.2">
      <c r="A29" s="69"/>
      <c r="B29" s="4" t="s">
        <v>92</v>
      </c>
      <c r="C29" s="3" t="s">
        <v>305</v>
      </c>
      <c r="D29" s="69"/>
      <c r="E29" s="69"/>
    </row>
    <row r="30" spans="1:5" x14ac:dyDescent="0.2">
      <c r="A30" s="69"/>
      <c r="B30" s="4" t="s">
        <v>96</v>
      </c>
      <c r="C30" s="3" t="s">
        <v>305</v>
      </c>
      <c r="D30" s="69"/>
      <c r="E30" s="69"/>
    </row>
    <row r="31" spans="1:5" ht="24" x14ac:dyDescent="0.2">
      <c r="A31" s="69"/>
      <c r="B31" s="4" t="s">
        <v>72</v>
      </c>
      <c r="C31" s="3" t="s">
        <v>138</v>
      </c>
      <c r="D31" s="69"/>
      <c r="E31" s="69"/>
    </row>
    <row r="32" spans="1:5" ht="24" x14ac:dyDescent="0.2">
      <c r="A32" s="69"/>
      <c r="B32" s="6" t="s">
        <v>140</v>
      </c>
      <c r="C32" s="5" t="s">
        <v>99</v>
      </c>
      <c r="D32" s="69"/>
      <c r="E32" s="69"/>
    </row>
    <row r="33" spans="1:5" x14ac:dyDescent="0.2">
      <c r="A33" s="69"/>
      <c r="B33" s="4" t="s">
        <v>43</v>
      </c>
      <c r="C33" s="3" t="s">
        <v>66</v>
      </c>
      <c r="D33" s="69"/>
      <c r="E33" s="69"/>
    </row>
    <row r="34" spans="1:5" x14ac:dyDescent="0.2">
      <c r="A34" s="69"/>
      <c r="B34" s="4" t="s">
        <v>44</v>
      </c>
      <c r="C34" s="3" t="s">
        <v>66</v>
      </c>
      <c r="D34" s="69"/>
      <c r="E34" s="69"/>
    </row>
    <row r="35" spans="1:5" x14ac:dyDescent="0.2">
      <c r="A35" s="69"/>
      <c r="B35" s="4" t="s">
        <v>45</v>
      </c>
      <c r="C35" s="3" t="s">
        <v>66</v>
      </c>
      <c r="D35" s="69"/>
      <c r="E35" s="69"/>
    </row>
    <row r="36" spans="1:5" ht="36" x14ac:dyDescent="0.2">
      <c r="A36" s="69" t="s">
        <v>46</v>
      </c>
      <c r="B36" s="69"/>
      <c r="C36" s="3" t="s">
        <v>47</v>
      </c>
      <c r="D36" s="69"/>
      <c r="E36" s="69"/>
    </row>
    <row r="37" spans="1:5" x14ac:dyDescent="0.2">
      <c r="A37" s="69" t="s">
        <v>48</v>
      </c>
      <c r="B37" s="69"/>
      <c r="C37" s="3" t="s">
        <v>49</v>
      </c>
      <c r="D37" s="69"/>
      <c r="E37" s="69"/>
    </row>
    <row r="38" spans="1:5" x14ac:dyDescent="0.2">
      <c r="A38" s="69" t="s">
        <v>129</v>
      </c>
      <c r="B38" s="69"/>
      <c r="C38" s="3" t="s">
        <v>50</v>
      </c>
      <c r="D38" s="69"/>
      <c r="E38" s="69"/>
    </row>
    <row r="39" spans="1:5" x14ac:dyDescent="0.2">
      <c r="A39" s="69" t="s">
        <v>128</v>
      </c>
      <c r="B39" s="69"/>
      <c r="C39" s="3" t="s">
        <v>127</v>
      </c>
      <c r="D39" s="69"/>
      <c r="E39" s="69"/>
    </row>
    <row r="40" spans="1:5" x14ac:dyDescent="0.2">
      <c r="A40" s="64" t="s">
        <v>124</v>
      </c>
      <c r="B40" s="65"/>
      <c r="C40" s="3" t="s">
        <v>319</v>
      </c>
      <c r="D40" s="64"/>
      <c r="E40" s="65"/>
    </row>
    <row r="41" spans="1:5" x14ac:dyDescent="0.2">
      <c r="A41" s="64" t="s">
        <v>125</v>
      </c>
      <c r="B41" s="65"/>
      <c r="C41" s="3" t="s">
        <v>320</v>
      </c>
      <c r="D41" s="64"/>
      <c r="E41" s="65"/>
    </row>
    <row r="42" spans="1:5" x14ac:dyDescent="0.2">
      <c r="A42" s="64" t="s">
        <v>126</v>
      </c>
      <c r="B42" s="65"/>
      <c r="C42" s="3" t="s">
        <v>195</v>
      </c>
      <c r="D42" s="64"/>
      <c r="E42" s="65"/>
    </row>
    <row r="43" spans="1:5" ht="24" x14ac:dyDescent="0.2">
      <c r="A43" s="69" t="s">
        <v>51</v>
      </c>
      <c r="B43" s="69"/>
      <c r="C43" s="3" t="s">
        <v>52</v>
      </c>
      <c r="D43" s="69"/>
      <c r="E43" s="69"/>
    </row>
    <row r="44" spans="1:5" x14ac:dyDescent="0.2">
      <c r="A44" s="69" t="s">
        <v>53</v>
      </c>
      <c r="B44" s="69"/>
      <c r="C44" s="3" t="s">
        <v>34</v>
      </c>
      <c r="D44" s="69"/>
      <c r="E44" s="69"/>
    </row>
    <row r="45" spans="1:5" ht="24" x14ac:dyDescent="0.2">
      <c r="A45" s="69" t="s">
        <v>54</v>
      </c>
      <c r="B45" s="69"/>
      <c r="C45" s="3" t="s">
        <v>436</v>
      </c>
      <c r="D45" s="69"/>
      <c r="E45" s="69"/>
    </row>
    <row r="46" spans="1:5" x14ac:dyDescent="0.2">
      <c r="A46" s="7"/>
      <c r="B46" s="8"/>
      <c r="C46" s="8"/>
      <c r="D46" s="8"/>
      <c r="E46" s="9"/>
    </row>
    <row r="47" spans="1:5" x14ac:dyDescent="0.2">
      <c r="A47" s="10" t="s">
        <v>58</v>
      </c>
      <c r="E47" s="11"/>
    </row>
    <row r="48" spans="1:5" x14ac:dyDescent="0.2">
      <c r="A48" s="70" t="s">
        <v>70</v>
      </c>
      <c r="B48" s="71"/>
      <c r="C48" s="71"/>
      <c r="D48" s="71"/>
      <c r="E48" s="72"/>
    </row>
    <row r="49" spans="1:5" x14ac:dyDescent="0.2">
      <c r="A49" s="70"/>
      <c r="B49" s="71"/>
      <c r="C49" s="71"/>
      <c r="D49" s="71"/>
      <c r="E49" s="72"/>
    </row>
    <row r="50" spans="1:5" x14ac:dyDescent="0.2">
      <c r="A50" s="70" t="s">
        <v>437</v>
      </c>
      <c r="B50" s="71"/>
      <c r="C50" s="71"/>
      <c r="D50" s="71"/>
      <c r="E50" s="72"/>
    </row>
    <row r="51" spans="1:5" x14ac:dyDescent="0.2">
      <c r="A51" s="70" t="s">
        <v>97</v>
      </c>
      <c r="B51" s="71"/>
      <c r="C51" s="71"/>
      <c r="D51" s="71"/>
      <c r="E51" s="72"/>
    </row>
    <row r="52" spans="1:5" x14ac:dyDescent="0.2">
      <c r="A52" s="70"/>
      <c r="B52" s="71"/>
      <c r="C52" s="71"/>
      <c r="D52" s="71"/>
      <c r="E52" s="72"/>
    </row>
    <row r="53" spans="1:5" x14ac:dyDescent="0.2">
      <c r="A53" s="70" t="s">
        <v>150</v>
      </c>
      <c r="B53" s="71"/>
      <c r="C53" s="71"/>
      <c r="D53" s="71"/>
      <c r="E53" s="72"/>
    </row>
    <row r="54" spans="1:5" ht="11.45" customHeight="1" x14ac:dyDescent="0.2">
      <c r="A54" s="70" t="s">
        <v>151</v>
      </c>
      <c r="B54" s="71"/>
      <c r="C54" s="71"/>
      <c r="D54" s="71"/>
      <c r="E54" s="72"/>
    </row>
    <row r="55" spans="1:5" x14ac:dyDescent="0.2">
      <c r="A55" s="66" t="s">
        <v>107</v>
      </c>
      <c r="B55" s="67"/>
      <c r="C55" s="67"/>
      <c r="D55" s="67"/>
      <c r="E55" s="68"/>
    </row>
  </sheetData>
  <mergeCells count="75">
    <mergeCell ref="A42:B42"/>
    <mergeCell ref="D42:E42"/>
    <mergeCell ref="A55:E55"/>
    <mergeCell ref="A43:B43"/>
    <mergeCell ref="D43:E43"/>
    <mergeCell ref="A44:B44"/>
    <mergeCell ref="D44:E44"/>
    <mergeCell ref="A45:B45"/>
    <mergeCell ref="D45:E45"/>
    <mergeCell ref="A48:E49"/>
    <mergeCell ref="A50:E50"/>
    <mergeCell ref="A51:E52"/>
    <mergeCell ref="A53:E53"/>
    <mergeCell ref="A54:E54"/>
    <mergeCell ref="A39:B39"/>
    <mergeCell ref="D39:E39"/>
    <mergeCell ref="A40:B40"/>
    <mergeCell ref="D40:E40"/>
    <mergeCell ref="A41:B41"/>
    <mergeCell ref="D41:E41"/>
    <mergeCell ref="A37:B37"/>
    <mergeCell ref="D37:E37"/>
    <mergeCell ref="A38:B38"/>
    <mergeCell ref="D38:E38"/>
    <mergeCell ref="A36:B36"/>
    <mergeCell ref="D36:E36"/>
    <mergeCell ref="A23:B23"/>
    <mergeCell ref="D23:E23"/>
    <mergeCell ref="A24:A35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D35:E35"/>
    <mergeCell ref="A15:B15"/>
    <mergeCell ref="D15:E15"/>
    <mergeCell ref="A16:A22"/>
    <mergeCell ref="D16:E16"/>
    <mergeCell ref="D17:E17"/>
    <mergeCell ref="D18:E18"/>
    <mergeCell ref="D19:E19"/>
    <mergeCell ref="D20:E20"/>
    <mergeCell ref="D21:E21"/>
    <mergeCell ref="D22:E22"/>
    <mergeCell ref="A12:B12"/>
    <mergeCell ref="D12:E12"/>
    <mergeCell ref="A13:B13"/>
    <mergeCell ref="D13:E13"/>
    <mergeCell ref="A14:B14"/>
    <mergeCell ref="D14:E14"/>
    <mergeCell ref="A9:B9"/>
    <mergeCell ref="D9:E9"/>
    <mergeCell ref="A10:B10"/>
    <mergeCell ref="D10:E10"/>
    <mergeCell ref="A11:B11"/>
    <mergeCell ref="D11:E11"/>
    <mergeCell ref="A6:B6"/>
    <mergeCell ref="D6:E6"/>
    <mergeCell ref="A7:B7"/>
    <mergeCell ref="D7:E7"/>
    <mergeCell ref="A8:B8"/>
    <mergeCell ref="D8:E8"/>
    <mergeCell ref="A1:B3"/>
    <mergeCell ref="C1:C3"/>
    <mergeCell ref="A4:B4"/>
    <mergeCell ref="D4:E4"/>
    <mergeCell ref="A5:B5"/>
    <mergeCell ref="D5:E5"/>
  </mergeCells>
  <conditionalFormatting sqref="B17">
    <cfRule type="duplicateValues" dxfId="12" priority="4"/>
  </conditionalFormatting>
  <conditionalFormatting sqref="B18">
    <cfRule type="duplicateValues" dxfId="11" priority="3"/>
  </conditionalFormatting>
  <conditionalFormatting sqref="B20">
    <cfRule type="duplicateValues" dxfId="10" priority="2"/>
  </conditionalFormatting>
  <conditionalFormatting sqref="B21">
    <cfRule type="duplicateValues" dxfId="9" priority="10"/>
  </conditionalFormatting>
  <conditionalFormatting sqref="B25">
    <cfRule type="duplicateValues" dxfId="8" priority="12"/>
  </conditionalFormatting>
  <conditionalFormatting sqref="B28">
    <cfRule type="duplicateValues" dxfId="7" priority="1"/>
  </conditionalFormatting>
  <conditionalFormatting sqref="B32">
    <cfRule type="duplicateValues" dxfId="6" priority="11"/>
  </conditionalFormatting>
  <conditionalFormatting sqref="B38">
    <cfRule type="duplicateValues" dxfId="5" priority="6"/>
  </conditionalFormatting>
  <conditionalFormatting sqref="B39">
    <cfRule type="duplicateValues" dxfId="4" priority="5"/>
  </conditionalFormatting>
  <conditionalFormatting sqref="B40">
    <cfRule type="duplicateValues" dxfId="3" priority="9"/>
  </conditionalFormatting>
  <conditionalFormatting sqref="B41">
    <cfRule type="duplicateValues" dxfId="2" priority="8"/>
  </conditionalFormatting>
  <conditionalFormatting sqref="B42">
    <cfRule type="duplicateValues" dxfId="1" priority="7"/>
  </conditionalFormatting>
  <conditionalFormatting sqref="B56:B1048576 B4:B10 B26:B27 B12:B16 B33:B37 B22:B24 B43:B47 B19 B29:B31">
    <cfRule type="duplicateValues" dxfId="0" priority="13"/>
  </conditionalFormatting>
  <pageMargins left="0.7" right="0.7" top="0.75" bottom="0.75" header="0.3" footer="0.3"/>
  <pageSetup paperSize="9" scale="88" orientation="portrait" horizontalDpi="4294967295" verticalDpi="4294967295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59</vt:i4>
      </vt:variant>
      <vt:variant>
        <vt:lpstr>Named Ranges</vt:lpstr>
      </vt:variant>
      <vt:variant>
        <vt:i4>2</vt:i4>
      </vt:variant>
    </vt:vector>
  </HeadingPairs>
  <TitlesOfParts>
    <vt:vector size="61" baseType="lpstr">
      <vt:lpstr>Index</vt:lpstr>
      <vt:lpstr>GAWA1R</vt:lpstr>
      <vt:lpstr>GAWB1R</vt:lpstr>
      <vt:lpstr>GAWD1R</vt:lpstr>
      <vt:lpstr>GAWE1J</vt:lpstr>
      <vt:lpstr>GAWF1J</vt:lpstr>
      <vt:lpstr>GAWG1J</vt:lpstr>
      <vt:lpstr>GAWA2NR</vt:lpstr>
      <vt:lpstr>GAWB2NR</vt:lpstr>
      <vt:lpstr>GAWD2NR</vt:lpstr>
      <vt:lpstr>GAWE2NJ</vt:lpstr>
      <vt:lpstr>GAWF2NJ</vt:lpstr>
      <vt:lpstr>GAWG2NJ</vt:lpstr>
      <vt:lpstr>GAWA1LNR</vt:lpstr>
      <vt:lpstr>GAWB1LNR</vt:lpstr>
      <vt:lpstr>GAWD1LNR</vt:lpstr>
      <vt:lpstr>GAWE1LNJ</vt:lpstr>
      <vt:lpstr>GAWF1LNJ</vt:lpstr>
      <vt:lpstr>GAWG1LNJ</vt:lpstr>
      <vt:lpstr>GAWA1NR</vt:lpstr>
      <vt:lpstr>GAWB1NR</vt:lpstr>
      <vt:lpstr>GAWD1NR</vt:lpstr>
      <vt:lpstr>GAWE1NJ</vt:lpstr>
      <vt:lpstr>GAWF1NJ</vt:lpstr>
      <vt:lpstr>GAWG1NJ</vt:lpstr>
      <vt:lpstr>GAWA2LNR</vt:lpstr>
      <vt:lpstr>GAWB2LNR</vt:lpstr>
      <vt:lpstr>GAWD2LNR</vt:lpstr>
      <vt:lpstr>GAWE2LNJ</vt:lpstr>
      <vt:lpstr>GAWF2LNJ</vt:lpstr>
      <vt:lpstr>GAWG2LNJ</vt:lpstr>
      <vt:lpstr>GAWA10R</vt:lpstr>
      <vt:lpstr>GAWB10R</vt:lpstr>
      <vt:lpstr>GAWD10R</vt:lpstr>
      <vt:lpstr>GAWE10J</vt:lpstr>
      <vt:lpstr>GAWF10J</vt:lpstr>
      <vt:lpstr>GAWG10J</vt:lpstr>
      <vt:lpstr>GAWA10NR</vt:lpstr>
      <vt:lpstr>GAWB10NR</vt:lpstr>
      <vt:lpstr>GAWD10NR</vt:lpstr>
      <vt:lpstr>GAWE10NJ</vt:lpstr>
      <vt:lpstr>GAWF10NJ</vt:lpstr>
      <vt:lpstr>GAWG10NJ</vt:lpstr>
      <vt:lpstr>GAWA20NR</vt:lpstr>
      <vt:lpstr>GAWB20NR</vt:lpstr>
      <vt:lpstr>GAWD20NR</vt:lpstr>
      <vt:lpstr>GAWE20NJ</vt:lpstr>
      <vt:lpstr>GAWF20NJ</vt:lpstr>
      <vt:lpstr>GAWG20NJ</vt:lpstr>
      <vt:lpstr>GAWA25R</vt:lpstr>
      <vt:lpstr>GAWG25R</vt:lpstr>
      <vt:lpstr>GAWA25NR</vt:lpstr>
      <vt:lpstr>GAWB25NR</vt:lpstr>
      <vt:lpstr>GAWD25NR</vt:lpstr>
      <vt:lpstr>GAWE25NR</vt:lpstr>
      <vt:lpstr>GAWF25NR</vt:lpstr>
      <vt:lpstr>GAWG25NR</vt:lpstr>
      <vt:lpstr>GAWA30F</vt:lpstr>
      <vt:lpstr>GAWA31F</vt:lpstr>
      <vt:lpstr>Index!Print_Area</vt:lpstr>
      <vt:lpstr>Index!Print_Titles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Feroz Ahmad</dc:creator>
  <cp:lastModifiedBy>Feroz Ahmad</cp:lastModifiedBy>
  <cp:lastPrinted>2025-03-20T03:24:30Z</cp:lastPrinted>
  <dcterms:created xsi:type="dcterms:W3CDTF">2015-06-05T18:17:20Z</dcterms:created>
  <dcterms:modified xsi:type="dcterms:W3CDTF">2025-12-31T06:32:23Z</dcterms:modified>
</cp:coreProperties>
</file>