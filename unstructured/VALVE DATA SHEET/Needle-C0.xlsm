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N:\Piping\Sonangol UM 6-7 FPSO\07. Piping Spec\03. Valve Material Specification\IFR\Native\"/>
    </mc:Choice>
  </mc:AlternateContent>
  <xr:revisionPtr revIDLastSave="0" documentId="13_ncr:1_{750010F0-434B-4222-A92B-DDBBA3786E78}" xr6:coauthVersionLast="47" xr6:coauthVersionMax="47" xr10:uidLastSave="{00000000-0000-0000-0000-000000000000}"/>
  <bookViews>
    <workbookView xWindow="-28920" yWindow="-120" windowWidth="29040" windowHeight="15720" xr2:uid="{E70444F4-D392-4BD6-A8FE-D7ABF3A7200A}"/>
  </bookViews>
  <sheets>
    <sheet name="Index" sheetId="4" r:id="rId1"/>
    <sheet name="NEET50AF" sheetId="1" r:id="rId2"/>
    <sheet name="NEET50BF" sheetId="2" r:id="rId3"/>
    <sheet name="NEET50CF" sheetId="3" r:id="rId4"/>
  </sheets>
  <definedNames>
    <definedName name="_xleta.INDEX" hidden="1" xlm="1">#NAME?</definedName>
    <definedName name="_xlnm.Print_Area" localSheetId="0">Index!$A$1:$I$7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2" l="1"/>
  <c r="E2" i="3"/>
  <c r="E2" i="1"/>
  <c r="E3" i="3"/>
  <c r="E3" i="2"/>
  <c r="C12" i="3"/>
  <c r="C11" i="3"/>
  <c r="C8" i="3"/>
  <c r="C12" i="2"/>
  <c r="C11" i="2"/>
  <c r="C8" i="2"/>
  <c r="E3" i="1"/>
  <c r="C12" i="1"/>
  <c r="C8" i="1"/>
  <c r="C11" i="1"/>
  <c r="V76" i="4"/>
  <c r="V75" i="4"/>
  <c r="V74" i="4"/>
  <c r="V73" i="4"/>
  <c r="V72" i="4"/>
  <c r="V71" i="4"/>
  <c r="V70" i="4"/>
  <c r="V69" i="4"/>
  <c r="V68" i="4"/>
  <c r="V67" i="4"/>
  <c r="V66" i="4"/>
  <c r="V65" i="4"/>
  <c r="V64" i="4"/>
  <c r="V63" i="4"/>
  <c r="V62" i="4"/>
  <c r="V61" i="4"/>
  <c r="V60" i="4"/>
  <c r="V59" i="4"/>
  <c r="V58" i="4"/>
  <c r="V57" i="4"/>
  <c r="V56" i="4"/>
  <c r="V55" i="4"/>
  <c r="V54" i="4"/>
  <c r="V53" i="4"/>
  <c r="V52" i="4"/>
  <c r="V51" i="4"/>
  <c r="V50" i="4"/>
  <c r="V49" i="4"/>
  <c r="V48" i="4"/>
  <c r="V47" i="4"/>
  <c r="V46" i="4"/>
  <c r="V45" i="4"/>
  <c r="V44" i="4"/>
  <c r="V43" i="4"/>
  <c r="V42" i="4"/>
  <c r="V41" i="4"/>
  <c r="V40" i="4"/>
  <c r="V39" i="4"/>
  <c r="V38" i="4"/>
  <c r="V37" i="4"/>
  <c r="V36" i="4"/>
  <c r="V35" i="4"/>
  <c r="V34" i="4"/>
  <c r="V33" i="4"/>
  <c r="V32" i="4"/>
  <c r="V31" i="4"/>
  <c r="V30" i="4"/>
  <c r="V29" i="4"/>
  <c r="V28" i="4"/>
  <c r="V27" i="4"/>
  <c r="V26" i="4"/>
  <c r="V25" i="4"/>
  <c r="V24" i="4"/>
  <c r="V23" i="4"/>
  <c r="V22" i="4"/>
  <c r="V21" i="4"/>
  <c r="V20" i="4"/>
  <c r="V19" i="4"/>
  <c r="V18" i="4"/>
  <c r="V17" i="4"/>
  <c r="V16" i="4"/>
  <c r="V15" i="4"/>
  <c r="V14" i="4"/>
  <c r="V13" i="4"/>
  <c r="V12" i="4"/>
  <c r="V11" i="4"/>
  <c r="V10" i="4"/>
  <c r="V9" i="4"/>
  <c r="V8" i="4"/>
  <c r="V7" i="4"/>
  <c r="V6" i="4"/>
  <c r="V5" i="4"/>
  <c r="V4" i="4"/>
  <c r="V3" i="4"/>
  <c r="C5" i="4"/>
  <c r="E4" i="4"/>
  <c r="G6" i="4"/>
  <c r="F4" i="4"/>
  <c r="F6" i="4"/>
  <c r="C6" i="4"/>
  <c r="H5" i="4"/>
  <c r="H4" i="4"/>
  <c r="E6" i="4"/>
  <c r="H6" i="4"/>
  <c r="D6" i="4"/>
  <c r="D5" i="4"/>
  <c r="C4" i="4"/>
  <c r="G5" i="4"/>
  <c r="E5" i="4"/>
  <c r="D4" i="4"/>
  <c r="G4" i="4"/>
  <c r="F5" i="4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<sst xmlns="http://schemas.openxmlformats.org/spreadsheetml/2006/main" count="823" uniqueCount="300">
  <si>
    <t xml:space="preserve">Doc. No : </t>
  </si>
  <si>
    <t xml:space="preserve">Rev No : </t>
  </si>
  <si>
    <t>Page No.:</t>
  </si>
  <si>
    <t>VDS No</t>
  </si>
  <si>
    <t>Vendor Offer</t>
  </si>
  <si>
    <t>Piping Class</t>
  </si>
  <si>
    <t>T50A, T60A</t>
  </si>
  <si>
    <t>Size Range</t>
  </si>
  <si>
    <t>1/2" - 1 1/2"</t>
  </si>
  <si>
    <t>Valve type</t>
  </si>
  <si>
    <t>Service</t>
  </si>
  <si>
    <t>Valve Standard</t>
  </si>
  <si>
    <t>ASME B16.34 / EEMUA 182</t>
  </si>
  <si>
    <t>Pressure Class</t>
  </si>
  <si>
    <t>Design Pressure</t>
  </si>
  <si>
    <t>Corrosion Allowance</t>
  </si>
  <si>
    <t>Sour Service Requirements</t>
  </si>
  <si>
    <t>-</t>
  </si>
  <si>
    <t>End Connections</t>
  </si>
  <si>
    <t>Face to Face Dimension</t>
  </si>
  <si>
    <t>Manufacturer Standard</t>
  </si>
  <si>
    <t>Construction</t>
  </si>
  <si>
    <t>Body</t>
  </si>
  <si>
    <t>Stem</t>
  </si>
  <si>
    <t>Ball</t>
  </si>
  <si>
    <t>Seat</t>
  </si>
  <si>
    <t>Locks</t>
  </si>
  <si>
    <t>Valve lockable using padlock - Full Open, Fully Closed</t>
  </si>
  <si>
    <t>Operation</t>
  </si>
  <si>
    <t xml:space="preserve">Material </t>
  </si>
  <si>
    <r>
      <t>Body</t>
    </r>
    <r>
      <rPr>
        <sz val="9"/>
        <color theme="0"/>
        <rFont val="Arial"/>
        <family val="2"/>
      </rPr>
      <t xml:space="preserve"> Material</t>
    </r>
  </si>
  <si>
    <t>ASTM A182 F316L</t>
  </si>
  <si>
    <r>
      <t>Ball</t>
    </r>
    <r>
      <rPr>
        <sz val="9"/>
        <color theme="0"/>
        <rFont val="Arial"/>
        <family val="2"/>
      </rPr>
      <t xml:space="preserve"> Material</t>
    </r>
  </si>
  <si>
    <r>
      <t>Needle</t>
    </r>
    <r>
      <rPr>
        <sz val="9"/>
        <color theme="0"/>
        <rFont val="Arial"/>
        <family val="2"/>
      </rPr>
      <t xml:space="preserve"> Material</t>
    </r>
  </si>
  <si>
    <t>Forged - ASTM A182 F316L, Stellite Hard Tip</t>
  </si>
  <si>
    <r>
      <t xml:space="preserve">Trim </t>
    </r>
    <r>
      <rPr>
        <sz val="9"/>
        <color theme="0"/>
        <rFont val="Arial"/>
        <family val="2"/>
      </rPr>
      <t>Material</t>
    </r>
  </si>
  <si>
    <t>Forged - ASTM A182 F316L</t>
  </si>
  <si>
    <r>
      <t xml:space="preserve">Seat </t>
    </r>
    <r>
      <rPr>
        <sz val="9"/>
        <color theme="0"/>
        <rFont val="Arial"/>
        <family val="2"/>
      </rPr>
      <t>Material</t>
    </r>
  </si>
  <si>
    <t>PEEK</t>
  </si>
  <si>
    <r>
      <t xml:space="preserve">Stem </t>
    </r>
    <r>
      <rPr>
        <sz val="9"/>
        <color theme="0"/>
        <rFont val="Arial"/>
        <family val="2"/>
      </rPr>
      <t>Material</t>
    </r>
  </si>
  <si>
    <r>
      <t xml:space="preserve">Gland </t>
    </r>
    <r>
      <rPr>
        <sz val="9"/>
        <color theme="0"/>
        <rFont val="Arial"/>
        <family val="2"/>
      </rPr>
      <t>Material</t>
    </r>
  </si>
  <si>
    <t>Gland Packing</t>
  </si>
  <si>
    <t>Flexible graphite with Braided (Non asbestos, yarn reinforced with Inconel, corrosion inhibitor), Renewable</t>
  </si>
  <si>
    <t>Spring</t>
  </si>
  <si>
    <t>Lever / Handwheel</t>
  </si>
  <si>
    <t>Solid ASTM A47 HDG/ ASTM A220 HDG/ SS316</t>
  </si>
  <si>
    <t>Gaskets</t>
  </si>
  <si>
    <t>ASME B 16.20, OCT ring of SS316L with Max. Hardness of 160 BHN</t>
  </si>
  <si>
    <t>Bolts</t>
  </si>
  <si>
    <t>ASTM A 320 Gr. L7M, XYLAR 2 + XYLAN 1070 coated with minimum combined thickness of 50μm</t>
  </si>
  <si>
    <t>Nuts</t>
  </si>
  <si>
    <t>ASTM A 194 Gr. 7ML, XYLAR 2 + XYLAN 1070 coated with minimum combined thickness of 50μm</t>
  </si>
  <si>
    <t>Marking - Purchaser’s Specification</t>
  </si>
  <si>
    <t>Hard marked with Valve Type on a stainless steel label, attached using tamper resistant stainless steel fastener, and with Unique Valve Tag Number</t>
  </si>
  <si>
    <t>Marking – Manufacturer</t>
  </si>
  <si>
    <t>MSS-SP-25</t>
  </si>
  <si>
    <t>Inspection – Testing</t>
  </si>
  <si>
    <t>ASME B16.34, API 598</t>
  </si>
  <si>
    <t>Leakage Rate</t>
  </si>
  <si>
    <t>As per API 598</t>
  </si>
  <si>
    <t>Hydrotest Shell Test Pressure</t>
  </si>
  <si>
    <t>186.15 barg</t>
  </si>
  <si>
    <t>Hydrotest Closure Test Pressure</t>
  </si>
  <si>
    <t>136.51 barg</t>
  </si>
  <si>
    <t>Pneumatic LP Test Pressure</t>
  </si>
  <si>
    <t>5.5 barg</t>
  </si>
  <si>
    <t>Material Certification</t>
  </si>
  <si>
    <t>Pressure Retaining Parts EN 10204 3.2, Other parts EN 10204 3.1</t>
  </si>
  <si>
    <t>Fire Rating</t>
  </si>
  <si>
    <t>API 607 / ISO 10497 (For Floating Ball Valve), API 6FA (For Trunnion Ball Valve)</t>
  </si>
  <si>
    <t>Finish</t>
  </si>
  <si>
    <t>Note.</t>
  </si>
  <si>
    <t>1. This data sheet shall be completed and returned with the quotation. Failure to return the completed data sheet will deem the offer technically not acceptable.</t>
  </si>
  <si>
    <t>3. Hydrostatic shell test pressure shall be 1.5 times of Max. design pressure, and hydraulic seat test shall be 1.1 times of Max. design pressure for seats.</t>
  </si>
  <si>
    <t>4. Ball, Stem and Gland material shall be forged, Castings are not acceptable.</t>
  </si>
  <si>
    <t>5. All stud bolts and nuts shall be XYLAR 2 + XYLAN 1070 coated with minimum combined thickness of 50μm.</t>
  </si>
  <si>
    <t xml:space="preserve">  </t>
  </si>
  <si>
    <t>T50B, T60B</t>
  </si>
  <si>
    <t>310.2 barg</t>
  </si>
  <si>
    <t>227.48 barg</t>
  </si>
  <si>
    <t>T50C, T60C</t>
  </si>
  <si>
    <t>517.05 barg</t>
  </si>
  <si>
    <t>379.17 barg</t>
  </si>
  <si>
    <t>NEEDLE VALVE FOR INSTRUMENTATION</t>
  </si>
  <si>
    <t>NEET50AF</t>
  </si>
  <si>
    <t>Needle Valve for instrumentation</t>
  </si>
  <si>
    <t>OD Tube Connection or NPT Female</t>
  </si>
  <si>
    <t>Inside Screw Stem</t>
  </si>
  <si>
    <t>Bonnet</t>
  </si>
  <si>
    <t>Unnion Bonnet</t>
  </si>
  <si>
    <t>Lever / T-Bar (Needle), with Position Indicator</t>
  </si>
  <si>
    <t>NEET50CF</t>
  </si>
  <si>
    <t>NEET50BF</t>
  </si>
  <si>
    <t>Sheet Index</t>
  </si>
  <si>
    <t>S.NO</t>
  </si>
  <si>
    <t>VDS</t>
  </si>
  <si>
    <t>Seat Material</t>
  </si>
  <si>
    <t>Page No</t>
  </si>
  <si>
    <t>Needle Valve</t>
  </si>
  <si>
    <t>Stem Material</t>
  </si>
  <si>
    <t>1.15 - PIPING MATERIAL SPECIFICATION INDEX</t>
  </si>
  <si>
    <t>SL No.</t>
  </si>
  <si>
    <t>SPEC</t>
  </si>
  <si>
    <t>RATING</t>
  </si>
  <si>
    <t>ASME MATERIAL GROUP</t>
  </si>
  <si>
    <t>PIPE MATERIAL</t>
  </si>
  <si>
    <t>CORROSION ALLOWANCE</t>
  </si>
  <si>
    <t>SERVICE</t>
  </si>
  <si>
    <t>MaxPressure @ Min Temp (barg)</t>
  </si>
  <si>
    <t>MaxPressure @ Max Temp (barg)</t>
  </si>
  <si>
    <t>Sheet No.</t>
  </si>
  <si>
    <t>Temperature</t>
  </si>
  <si>
    <t>A1</t>
  </si>
  <si>
    <t>150#</t>
  </si>
  <si>
    <t>CS</t>
  </si>
  <si>
    <t>3 mm</t>
  </si>
  <si>
    <r>
      <t>Cooling Water, Diesel, Steam, WI, HC with low CO</t>
    </r>
    <r>
      <rPr>
        <vertAlign val="subscript"/>
        <sz val="11"/>
        <rFont val="Aptos Narrow"/>
        <family val="2"/>
        <scheme val="minor"/>
      </rPr>
      <t>2</t>
    </r>
    <r>
      <rPr>
        <sz val="11"/>
        <rFont val="Aptos Narrow"/>
        <family val="2"/>
        <scheme val="minor"/>
      </rPr>
      <t xml:space="preserve"> and H</t>
    </r>
    <r>
      <rPr>
        <vertAlign val="subscript"/>
        <sz val="11"/>
        <rFont val="Aptos Narrow"/>
        <family val="2"/>
        <scheme val="minor"/>
      </rPr>
      <t>2</t>
    </r>
    <r>
      <rPr>
        <sz val="11"/>
        <rFont val="Aptos Narrow"/>
        <family val="2"/>
        <scheme val="minor"/>
      </rPr>
      <t>S, Fresh Water, Hydraulic, Nitrogen, Exhaust, Fuel Oil, Tank Air Vent</t>
    </r>
  </si>
  <si>
    <t>19.6 @ -29°C</t>
  </si>
  <si>
    <t>13.8 @ 200°C</t>
  </si>
  <si>
    <t>B1</t>
  </si>
  <si>
    <t>300#</t>
  </si>
  <si>
    <r>
      <t>Cooling Water, Diesel, WI, HC with low CO</t>
    </r>
    <r>
      <rPr>
        <vertAlign val="subscript"/>
        <sz val="11"/>
        <rFont val="Aptos Narrow"/>
        <family val="2"/>
        <scheme val="minor"/>
      </rPr>
      <t>2</t>
    </r>
    <r>
      <rPr>
        <sz val="11"/>
        <rFont val="Aptos Narrow"/>
        <family val="2"/>
        <scheme val="minor"/>
      </rPr>
      <t xml:space="preserve"> and H</t>
    </r>
    <r>
      <rPr>
        <vertAlign val="subscript"/>
        <sz val="11"/>
        <rFont val="Aptos Narrow"/>
        <family val="2"/>
        <scheme val="minor"/>
      </rPr>
      <t>2</t>
    </r>
    <r>
      <rPr>
        <sz val="11"/>
        <rFont val="Aptos Narrow"/>
        <family val="2"/>
        <scheme val="minor"/>
      </rPr>
      <t>S, Steam, Hydraulic</t>
    </r>
  </si>
  <si>
    <t>51.1 @ -29°C</t>
  </si>
  <si>
    <t>43.8 @ 200°C</t>
  </si>
  <si>
    <t>D1</t>
  </si>
  <si>
    <t>600#</t>
  </si>
  <si>
    <t>102.1 @ -29°C</t>
  </si>
  <si>
    <t>87.6 @ 200°C</t>
  </si>
  <si>
    <t>E1</t>
  </si>
  <si>
    <t>900#</t>
  </si>
  <si>
    <r>
      <t>Diesel, WI, HC with low CO</t>
    </r>
    <r>
      <rPr>
        <vertAlign val="subscript"/>
        <sz val="11"/>
        <rFont val="Aptos Narrow"/>
        <family val="2"/>
        <scheme val="minor"/>
      </rPr>
      <t>2</t>
    </r>
    <r>
      <rPr>
        <sz val="11"/>
        <rFont val="Aptos Narrow"/>
        <family val="2"/>
        <scheme val="minor"/>
      </rPr>
      <t xml:space="preserve"> and H</t>
    </r>
    <r>
      <rPr>
        <vertAlign val="subscript"/>
        <sz val="11"/>
        <rFont val="Aptos Narrow"/>
        <family val="2"/>
        <scheme val="minor"/>
      </rPr>
      <t>2</t>
    </r>
    <r>
      <rPr>
        <sz val="11"/>
        <rFont val="Aptos Narrow"/>
        <family val="2"/>
        <scheme val="minor"/>
      </rPr>
      <t>S, Steam, Hydraulic</t>
    </r>
  </si>
  <si>
    <t>153.2 @ -29°C</t>
  </si>
  <si>
    <t>131.4 @ 200°C</t>
  </si>
  <si>
    <t>F1</t>
  </si>
  <si>
    <t>1500#</t>
  </si>
  <si>
    <t>255.3 @ -29°C</t>
  </si>
  <si>
    <t>219 @ 200°C</t>
  </si>
  <si>
    <t>G1</t>
  </si>
  <si>
    <t>2500#</t>
  </si>
  <si>
    <t>HC with low CO2 and H2S, Steam, Hydraulic</t>
  </si>
  <si>
    <t>399.8 @ -29°C</t>
  </si>
  <si>
    <t>342.9 @ 200°C</t>
  </si>
  <si>
    <t>A1N</t>
  </si>
  <si>
    <t>CS NACE</t>
  </si>
  <si>
    <t>Glycol, FG, HC service</t>
  </si>
  <si>
    <t>13.8 @ 250°C</t>
  </si>
  <si>
    <t>B1N</t>
  </si>
  <si>
    <t>43.8 @ 250°C</t>
  </si>
  <si>
    <t>D1N</t>
  </si>
  <si>
    <t>87.6 @ 250°C</t>
  </si>
  <si>
    <t>E1N</t>
  </si>
  <si>
    <t>131.4 @ 250°C</t>
  </si>
  <si>
    <t>F1N</t>
  </si>
  <si>
    <t>G1N</t>
  </si>
  <si>
    <t>A2</t>
  </si>
  <si>
    <t>6 mm</t>
  </si>
  <si>
    <t>Crude Oil</t>
  </si>
  <si>
    <t>A2N</t>
  </si>
  <si>
    <t>Corrosive HC service</t>
  </si>
  <si>
    <t>B2N</t>
  </si>
  <si>
    <t>D2N</t>
  </si>
  <si>
    <t>E2N</t>
  </si>
  <si>
    <t>F2N</t>
  </si>
  <si>
    <t>G2N</t>
  </si>
  <si>
    <t>A1LN</t>
  </si>
  <si>
    <t>LTCS NACE</t>
  </si>
  <si>
    <t>Flare, Corrosive HC service (Low Temp)</t>
  </si>
  <si>
    <t>19.6 @ -45°C</t>
  </si>
  <si>
    <t>B1LN</t>
  </si>
  <si>
    <t>51.1 @ -45°C</t>
  </si>
  <si>
    <t>D1LN</t>
  </si>
  <si>
    <t>Corrosive HC service (Low Temp)</t>
  </si>
  <si>
    <t>102.1 @ -45°C</t>
  </si>
  <si>
    <t>E1LN</t>
  </si>
  <si>
    <t>153.2 @ -45°C</t>
  </si>
  <si>
    <t>F1LN</t>
  </si>
  <si>
    <t>255.3 @ -45°C</t>
  </si>
  <si>
    <t>G1LN</t>
  </si>
  <si>
    <t>Gas Lift, Corrosive HC service (Low Temp)</t>
  </si>
  <si>
    <t>A2LN</t>
  </si>
  <si>
    <t>B2LN</t>
  </si>
  <si>
    <t>D2LN</t>
  </si>
  <si>
    <t>E2LN</t>
  </si>
  <si>
    <t>F2LN</t>
  </si>
  <si>
    <t>G2LN</t>
  </si>
  <si>
    <t>A3</t>
  </si>
  <si>
    <t>CS GALV (Valve: SS)</t>
  </si>
  <si>
    <t>Utility Water</t>
  </si>
  <si>
    <t>19 @ -29°C</t>
  </si>
  <si>
    <t xml:space="preserve"> 16.2 @ 100°C</t>
  </si>
  <si>
    <t>A4</t>
  </si>
  <si>
    <t>1.5 mm</t>
  </si>
  <si>
    <t>Bilge, drain, sewage, produced water, C02 Gas</t>
  </si>
  <si>
    <t>B4</t>
  </si>
  <si>
    <t>D4</t>
  </si>
  <si>
    <t>A5</t>
  </si>
  <si>
    <t>CS GALV</t>
  </si>
  <si>
    <t>Chemical (penetration), Firewater (penetration), Seawater (penetration), Ballast, Inert Gas, COW/Tank Cleaning, Slop, Stripping, Seawater</t>
  </si>
  <si>
    <t>A6</t>
  </si>
  <si>
    <t>CS - Epoxy Lined</t>
  </si>
  <si>
    <t>Ballast, Inert Gas, COW/Tank Cleaning, Slop, Seawater, Firewater</t>
  </si>
  <si>
    <t>A10</t>
  </si>
  <si>
    <t>SS316L</t>
  </si>
  <si>
    <t>NIL</t>
  </si>
  <si>
    <t>Air, Nitrogen, Lube oil, Chemical, Foam, hydraulic, Instrument Air, Diesel Fuel</t>
  </si>
  <si>
    <t>15.9 @ -100°C</t>
  </si>
  <si>
    <t>11.2 @ 200°C</t>
  </si>
  <si>
    <t>B10</t>
  </si>
  <si>
    <t>Air, Nitrogen, Lube oil, Chemical, Foam, Hydraulic, Instrument Air, Diesel Fuel</t>
  </si>
  <si>
    <t>41.4 @ -100°C</t>
  </si>
  <si>
    <t>29.2 @ 200°C</t>
  </si>
  <si>
    <t>D10</t>
  </si>
  <si>
    <t>Air, Nitrogen, Lube oil, Chemical, Hydraulic</t>
  </si>
  <si>
    <t>82.7 @ -100°C</t>
  </si>
  <si>
    <t>58.3 @ 200°C</t>
  </si>
  <si>
    <t>E10</t>
  </si>
  <si>
    <t>124.1 @ -100°C</t>
  </si>
  <si>
    <t>87.5 @ 200°C</t>
  </si>
  <si>
    <t>F10</t>
  </si>
  <si>
    <t>206.8 @ -100°C</t>
  </si>
  <si>
    <t>145.8 @ 200°C</t>
  </si>
  <si>
    <t>G10</t>
  </si>
  <si>
    <t>344.7 @ -100°C</t>
  </si>
  <si>
    <t>243 @ 200°C</t>
  </si>
  <si>
    <t>A10N</t>
  </si>
  <si>
    <t>SS316L NACE</t>
  </si>
  <si>
    <t>Glycol, Corrosive HC service</t>
  </si>
  <si>
    <t>B10N</t>
  </si>
  <si>
    <t>D10N</t>
  </si>
  <si>
    <t>E10N</t>
  </si>
  <si>
    <t>F10N</t>
  </si>
  <si>
    <t>G10N</t>
  </si>
  <si>
    <t>A20N</t>
  </si>
  <si>
    <t>DSS NACE</t>
  </si>
  <si>
    <t>20 @ -46°C</t>
  </si>
  <si>
    <t>B20N</t>
  </si>
  <si>
    <t>51.7 @ -46°C</t>
  </si>
  <si>
    <t>42.7 @ 200°C</t>
  </si>
  <si>
    <t>D20N</t>
  </si>
  <si>
    <t>103.4 @ -46°C</t>
  </si>
  <si>
    <t>85.3 @ 200°C</t>
  </si>
  <si>
    <t>E20N</t>
  </si>
  <si>
    <t>155.1 @ -46°C</t>
  </si>
  <si>
    <t>128 @ 200°C</t>
  </si>
  <si>
    <t>F20N</t>
  </si>
  <si>
    <t>258.6 @ -46°C</t>
  </si>
  <si>
    <t>213.3 @ 200°C</t>
  </si>
  <si>
    <t>G20N</t>
  </si>
  <si>
    <t>430.9 @ -46°C</t>
  </si>
  <si>
    <t>355.4 @ 200°C</t>
  </si>
  <si>
    <t>A25</t>
  </si>
  <si>
    <t>SDSS</t>
  </si>
  <si>
    <t>Firewater, Raw Seawater and Topsides Seawater</t>
  </si>
  <si>
    <t>G25</t>
  </si>
  <si>
    <t>Topside Seawater and Water Injection</t>
  </si>
  <si>
    <t>A25N</t>
  </si>
  <si>
    <t>SDSS NACE</t>
  </si>
  <si>
    <t>B25N</t>
  </si>
  <si>
    <t>D25N</t>
  </si>
  <si>
    <t>E25N</t>
  </si>
  <si>
    <t>F25N</t>
  </si>
  <si>
    <t>G25N</t>
  </si>
  <si>
    <t>A30</t>
  </si>
  <si>
    <t>EEMUA 20 bar</t>
  </si>
  <si>
    <t>CuNi (Valve: NAB)</t>
  </si>
  <si>
    <t>Raw Sea Water, Fire Water</t>
  </si>
  <si>
    <t>20 @ 0°C</t>
  </si>
  <si>
    <t>17.3 @ 100°C</t>
  </si>
  <si>
    <t>A31</t>
  </si>
  <si>
    <t>Copper</t>
  </si>
  <si>
    <t>Potable Water</t>
  </si>
  <si>
    <t>A40</t>
  </si>
  <si>
    <t>GRE (Valve: NAB)</t>
  </si>
  <si>
    <t>Raw Sea Water</t>
  </si>
  <si>
    <t>20 @ 90°C</t>
  </si>
  <si>
    <t>A41</t>
  </si>
  <si>
    <t>Hypochlorite</t>
  </si>
  <si>
    <t>16.32 @ 0°C</t>
  </si>
  <si>
    <t>16.32 @ 82°C</t>
  </si>
  <si>
    <t>A42</t>
  </si>
  <si>
    <t>CPVC (Valve: NAB)</t>
  </si>
  <si>
    <t>Sewage, Hypochlorite</t>
  </si>
  <si>
    <t>SS 316 / 316L (Tubing)</t>
  </si>
  <si>
    <t>Chemical Injection (Except Hypochlorite)</t>
  </si>
  <si>
    <t>125 @ 0°C</t>
  </si>
  <si>
    <t>116 @ 60°C</t>
  </si>
  <si>
    <t>206 @ 0°C</t>
  </si>
  <si>
    <t>200 @ 60°C</t>
  </si>
  <si>
    <t>325 @ 0°C</t>
  </si>
  <si>
    <t>325 @ 60°C</t>
  </si>
  <si>
    <t>T60A</t>
  </si>
  <si>
    <t>6 MO Tubing</t>
  </si>
  <si>
    <t>T60B</t>
  </si>
  <si>
    <t>T60C</t>
  </si>
  <si>
    <t xml:space="preserve">Tapered Soft Seated, </t>
  </si>
  <si>
    <t>Rev</t>
  </si>
  <si>
    <t>50502-SPE-80000-PP-SP-0002</t>
  </si>
  <si>
    <t>General Specification for Paint and Protective Coating doc : 50502-SPE-80000-ME-SP-XXXX</t>
  </si>
  <si>
    <t>2. Data sheet shall be read in conjunction with Piping Material Specification, Doc No. 50502-SPE-80000-PP-SP-0001.</t>
  </si>
  <si>
    <t>C0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</si>
</sst>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Aptos Narrow"/>
      <family val="2"/>
      <scheme val="minor"/>
    </font>
    <font>
      <sz val="9"/>
      <color theme="1"/>
      <name val="Arial"/>
      <family val="2"/>
    </font>
    <font>
      <b/>
      <sz val="14"/>
      <color indexed="8"/>
      <name val="Arial"/>
      <family val="2"/>
    </font>
    <font>
      <sz val="8"/>
      <color theme="1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sz val="9"/>
      <color theme="0"/>
      <name val="Arial"/>
      <family val="2"/>
    </font>
    <font>
      <sz val="9"/>
      <name val="Arial"/>
      <family val="2"/>
    </font>
    <font>
      <u/>
      <sz val="11"/>
      <color theme="1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6"/>
      <name val="Aptos Narrow"/>
      <family val="2"/>
      <scheme val="minor"/>
    </font>
    <font>
      <b/>
      <sz val="11"/>
      <name val="Aptos Narrow"/>
      <family val="2"/>
      <scheme val="minor"/>
    </font>
    <font>
      <vertAlign val="subscript"/>
      <sz val="11"/>
      <name val="Aptos Narrow"/>
      <family val="2"/>
      <scheme val="minor"/>
    </font>
    <font>
      <b/>
      <sz val="12"/>
      <name val="Aptos Narrow"/>
      <family val="2"/>
      <scheme val="minor"/>
    </font>
    <font>
      <b/>
      <u/>
      <sz val="11"/>
      <name val="Aptos Narrow"/>
      <family val="2"/>
      <scheme val="minor"/>
    </font>
    <font>
      <u/>
      <sz val="1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3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92">
    <xf numFmtId="0" fontId="0" fillId="0" borderId="0" xfId="0"/>
    <xf numFmtId="0" fontId="3" fillId="0" borderId="4" xfId="0" applyFont="1" applyBorder="1" applyAlignment="1">
      <alignment horizontal="left" vertical="center" wrapText="1"/>
    </xf>
    <xf numFmtId="0" fontId="1" fillId="0" borderId="0" xfId="0" applyFont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4" xfId="0" quotePrefix="1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1" fillId="0" borderId="0" xfId="0" applyFont="1"/>
    <xf numFmtId="0" fontId="5" fillId="0" borderId="4" xfId="0" applyFont="1" applyBorder="1" applyAlignment="1" applyProtection="1">
      <alignment horizontal="left" vertical="top" wrapText="1"/>
      <protection locked="0"/>
    </xf>
    <xf numFmtId="0" fontId="5" fillId="0" borderId="4" xfId="0" applyFont="1" applyBorder="1" applyAlignment="1" applyProtection="1">
      <alignment horizontal="left" vertical="top" wrapText="1" indent="1"/>
      <protection locked="0"/>
    </xf>
    <xf numFmtId="0" fontId="5" fillId="0" borderId="4" xfId="0" applyFont="1" applyBorder="1" applyAlignment="1" applyProtection="1">
      <alignment horizontal="left" vertical="center" wrapText="1"/>
      <protection locked="0"/>
    </xf>
    <xf numFmtId="0" fontId="5" fillId="0" borderId="3" xfId="0" applyFont="1" applyBorder="1" applyAlignment="1" applyProtection="1">
      <alignment horizontal="left" vertical="top" wrapText="1" indent="1"/>
      <protection locked="0"/>
    </xf>
    <xf numFmtId="0" fontId="5" fillId="0" borderId="4" xfId="0" applyFont="1" applyBorder="1" applyAlignment="1" applyProtection="1">
      <alignment horizontal="left" vertical="center" wrapText="1" indent="1"/>
      <protection locked="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/>
    <xf numFmtId="0" fontId="1" fillId="0" borderId="2" xfId="0" applyFont="1" applyBorder="1"/>
    <xf numFmtId="0" fontId="1" fillId="0" borderId="1" xfId="0" applyFont="1" applyBorder="1"/>
    <xf numFmtId="0" fontId="1" fillId="0" borderId="5" xfId="0" applyFont="1" applyBorder="1"/>
    <xf numFmtId="0" fontId="1" fillId="0" borderId="6" xfId="0" applyFont="1" applyBorder="1"/>
    <xf numFmtId="0" fontId="9" fillId="0" borderId="15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0" borderId="19" xfId="0" applyFont="1" applyBorder="1" applyAlignment="1">
      <alignment horizontal="center" vertical="center"/>
    </xf>
    <xf numFmtId="0" fontId="9" fillId="0" borderId="19" xfId="0" applyFont="1" applyBorder="1" applyAlignment="1">
      <alignment horizontal="center" vertical="center" wrapText="1"/>
    </xf>
    <xf numFmtId="0" fontId="9" fillId="0" borderId="2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0" fillId="0" borderId="21" xfId="0" applyFont="1" applyBorder="1" applyAlignment="1">
      <alignment horizontal="center" vertical="center"/>
    </xf>
    <xf numFmtId="0" fontId="10" fillId="0" borderId="21" xfId="0" applyFont="1" applyBorder="1" applyAlignment="1">
      <alignment horizontal="center" vertical="center" wrapText="1"/>
    </xf>
    <xf numFmtId="0" fontId="10" fillId="0" borderId="22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 wrapText="1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10" fillId="0" borderId="25" xfId="0" applyFont="1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10" fillId="0" borderId="27" xfId="0" applyFont="1" applyBorder="1" applyAlignment="1">
      <alignment horizontal="center" vertical="center"/>
    </xf>
    <xf numFmtId="0" fontId="10" fillId="0" borderId="27" xfId="0" applyFont="1" applyBorder="1" applyAlignment="1">
      <alignment horizontal="center" vertical="center" wrapText="1"/>
    </xf>
    <xf numFmtId="0" fontId="10" fillId="0" borderId="28" xfId="0" applyFont="1" applyBorder="1" applyAlignment="1">
      <alignment horizontal="center" vertical="center"/>
    </xf>
    <xf numFmtId="0" fontId="0" fillId="0" borderId="29" xfId="0" applyBorder="1" applyAlignment="1">
      <alignment horizontal="center"/>
    </xf>
    <xf numFmtId="0" fontId="0" fillId="0" borderId="30" xfId="0" applyBorder="1"/>
    <xf numFmtId="0" fontId="11" fillId="0" borderId="15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11" fillId="0" borderId="17" xfId="0" applyFont="1" applyBorder="1" applyAlignment="1">
      <alignment vertical="center"/>
    </xf>
    <xf numFmtId="0" fontId="12" fillId="0" borderId="31" xfId="0" applyFont="1" applyBorder="1" applyAlignment="1">
      <alignment horizontal="center" vertical="center" wrapText="1"/>
    </xf>
    <xf numFmtId="0" fontId="12" fillId="0" borderId="32" xfId="0" applyFont="1" applyBorder="1" applyAlignment="1">
      <alignment horizontal="center" vertical="center" wrapText="1"/>
    </xf>
    <xf numFmtId="0" fontId="12" fillId="0" borderId="33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 shrinkToFit="1"/>
    </xf>
    <xf numFmtId="0" fontId="10" fillId="0" borderId="4" xfId="0" quotePrefix="1" applyFont="1" applyBorder="1" applyAlignment="1">
      <alignment horizontal="center" vertical="center"/>
    </xf>
    <xf numFmtId="0" fontId="10" fillId="0" borderId="26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4" fillId="0" borderId="16" xfId="0" applyFont="1" applyBorder="1" applyAlignment="1">
      <alignment horizontal="center" vertical="center"/>
    </xf>
    <xf numFmtId="0" fontId="14" fillId="0" borderId="19" xfId="0" applyFont="1" applyBorder="1" applyAlignment="1">
      <alignment horizontal="center" vertical="center"/>
    </xf>
    <xf numFmtId="0" fontId="15" fillId="0" borderId="0" xfId="0" applyFont="1" applyAlignment="1">
      <alignment horizontal="center"/>
    </xf>
    <xf numFmtId="0" fontId="16" fillId="0" borderId="21" xfId="1" applyFont="1" applyBorder="1" applyAlignment="1">
      <alignment horizontal="center"/>
    </xf>
    <xf numFmtId="0" fontId="16" fillId="0" borderId="4" xfId="1" applyFont="1" applyBorder="1" applyAlignment="1">
      <alignment horizontal="center"/>
    </xf>
    <xf numFmtId="0" fontId="16" fillId="0" borderId="27" xfId="1" applyFont="1" applyBorder="1" applyAlignment="1">
      <alignment horizontal="center"/>
    </xf>
    <xf numFmtId="0" fontId="10" fillId="0" borderId="0" xfId="0" applyFont="1" applyAlignment="1">
      <alignment horizontal="center"/>
    </xf>
    <xf numFmtId="0" fontId="9" fillId="0" borderId="5" xfId="0" applyFont="1" applyBorder="1" applyAlignment="1">
      <alignment horizontal="center" vertical="center"/>
    </xf>
    <xf numFmtId="0" fontId="1" fillId="0" borderId="8" xfId="0" applyFont="1" applyBorder="1" applyAlignment="1">
      <alignment horizontal="left"/>
    </xf>
    <xf numFmtId="0" fontId="1" fillId="0" borderId="14" xfId="0" applyFont="1" applyBorder="1" applyAlignment="1">
      <alignment horizontal="left"/>
    </xf>
    <xf numFmtId="0" fontId="1" fillId="0" borderId="9" xfId="0" applyFont="1" applyBorder="1" applyAlignment="1">
      <alignment horizontal="left"/>
    </xf>
    <xf numFmtId="0" fontId="5" fillId="0" borderId="3" xfId="0" applyFont="1" applyBorder="1" applyAlignment="1" applyProtection="1">
      <alignment horizontal="left" vertical="top" wrapText="1"/>
      <protection locked="0"/>
    </xf>
    <xf numFmtId="0" fontId="1" fillId="0" borderId="5" xfId="0" applyFont="1" applyBorder="1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1" fillId="0" borderId="6" xfId="0" applyFont="1" applyBorder="1" applyAlignment="1">
      <alignment horizontal="left" vertical="top" wrapText="1"/>
    </xf>
    <xf numFmtId="0" fontId="1" fillId="0" borderId="5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" fillId="0" borderId="6" xfId="0" applyFont="1" applyBorder="1" applyAlignment="1">
      <alignment horizontal="left"/>
    </xf>
    <xf numFmtId="0" fontId="5" fillId="0" borderId="11" xfId="0" applyFont="1" applyBorder="1" applyAlignment="1" applyProtection="1">
      <alignment horizontal="left" vertical="center" wrapText="1"/>
      <protection locked="0"/>
    </xf>
    <xf numFmtId="0" fontId="5" fillId="0" borderId="12" xfId="0" applyFont="1" applyBorder="1" applyAlignment="1" applyProtection="1">
      <alignment horizontal="left" vertical="center" wrapText="1"/>
      <protection locked="0"/>
    </xf>
    <xf numFmtId="0" fontId="5" fillId="0" borderId="4" xfId="0" applyFont="1" applyBorder="1" applyAlignment="1" applyProtection="1">
      <alignment horizontal="left" vertical="top" wrapText="1"/>
      <protection locked="0"/>
    </xf>
    <xf numFmtId="0" fontId="5" fillId="0" borderId="4" xfId="0" applyFont="1" applyBorder="1" applyAlignment="1" applyProtection="1">
      <alignment horizontal="left" vertical="center" wrapText="1"/>
      <protection locked="0"/>
    </xf>
    <xf numFmtId="0" fontId="5" fillId="0" borderId="1" xfId="0" applyFont="1" applyBorder="1" applyAlignment="1" applyProtection="1">
      <alignment horizontal="left" vertical="top" wrapText="1"/>
      <protection locked="0"/>
    </xf>
    <xf numFmtId="0" fontId="5" fillId="0" borderId="2" xfId="0" applyFont="1" applyBorder="1" applyAlignment="1" applyProtection="1">
      <alignment horizontal="left" vertical="top" wrapText="1"/>
      <protection locked="0"/>
    </xf>
    <xf numFmtId="0" fontId="5" fillId="0" borderId="1" xfId="0" applyFont="1" applyBorder="1" applyAlignment="1" applyProtection="1">
      <alignment horizontal="left" vertical="center" wrapText="1"/>
      <protection locked="0"/>
    </xf>
    <xf numFmtId="0" fontId="5" fillId="0" borderId="2" xfId="0" applyFont="1" applyBorder="1" applyAlignment="1" applyProtection="1">
      <alignment horizontal="left" vertical="center" wrapText="1"/>
      <protection locked="0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4" fillId="0" borderId="4" xfId="0" applyFont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2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Structure" Target="richData/rdrichvaluestructure.xml"/><Relationship Id="rId5" Type="http://schemas.openxmlformats.org/officeDocument/2006/relationships/theme" Target="theme/theme1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microsoft.com/office/2022/10/relationships/richValueRel" Target="richData/richValueRel.xml"/><Relationship Id="rId14" Type="http://schemas.microsoft.com/office/2006/relationships/vbaProject" Target="vbaProject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30285-1A07-4971-AA04-BB9A7A08FD05}">
  <sheetPr codeName="Sheet1"/>
  <dimension ref="A1:V76"/>
  <sheetViews>
    <sheetView tabSelected="1" view="pageBreakPreview" topLeftCell="C1" zoomScaleNormal="100" zoomScaleSheetLayoutView="100" workbookViewId="0">
      <selection activeCell="H22" sqref="H22"/>
    </sheetView>
  </sheetViews>
  <sheetFormatPr defaultRowHeight="15" x14ac:dyDescent="0.25"/>
  <cols>
    <col min="1" max="1" width="8.7109375" style="27" bestFit="1" customWidth="1"/>
    <col min="2" max="2" width="19.140625" style="62" bestFit="1" customWidth="1"/>
    <col min="3" max="3" width="16.7109375" bestFit="1" customWidth="1"/>
    <col min="4" max="4" width="33.7109375" bestFit="1" customWidth="1"/>
    <col min="5" max="5" width="38.28515625" bestFit="1" customWidth="1"/>
    <col min="6" max="6" width="28.28515625" bestFit="1" customWidth="1"/>
    <col min="7" max="7" width="19.140625" bestFit="1" customWidth="1"/>
    <col min="8" max="8" width="17.85546875" bestFit="1" customWidth="1"/>
    <col min="9" max="9" width="12.85546875" bestFit="1" customWidth="1"/>
    <col min="12" max="12" width="6.28515625" style="54" bestFit="1" customWidth="1"/>
    <col min="13" max="13" width="8.85546875" style="54" bestFit="1"/>
    <col min="14" max="14" width="12.7109375" style="54" customWidth="1"/>
    <col min="15" max="15" width="22.140625" style="54" bestFit="1" customWidth="1"/>
    <col min="16" max="16" width="17.85546875" style="54" bestFit="1" customWidth="1"/>
    <col min="17" max="17" width="61" style="54" bestFit="1" customWidth="1"/>
    <col min="18" max="18" width="115.28515625" style="55" bestFit="1" customWidth="1"/>
    <col min="19" max="19" width="29" style="54" bestFit="1" customWidth="1"/>
    <col min="20" max="20" width="29.28515625" style="54" bestFit="1" customWidth="1"/>
    <col min="21" max="21" width="9.42578125" style="54" customWidth="1"/>
    <col min="22" max="22" width="27" bestFit="1" customWidth="1"/>
  </cols>
  <sheetData>
    <row r="1" spans="1:22" ht="21.75" thickBot="1" x14ac:dyDescent="0.3">
      <c r="A1" s="19" t="s">
        <v>94</v>
      </c>
      <c r="B1" s="56" t="s">
        <v>95</v>
      </c>
      <c r="C1" s="20" t="s">
        <v>7</v>
      </c>
      <c r="D1" s="20" t="s">
        <v>9</v>
      </c>
      <c r="E1" s="21" t="s">
        <v>18</v>
      </c>
      <c r="F1" s="20" t="s">
        <v>99</v>
      </c>
      <c r="G1" s="20" t="s">
        <v>96</v>
      </c>
      <c r="H1" s="20" t="s">
        <v>5</v>
      </c>
      <c r="I1" s="22" t="s">
        <v>97</v>
      </c>
      <c r="J1" s="63" t="s">
        <v>295</v>
      </c>
      <c r="L1" s="42"/>
      <c r="M1" s="43"/>
      <c r="N1" s="43"/>
      <c r="O1" s="43"/>
      <c r="P1" s="43"/>
      <c r="Q1" s="43" t="s">
        <v>100</v>
      </c>
      <c r="R1" s="43"/>
      <c r="S1" s="43"/>
      <c r="T1" s="43"/>
      <c r="U1" s="44"/>
    </row>
    <row r="2" spans="1:22" ht="30.75" thickBot="1" x14ac:dyDescent="0.3">
      <c r="A2" s="23"/>
      <c r="B2" s="57" t="s">
        <v>98</v>
      </c>
      <c r="C2" s="24"/>
      <c r="D2" s="24"/>
      <c r="E2" s="25"/>
      <c r="F2" s="24"/>
      <c r="G2" s="24"/>
      <c r="H2" s="24"/>
      <c r="I2" s="26"/>
      <c r="L2" s="45" t="s">
        <v>101</v>
      </c>
      <c r="M2" s="46" t="s">
        <v>102</v>
      </c>
      <c r="N2" s="46" t="s">
        <v>103</v>
      </c>
      <c r="O2" s="46" t="s">
        <v>104</v>
      </c>
      <c r="P2" s="46" t="s">
        <v>105</v>
      </c>
      <c r="Q2" s="46" t="s">
        <v>106</v>
      </c>
      <c r="R2" s="46" t="s">
        <v>107</v>
      </c>
      <c r="S2" s="46" t="s">
        <v>108</v>
      </c>
      <c r="T2" s="46" t="s">
        <v>109</v>
      </c>
      <c r="U2" s="47" t="s">
        <v>110</v>
      </c>
      <c r="V2" s="48" t="s">
        <v>111</v>
      </c>
    </row>
    <row r="3" spans="1:22" ht="18.75" thickBot="1" x14ac:dyDescent="0.3">
      <c r="A3" s="40"/>
      <c r="B3" s="58" t="s">
        <v>93</v>
      </c>
      <c r="I3" s="41"/>
      <c r="L3" s="49">
        <v>1</v>
      </c>
      <c r="M3" s="28" t="s">
        <v>112</v>
      </c>
      <c r="N3" s="28" t="s">
        <v>113</v>
      </c>
      <c r="O3" s="28">
        <v>1.1000000000000001</v>
      </c>
      <c r="P3" s="28" t="s">
        <v>114</v>
      </c>
      <c r="Q3" s="28" t="s">
        <v>115</v>
      </c>
      <c r="R3" s="29" t="s">
        <v>116</v>
      </c>
      <c r="S3" s="28" t="s">
        <v>117</v>
      </c>
      <c r="T3" s="28" t="s">
        <v>118</v>
      </c>
      <c r="U3" s="30">
        <v>23</v>
      </c>
      <c r="V3" t="str">
        <f>S3&amp;", "&amp;T3</f>
        <v>19.6 @ -29°C, 13.8 @ 200°C</v>
      </c>
    </row>
    <row r="4" spans="1:22" ht="18" x14ac:dyDescent="0.25">
      <c r="A4" s="33">
        <v>1</v>
      </c>
      <c r="B4" s="59" t="s">
        <v>84</v>
      </c>
      <c r="C4" s="28" t="str">
        <f ca="1">VLOOKUP($C$1,INDIRECT(""&amp;B4&amp;"!$A$5:$C$15"),3,FALSE)</f>
        <v>1/2" - 1 1/2"</v>
      </c>
      <c r="D4" s="28" t="str">
        <f ca="1">VLOOKUP($D$1,INDIRECT(""&amp;B4&amp;"!$A$5:$C$15"),3,FALSE)</f>
        <v>Needle Valve for instrumentation</v>
      </c>
      <c r="E4" s="29" t="str">
        <f ca="1">VLOOKUP($E$1,INDIRECT(""&amp;B4&amp;"!$A$5:$C$15"),3,FALSE)</f>
        <v>OD Tube Connection or NPT Female</v>
      </c>
      <c r="F4" s="28" t="str">
        <f ca="1">VLOOKUP($F$1,INDIRECT(""&amp;B4&amp;"!$B$5:$C$35"),2,FALSE)</f>
        <v>Forged - ASTM A182 F316L</v>
      </c>
      <c r="G4" s="28" t="str">
        <f ca="1">VLOOKUP($G$1,INDIRECT(""&amp;B4&amp;"!$B$5:$C$35"),2,FALSE)</f>
        <v>PEEK</v>
      </c>
      <c r="H4" s="28" t="str">
        <f ca="1">VLOOKUP($H$1,INDIRECT(""&amp;B4&amp;"!$A$5:$C$15"),3,FALSE)</f>
        <v>T50A, T60A</v>
      </c>
      <c r="I4" s="30">
        <v>502</v>
      </c>
      <c r="J4" t="s">
        <v>299</v>
      </c>
      <c r="L4" s="50">
        <v>2</v>
      </c>
      <c r="M4" s="31" t="s">
        <v>119</v>
      </c>
      <c r="N4" s="31" t="s">
        <v>120</v>
      </c>
      <c r="O4" s="31">
        <v>1.1000000000000001</v>
      </c>
      <c r="P4" s="31" t="s">
        <v>114</v>
      </c>
      <c r="Q4" s="31" t="s">
        <v>115</v>
      </c>
      <c r="R4" s="32" t="s">
        <v>121</v>
      </c>
      <c r="S4" s="31" t="s">
        <v>122</v>
      </c>
      <c r="T4" s="31" t="s">
        <v>123</v>
      </c>
      <c r="U4" s="35">
        <v>24</v>
      </c>
      <c r="V4" t="str">
        <f t="shared" ref="V4:V67" si="0">S4&amp;", "&amp;T4</f>
        <v>51.1 @ -29°C, 43.8 @ 200°C</v>
      </c>
    </row>
    <row r="5" spans="1:22" ht="18" x14ac:dyDescent="0.25">
      <c r="A5" s="34">
        <v>2</v>
      </c>
      <c r="B5" s="60" t="s">
        <v>92</v>
      </c>
      <c r="C5" s="31" t="str">
        <f t="shared" ref="C5:C6" ca="1" si="1">VLOOKUP($C$1,INDIRECT(""&amp;B5&amp;"!$A$5:$C$15"),3,FALSE)</f>
        <v>1/2" - 1 1/2"</v>
      </c>
      <c r="D5" s="31" t="str">
        <f t="shared" ref="D5:D6" ca="1" si="2">VLOOKUP($D$1,INDIRECT(""&amp;B5&amp;"!$A$5:$C$15"),3,FALSE)</f>
        <v>Needle Valve for instrumentation</v>
      </c>
      <c r="E5" s="32" t="str">
        <f t="shared" ref="E5:E6" ca="1" si="3">VLOOKUP($E$1,INDIRECT(""&amp;B5&amp;"!$A$5:$C$15"),3,FALSE)</f>
        <v>OD Tube Connection or NPT Female</v>
      </c>
      <c r="F5" s="31" t="str">
        <f t="shared" ref="F5:F6" ca="1" si="4">VLOOKUP($F$1,INDIRECT(""&amp;B5&amp;"!$B$5:$C$35"),2,FALSE)</f>
        <v>Forged - ASTM A182 F316L</v>
      </c>
      <c r="G5" s="31" t="str">
        <f t="shared" ref="G5:G6" ca="1" si="5">VLOOKUP($G$1,INDIRECT(""&amp;B5&amp;"!$B$5:$C$35"),2,FALSE)</f>
        <v>PEEK</v>
      </c>
      <c r="H5" s="31" t="str">
        <f t="shared" ref="H5:H6" ca="1" si="6">VLOOKUP($H$1,INDIRECT(""&amp;B5&amp;"!$A$5:$C$15"),3,FALSE)</f>
        <v>T50B, T60B</v>
      </c>
      <c r="I5" s="35">
        <v>503</v>
      </c>
      <c r="J5" t="s">
        <v>299</v>
      </c>
      <c r="L5" s="50">
        <v>3</v>
      </c>
      <c r="M5" s="31" t="s">
        <v>124</v>
      </c>
      <c r="N5" s="31" t="s">
        <v>125</v>
      </c>
      <c r="O5" s="31">
        <v>1.1000000000000001</v>
      </c>
      <c r="P5" s="31" t="s">
        <v>114</v>
      </c>
      <c r="Q5" s="31" t="s">
        <v>115</v>
      </c>
      <c r="R5" s="32" t="s">
        <v>121</v>
      </c>
      <c r="S5" s="31" t="s">
        <v>126</v>
      </c>
      <c r="T5" s="31" t="s">
        <v>127</v>
      </c>
      <c r="U5" s="35">
        <v>25</v>
      </c>
      <c r="V5" t="str">
        <f t="shared" si="0"/>
        <v>102.1 @ -29°C, 87.6 @ 200°C</v>
      </c>
    </row>
    <row r="6" spans="1:22" ht="18.75" thickBot="1" x14ac:dyDescent="0.3">
      <c r="A6" s="36">
        <v>3</v>
      </c>
      <c r="B6" s="61" t="s">
        <v>91</v>
      </c>
      <c r="C6" s="37" t="str">
        <f t="shared" ca="1" si="1"/>
        <v>1/2" - 1 1/2"</v>
      </c>
      <c r="D6" s="37" t="str">
        <f t="shared" ca="1" si="2"/>
        <v>Needle Valve for instrumentation</v>
      </c>
      <c r="E6" s="38" t="str">
        <f t="shared" ca="1" si="3"/>
        <v>OD Tube Connection or NPT Female</v>
      </c>
      <c r="F6" s="37" t="str">
        <f t="shared" ca="1" si="4"/>
        <v>Forged - ASTM A182 F316L</v>
      </c>
      <c r="G6" s="37" t="str">
        <f t="shared" ca="1" si="5"/>
        <v>PEEK</v>
      </c>
      <c r="H6" s="37" t="str">
        <f t="shared" ca="1" si="6"/>
        <v>T50C, T60C</v>
      </c>
      <c r="I6" s="39">
        <v>504</v>
      </c>
      <c r="J6" t="s">
        <v>299</v>
      </c>
      <c r="L6" s="50">
        <v>4</v>
      </c>
      <c r="M6" s="31" t="s">
        <v>128</v>
      </c>
      <c r="N6" s="31" t="s">
        <v>129</v>
      </c>
      <c r="O6" s="31">
        <v>1.1000000000000001</v>
      </c>
      <c r="P6" s="31" t="s">
        <v>114</v>
      </c>
      <c r="Q6" s="31" t="s">
        <v>115</v>
      </c>
      <c r="R6" s="32" t="s">
        <v>130</v>
      </c>
      <c r="S6" s="31" t="s">
        <v>131</v>
      </c>
      <c r="T6" s="31" t="s">
        <v>132</v>
      </c>
      <c r="U6" s="35">
        <v>26</v>
      </c>
      <c r="V6" t="str">
        <f t="shared" si="0"/>
        <v>153.2 @ -29°C, 131.4 @ 200°C</v>
      </c>
    </row>
    <row r="7" spans="1:22" ht="18" x14ac:dyDescent="0.25">
      <c r="L7" s="50">
        <v>5</v>
      </c>
      <c r="M7" s="31" t="s">
        <v>133</v>
      </c>
      <c r="N7" s="31" t="s">
        <v>134</v>
      </c>
      <c r="O7" s="31">
        <v>1.1000000000000001</v>
      </c>
      <c r="P7" s="31" t="s">
        <v>114</v>
      </c>
      <c r="Q7" s="31" t="s">
        <v>115</v>
      </c>
      <c r="R7" s="32" t="s">
        <v>130</v>
      </c>
      <c r="S7" s="31" t="s">
        <v>135</v>
      </c>
      <c r="T7" s="31" t="s">
        <v>136</v>
      </c>
      <c r="U7" s="35">
        <v>27</v>
      </c>
      <c r="V7" t="str">
        <f t="shared" si="0"/>
        <v>255.3 @ -29°C, 219 @ 200°C</v>
      </c>
    </row>
    <row r="8" spans="1:22" x14ac:dyDescent="0.25">
      <c r="L8" s="50">
        <v>6</v>
      </c>
      <c r="M8" s="31" t="s">
        <v>137</v>
      </c>
      <c r="N8" s="31" t="s">
        <v>138</v>
      </c>
      <c r="O8" s="31">
        <v>1.1000000000000001</v>
      </c>
      <c r="P8" s="31" t="s">
        <v>114</v>
      </c>
      <c r="Q8" s="31" t="s">
        <v>115</v>
      </c>
      <c r="R8" s="32" t="s">
        <v>139</v>
      </c>
      <c r="S8" s="31" t="s">
        <v>140</v>
      </c>
      <c r="T8" s="31" t="s">
        <v>141</v>
      </c>
      <c r="U8" s="35">
        <v>28</v>
      </c>
      <c r="V8" t="str">
        <f t="shared" si="0"/>
        <v>399.8 @ -29°C, 342.9 @ 200°C</v>
      </c>
    </row>
    <row r="9" spans="1:22" x14ac:dyDescent="0.25">
      <c r="L9" s="50">
        <v>7</v>
      </c>
      <c r="M9" s="31" t="s">
        <v>142</v>
      </c>
      <c r="N9" s="31" t="s">
        <v>113</v>
      </c>
      <c r="O9" s="31">
        <v>1.1000000000000001</v>
      </c>
      <c r="P9" s="31" t="s">
        <v>143</v>
      </c>
      <c r="Q9" s="31" t="s">
        <v>115</v>
      </c>
      <c r="R9" s="32" t="s">
        <v>144</v>
      </c>
      <c r="S9" s="31" t="s">
        <v>117</v>
      </c>
      <c r="T9" s="31" t="s">
        <v>145</v>
      </c>
      <c r="U9" s="35">
        <v>29</v>
      </c>
      <c r="V9" t="str">
        <f t="shared" si="0"/>
        <v>19.6 @ -29°C, 13.8 @ 250°C</v>
      </c>
    </row>
    <row r="10" spans="1:22" x14ac:dyDescent="0.25">
      <c r="L10" s="50">
        <v>8</v>
      </c>
      <c r="M10" s="31" t="s">
        <v>146</v>
      </c>
      <c r="N10" s="31" t="s">
        <v>120</v>
      </c>
      <c r="O10" s="31">
        <v>1.1000000000000001</v>
      </c>
      <c r="P10" s="31" t="s">
        <v>143</v>
      </c>
      <c r="Q10" s="31" t="s">
        <v>115</v>
      </c>
      <c r="R10" s="32" t="s">
        <v>144</v>
      </c>
      <c r="S10" s="31" t="s">
        <v>122</v>
      </c>
      <c r="T10" s="31" t="s">
        <v>147</v>
      </c>
      <c r="U10" s="35">
        <v>30</v>
      </c>
      <c r="V10" t="str">
        <f t="shared" si="0"/>
        <v>51.1 @ -29°C, 43.8 @ 250°C</v>
      </c>
    </row>
    <row r="11" spans="1:22" x14ac:dyDescent="0.25">
      <c r="L11" s="50">
        <v>9</v>
      </c>
      <c r="M11" s="31" t="s">
        <v>148</v>
      </c>
      <c r="N11" s="31" t="s">
        <v>125</v>
      </c>
      <c r="O11" s="31">
        <v>1.1000000000000001</v>
      </c>
      <c r="P11" s="31" t="s">
        <v>143</v>
      </c>
      <c r="Q11" s="31" t="s">
        <v>115</v>
      </c>
      <c r="R11" s="32" t="s">
        <v>144</v>
      </c>
      <c r="S11" s="31" t="s">
        <v>126</v>
      </c>
      <c r="T11" s="31" t="s">
        <v>149</v>
      </c>
      <c r="U11" s="35">
        <v>31</v>
      </c>
      <c r="V11" t="str">
        <f t="shared" si="0"/>
        <v>102.1 @ -29°C, 87.6 @ 250°C</v>
      </c>
    </row>
    <row r="12" spans="1:22" x14ac:dyDescent="0.25">
      <c r="L12" s="50">
        <v>10</v>
      </c>
      <c r="M12" s="31" t="s">
        <v>150</v>
      </c>
      <c r="N12" s="31" t="s">
        <v>129</v>
      </c>
      <c r="O12" s="31">
        <v>1.1000000000000001</v>
      </c>
      <c r="P12" s="31" t="s">
        <v>143</v>
      </c>
      <c r="Q12" s="31" t="s">
        <v>115</v>
      </c>
      <c r="R12" s="32" t="s">
        <v>144</v>
      </c>
      <c r="S12" s="31" t="s">
        <v>131</v>
      </c>
      <c r="T12" s="31" t="s">
        <v>151</v>
      </c>
      <c r="U12" s="35">
        <v>32</v>
      </c>
      <c r="V12" t="str">
        <f t="shared" si="0"/>
        <v>153.2 @ -29°C, 131.4 @ 250°C</v>
      </c>
    </row>
    <row r="13" spans="1:22" x14ac:dyDescent="0.25">
      <c r="L13" s="50">
        <v>11</v>
      </c>
      <c r="M13" s="31" t="s">
        <v>152</v>
      </c>
      <c r="N13" s="31" t="s">
        <v>134</v>
      </c>
      <c r="O13" s="31">
        <v>1.1000000000000001</v>
      </c>
      <c r="P13" s="31" t="s">
        <v>143</v>
      </c>
      <c r="Q13" s="31" t="s">
        <v>115</v>
      </c>
      <c r="R13" s="32" t="s">
        <v>144</v>
      </c>
      <c r="S13" s="31" t="s">
        <v>135</v>
      </c>
      <c r="T13" s="31" t="s">
        <v>136</v>
      </c>
      <c r="U13" s="35">
        <v>33</v>
      </c>
      <c r="V13" t="str">
        <f t="shared" si="0"/>
        <v>255.3 @ -29°C, 219 @ 200°C</v>
      </c>
    </row>
    <row r="14" spans="1:22" x14ac:dyDescent="0.25">
      <c r="L14" s="50">
        <v>12</v>
      </c>
      <c r="M14" s="31" t="s">
        <v>153</v>
      </c>
      <c r="N14" s="31" t="s">
        <v>138</v>
      </c>
      <c r="O14" s="31">
        <v>1.1000000000000001</v>
      </c>
      <c r="P14" s="31" t="s">
        <v>143</v>
      </c>
      <c r="Q14" s="31" t="s">
        <v>115</v>
      </c>
      <c r="R14" s="32" t="s">
        <v>144</v>
      </c>
      <c r="S14" s="31" t="s">
        <v>140</v>
      </c>
      <c r="T14" s="31" t="s">
        <v>141</v>
      </c>
      <c r="U14" s="35">
        <v>34</v>
      </c>
      <c r="V14" t="str">
        <f t="shared" si="0"/>
        <v>399.8 @ -29°C, 342.9 @ 200°C</v>
      </c>
    </row>
    <row r="15" spans="1:22" x14ac:dyDescent="0.25">
      <c r="L15" s="50">
        <v>13</v>
      </c>
      <c r="M15" s="31" t="s">
        <v>154</v>
      </c>
      <c r="N15" s="31" t="s">
        <v>113</v>
      </c>
      <c r="O15" s="31">
        <v>1.1000000000000001</v>
      </c>
      <c r="P15" s="31" t="s">
        <v>114</v>
      </c>
      <c r="Q15" s="31" t="s">
        <v>155</v>
      </c>
      <c r="R15" s="32" t="s">
        <v>156</v>
      </c>
      <c r="S15" s="31" t="s">
        <v>117</v>
      </c>
      <c r="T15" s="31" t="s">
        <v>118</v>
      </c>
      <c r="U15" s="35">
        <v>35</v>
      </c>
      <c r="V15" t="str">
        <f t="shared" si="0"/>
        <v>19.6 @ -29°C, 13.8 @ 200°C</v>
      </c>
    </row>
    <row r="16" spans="1:22" x14ac:dyDescent="0.25">
      <c r="L16" s="50">
        <v>14</v>
      </c>
      <c r="M16" s="31" t="s">
        <v>157</v>
      </c>
      <c r="N16" s="31" t="s">
        <v>113</v>
      </c>
      <c r="O16" s="31">
        <v>1.1000000000000001</v>
      </c>
      <c r="P16" s="31" t="s">
        <v>143</v>
      </c>
      <c r="Q16" s="31" t="s">
        <v>155</v>
      </c>
      <c r="R16" s="32" t="s">
        <v>158</v>
      </c>
      <c r="S16" s="31" t="s">
        <v>117</v>
      </c>
      <c r="T16" s="31" t="s">
        <v>118</v>
      </c>
      <c r="U16" s="35">
        <v>36</v>
      </c>
      <c r="V16" t="str">
        <f t="shared" si="0"/>
        <v>19.6 @ -29°C, 13.8 @ 200°C</v>
      </c>
    </row>
    <row r="17" spans="12:22" x14ac:dyDescent="0.25">
      <c r="L17" s="50">
        <v>15</v>
      </c>
      <c r="M17" s="31" t="s">
        <v>159</v>
      </c>
      <c r="N17" s="31" t="s">
        <v>120</v>
      </c>
      <c r="O17" s="31">
        <v>1.1000000000000001</v>
      </c>
      <c r="P17" s="31" t="s">
        <v>143</v>
      </c>
      <c r="Q17" s="31" t="s">
        <v>155</v>
      </c>
      <c r="R17" s="32" t="s">
        <v>158</v>
      </c>
      <c r="S17" s="31" t="s">
        <v>122</v>
      </c>
      <c r="T17" s="31" t="s">
        <v>123</v>
      </c>
      <c r="U17" s="35">
        <v>37</v>
      </c>
      <c r="V17" t="str">
        <f t="shared" si="0"/>
        <v>51.1 @ -29°C, 43.8 @ 200°C</v>
      </c>
    </row>
    <row r="18" spans="12:22" x14ac:dyDescent="0.25">
      <c r="L18" s="50">
        <v>16</v>
      </c>
      <c r="M18" s="31" t="s">
        <v>160</v>
      </c>
      <c r="N18" s="31" t="s">
        <v>125</v>
      </c>
      <c r="O18" s="31">
        <v>1.1000000000000001</v>
      </c>
      <c r="P18" s="31" t="s">
        <v>143</v>
      </c>
      <c r="Q18" s="31" t="s">
        <v>155</v>
      </c>
      <c r="R18" s="32" t="s">
        <v>158</v>
      </c>
      <c r="S18" s="31" t="s">
        <v>126</v>
      </c>
      <c r="T18" s="31" t="s">
        <v>127</v>
      </c>
      <c r="U18" s="35">
        <v>38</v>
      </c>
      <c r="V18" t="str">
        <f t="shared" si="0"/>
        <v>102.1 @ -29°C, 87.6 @ 200°C</v>
      </c>
    </row>
    <row r="19" spans="12:22" x14ac:dyDescent="0.25">
      <c r="L19" s="50">
        <v>17</v>
      </c>
      <c r="M19" s="31" t="s">
        <v>161</v>
      </c>
      <c r="N19" s="31" t="s">
        <v>129</v>
      </c>
      <c r="O19" s="31">
        <v>1.1000000000000001</v>
      </c>
      <c r="P19" s="31" t="s">
        <v>143</v>
      </c>
      <c r="Q19" s="31" t="s">
        <v>155</v>
      </c>
      <c r="R19" s="32" t="s">
        <v>158</v>
      </c>
      <c r="S19" s="31" t="s">
        <v>131</v>
      </c>
      <c r="T19" s="31" t="s">
        <v>132</v>
      </c>
      <c r="U19" s="35">
        <v>39</v>
      </c>
      <c r="V19" t="str">
        <f t="shared" si="0"/>
        <v>153.2 @ -29°C, 131.4 @ 200°C</v>
      </c>
    </row>
    <row r="20" spans="12:22" x14ac:dyDescent="0.25">
      <c r="L20" s="50">
        <v>18</v>
      </c>
      <c r="M20" s="31" t="s">
        <v>162</v>
      </c>
      <c r="N20" s="31" t="s">
        <v>134</v>
      </c>
      <c r="O20" s="31">
        <v>1.1000000000000001</v>
      </c>
      <c r="P20" s="31" t="s">
        <v>143</v>
      </c>
      <c r="Q20" s="31" t="s">
        <v>155</v>
      </c>
      <c r="R20" s="32" t="s">
        <v>158</v>
      </c>
      <c r="S20" s="31" t="s">
        <v>135</v>
      </c>
      <c r="T20" s="31" t="s">
        <v>136</v>
      </c>
      <c r="U20" s="35">
        <v>40</v>
      </c>
      <c r="V20" t="str">
        <f t="shared" si="0"/>
        <v>255.3 @ -29°C, 219 @ 200°C</v>
      </c>
    </row>
    <row r="21" spans="12:22" x14ac:dyDescent="0.25">
      <c r="L21" s="50">
        <v>19</v>
      </c>
      <c r="M21" s="31" t="s">
        <v>163</v>
      </c>
      <c r="N21" s="31" t="s">
        <v>138</v>
      </c>
      <c r="O21" s="31">
        <v>1.1000000000000001</v>
      </c>
      <c r="P21" s="31" t="s">
        <v>143</v>
      </c>
      <c r="Q21" s="31" t="s">
        <v>155</v>
      </c>
      <c r="R21" s="32" t="s">
        <v>158</v>
      </c>
      <c r="S21" s="31" t="s">
        <v>140</v>
      </c>
      <c r="T21" s="31" t="s">
        <v>141</v>
      </c>
      <c r="U21" s="35">
        <v>41</v>
      </c>
      <c r="V21" t="str">
        <f t="shared" si="0"/>
        <v>399.8 @ -29°C, 342.9 @ 200°C</v>
      </c>
    </row>
    <row r="22" spans="12:22" x14ac:dyDescent="0.25">
      <c r="L22" s="50">
        <v>20</v>
      </c>
      <c r="M22" s="31" t="s">
        <v>164</v>
      </c>
      <c r="N22" s="31" t="s">
        <v>113</v>
      </c>
      <c r="O22" s="31">
        <v>1.1000000000000001</v>
      </c>
      <c r="P22" s="31" t="s">
        <v>165</v>
      </c>
      <c r="Q22" s="31" t="s">
        <v>115</v>
      </c>
      <c r="R22" s="51" t="s">
        <v>166</v>
      </c>
      <c r="S22" s="31" t="s">
        <v>167</v>
      </c>
      <c r="T22" s="31" t="s">
        <v>118</v>
      </c>
      <c r="U22" s="35">
        <v>42</v>
      </c>
      <c r="V22" t="str">
        <f t="shared" si="0"/>
        <v>19.6 @ -45°C, 13.8 @ 200°C</v>
      </c>
    </row>
    <row r="23" spans="12:22" x14ac:dyDescent="0.25">
      <c r="L23" s="50">
        <v>21</v>
      </c>
      <c r="M23" s="31" t="s">
        <v>168</v>
      </c>
      <c r="N23" s="31" t="s">
        <v>120</v>
      </c>
      <c r="O23" s="31">
        <v>1.1000000000000001</v>
      </c>
      <c r="P23" s="31" t="s">
        <v>165</v>
      </c>
      <c r="Q23" s="31" t="s">
        <v>115</v>
      </c>
      <c r="R23" s="51" t="s">
        <v>166</v>
      </c>
      <c r="S23" s="31" t="s">
        <v>169</v>
      </c>
      <c r="T23" s="31" t="s">
        <v>123</v>
      </c>
      <c r="U23" s="35">
        <v>43</v>
      </c>
      <c r="V23" t="str">
        <f t="shared" si="0"/>
        <v>51.1 @ -45°C, 43.8 @ 200°C</v>
      </c>
    </row>
    <row r="24" spans="12:22" x14ac:dyDescent="0.25">
      <c r="L24" s="50">
        <v>22</v>
      </c>
      <c r="M24" s="31" t="s">
        <v>170</v>
      </c>
      <c r="N24" s="31" t="s">
        <v>125</v>
      </c>
      <c r="O24" s="31">
        <v>1.1000000000000001</v>
      </c>
      <c r="P24" s="31" t="s">
        <v>165</v>
      </c>
      <c r="Q24" s="31" t="s">
        <v>115</v>
      </c>
      <c r="R24" s="51" t="s">
        <v>171</v>
      </c>
      <c r="S24" s="31" t="s">
        <v>172</v>
      </c>
      <c r="T24" s="31" t="s">
        <v>127</v>
      </c>
      <c r="U24" s="35">
        <v>44</v>
      </c>
      <c r="V24" t="str">
        <f t="shared" si="0"/>
        <v>102.1 @ -45°C, 87.6 @ 200°C</v>
      </c>
    </row>
    <row r="25" spans="12:22" x14ac:dyDescent="0.25">
      <c r="L25" s="50">
        <v>23</v>
      </c>
      <c r="M25" s="31" t="s">
        <v>173</v>
      </c>
      <c r="N25" s="31" t="s">
        <v>129</v>
      </c>
      <c r="O25" s="31">
        <v>1.1000000000000001</v>
      </c>
      <c r="P25" s="31" t="s">
        <v>165</v>
      </c>
      <c r="Q25" s="31" t="s">
        <v>115</v>
      </c>
      <c r="R25" s="51" t="s">
        <v>171</v>
      </c>
      <c r="S25" s="31" t="s">
        <v>174</v>
      </c>
      <c r="T25" s="31" t="s">
        <v>132</v>
      </c>
      <c r="U25" s="35">
        <v>45</v>
      </c>
      <c r="V25" t="str">
        <f t="shared" si="0"/>
        <v>153.2 @ -45°C, 131.4 @ 200°C</v>
      </c>
    </row>
    <row r="26" spans="12:22" x14ac:dyDescent="0.25">
      <c r="L26" s="50">
        <v>24</v>
      </c>
      <c r="M26" s="31" t="s">
        <v>175</v>
      </c>
      <c r="N26" s="31" t="s">
        <v>134</v>
      </c>
      <c r="O26" s="31">
        <v>1.1000000000000001</v>
      </c>
      <c r="P26" s="31" t="s">
        <v>165</v>
      </c>
      <c r="Q26" s="31" t="s">
        <v>115</v>
      </c>
      <c r="R26" s="51" t="s">
        <v>171</v>
      </c>
      <c r="S26" s="31" t="s">
        <v>176</v>
      </c>
      <c r="T26" s="31" t="s">
        <v>136</v>
      </c>
      <c r="U26" s="35">
        <v>46</v>
      </c>
      <c r="V26" t="str">
        <f t="shared" si="0"/>
        <v>255.3 @ -45°C, 219 @ 200°C</v>
      </c>
    </row>
    <row r="27" spans="12:22" x14ac:dyDescent="0.25">
      <c r="L27" s="50">
        <v>25</v>
      </c>
      <c r="M27" s="31" t="s">
        <v>177</v>
      </c>
      <c r="N27" s="31" t="s">
        <v>138</v>
      </c>
      <c r="O27" s="31">
        <v>1.1000000000000001</v>
      </c>
      <c r="P27" s="31" t="s">
        <v>165</v>
      </c>
      <c r="Q27" s="31" t="s">
        <v>115</v>
      </c>
      <c r="R27" s="51" t="s">
        <v>178</v>
      </c>
      <c r="S27" s="31" t="s">
        <v>140</v>
      </c>
      <c r="T27" s="31" t="s">
        <v>141</v>
      </c>
      <c r="U27" s="35">
        <v>47</v>
      </c>
      <c r="V27" t="str">
        <f t="shared" si="0"/>
        <v>399.8 @ -29°C, 342.9 @ 200°C</v>
      </c>
    </row>
    <row r="28" spans="12:22" x14ac:dyDescent="0.25">
      <c r="L28" s="50">
        <v>26</v>
      </c>
      <c r="M28" s="31" t="s">
        <v>179</v>
      </c>
      <c r="N28" s="31" t="s">
        <v>113</v>
      </c>
      <c r="O28" s="31">
        <v>1.1000000000000001</v>
      </c>
      <c r="P28" s="31" t="s">
        <v>165</v>
      </c>
      <c r="Q28" s="31" t="s">
        <v>155</v>
      </c>
      <c r="R28" s="51" t="s">
        <v>171</v>
      </c>
      <c r="S28" s="31" t="s">
        <v>167</v>
      </c>
      <c r="T28" s="31" t="s">
        <v>118</v>
      </c>
      <c r="U28" s="35">
        <v>48</v>
      </c>
      <c r="V28" t="str">
        <f t="shared" si="0"/>
        <v>19.6 @ -45°C, 13.8 @ 200°C</v>
      </c>
    </row>
    <row r="29" spans="12:22" x14ac:dyDescent="0.25">
      <c r="L29" s="50">
        <v>27</v>
      </c>
      <c r="M29" s="31" t="s">
        <v>180</v>
      </c>
      <c r="N29" s="31" t="s">
        <v>120</v>
      </c>
      <c r="O29" s="31">
        <v>1.1000000000000001</v>
      </c>
      <c r="P29" s="31" t="s">
        <v>165</v>
      </c>
      <c r="Q29" s="31" t="s">
        <v>155</v>
      </c>
      <c r="R29" s="51" t="s">
        <v>171</v>
      </c>
      <c r="S29" s="31" t="s">
        <v>169</v>
      </c>
      <c r="T29" s="31" t="s">
        <v>123</v>
      </c>
      <c r="U29" s="35">
        <v>49</v>
      </c>
      <c r="V29" t="str">
        <f t="shared" si="0"/>
        <v>51.1 @ -45°C, 43.8 @ 200°C</v>
      </c>
    </row>
    <row r="30" spans="12:22" x14ac:dyDescent="0.25">
      <c r="L30" s="50">
        <v>28</v>
      </c>
      <c r="M30" s="31" t="s">
        <v>181</v>
      </c>
      <c r="N30" s="31" t="s">
        <v>125</v>
      </c>
      <c r="O30" s="31">
        <v>1.1000000000000001</v>
      </c>
      <c r="P30" s="31" t="s">
        <v>165</v>
      </c>
      <c r="Q30" s="31" t="s">
        <v>155</v>
      </c>
      <c r="R30" s="51" t="s">
        <v>171</v>
      </c>
      <c r="S30" s="31" t="s">
        <v>172</v>
      </c>
      <c r="T30" s="31" t="s">
        <v>127</v>
      </c>
      <c r="U30" s="35">
        <v>50</v>
      </c>
      <c r="V30" t="str">
        <f t="shared" si="0"/>
        <v>102.1 @ -45°C, 87.6 @ 200°C</v>
      </c>
    </row>
    <row r="31" spans="12:22" x14ac:dyDescent="0.25">
      <c r="L31" s="50">
        <v>29</v>
      </c>
      <c r="M31" s="31" t="s">
        <v>182</v>
      </c>
      <c r="N31" s="31" t="s">
        <v>129</v>
      </c>
      <c r="O31" s="31">
        <v>1.1000000000000001</v>
      </c>
      <c r="P31" s="31" t="s">
        <v>165</v>
      </c>
      <c r="Q31" s="31" t="s">
        <v>155</v>
      </c>
      <c r="R31" s="51" t="s">
        <v>171</v>
      </c>
      <c r="S31" s="31" t="s">
        <v>174</v>
      </c>
      <c r="T31" s="31" t="s">
        <v>132</v>
      </c>
      <c r="U31" s="35">
        <v>51</v>
      </c>
      <c r="V31" t="str">
        <f t="shared" si="0"/>
        <v>153.2 @ -45°C, 131.4 @ 200°C</v>
      </c>
    </row>
    <row r="32" spans="12:22" x14ac:dyDescent="0.25">
      <c r="L32" s="50">
        <v>30</v>
      </c>
      <c r="M32" s="31" t="s">
        <v>183</v>
      </c>
      <c r="N32" s="31" t="s">
        <v>134</v>
      </c>
      <c r="O32" s="31">
        <v>1.1000000000000001</v>
      </c>
      <c r="P32" s="31" t="s">
        <v>165</v>
      </c>
      <c r="Q32" s="31" t="s">
        <v>155</v>
      </c>
      <c r="R32" s="51" t="s">
        <v>171</v>
      </c>
      <c r="S32" s="31" t="s">
        <v>176</v>
      </c>
      <c r="T32" s="31" t="s">
        <v>136</v>
      </c>
      <c r="U32" s="35">
        <v>52</v>
      </c>
      <c r="V32" t="str">
        <f t="shared" si="0"/>
        <v>255.3 @ -45°C, 219 @ 200°C</v>
      </c>
    </row>
    <row r="33" spans="12:22" x14ac:dyDescent="0.25">
      <c r="L33" s="50">
        <v>31</v>
      </c>
      <c r="M33" s="31" t="s">
        <v>184</v>
      </c>
      <c r="N33" s="31" t="s">
        <v>138</v>
      </c>
      <c r="O33" s="31">
        <v>1.1000000000000001</v>
      </c>
      <c r="P33" s="31" t="s">
        <v>165</v>
      </c>
      <c r="Q33" s="31" t="s">
        <v>155</v>
      </c>
      <c r="R33" s="51" t="s">
        <v>171</v>
      </c>
      <c r="S33" s="31" t="s">
        <v>140</v>
      </c>
      <c r="T33" s="31" t="s">
        <v>141</v>
      </c>
      <c r="U33" s="35">
        <v>53</v>
      </c>
      <c r="V33" t="str">
        <f t="shared" si="0"/>
        <v>399.8 @ -29°C, 342.9 @ 200°C</v>
      </c>
    </row>
    <row r="34" spans="12:22" x14ac:dyDescent="0.25">
      <c r="L34" s="50">
        <v>32</v>
      </c>
      <c r="M34" s="31" t="s">
        <v>185</v>
      </c>
      <c r="N34" s="31" t="s">
        <v>113</v>
      </c>
      <c r="O34" s="31">
        <v>1.1000000000000001</v>
      </c>
      <c r="P34" s="31" t="s">
        <v>186</v>
      </c>
      <c r="Q34" s="31" t="s">
        <v>115</v>
      </c>
      <c r="R34" s="32" t="s">
        <v>187</v>
      </c>
      <c r="S34" s="31" t="s">
        <v>188</v>
      </c>
      <c r="T34" s="31" t="s">
        <v>189</v>
      </c>
      <c r="U34" s="35">
        <v>54</v>
      </c>
      <c r="V34" t="str">
        <f t="shared" si="0"/>
        <v>19 @ -29°C,  16.2 @ 100°C</v>
      </c>
    </row>
    <row r="35" spans="12:22" x14ac:dyDescent="0.25">
      <c r="L35" s="50">
        <v>33</v>
      </c>
      <c r="M35" s="31" t="s">
        <v>190</v>
      </c>
      <c r="N35" s="31" t="s">
        <v>113</v>
      </c>
      <c r="O35" s="31">
        <v>1.1000000000000001</v>
      </c>
      <c r="P35" s="31" t="s">
        <v>186</v>
      </c>
      <c r="Q35" s="31" t="s">
        <v>191</v>
      </c>
      <c r="R35" s="51" t="s">
        <v>192</v>
      </c>
      <c r="S35" s="31" t="s">
        <v>188</v>
      </c>
      <c r="T35" s="31" t="s">
        <v>189</v>
      </c>
      <c r="U35" s="35">
        <v>55</v>
      </c>
      <c r="V35" t="str">
        <f t="shared" si="0"/>
        <v>19 @ -29°C,  16.2 @ 100°C</v>
      </c>
    </row>
    <row r="36" spans="12:22" x14ac:dyDescent="0.25">
      <c r="L36" s="50">
        <v>34</v>
      </c>
      <c r="M36" s="31" t="s">
        <v>193</v>
      </c>
      <c r="N36" s="31" t="s">
        <v>120</v>
      </c>
      <c r="O36" s="31">
        <v>1.1000000000000001</v>
      </c>
      <c r="P36" s="31" t="s">
        <v>186</v>
      </c>
      <c r="Q36" s="31" t="s">
        <v>191</v>
      </c>
      <c r="R36" s="51" t="s">
        <v>192</v>
      </c>
      <c r="S36" s="31" t="s">
        <v>122</v>
      </c>
      <c r="T36" s="31" t="s">
        <v>147</v>
      </c>
      <c r="U36" s="35">
        <v>56</v>
      </c>
      <c r="V36" t="str">
        <f t="shared" si="0"/>
        <v>51.1 @ -29°C, 43.8 @ 250°C</v>
      </c>
    </row>
    <row r="37" spans="12:22" x14ac:dyDescent="0.25">
      <c r="L37" s="50">
        <v>35</v>
      </c>
      <c r="M37" s="31" t="s">
        <v>194</v>
      </c>
      <c r="N37" s="31" t="s">
        <v>125</v>
      </c>
      <c r="O37" s="31">
        <v>1.1000000000000001</v>
      </c>
      <c r="P37" s="31" t="s">
        <v>186</v>
      </c>
      <c r="Q37" s="31" t="s">
        <v>191</v>
      </c>
      <c r="R37" s="51" t="s">
        <v>192</v>
      </c>
      <c r="S37" s="31" t="s">
        <v>126</v>
      </c>
      <c r="T37" s="31" t="s">
        <v>149</v>
      </c>
      <c r="U37" s="35">
        <v>57</v>
      </c>
      <c r="V37" t="str">
        <f t="shared" si="0"/>
        <v>102.1 @ -29°C, 87.6 @ 250°C</v>
      </c>
    </row>
    <row r="38" spans="12:22" x14ac:dyDescent="0.25">
      <c r="L38" s="50">
        <v>36</v>
      </c>
      <c r="M38" s="31" t="s">
        <v>195</v>
      </c>
      <c r="N38" s="31" t="s">
        <v>113</v>
      </c>
      <c r="O38" s="31">
        <v>1.1000000000000001</v>
      </c>
      <c r="P38" s="31" t="s">
        <v>196</v>
      </c>
      <c r="Q38" s="31" t="s">
        <v>155</v>
      </c>
      <c r="R38" s="31" t="s">
        <v>197</v>
      </c>
      <c r="S38" s="31" t="s">
        <v>188</v>
      </c>
      <c r="T38" s="31" t="s">
        <v>189</v>
      </c>
      <c r="U38" s="35">
        <v>58</v>
      </c>
      <c r="V38" t="str">
        <f t="shared" si="0"/>
        <v>19 @ -29°C,  16.2 @ 100°C</v>
      </c>
    </row>
    <row r="39" spans="12:22" x14ac:dyDescent="0.25">
      <c r="L39" s="50">
        <v>37</v>
      </c>
      <c r="M39" s="31" t="s">
        <v>198</v>
      </c>
      <c r="N39" s="31" t="s">
        <v>113</v>
      </c>
      <c r="O39" s="31">
        <v>1.1000000000000001</v>
      </c>
      <c r="P39" s="31" t="s">
        <v>199</v>
      </c>
      <c r="Q39" s="31" t="s">
        <v>155</v>
      </c>
      <c r="R39" s="32" t="s">
        <v>200</v>
      </c>
      <c r="S39" s="31" t="s">
        <v>188</v>
      </c>
      <c r="T39" s="31" t="s">
        <v>189</v>
      </c>
      <c r="U39" s="35">
        <v>59</v>
      </c>
      <c r="V39" t="str">
        <f t="shared" si="0"/>
        <v>19 @ -29°C,  16.2 @ 100°C</v>
      </c>
    </row>
    <row r="40" spans="12:22" x14ac:dyDescent="0.25">
      <c r="L40" s="50">
        <v>38</v>
      </c>
      <c r="M40" s="31" t="s">
        <v>201</v>
      </c>
      <c r="N40" s="31" t="s">
        <v>113</v>
      </c>
      <c r="O40" s="31">
        <v>2.2999999999999998</v>
      </c>
      <c r="P40" s="31" t="s">
        <v>202</v>
      </c>
      <c r="Q40" s="31" t="s">
        <v>203</v>
      </c>
      <c r="R40" s="32" t="s">
        <v>204</v>
      </c>
      <c r="S40" s="31" t="s">
        <v>205</v>
      </c>
      <c r="T40" s="31" t="s">
        <v>206</v>
      </c>
      <c r="U40" s="35">
        <v>60</v>
      </c>
      <c r="V40" t="str">
        <f t="shared" si="0"/>
        <v>15.9 @ -100°C, 11.2 @ 200°C</v>
      </c>
    </row>
    <row r="41" spans="12:22" x14ac:dyDescent="0.25">
      <c r="L41" s="50">
        <v>39</v>
      </c>
      <c r="M41" s="31" t="s">
        <v>207</v>
      </c>
      <c r="N41" s="31" t="s">
        <v>120</v>
      </c>
      <c r="O41" s="31">
        <v>2.2999999999999998</v>
      </c>
      <c r="P41" s="31" t="s">
        <v>202</v>
      </c>
      <c r="Q41" s="31" t="s">
        <v>203</v>
      </c>
      <c r="R41" s="32" t="s">
        <v>208</v>
      </c>
      <c r="S41" s="31" t="s">
        <v>209</v>
      </c>
      <c r="T41" s="31" t="s">
        <v>210</v>
      </c>
      <c r="U41" s="35">
        <v>61</v>
      </c>
      <c r="V41" t="str">
        <f t="shared" si="0"/>
        <v>41.4 @ -100°C, 29.2 @ 200°C</v>
      </c>
    </row>
    <row r="42" spans="12:22" x14ac:dyDescent="0.25">
      <c r="L42" s="50">
        <v>40</v>
      </c>
      <c r="M42" s="31" t="s">
        <v>211</v>
      </c>
      <c r="N42" s="31" t="s">
        <v>125</v>
      </c>
      <c r="O42" s="31">
        <v>2.2999999999999998</v>
      </c>
      <c r="P42" s="31" t="s">
        <v>202</v>
      </c>
      <c r="Q42" s="31" t="s">
        <v>203</v>
      </c>
      <c r="R42" s="51" t="s">
        <v>212</v>
      </c>
      <c r="S42" s="31" t="s">
        <v>213</v>
      </c>
      <c r="T42" s="31" t="s">
        <v>214</v>
      </c>
      <c r="U42" s="35">
        <v>62</v>
      </c>
      <c r="V42" t="str">
        <f t="shared" si="0"/>
        <v>82.7 @ -100°C, 58.3 @ 200°C</v>
      </c>
    </row>
    <row r="43" spans="12:22" x14ac:dyDescent="0.25">
      <c r="L43" s="50">
        <v>41</v>
      </c>
      <c r="M43" s="31" t="s">
        <v>215</v>
      </c>
      <c r="N43" s="31" t="s">
        <v>129</v>
      </c>
      <c r="O43" s="31">
        <v>2.2999999999999998</v>
      </c>
      <c r="P43" s="31" t="s">
        <v>202</v>
      </c>
      <c r="Q43" s="31" t="s">
        <v>203</v>
      </c>
      <c r="R43" s="51" t="s">
        <v>212</v>
      </c>
      <c r="S43" s="31" t="s">
        <v>216</v>
      </c>
      <c r="T43" s="31" t="s">
        <v>217</v>
      </c>
      <c r="U43" s="35">
        <v>63</v>
      </c>
      <c r="V43" t="str">
        <f t="shared" si="0"/>
        <v>124.1 @ -100°C, 87.5 @ 200°C</v>
      </c>
    </row>
    <row r="44" spans="12:22" x14ac:dyDescent="0.25">
      <c r="L44" s="50">
        <v>42</v>
      </c>
      <c r="M44" s="31" t="s">
        <v>218</v>
      </c>
      <c r="N44" s="31" t="s">
        <v>134</v>
      </c>
      <c r="O44" s="31">
        <v>2.2999999999999998</v>
      </c>
      <c r="P44" s="31" t="s">
        <v>202</v>
      </c>
      <c r="Q44" s="31" t="s">
        <v>203</v>
      </c>
      <c r="R44" s="51" t="s">
        <v>212</v>
      </c>
      <c r="S44" s="31" t="s">
        <v>219</v>
      </c>
      <c r="T44" s="31" t="s">
        <v>220</v>
      </c>
      <c r="U44" s="35">
        <v>64</v>
      </c>
      <c r="V44" t="str">
        <f t="shared" si="0"/>
        <v>206.8 @ -100°C, 145.8 @ 200°C</v>
      </c>
    </row>
    <row r="45" spans="12:22" x14ac:dyDescent="0.25">
      <c r="L45" s="50">
        <v>43</v>
      </c>
      <c r="M45" s="31" t="s">
        <v>221</v>
      </c>
      <c r="N45" s="31" t="s">
        <v>138</v>
      </c>
      <c r="O45" s="31">
        <v>2.2999999999999998</v>
      </c>
      <c r="P45" s="31" t="s">
        <v>202</v>
      </c>
      <c r="Q45" s="31" t="s">
        <v>203</v>
      </c>
      <c r="R45" s="51" t="s">
        <v>212</v>
      </c>
      <c r="S45" s="31" t="s">
        <v>222</v>
      </c>
      <c r="T45" s="31" t="s">
        <v>223</v>
      </c>
      <c r="U45" s="35">
        <v>65</v>
      </c>
      <c r="V45" t="str">
        <f t="shared" si="0"/>
        <v>344.7 @ -100°C, 243 @ 200°C</v>
      </c>
    </row>
    <row r="46" spans="12:22" x14ac:dyDescent="0.25">
      <c r="L46" s="50">
        <v>44</v>
      </c>
      <c r="M46" s="31" t="s">
        <v>224</v>
      </c>
      <c r="N46" s="31" t="s">
        <v>113</v>
      </c>
      <c r="O46" s="31">
        <v>2.2999999999999998</v>
      </c>
      <c r="P46" s="31" t="s">
        <v>225</v>
      </c>
      <c r="Q46" s="31" t="s">
        <v>203</v>
      </c>
      <c r="R46" s="51" t="s">
        <v>226</v>
      </c>
      <c r="S46" s="31" t="s">
        <v>205</v>
      </c>
      <c r="T46" s="31" t="s">
        <v>206</v>
      </c>
      <c r="U46" s="35">
        <v>66</v>
      </c>
      <c r="V46" t="str">
        <f t="shared" si="0"/>
        <v>15.9 @ -100°C, 11.2 @ 200°C</v>
      </c>
    </row>
    <row r="47" spans="12:22" x14ac:dyDescent="0.25">
      <c r="L47" s="50">
        <v>45</v>
      </c>
      <c r="M47" s="31" t="s">
        <v>227</v>
      </c>
      <c r="N47" s="31" t="s">
        <v>120</v>
      </c>
      <c r="O47" s="31">
        <v>2.2999999999999998</v>
      </c>
      <c r="P47" s="31" t="s">
        <v>225</v>
      </c>
      <c r="Q47" s="31" t="s">
        <v>203</v>
      </c>
      <c r="R47" s="51" t="s">
        <v>226</v>
      </c>
      <c r="S47" s="31" t="s">
        <v>209</v>
      </c>
      <c r="T47" s="31" t="s">
        <v>210</v>
      </c>
      <c r="U47" s="35">
        <v>67</v>
      </c>
      <c r="V47" t="str">
        <f t="shared" si="0"/>
        <v>41.4 @ -100°C, 29.2 @ 200°C</v>
      </c>
    </row>
    <row r="48" spans="12:22" x14ac:dyDescent="0.25">
      <c r="L48" s="50">
        <v>46</v>
      </c>
      <c r="M48" s="31" t="s">
        <v>228</v>
      </c>
      <c r="N48" s="31" t="s">
        <v>125</v>
      </c>
      <c r="O48" s="31">
        <v>2.2999999999999998</v>
      </c>
      <c r="P48" s="31" t="s">
        <v>225</v>
      </c>
      <c r="Q48" s="31" t="s">
        <v>203</v>
      </c>
      <c r="R48" s="51" t="s">
        <v>226</v>
      </c>
      <c r="S48" s="31" t="s">
        <v>213</v>
      </c>
      <c r="T48" s="31" t="s">
        <v>214</v>
      </c>
      <c r="U48" s="35">
        <v>68</v>
      </c>
      <c r="V48" t="str">
        <f t="shared" si="0"/>
        <v>82.7 @ -100°C, 58.3 @ 200°C</v>
      </c>
    </row>
    <row r="49" spans="12:22" x14ac:dyDescent="0.25">
      <c r="L49" s="50">
        <v>47</v>
      </c>
      <c r="M49" s="31" t="s">
        <v>229</v>
      </c>
      <c r="N49" s="31" t="s">
        <v>129</v>
      </c>
      <c r="O49" s="31">
        <v>2.2999999999999998</v>
      </c>
      <c r="P49" s="31" t="s">
        <v>225</v>
      </c>
      <c r="Q49" s="31" t="s">
        <v>203</v>
      </c>
      <c r="R49" s="51" t="s">
        <v>226</v>
      </c>
      <c r="S49" s="31" t="s">
        <v>216</v>
      </c>
      <c r="T49" s="31" t="s">
        <v>217</v>
      </c>
      <c r="U49" s="35">
        <v>69</v>
      </c>
      <c r="V49" t="str">
        <f t="shared" si="0"/>
        <v>124.1 @ -100°C, 87.5 @ 200°C</v>
      </c>
    </row>
    <row r="50" spans="12:22" x14ac:dyDescent="0.25">
      <c r="L50" s="50">
        <v>48</v>
      </c>
      <c r="M50" s="31" t="s">
        <v>230</v>
      </c>
      <c r="N50" s="31" t="s">
        <v>134</v>
      </c>
      <c r="O50" s="31">
        <v>2.2999999999999998</v>
      </c>
      <c r="P50" s="31" t="s">
        <v>225</v>
      </c>
      <c r="Q50" s="31" t="s">
        <v>203</v>
      </c>
      <c r="R50" s="51" t="s">
        <v>226</v>
      </c>
      <c r="S50" s="31" t="s">
        <v>219</v>
      </c>
      <c r="T50" s="31" t="s">
        <v>220</v>
      </c>
      <c r="U50" s="35">
        <v>70</v>
      </c>
      <c r="V50" t="str">
        <f t="shared" si="0"/>
        <v>206.8 @ -100°C, 145.8 @ 200°C</v>
      </c>
    </row>
    <row r="51" spans="12:22" x14ac:dyDescent="0.25">
      <c r="L51" s="50">
        <v>49</v>
      </c>
      <c r="M51" s="31" t="s">
        <v>231</v>
      </c>
      <c r="N51" s="31" t="s">
        <v>138</v>
      </c>
      <c r="O51" s="31">
        <v>2.2999999999999998</v>
      </c>
      <c r="P51" s="31" t="s">
        <v>225</v>
      </c>
      <c r="Q51" s="31" t="s">
        <v>203</v>
      </c>
      <c r="R51" s="51" t="s">
        <v>226</v>
      </c>
      <c r="S51" s="31" t="s">
        <v>222</v>
      </c>
      <c r="T51" s="31" t="s">
        <v>223</v>
      </c>
      <c r="U51" s="35">
        <v>71</v>
      </c>
      <c r="V51" t="str">
        <f t="shared" si="0"/>
        <v>344.7 @ -100°C, 243 @ 200°C</v>
      </c>
    </row>
    <row r="52" spans="12:22" x14ac:dyDescent="0.25">
      <c r="L52" s="50">
        <v>50</v>
      </c>
      <c r="M52" s="31" t="s">
        <v>232</v>
      </c>
      <c r="N52" s="31" t="s">
        <v>113</v>
      </c>
      <c r="O52" s="31">
        <v>2.8</v>
      </c>
      <c r="P52" s="31" t="s">
        <v>233</v>
      </c>
      <c r="Q52" s="31" t="s">
        <v>203</v>
      </c>
      <c r="R52" s="32" t="s">
        <v>158</v>
      </c>
      <c r="S52" s="31" t="s">
        <v>234</v>
      </c>
      <c r="T52" s="31" t="s">
        <v>118</v>
      </c>
      <c r="U52" s="35">
        <v>72</v>
      </c>
      <c r="V52" t="str">
        <f t="shared" si="0"/>
        <v>20 @ -46°C, 13.8 @ 200°C</v>
      </c>
    </row>
    <row r="53" spans="12:22" x14ac:dyDescent="0.25">
      <c r="L53" s="50">
        <v>51</v>
      </c>
      <c r="M53" s="31" t="s">
        <v>235</v>
      </c>
      <c r="N53" s="31" t="s">
        <v>120</v>
      </c>
      <c r="O53" s="31">
        <v>2.8</v>
      </c>
      <c r="P53" s="31" t="s">
        <v>233</v>
      </c>
      <c r="Q53" s="31" t="s">
        <v>203</v>
      </c>
      <c r="R53" s="32" t="s">
        <v>158</v>
      </c>
      <c r="S53" s="31" t="s">
        <v>236</v>
      </c>
      <c r="T53" s="31" t="s">
        <v>237</v>
      </c>
      <c r="U53" s="35">
        <v>73</v>
      </c>
      <c r="V53" t="str">
        <f t="shared" si="0"/>
        <v>51.7 @ -46°C, 42.7 @ 200°C</v>
      </c>
    </row>
    <row r="54" spans="12:22" x14ac:dyDescent="0.25">
      <c r="L54" s="50">
        <v>52</v>
      </c>
      <c r="M54" s="31" t="s">
        <v>238</v>
      </c>
      <c r="N54" s="31" t="s">
        <v>125</v>
      </c>
      <c r="O54" s="31">
        <v>2.8</v>
      </c>
      <c r="P54" s="31" t="s">
        <v>233</v>
      </c>
      <c r="Q54" s="31" t="s">
        <v>203</v>
      </c>
      <c r="R54" s="32" t="s">
        <v>158</v>
      </c>
      <c r="S54" s="31" t="s">
        <v>239</v>
      </c>
      <c r="T54" s="31" t="s">
        <v>240</v>
      </c>
      <c r="U54" s="35">
        <v>74</v>
      </c>
      <c r="V54" t="str">
        <f t="shared" si="0"/>
        <v>103.4 @ -46°C, 85.3 @ 200°C</v>
      </c>
    </row>
    <row r="55" spans="12:22" x14ac:dyDescent="0.25">
      <c r="L55" s="50">
        <v>53</v>
      </c>
      <c r="M55" s="31" t="s">
        <v>241</v>
      </c>
      <c r="N55" s="31" t="s">
        <v>129</v>
      </c>
      <c r="O55" s="31">
        <v>2.8</v>
      </c>
      <c r="P55" s="31" t="s">
        <v>233</v>
      </c>
      <c r="Q55" s="31" t="s">
        <v>203</v>
      </c>
      <c r="R55" s="32" t="s">
        <v>158</v>
      </c>
      <c r="S55" s="31" t="s">
        <v>242</v>
      </c>
      <c r="T55" s="31" t="s">
        <v>243</v>
      </c>
      <c r="U55" s="35">
        <v>75</v>
      </c>
      <c r="V55" t="str">
        <f t="shared" si="0"/>
        <v>155.1 @ -46°C, 128 @ 200°C</v>
      </c>
    </row>
    <row r="56" spans="12:22" x14ac:dyDescent="0.25">
      <c r="L56" s="50">
        <v>54</v>
      </c>
      <c r="M56" s="31" t="s">
        <v>244</v>
      </c>
      <c r="N56" s="31" t="s">
        <v>134</v>
      </c>
      <c r="O56" s="31">
        <v>2.8</v>
      </c>
      <c r="P56" s="31" t="s">
        <v>233</v>
      </c>
      <c r="Q56" s="31" t="s">
        <v>203</v>
      </c>
      <c r="R56" s="32" t="s">
        <v>158</v>
      </c>
      <c r="S56" s="31" t="s">
        <v>245</v>
      </c>
      <c r="T56" s="31" t="s">
        <v>246</v>
      </c>
      <c r="U56" s="35">
        <v>76</v>
      </c>
      <c r="V56" t="str">
        <f t="shared" si="0"/>
        <v>258.6 @ -46°C, 213.3 @ 200°C</v>
      </c>
    </row>
    <row r="57" spans="12:22" x14ac:dyDescent="0.25">
      <c r="L57" s="50">
        <v>55</v>
      </c>
      <c r="M57" s="31" t="s">
        <v>247</v>
      </c>
      <c r="N57" s="31" t="s">
        <v>138</v>
      </c>
      <c r="O57" s="31">
        <v>2.8</v>
      </c>
      <c r="P57" s="31" t="s">
        <v>233</v>
      </c>
      <c r="Q57" s="31" t="s">
        <v>203</v>
      </c>
      <c r="R57" s="32" t="s">
        <v>158</v>
      </c>
      <c r="S57" s="31" t="s">
        <v>248</v>
      </c>
      <c r="T57" s="31" t="s">
        <v>249</v>
      </c>
      <c r="U57" s="35">
        <v>77</v>
      </c>
      <c r="V57" t="str">
        <f t="shared" si="0"/>
        <v>430.9 @ -46°C, 355.4 @ 200°C</v>
      </c>
    </row>
    <row r="58" spans="12:22" x14ac:dyDescent="0.25">
      <c r="L58" s="50">
        <v>56</v>
      </c>
      <c r="M58" s="31" t="s">
        <v>250</v>
      </c>
      <c r="N58" s="31" t="s">
        <v>113</v>
      </c>
      <c r="O58" s="31">
        <v>2.8</v>
      </c>
      <c r="P58" s="31" t="s">
        <v>251</v>
      </c>
      <c r="Q58" s="31" t="s">
        <v>203</v>
      </c>
      <c r="R58" s="32" t="s">
        <v>252</v>
      </c>
      <c r="S58" s="31" t="s">
        <v>234</v>
      </c>
      <c r="T58" s="31" t="s">
        <v>118</v>
      </c>
      <c r="U58" s="35">
        <v>78</v>
      </c>
      <c r="V58" t="str">
        <f t="shared" si="0"/>
        <v>20 @ -46°C, 13.8 @ 200°C</v>
      </c>
    </row>
    <row r="59" spans="12:22" x14ac:dyDescent="0.25">
      <c r="L59" s="50">
        <v>62</v>
      </c>
      <c r="M59" s="31" t="s">
        <v>253</v>
      </c>
      <c r="N59" s="31" t="s">
        <v>138</v>
      </c>
      <c r="O59" s="31">
        <v>2.8</v>
      </c>
      <c r="P59" s="31" t="s">
        <v>251</v>
      </c>
      <c r="Q59" s="31" t="s">
        <v>203</v>
      </c>
      <c r="R59" s="32" t="s">
        <v>254</v>
      </c>
      <c r="S59" s="31" t="s">
        <v>248</v>
      </c>
      <c r="T59" s="31" t="s">
        <v>249</v>
      </c>
      <c r="U59" s="35">
        <v>79</v>
      </c>
      <c r="V59" t="str">
        <f t="shared" si="0"/>
        <v>430.9 @ -46°C, 355.4 @ 200°C</v>
      </c>
    </row>
    <row r="60" spans="12:22" x14ac:dyDescent="0.25">
      <c r="L60" s="50">
        <v>57</v>
      </c>
      <c r="M60" s="31" t="s">
        <v>255</v>
      </c>
      <c r="N60" s="31" t="s">
        <v>113</v>
      </c>
      <c r="O60" s="31">
        <v>2.8</v>
      </c>
      <c r="P60" s="31" t="s">
        <v>256</v>
      </c>
      <c r="Q60" s="31" t="s">
        <v>203</v>
      </c>
      <c r="R60" s="32" t="s">
        <v>158</v>
      </c>
      <c r="S60" s="31" t="s">
        <v>234</v>
      </c>
      <c r="T60" s="31" t="s">
        <v>118</v>
      </c>
      <c r="U60" s="35">
        <v>80</v>
      </c>
      <c r="V60" t="str">
        <f t="shared" si="0"/>
        <v>20 @ -46°C, 13.8 @ 200°C</v>
      </c>
    </row>
    <row r="61" spans="12:22" x14ac:dyDescent="0.25">
      <c r="L61" s="50">
        <v>58</v>
      </c>
      <c r="M61" s="31" t="s">
        <v>257</v>
      </c>
      <c r="N61" s="31" t="s">
        <v>120</v>
      </c>
      <c r="O61" s="31">
        <v>2.8</v>
      </c>
      <c r="P61" s="31" t="s">
        <v>256</v>
      </c>
      <c r="Q61" s="31" t="s">
        <v>203</v>
      </c>
      <c r="R61" s="32" t="s">
        <v>158</v>
      </c>
      <c r="S61" s="31" t="s">
        <v>236</v>
      </c>
      <c r="T61" s="31" t="s">
        <v>237</v>
      </c>
      <c r="U61" s="35">
        <v>81</v>
      </c>
      <c r="V61" t="str">
        <f t="shared" si="0"/>
        <v>51.7 @ -46°C, 42.7 @ 200°C</v>
      </c>
    </row>
    <row r="62" spans="12:22" x14ac:dyDescent="0.25">
      <c r="L62" s="50">
        <v>59</v>
      </c>
      <c r="M62" s="31" t="s">
        <v>258</v>
      </c>
      <c r="N62" s="31" t="s">
        <v>125</v>
      </c>
      <c r="O62" s="31">
        <v>2.8</v>
      </c>
      <c r="P62" s="31" t="s">
        <v>256</v>
      </c>
      <c r="Q62" s="31" t="s">
        <v>203</v>
      </c>
      <c r="R62" s="32" t="s">
        <v>158</v>
      </c>
      <c r="S62" s="31" t="s">
        <v>239</v>
      </c>
      <c r="T62" s="31" t="s">
        <v>240</v>
      </c>
      <c r="U62" s="35">
        <v>82</v>
      </c>
      <c r="V62" t="str">
        <f t="shared" si="0"/>
        <v>103.4 @ -46°C, 85.3 @ 200°C</v>
      </c>
    </row>
    <row r="63" spans="12:22" x14ac:dyDescent="0.25">
      <c r="L63" s="50">
        <v>60</v>
      </c>
      <c r="M63" s="31" t="s">
        <v>259</v>
      </c>
      <c r="N63" s="31" t="s">
        <v>129</v>
      </c>
      <c r="O63" s="31">
        <v>2.8</v>
      </c>
      <c r="P63" s="52" t="s">
        <v>256</v>
      </c>
      <c r="Q63" s="31" t="s">
        <v>203</v>
      </c>
      <c r="R63" s="32" t="s">
        <v>158</v>
      </c>
      <c r="S63" s="31" t="s">
        <v>242</v>
      </c>
      <c r="T63" s="31" t="s">
        <v>243</v>
      </c>
      <c r="U63" s="35">
        <v>83</v>
      </c>
      <c r="V63" t="str">
        <f t="shared" si="0"/>
        <v>155.1 @ -46°C, 128 @ 200°C</v>
      </c>
    </row>
    <row r="64" spans="12:22" x14ac:dyDescent="0.25">
      <c r="L64" s="50">
        <v>61</v>
      </c>
      <c r="M64" s="31" t="s">
        <v>260</v>
      </c>
      <c r="N64" s="31" t="s">
        <v>134</v>
      </c>
      <c r="O64" s="31">
        <v>2.8</v>
      </c>
      <c r="P64" s="31" t="s">
        <v>256</v>
      </c>
      <c r="Q64" s="31" t="s">
        <v>203</v>
      </c>
      <c r="R64" s="32" t="s">
        <v>158</v>
      </c>
      <c r="S64" s="31" t="s">
        <v>245</v>
      </c>
      <c r="T64" s="31" t="s">
        <v>246</v>
      </c>
      <c r="U64" s="35">
        <v>84</v>
      </c>
      <c r="V64" t="str">
        <f t="shared" si="0"/>
        <v>258.6 @ -46°C, 213.3 @ 200°C</v>
      </c>
    </row>
    <row r="65" spans="12:22" x14ac:dyDescent="0.25">
      <c r="L65" s="50">
        <v>62</v>
      </c>
      <c r="M65" s="31" t="s">
        <v>261</v>
      </c>
      <c r="N65" s="31" t="s">
        <v>138</v>
      </c>
      <c r="O65" s="31">
        <v>2.8</v>
      </c>
      <c r="P65" s="31" t="s">
        <v>256</v>
      </c>
      <c r="Q65" s="31" t="s">
        <v>203</v>
      </c>
      <c r="R65" s="32" t="s">
        <v>158</v>
      </c>
      <c r="S65" s="31" t="s">
        <v>248</v>
      </c>
      <c r="T65" s="31" t="s">
        <v>249</v>
      </c>
      <c r="U65" s="35">
        <v>85</v>
      </c>
      <c r="V65" t="str">
        <f t="shared" si="0"/>
        <v>430.9 @ -46°C, 355.4 @ 200°C</v>
      </c>
    </row>
    <row r="66" spans="12:22" x14ac:dyDescent="0.25">
      <c r="L66" s="50">
        <v>63</v>
      </c>
      <c r="M66" s="31" t="s">
        <v>262</v>
      </c>
      <c r="N66" s="31" t="s">
        <v>263</v>
      </c>
      <c r="O66" s="31" t="s">
        <v>17</v>
      </c>
      <c r="P66" s="31" t="s">
        <v>264</v>
      </c>
      <c r="Q66" s="31" t="s">
        <v>203</v>
      </c>
      <c r="R66" s="32" t="s">
        <v>265</v>
      </c>
      <c r="S66" s="31" t="s">
        <v>266</v>
      </c>
      <c r="T66" s="31" t="s">
        <v>267</v>
      </c>
      <c r="U66" s="35">
        <v>86</v>
      </c>
      <c r="V66" t="str">
        <f t="shared" si="0"/>
        <v>20 @ 0°C, 17.3 @ 100°C</v>
      </c>
    </row>
    <row r="67" spans="12:22" x14ac:dyDescent="0.25">
      <c r="L67" s="50">
        <v>64</v>
      </c>
      <c r="M67" s="31" t="s">
        <v>268</v>
      </c>
      <c r="N67" s="31" t="s">
        <v>113</v>
      </c>
      <c r="O67" s="31" t="s">
        <v>17</v>
      </c>
      <c r="P67" s="31" t="s">
        <v>269</v>
      </c>
      <c r="Q67" s="31" t="s">
        <v>203</v>
      </c>
      <c r="R67" s="32" t="s">
        <v>270</v>
      </c>
      <c r="S67" s="31" t="s">
        <v>266</v>
      </c>
      <c r="T67" s="31" t="s">
        <v>267</v>
      </c>
      <c r="U67" s="35">
        <v>87</v>
      </c>
      <c r="V67" t="str">
        <f t="shared" si="0"/>
        <v>20 @ 0°C, 17.3 @ 100°C</v>
      </c>
    </row>
    <row r="68" spans="12:22" x14ac:dyDescent="0.25">
      <c r="L68" s="50">
        <v>65</v>
      </c>
      <c r="M68" s="31" t="s">
        <v>271</v>
      </c>
      <c r="N68" s="31" t="s">
        <v>113</v>
      </c>
      <c r="O68" s="31" t="s">
        <v>17</v>
      </c>
      <c r="P68" s="31" t="s">
        <v>272</v>
      </c>
      <c r="Q68" s="31" t="s">
        <v>203</v>
      </c>
      <c r="R68" s="32" t="s">
        <v>273</v>
      </c>
      <c r="S68" s="31" t="s">
        <v>266</v>
      </c>
      <c r="T68" s="31" t="s">
        <v>274</v>
      </c>
      <c r="U68" s="35">
        <v>88</v>
      </c>
      <c r="V68" t="str">
        <f t="shared" ref="V68:V76" si="7">S68&amp;", "&amp;T68</f>
        <v>20 @ 0°C, 20 @ 90°C</v>
      </c>
    </row>
    <row r="69" spans="12:22" x14ac:dyDescent="0.25">
      <c r="L69" s="50">
        <v>65</v>
      </c>
      <c r="M69" s="31" t="s">
        <v>275</v>
      </c>
      <c r="N69" s="31" t="s">
        <v>113</v>
      </c>
      <c r="O69" s="31" t="s">
        <v>17</v>
      </c>
      <c r="P69" s="31" t="s">
        <v>272</v>
      </c>
      <c r="Q69" s="31" t="s">
        <v>203</v>
      </c>
      <c r="R69" s="32" t="s">
        <v>276</v>
      </c>
      <c r="S69" s="31" t="s">
        <v>277</v>
      </c>
      <c r="T69" s="31" t="s">
        <v>278</v>
      </c>
      <c r="U69" s="35">
        <v>89</v>
      </c>
      <c r="V69" t="str">
        <f t="shared" si="7"/>
        <v>16.32 @ 0°C, 16.32 @ 82°C</v>
      </c>
    </row>
    <row r="70" spans="12:22" ht="15.75" thickBot="1" x14ac:dyDescent="0.3">
      <c r="L70" s="53">
        <v>66</v>
      </c>
      <c r="M70" s="37" t="s">
        <v>279</v>
      </c>
      <c r="N70" s="37" t="s">
        <v>113</v>
      </c>
      <c r="O70" s="37" t="s">
        <v>17</v>
      </c>
      <c r="P70" s="37" t="s">
        <v>280</v>
      </c>
      <c r="Q70" s="37" t="s">
        <v>203</v>
      </c>
      <c r="R70" s="38" t="s">
        <v>281</v>
      </c>
      <c r="S70" s="37" t="s">
        <v>266</v>
      </c>
      <c r="T70" s="37" t="s">
        <v>274</v>
      </c>
      <c r="U70" s="39">
        <v>90</v>
      </c>
      <c r="V70" t="str">
        <f t="shared" si="7"/>
        <v>20 @ 0°C, 20 @ 90°C</v>
      </c>
    </row>
    <row r="71" spans="12:22" x14ac:dyDescent="0.25">
      <c r="L71" s="50">
        <v>67</v>
      </c>
      <c r="M71" s="31" t="s">
        <v>6</v>
      </c>
      <c r="N71" s="31" t="s">
        <v>17</v>
      </c>
      <c r="O71" s="31" t="s">
        <v>17</v>
      </c>
      <c r="P71" s="31" t="s">
        <v>282</v>
      </c>
      <c r="Q71" s="31" t="s">
        <v>203</v>
      </c>
      <c r="R71" s="32" t="s">
        <v>283</v>
      </c>
      <c r="S71" s="31" t="s">
        <v>284</v>
      </c>
      <c r="T71" s="31" t="s">
        <v>285</v>
      </c>
      <c r="V71" t="str">
        <f t="shared" si="7"/>
        <v>125 @ 0°C, 116 @ 60°C</v>
      </c>
    </row>
    <row r="72" spans="12:22" x14ac:dyDescent="0.25">
      <c r="L72" s="50">
        <v>68</v>
      </c>
      <c r="M72" s="31" t="s">
        <v>77</v>
      </c>
      <c r="N72" s="31" t="s">
        <v>17</v>
      </c>
      <c r="O72" s="31" t="s">
        <v>17</v>
      </c>
      <c r="P72" s="31" t="s">
        <v>282</v>
      </c>
      <c r="Q72" s="31" t="s">
        <v>203</v>
      </c>
      <c r="R72" s="32" t="s">
        <v>283</v>
      </c>
      <c r="S72" s="31" t="s">
        <v>286</v>
      </c>
      <c r="T72" s="31" t="s">
        <v>287</v>
      </c>
      <c r="V72" t="str">
        <f t="shared" si="7"/>
        <v>206 @ 0°C, 200 @ 60°C</v>
      </c>
    </row>
    <row r="73" spans="12:22" x14ac:dyDescent="0.25">
      <c r="L73" s="50">
        <v>69</v>
      </c>
      <c r="M73" s="31" t="s">
        <v>80</v>
      </c>
      <c r="N73" s="31" t="s">
        <v>17</v>
      </c>
      <c r="O73" s="31" t="s">
        <v>17</v>
      </c>
      <c r="P73" s="31" t="s">
        <v>282</v>
      </c>
      <c r="Q73" s="31" t="s">
        <v>203</v>
      </c>
      <c r="R73" s="32" t="s">
        <v>283</v>
      </c>
      <c r="S73" s="31" t="s">
        <v>288</v>
      </c>
      <c r="T73" s="31" t="s">
        <v>289</v>
      </c>
      <c r="V73" t="str">
        <f t="shared" si="7"/>
        <v>325 @ 0°C, 325 @ 60°C</v>
      </c>
    </row>
    <row r="74" spans="12:22" x14ac:dyDescent="0.25">
      <c r="L74" s="50">
        <v>70</v>
      </c>
      <c r="M74" s="31" t="s">
        <v>290</v>
      </c>
      <c r="N74" s="31" t="s">
        <v>17</v>
      </c>
      <c r="O74" s="31" t="s">
        <v>17</v>
      </c>
      <c r="P74" s="31" t="s">
        <v>291</v>
      </c>
      <c r="Q74" s="31" t="s">
        <v>203</v>
      </c>
      <c r="R74" s="32" t="s">
        <v>283</v>
      </c>
      <c r="S74" s="31" t="s">
        <v>284</v>
      </c>
      <c r="T74" s="31" t="s">
        <v>285</v>
      </c>
      <c r="V74" t="str">
        <f t="shared" si="7"/>
        <v>125 @ 0°C, 116 @ 60°C</v>
      </c>
    </row>
    <row r="75" spans="12:22" x14ac:dyDescent="0.25">
      <c r="L75" s="50">
        <v>71</v>
      </c>
      <c r="M75" s="31" t="s">
        <v>292</v>
      </c>
      <c r="N75" s="31" t="s">
        <v>17</v>
      </c>
      <c r="O75" s="31" t="s">
        <v>17</v>
      </c>
      <c r="P75" s="31" t="s">
        <v>291</v>
      </c>
      <c r="Q75" s="31" t="s">
        <v>203</v>
      </c>
      <c r="R75" s="32" t="s">
        <v>283</v>
      </c>
      <c r="S75" s="31" t="s">
        <v>286</v>
      </c>
      <c r="T75" s="31" t="s">
        <v>287</v>
      </c>
      <c r="V75" t="str">
        <f t="shared" si="7"/>
        <v>206 @ 0°C, 200 @ 60°C</v>
      </c>
    </row>
    <row r="76" spans="12:22" ht="15.75" thickBot="1" x14ac:dyDescent="0.3">
      <c r="L76" s="53">
        <v>72</v>
      </c>
      <c r="M76" s="31" t="s">
        <v>293</v>
      </c>
      <c r="N76" s="37" t="s">
        <v>17</v>
      </c>
      <c r="O76" s="37" t="s">
        <v>17</v>
      </c>
      <c r="P76" s="37" t="s">
        <v>291</v>
      </c>
      <c r="Q76" s="37" t="s">
        <v>203</v>
      </c>
      <c r="R76" s="38" t="s">
        <v>283</v>
      </c>
      <c r="S76" s="37" t="s">
        <v>288</v>
      </c>
      <c r="T76" s="37" t="s">
        <v>289</v>
      </c>
      <c r="V76" t="str">
        <f t="shared" si="7"/>
        <v>325 @ 0°C, 325 @ 60°C</v>
      </c>
    </row>
  </sheetData>
  <hyperlinks>
    <hyperlink ref="B4" location="'NEET50AF'!A1" display="NEET50AF" xr:uid="{0629A242-C897-44C9-AEF8-F1C7001386B0}"/>
    <hyperlink ref="B5" location="'NEET50BF'!A1" display="NEET50BF" xr:uid="{9C59060F-ECBD-4336-BD97-CAE1B0230ACD}"/>
    <hyperlink ref="B6" location="'NEET50CF'!A1" display="NEET50CF" xr:uid="{1635A706-7D2A-4976-96E8-5980A23C4535}"/>
  </hyperlinks>
  <pageMargins left="0.7" right="0.7" top="0.75" bottom="0.75" header="0.3" footer="0.3"/>
  <pageSetup paperSize="9" scale="6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8EC05-A0EA-4D35-8A48-484D24AAC568}">
  <sheetPr codeName="Sheet68">
    <tabColor theme="5" tint="0.39997558519241921"/>
    <pageSetUpPr fitToPage="1"/>
  </sheetPr>
  <dimension ref="A1:E54"/>
  <sheetViews>
    <sheetView view="pageBreakPreview" zoomScale="115" zoomScaleNormal="100" zoomScaleSheetLayoutView="115" workbookViewId="0">
      <selection activeCell="D18" sqref="D18:E18"/>
    </sheetView>
  </sheetViews>
  <sheetFormatPr defaultColWidth="8.85546875" defaultRowHeight="12" x14ac:dyDescent="0.2"/>
  <cols>
    <col min="1" max="2" width="12.5703125" style="7" customWidth="1"/>
    <col min="3" max="3" width="42.7109375" style="7" customWidth="1"/>
    <col min="4" max="4" width="7.85546875" style="7" customWidth="1"/>
    <col min="5" max="5" width="24.28515625" style="7" customWidth="1"/>
    <col min="6" max="16384" width="8.85546875" style="7"/>
  </cols>
  <sheetData>
    <row r="1" spans="1:5" s="2" customFormat="1" ht="30" customHeight="1" x14ac:dyDescent="0.25">
      <c r="A1" s="82" t="e" vm="1">
        <v>#VALUE!</v>
      </c>
      <c r="B1" s="83"/>
      <c r="C1" s="88" t="s">
        <v>83</v>
      </c>
      <c r="D1" s="1" t="s">
        <v>0</v>
      </c>
      <c r="E1" s="1" t="s">
        <v>296</v>
      </c>
    </row>
    <row r="2" spans="1:5" s="2" customFormat="1" ht="30" customHeight="1" x14ac:dyDescent="0.25">
      <c r="A2" s="84"/>
      <c r="B2" s="85"/>
      <c r="C2" s="89"/>
      <c r="D2" s="3" t="s">
        <v>1</v>
      </c>
      <c r="E2" s="4" t="str">
        <f>VLOOKUP(C4,Index!B:J,9,FALSE)</f>
        <v>C0</v>
      </c>
    </row>
    <row r="3" spans="1:5" s="2" customFormat="1" ht="30" customHeight="1" x14ac:dyDescent="0.25">
      <c r="A3" s="86"/>
      <c r="B3" s="87"/>
      <c r="C3" s="90"/>
      <c r="D3" s="3" t="s">
        <v>2</v>
      </c>
      <c r="E3" s="5">
        <f>VLOOKUP(C4,Index!B:I,8,FALSE)</f>
        <v>502</v>
      </c>
    </row>
    <row r="4" spans="1:5" x14ac:dyDescent="0.2">
      <c r="A4" s="91" t="s">
        <v>3</v>
      </c>
      <c r="B4" s="91"/>
      <c r="C4" s="6" t="s">
        <v>84</v>
      </c>
      <c r="D4" s="91" t="s">
        <v>4</v>
      </c>
      <c r="E4" s="91"/>
    </row>
    <row r="5" spans="1:5" x14ac:dyDescent="0.2">
      <c r="A5" s="76" t="s">
        <v>5</v>
      </c>
      <c r="B5" s="76"/>
      <c r="C5" s="9" t="s">
        <v>6</v>
      </c>
      <c r="D5" s="77"/>
      <c r="E5" s="77"/>
    </row>
    <row r="6" spans="1:5" x14ac:dyDescent="0.2">
      <c r="A6" s="76" t="s">
        <v>7</v>
      </c>
      <c r="B6" s="76"/>
      <c r="C6" s="9" t="s">
        <v>8</v>
      </c>
      <c r="D6" s="77"/>
      <c r="E6" s="77"/>
    </row>
    <row r="7" spans="1:5" x14ac:dyDescent="0.2">
      <c r="A7" s="76" t="s">
        <v>9</v>
      </c>
      <c r="B7" s="76"/>
      <c r="C7" s="9" t="s">
        <v>85</v>
      </c>
      <c r="D7" s="77"/>
      <c r="E7" s="77"/>
    </row>
    <row r="8" spans="1:5" x14ac:dyDescent="0.2">
      <c r="A8" s="76" t="s">
        <v>10</v>
      </c>
      <c r="B8" s="76"/>
      <c r="C8" s="9" t="str">
        <f>VLOOKUP(C5,Index!M:V,6,FALSE)</f>
        <v>Chemical Injection (Except Hypochlorite)</v>
      </c>
      <c r="D8" s="77"/>
      <c r="E8" s="77"/>
    </row>
    <row r="9" spans="1:5" x14ac:dyDescent="0.2">
      <c r="A9" s="76" t="s">
        <v>11</v>
      </c>
      <c r="B9" s="76"/>
      <c r="C9" s="9" t="s">
        <v>12</v>
      </c>
      <c r="D9" s="77"/>
      <c r="E9" s="77"/>
    </row>
    <row r="10" spans="1:5" x14ac:dyDescent="0.2">
      <c r="A10" s="76" t="s">
        <v>13</v>
      </c>
      <c r="B10" s="76"/>
      <c r="C10" s="9"/>
      <c r="D10" s="77"/>
      <c r="E10" s="77"/>
    </row>
    <row r="11" spans="1:5" ht="11.45" customHeight="1" x14ac:dyDescent="0.2">
      <c r="A11" s="78" t="s">
        <v>14</v>
      </c>
      <c r="B11" s="79"/>
      <c r="C11" s="11" t="str">
        <f>VLOOKUP(C5,Index!M:V,10,FALSE)</f>
        <v>125 @ 0°C, 116 @ 60°C</v>
      </c>
      <c r="D11" s="80"/>
      <c r="E11" s="81"/>
    </row>
    <row r="12" spans="1:5" x14ac:dyDescent="0.2">
      <c r="A12" s="76" t="s">
        <v>15</v>
      </c>
      <c r="B12" s="76"/>
      <c r="C12" s="9" t="str">
        <f>VLOOKUP(C5,Index!M:V,5,FALSE)</f>
        <v>NIL</v>
      </c>
      <c r="D12" s="77"/>
      <c r="E12" s="77"/>
    </row>
    <row r="13" spans="1:5" x14ac:dyDescent="0.2">
      <c r="A13" s="76" t="s">
        <v>16</v>
      </c>
      <c r="B13" s="76"/>
      <c r="C13" s="9" t="s">
        <v>17</v>
      </c>
      <c r="D13" s="77"/>
      <c r="E13" s="77"/>
    </row>
    <row r="14" spans="1:5" x14ac:dyDescent="0.2">
      <c r="A14" s="76" t="s">
        <v>18</v>
      </c>
      <c r="B14" s="76"/>
      <c r="C14" s="9" t="s">
        <v>86</v>
      </c>
      <c r="D14" s="77"/>
      <c r="E14" s="77"/>
    </row>
    <row r="15" spans="1:5" x14ac:dyDescent="0.2">
      <c r="A15" s="76" t="s">
        <v>19</v>
      </c>
      <c r="B15" s="76"/>
      <c r="C15" s="9" t="s">
        <v>20</v>
      </c>
      <c r="D15" s="77"/>
      <c r="E15" s="77"/>
    </row>
    <row r="16" spans="1:5" x14ac:dyDescent="0.2">
      <c r="A16" s="77" t="s">
        <v>21</v>
      </c>
      <c r="B16" s="8" t="s">
        <v>88</v>
      </c>
      <c r="C16" s="9" t="s">
        <v>89</v>
      </c>
      <c r="D16" s="77"/>
      <c r="E16" s="77"/>
    </row>
    <row r="17" spans="1:5" x14ac:dyDescent="0.2">
      <c r="A17" s="77"/>
      <c r="B17" s="8" t="s">
        <v>23</v>
      </c>
      <c r="C17" s="9" t="s">
        <v>87</v>
      </c>
      <c r="D17" s="77"/>
      <c r="E17" s="77"/>
    </row>
    <row r="18" spans="1:5" x14ac:dyDescent="0.2">
      <c r="A18" s="77"/>
      <c r="B18" s="8" t="s">
        <v>24</v>
      </c>
      <c r="C18" s="9"/>
      <c r="D18" s="77"/>
      <c r="E18" s="77"/>
    </row>
    <row r="19" spans="1:5" x14ac:dyDescent="0.2">
      <c r="A19" s="77"/>
      <c r="B19" s="8" t="s">
        <v>25</v>
      </c>
      <c r="C19" s="9" t="s">
        <v>294</v>
      </c>
      <c r="D19" s="77"/>
      <c r="E19" s="77"/>
    </row>
    <row r="20" spans="1:5" ht="24" x14ac:dyDescent="0.2">
      <c r="A20" s="77"/>
      <c r="B20" s="8" t="s">
        <v>26</v>
      </c>
      <c r="C20" s="9" t="s">
        <v>27</v>
      </c>
      <c r="D20" s="77"/>
      <c r="E20" s="77"/>
    </row>
    <row r="21" spans="1:5" x14ac:dyDescent="0.2">
      <c r="A21" s="76" t="s">
        <v>28</v>
      </c>
      <c r="B21" s="76"/>
      <c r="C21" s="9" t="s">
        <v>90</v>
      </c>
      <c r="D21" s="77"/>
      <c r="E21" s="77"/>
    </row>
    <row r="22" spans="1:5" x14ac:dyDescent="0.2">
      <c r="A22" s="77" t="s">
        <v>29</v>
      </c>
      <c r="B22" s="8" t="s">
        <v>30</v>
      </c>
      <c r="C22" s="9" t="s">
        <v>31</v>
      </c>
      <c r="D22" s="77"/>
      <c r="E22" s="77"/>
    </row>
    <row r="23" spans="1:5" x14ac:dyDescent="0.2">
      <c r="A23" s="77"/>
      <c r="B23" s="8" t="s">
        <v>32</v>
      </c>
      <c r="C23" s="9"/>
      <c r="D23" s="77"/>
      <c r="E23" s="77"/>
    </row>
    <row r="24" spans="1:5" ht="24" x14ac:dyDescent="0.2">
      <c r="A24" s="77"/>
      <c r="B24" s="8" t="s">
        <v>33</v>
      </c>
      <c r="C24" s="9" t="s">
        <v>34</v>
      </c>
      <c r="D24" s="77"/>
      <c r="E24" s="77"/>
    </row>
    <row r="25" spans="1:5" x14ac:dyDescent="0.2">
      <c r="A25" s="77"/>
      <c r="B25" s="8" t="s">
        <v>35</v>
      </c>
      <c r="C25" s="9"/>
      <c r="D25" s="77"/>
      <c r="E25" s="77"/>
    </row>
    <row r="26" spans="1:5" x14ac:dyDescent="0.2">
      <c r="A26" s="77"/>
      <c r="B26" s="8" t="s">
        <v>37</v>
      </c>
      <c r="C26" s="9" t="s">
        <v>38</v>
      </c>
      <c r="D26" s="77"/>
      <c r="E26" s="77"/>
    </row>
    <row r="27" spans="1:5" x14ac:dyDescent="0.2">
      <c r="A27" s="77"/>
      <c r="B27" s="8" t="s">
        <v>39</v>
      </c>
      <c r="C27" s="9" t="s">
        <v>36</v>
      </c>
      <c r="D27" s="77"/>
      <c r="E27" s="77"/>
    </row>
    <row r="28" spans="1:5" x14ac:dyDescent="0.2">
      <c r="A28" s="77"/>
      <c r="B28" s="10" t="s">
        <v>40</v>
      </c>
      <c r="C28" s="12"/>
      <c r="D28" s="77"/>
      <c r="E28" s="77"/>
    </row>
    <row r="29" spans="1:5" ht="36" x14ac:dyDescent="0.2">
      <c r="A29" s="77"/>
      <c r="B29" s="8" t="s">
        <v>41</v>
      </c>
      <c r="C29" s="9" t="s">
        <v>42</v>
      </c>
      <c r="D29" s="77"/>
      <c r="E29" s="77"/>
    </row>
    <row r="30" spans="1:5" x14ac:dyDescent="0.2">
      <c r="A30" s="77"/>
      <c r="B30" s="13" t="s">
        <v>43</v>
      </c>
      <c r="C30" s="9"/>
      <c r="D30" s="77"/>
      <c r="E30" s="77"/>
    </row>
    <row r="31" spans="1:5" ht="24" x14ac:dyDescent="0.2">
      <c r="A31" s="77"/>
      <c r="B31" s="13" t="s">
        <v>44</v>
      </c>
      <c r="C31" s="9" t="s">
        <v>45</v>
      </c>
      <c r="D31" s="77"/>
      <c r="E31" s="77"/>
    </row>
    <row r="32" spans="1:5" ht="24" x14ac:dyDescent="0.2">
      <c r="A32" s="77"/>
      <c r="B32" s="8" t="s">
        <v>46</v>
      </c>
      <c r="C32" s="9" t="s">
        <v>47</v>
      </c>
      <c r="D32" s="77"/>
      <c r="E32" s="77"/>
    </row>
    <row r="33" spans="1:5" ht="36" x14ac:dyDescent="0.2">
      <c r="A33" s="77"/>
      <c r="B33" s="8" t="s">
        <v>48</v>
      </c>
      <c r="C33" s="9" t="s">
        <v>49</v>
      </c>
      <c r="D33" s="77"/>
      <c r="E33" s="77"/>
    </row>
    <row r="34" spans="1:5" ht="36" x14ac:dyDescent="0.2">
      <c r="A34" s="77"/>
      <c r="B34" s="8" t="s">
        <v>50</v>
      </c>
      <c r="C34" s="9" t="s">
        <v>51</v>
      </c>
      <c r="D34" s="77"/>
      <c r="E34" s="77"/>
    </row>
    <row r="35" spans="1:5" ht="36" x14ac:dyDescent="0.2">
      <c r="A35" s="76" t="s">
        <v>52</v>
      </c>
      <c r="B35" s="76"/>
      <c r="C35" s="9" t="s">
        <v>53</v>
      </c>
      <c r="D35" s="77"/>
      <c r="E35" s="77"/>
    </row>
    <row r="36" spans="1:5" x14ac:dyDescent="0.2">
      <c r="A36" s="76" t="s">
        <v>54</v>
      </c>
      <c r="B36" s="76"/>
      <c r="C36" s="9" t="s">
        <v>55</v>
      </c>
      <c r="D36" s="77"/>
      <c r="E36" s="77"/>
    </row>
    <row r="37" spans="1:5" x14ac:dyDescent="0.2">
      <c r="A37" s="77" t="s">
        <v>56</v>
      </c>
      <c r="B37" s="77"/>
      <c r="C37" s="12" t="s">
        <v>57</v>
      </c>
      <c r="D37" s="77"/>
      <c r="E37" s="77"/>
    </row>
    <row r="38" spans="1:5" x14ac:dyDescent="0.2">
      <c r="A38" s="77" t="s">
        <v>58</v>
      </c>
      <c r="B38" s="77"/>
      <c r="C38" s="12" t="s">
        <v>59</v>
      </c>
      <c r="D38" s="77"/>
      <c r="E38" s="77"/>
    </row>
    <row r="39" spans="1:5" x14ac:dyDescent="0.2">
      <c r="A39" s="74" t="s">
        <v>60</v>
      </c>
      <c r="B39" s="75"/>
      <c r="C39" s="12" t="s">
        <v>61</v>
      </c>
      <c r="D39" s="74"/>
      <c r="E39" s="75"/>
    </row>
    <row r="40" spans="1:5" x14ac:dyDescent="0.2">
      <c r="A40" s="74" t="s">
        <v>62</v>
      </c>
      <c r="B40" s="75"/>
      <c r="C40" s="12" t="s">
        <v>63</v>
      </c>
      <c r="D40" s="74"/>
      <c r="E40" s="75"/>
    </row>
    <row r="41" spans="1:5" x14ac:dyDescent="0.2">
      <c r="A41" s="74" t="s">
        <v>64</v>
      </c>
      <c r="B41" s="75"/>
      <c r="C41" s="12" t="s">
        <v>65</v>
      </c>
      <c r="D41" s="74"/>
      <c r="E41" s="75"/>
    </row>
    <row r="42" spans="1:5" ht="24" x14ac:dyDescent="0.2">
      <c r="A42" s="76" t="s">
        <v>66</v>
      </c>
      <c r="B42" s="76"/>
      <c r="C42" s="9" t="s">
        <v>67</v>
      </c>
      <c r="D42" s="77"/>
      <c r="E42" s="77"/>
    </row>
    <row r="43" spans="1:5" ht="24" x14ac:dyDescent="0.2">
      <c r="A43" s="76" t="s">
        <v>68</v>
      </c>
      <c r="B43" s="76"/>
      <c r="C43" s="9" t="s">
        <v>69</v>
      </c>
      <c r="D43" s="77"/>
      <c r="E43" s="77"/>
    </row>
    <row r="44" spans="1:5" ht="24" x14ac:dyDescent="0.2">
      <c r="A44" s="67" t="s">
        <v>70</v>
      </c>
      <c r="B44" s="67"/>
      <c r="C44" s="11" t="s">
        <v>297</v>
      </c>
      <c r="D44" s="14"/>
      <c r="E44" s="15"/>
    </row>
    <row r="45" spans="1:5" x14ac:dyDescent="0.2">
      <c r="A45" s="16"/>
      <c r="B45" s="14"/>
      <c r="C45" s="14"/>
      <c r="D45" s="14"/>
      <c r="E45" s="15"/>
    </row>
    <row r="46" spans="1:5" x14ac:dyDescent="0.2">
      <c r="A46" s="17" t="s">
        <v>71</v>
      </c>
      <c r="E46" s="18"/>
    </row>
    <row r="47" spans="1:5" x14ac:dyDescent="0.2">
      <c r="A47" s="68" t="s">
        <v>72</v>
      </c>
      <c r="B47" s="69"/>
      <c r="C47" s="69"/>
      <c r="D47" s="69"/>
      <c r="E47" s="70"/>
    </row>
    <row r="48" spans="1:5" x14ac:dyDescent="0.2">
      <c r="A48" s="68"/>
      <c r="B48" s="69"/>
      <c r="C48" s="69"/>
      <c r="D48" s="69"/>
      <c r="E48" s="70"/>
    </row>
    <row r="49" spans="1:5" x14ac:dyDescent="0.2">
      <c r="A49" s="68" t="s">
        <v>298</v>
      </c>
      <c r="B49" s="69"/>
      <c r="C49" s="69"/>
      <c r="D49" s="69"/>
      <c r="E49" s="70"/>
    </row>
    <row r="50" spans="1:5" x14ac:dyDescent="0.2">
      <c r="A50" s="68" t="s">
        <v>73</v>
      </c>
      <c r="B50" s="69"/>
      <c r="C50" s="69"/>
      <c r="D50" s="69"/>
      <c r="E50" s="70"/>
    </row>
    <row r="51" spans="1:5" x14ac:dyDescent="0.2">
      <c r="A51" s="68"/>
      <c r="B51" s="69"/>
      <c r="C51" s="69"/>
      <c r="D51" s="69"/>
      <c r="E51" s="70"/>
    </row>
    <row r="52" spans="1:5" x14ac:dyDescent="0.2">
      <c r="A52" s="71" t="s">
        <v>74</v>
      </c>
      <c r="B52" s="72"/>
      <c r="C52" s="72"/>
      <c r="D52" s="72"/>
      <c r="E52" s="73"/>
    </row>
    <row r="53" spans="1:5" x14ac:dyDescent="0.2">
      <c r="A53" s="68" t="s">
        <v>75</v>
      </c>
      <c r="B53" s="69"/>
      <c r="C53" s="69"/>
      <c r="D53" s="69"/>
      <c r="E53" s="70"/>
    </row>
    <row r="54" spans="1:5" x14ac:dyDescent="0.2">
      <c r="A54" s="64" t="s">
        <v>76</v>
      </c>
      <c r="B54" s="65"/>
      <c r="C54" s="65"/>
      <c r="D54" s="65"/>
      <c r="E54" s="66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23" priority="1"/>
  </conditionalFormatting>
  <conditionalFormatting sqref="B31">
    <cfRule type="duplicateValues" dxfId="22" priority="7"/>
  </conditionalFormatting>
  <conditionalFormatting sqref="B37">
    <cfRule type="duplicateValues" dxfId="21" priority="3"/>
  </conditionalFormatting>
  <conditionalFormatting sqref="B38">
    <cfRule type="duplicateValues" dxfId="20" priority="2"/>
  </conditionalFormatting>
  <conditionalFormatting sqref="B39">
    <cfRule type="duplicateValues" dxfId="19" priority="6"/>
  </conditionalFormatting>
  <conditionalFormatting sqref="B40">
    <cfRule type="duplicateValues" dxfId="18" priority="5"/>
  </conditionalFormatting>
  <conditionalFormatting sqref="B41">
    <cfRule type="duplicateValues" dxfId="17" priority="4"/>
  </conditionalFormatting>
  <conditionalFormatting sqref="B55:B1048576 B12:B27 B4:B10 B32:B36 B42:B46 B29:B30">
    <cfRule type="duplicateValues" dxfId="16" priority="8"/>
  </conditionalFormatting>
  <pageMargins left="0.7" right="0.7" top="0.75" bottom="0.75" header="0.3" footer="0.3"/>
  <pageSetup paperSize="9" scale="82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D1E76-8F86-44AA-8E18-D819064CF3DF}">
  <sheetPr codeName="Sheet69">
    <tabColor theme="5" tint="0.39997558519241921"/>
    <pageSetUpPr fitToPage="1"/>
  </sheetPr>
  <dimension ref="A1:E54"/>
  <sheetViews>
    <sheetView view="pageBreakPreview" topLeftCell="A2" zoomScale="115" zoomScaleNormal="100" zoomScaleSheetLayoutView="115" workbookViewId="0">
      <selection activeCell="D18" sqref="D18:E18"/>
    </sheetView>
  </sheetViews>
  <sheetFormatPr defaultColWidth="8.85546875" defaultRowHeight="12" x14ac:dyDescent="0.2"/>
  <cols>
    <col min="1" max="1" width="12.5703125" style="7" customWidth="1"/>
    <col min="2" max="2" width="13.5703125" style="7" bestFit="1" customWidth="1"/>
    <col min="3" max="3" width="42.7109375" style="7" customWidth="1"/>
    <col min="4" max="4" width="7.85546875" style="7" customWidth="1"/>
    <col min="5" max="5" width="24.28515625" style="7" customWidth="1"/>
    <col min="6" max="16384" width="8.85546875" style="7"/>
  </cols>
  <sheetData>
    <row r="1" spans="1:5" s="2" customFormat="1" ht="30" customHeight="1" x14ac:dyDescent="0.25">
      <c r="A1" s="82" t="e" vm="1">
        <v>#VALUE!</v>
      </c>
      <c r="B1" s="83"/>
      <c r="C1" s="88" t="s">
        <v>83</v>
      </c>
      <c r="D1" s="1" t="s">
        <v>0</v>
      </c>
      <c r="E1" s="1" t="s">
        <v>296</v>
      </c>
    </row>
    <row r="2" spans="1:5" s="2" customFormat="1" ht="30" customHeight="1" x14ac:dyDescent="0.25">
      <c r="A2" s="84"/>
      <c r="B2" s="85"/>
      <c r="C2" s="89"/>
      <c r="D2" s="3" t="s">
        <v>1</v>
      </c>
      <c r="E2" s="4" t="str">
        <f>VLOOKUP(C4,Index!B:J,9,FALSE)</f>
        <v>C0</v>
      </c>
    </row>
    <row r="3" spans="1:5" s="2" customFormat="1" ht="30" customHeight="1" x14ac:dyDescent="0.25">
      <c r="A3" s="86"/>
      <c r="B3" s="87"/>
      <c r="C3" s="90"/>
      <c r="D3" s="3" t="s">
        <v>2</v>
      </c>
      <c r="E3" s="5">
        <f>VLOOKUP(C4,Index!B:I,8,FALSE)</f>
        <v>503</v>
      </c>
    </row>
    <row r="4" spans="1:5" x14ac:dyDescent="0.2">
      <c r="A4" s="91" t="s">
        <v>3</v>
      </c>
      <c r="B4" s="91"/>
      <c r="C4" s="6" t="s">
        <v>92</v>
      </c>
      <c r="D4" s="91" t="s">
        <v>4</v>
      </c>
      <c r="E4" s="91"/>
    </row>
    <row r="5" spans="1:5" x14ac:dyDescent="0.2">
      <c r="A5" s="76" t="s">
        <v>5</v>
      </c>
      <c r="B5" s="76"/>
      <c r="C5" s="9" t="s">
        <v>77</v>
      </c>
      <c r="D5" s="77"/>
      <c r="E5" s="77"/>
    </row>
    <row r="6" spans="1:5" x14ac:dyDescent="0.2">
      <c r="A6" s="76" t="s">
        <v>7</v>
      </c>
      <c r="B6" s="76"/>
      <c r="C6" s="9" t="s">
        <v>8</v>
      </c>
      <c r="D6" s="77"/>
      <c r="E6" s="77"/>
    </row>
    <row r="7" spans="1:5" x14ac:dyDescent="0.2">
      <c r="A7" s="76" t="s">
        <v>9</v>
      </c>
      <c r="B7" s="76"/>
      <c r="C7" s="9" t="s">
        <v>85</v>
      </c>
      <c r="D7" s="77"/>
      <c r="E7" s="77"/>
    </row>
    <row r="8" spans="1:5" x14ac:dyDescent="0.2">
      <c r="A8" s="76" t="s">
        <v>10</v>
      </c>
      <c r="B8" s="76"/>
      <c r="C8" s="9" t="str">
        <f>VLOOKUP(C5,Index!M:V,6,FALSE)</f>
        <v>Chemical Injection (Except Hypochlorite)</v>
      </c>
      <c r="D8" s="77"/>
      <c r="E8" s="77"/>
    </row>
    <row r="9" spans="1:5" x14ac:dyDescent="0.2">
      <c r="A9" s="76" t="s">
        <v>11</v>
      </c>
      <c r="B9" s="76"/>
      <c r="C9" s="9" t="s">
        <v>12</v>
      </c>
      <c r="D9" s="77"/>
      <c r="E9" s="77"/>
    </row>
    <row r="10" spans="1:5" x14ac:dyDescent="0.2">
      <c r="A10" s="76" t="s">
        <v>13</v>
      </c>
      <c r="B10" s="76"/>
      <c r="C10" s="9"/>
      <c r="D10" s="77"/>
      <c r="E10" s="77"/>
    </row>
    <row r="11" spans="1:5" ht="11.45" customHeight="1" x14ac:dyDescent="0.2">
      <c r="A11" s="78" t="s">
        <v>14</v>
      </c>
      <c r="B11" s="79"/>
      <c r="C11" s="11" t="str">
        <f>VLOOKUP(C5,Index!M:V,10,FALSE)</f>
        <v>206 @ 0°C, 200 @ 60°C</v>
      </c>
      <c r="D11" s="80"/>
      <c r="E11" s="81"/>
    </row>
    <row r="12" spans="1:5" x14ac:dyDescent="0.2">
      <c r="A12" s="76" t="s">
        <v>15</v>
      </c>
      <c r="B12" s="76"/>
      <c r="C12" s="9" t="str">
        <f>VLOOKUP(C5,Index!M:V,5,FALSE)</f>
        <v>NIL</v>
      </c>
      <c r="D12" s="77"/>
      <c r="E12" s="77"/>
    </row>
    <row r="13" spans="1:5" x14ac:dyDescent="0.2">
      <c r="A13" s="76" t="s">
        <v>16</v>
      </c>
      <c r="B13" s="76"/>
      <c r="C13" s="9" t="s">
        <v>17</v>
      </c>
      <c r="D13" s="77"/>
      <c r="E13" s="77"/>
    </row>
    <row r="14" spans="1:5" x14ac:dyDescent="0.2">
      <c r="A14" s="76" t="s">
        <v>18</v>
      </c>
      <c r="B14" s="76"/>
      <c r="C14" s="9" t="s">
        <v>86</v>
      </c>
      <c r="D14" s="77"/>
      <c r="E14" s="77"/>
    </row>
    <row r="15" spans="1:5" x14ac:dyDescent="0.2">
      <c r="A15" s="76" t="s">
        <v>19</v>
      </c>
      <c r="B15" s="76"/>
      <c r="C15" s="9" t="s">
        <v>20</v>
      </c>
      <c r="D15" s="77"/>
      <c r="E15" s="77"/>
    </row>
    <row r="16" spans="1:5" x14ac:dyDescent="0.2">
      <c r="A16" s="77" t="s">
        <v>21</v>
      </c>
      <c r="B16" s="8" t="s">
        <v>22</v>
      </c>
      <c r="C16" s="9" t="s">
        <v>89</v>
      </c>
      <c r="D16" s="77"/>
      <c r="E16" s="77"/>
    </row>
    <row r="17" spans="1:5" x14ac:dyDescent="0.2">
      <c r="A17" s="77"/>
      <c r="B17" s="8" t="s">
        <v>23</v>
      </c>
      <c r="C17" s="9" t="s">
        <v>87</v>
      </c>
      <c r="D17" s="77"/>
      <c r="E17" s="77"/>
    </row>
    <row r="18" spans="1:5" x14ac:dyDescent="0.2">
      <c r="A18" s="77"/>
      <c r="B18" s="8" t="s">
        <v>24</v>
      </c>
      <c r="C18" s="9"/>
      <c r="D18" s="77"/>
      <c r="E18" s="77"/>
    </row>
    <row r="19" spans="1:5" x14ac:dyDescent="0.2">
      <c r="A19" s="77"/>
      <c r="B19" s="8" t="s">
        <v>25</v>
      </c>
      <c r="C19" s="9" t="s">
        <v>294</v>
      </c>
      <c r="D19" s="77"/>
      <c r="E19" s="77"/>
    </row>
    <row r="20" spans="1:5" ht="24" x14ac:dyDescent="0.2">
      <c r="A20" s="77"/>
      <c r="B20" s="8" t="s">
        <v>26</v>
      </c>
      <c r="C20" s="9" t="s">
        <v>27</v>
      </c>
      <c r="D20" s="77"/>
      <c r="E20" s="77"/>
    </row>
    <row r="21" spans="1:5" x14ac:dyDescent="0.2">
      <c r="A21" s="76" t="s">
        <v>28</v>
      </c>
      <c r="B21" s="76"/>
      <c r="C21" s="9" t="s">
        <v>90</v>
      </c>
      <c r="D21" s="77"/>
      <c r="E21" s="77"/>
    </row>
    <row r="22" spans="1:5" x14ac:dyDescent="0.2">
      <c r="A22" s="77" t="s">
        <v>29</v>
      </c>
      <c r="B22" s="8" t="s">
        <v>30</v>
      </c>
      <c r="C22" s="9" t="s">
        <v>31</v>
      </c>
      <c r="D22" s="77"/>
      <c r="E22" s="77"/>
    </row>
    <row r="23" spans="1:5" x14ac:dyDescent="0.2">
      <c r="A23" s="77"/>
      <c r="B23" s="8" t="s">
        <v>32</v>
      </c>
      <c r="C23" s="9"/>
      <c r="D23" s="77"/>
      <c r="E23" s="77"/>
    </row>
    <row r="24" spans="1:5" x14ac:dyDescent="0.2">
      <c r="A24" s="77"/>
      <c r="B24" s="8" t="s">
        <v>33</v>
      </c>
      <c r="C24" s="9" t="s">
        <v>34</v>
      </c>
      <c r="D24" s="77"/>
      <c r="E24" s="77"/>
    </row>
    <row r="25" spans="1:5" x14ac:dyDescent="0.2">
      <c r="A25" s="77"/>
      <c r="B25" s="8" t="s">
        <v>35</v>
      </c>
      <c r="C25" s="9"/>
      <c r="D25" s="77"/>
      <c r="E25" s="77"/>
    </row>
    <row r="26" spans="1:5" x14ac:dyDescent="0.2">
      <c r="A26" s="77"/>
      <c r="B26" s="8" t="s">
        <v>37</v>
      </c>
      <c r="C26" s="9" t="s">
        <v>38</v>
      </c>
      <c r="D26" s="77"/>
      <c r="E26" s="77"/>
    </row>
    <row r="27" spans="1:5" x14ac:dyDescent="0.2">
      <c r="A27" s="77"/>
      <c r="B27" s="8" t="s">
        <v>39</v>
      </c>
      <c r="C27" s="9" t="s">
        <v>36</v>
      </c>
      <c r="D27" s="77"/>
      <c r="E27" s="77"/>
    </row>
    <row r="28" spans="1:5" x14ac:dyDescent="0.2">
      <c r="A28" s="77"/>
      <c r="B28" s="10" t="s">
        <v>40</v>
      </c>
      <c r="C28" s="12"/>
      <c r="D28" s="77"/>
      <c r="E28" s="77"/>
    </row>
    <row r="29" spans="1:5" ht="36" x14ac:dyDescent="0.2">
      <c r="A29" s="77"/>
      <c r="B29" s="8" t="s">
        <v>41</v>
      </c>
      <c r="C29" s="9" t="s">
        <v>42</v>
      </c>
      <c r="D29" s="77"/>
      <c r="E29" s="77"/>
    </row>
    <row r="30" spans="1:5" x14ac:dyDescent="0.2">
      <c r="A30" s="77"/>
      <c r="B30" s="13" t="s">
        <v>43</v>
      </c>
      <c r="C30" s="9"/>
      <c r="D30" s="77"/>
      <c r="E30" s="77"/>
    </row>
    <row r="31" spans="1:5" ht="24" x14ac:dyDescent="0.2">
      <c r="A31" s="77"/>
      <c r="B31" s="13" t="s">
        <v>44</v>
      </c>
      <c r="C31" s="9" t="s">
        <v>45</v>
      </c>
      <c r="D31" s="77"/>
      <c r="E31" s="77"/>
    </row>
    <row r="32" spans="1:5" ht="24" x14ac:dyDescent="0.2">
      <c r="A32" s="77"/>
      <c r="B32" s="8" t="s">
        <v>46</v>
      </c>
      <c r="C32" s="9" t="s">
        <v>47</v>
      </c>
      <c r="D32" s="77"/>
      <c r="E32" s="77"/>
    </row>
    <row r="33" spans="1:5" ht="36" x14ac:dyDescent="0.2">
      <c r="A33" s="77"/>
      <c r="B33" s="8" t="s">
        <v>48</v>
      </c>
      <c r="C33" s="9" t="s">
        <v>49</v>
      </c>
      <c r="D33" s="77"/>
      <c r="E33" s="77"/>
    </row>
    <row r="34" spans="1:5" ht="36" x14ac:dyDescent="0.2">
      <c r="A34" s="77"/>
      <c r="B34" s="8" t="s">
        <v>50</v>
      </c>
      <c r="C34" s="9" t="s">
        <v>51</v>
      </c>
      <c r="D34" s="77"/>
      <c r="E34" s="77"/>
    </row>
    <row r="35" spans="1:5" ht="36" x14ac:dyDescent="0.2">
      <c r="A35" s="76" t="s">
        <v>52</v>
      </c>
      <c r="B35" s="76"/>
      <c r="C35" s="9" t="s">
        <v>53</v>
      </c>
      <c r="D35" s="77"/>
      <c r="E35" s="77"/>
    </row>
    <row r="36" spans="1:5" x14ac:dyDescent="0.2">
      <c r="A36" s="76" t="s">
        <v>54</v>
      </c>
      <c r="B36" s="76"/>
      <c r="C36" s="9" t="s">
        <v>55</v>
      </c>
      <c r="D36" s="77"/>
      <c r="E36" s="77"/>
    </row>
    <row r="37" spans="1:5" x14ac:dyDescent="0.2">
      <c r="A37" s="77" t="s">
        <v>56</v>
      </c>
      <c r="B37" s="77"/>
      <c r="C37" s="12" t="s">
        <v>57</v>
      </c>
      <c r="D37" s="77"/>
      <c r="E37" s="77"/>
    </row>
    <row r="38" spans="1:5" x14ac:dyDescent="0.2">
      <c r="A38" s="77" t="s">
        <v>58</v>
      </c>
      <c r="B38" s="77"/>
      <c r="C38" s="12" t="s">
        <v>59</v>
      </c>
      <c r="D38" s="77"/>
      <c r="E38" s="77"/>
    </row>
    <row r="39" spans="1:5" x14ac:dyDescent="0.2">
      <c r="A39" s="74" t="s">
        <v>60</v>
      </c>
      <c r="B39" s="75"/>
      <c r="C39" s="12" t="s">
        <v>78</v>
      </c>
      <c r="D39" s="74"/>
      <c r="E39" s="75"/>
    </row>
    <row r="40" spans="1:5" x14ac:dyDescent="0.2">
      <c r="A40" s="74" t="s">
        <v>62</v>
      </c>
      <c r="B40" s="75"/>
      <c r="C40" s="12" t="s">
        <v>79</v>
      </c>
      <c r="D40" s="74"/>
      <c r="E40" s="75"/>
    </row>
    <row r="41" spans="1:5" x14ac:dyDescent="0.2">
      <c r="A41" s="74" t="s">
        <v>64</v>
      </c>
      <c r="B41" s="75"/>
      <c r="C41" s="12" t="s">
        <v>65</v>
      </c>
      <c r="D41" s="74"/>
      <c r="E41" s="75"/>
    </row>
    <row r="42" spans="1:5" ht="24" x14ac:dyDescent="0.2">
      <c r="A42" s="76" t="s">
        <v>66</v>
      </c>
      <c r="B42" s="76"/>
      <c r="C42" s="9" t="s">
        <v>67</v>
      </c>
      <c r="D42" s="77"/>
      <c r="E42" s="77"/>
    </row>
    <row r="43" spans="1:5" ht="24" x14ac:dyDescent="0.2">
      <c r="A43" s="76" t="s">
        <v>68</v>
      </c>
      <c r="B43" s="76"/>
      <c r="C43" s="9" t="s">
        <v>69</v>
      </c>
      <c r="D43" s="77"/>
      <c r="E43" s="77"/>
    </row>
    <row r="44" spans="1:5" ht="24" x14ac:dyDescent="0.2">
      <c r="A44" s="67" t="s">
        <v>70</v>
      </c>
      <c r="B44" s="67"/>
      <c r="C44" s="11" t="s">
        <v>297</v>
      </c>
      <c r="D44" s="14"/>
      <c r="E44" s="15"/>
    </row>
    <row r="45" spans="1:5" x14ac:dyDescent="0.2">
      <c r="A45" s="16"/>
      <c r="B45" s="14"/>
      <c r="C45" s="14"/>
      <c r="D45" s="14"/>
      <c r="E45" s="15"/>
    </row>
    <row r="46" spans="1:5" x14ac:dyDescent="0.2">
      <c r="A46" s="17" t="s">
        <v>71</v>
      </c>
      <c r="E46" s="18"/>
    </row>
    <row r="47" spans="1:5" x14ac:dyDescent="0.2">
      <c r="A47" s="68" t="s">
        <v>72</v>
      </c>
      <c r="B47" s="69"/>
      <c r="C47" s="69"/>
      <c r="D47" s="69"/>
      <c r="E47" s="70"/>
    </row>
    <row r="48" spans="1:5" x14ac:dyDescent="0.2">
      <c r="A48" s="68"/>
      <c r="B48" s="69"/>
      <c r="C48" s="69"/>
      <c r="D48" s="69"/>
      <c r="E48" s="70"/>
    </row>
    <row r="49" spans="1:5" x14ac:dyDescent="0.2">
      <c r="A49" s="68" t="s">
        <v>298</v>
      </c>
      <c r="B49" s="69"/>
      <c r="C49" s="69"/>
      <c r="D49" s="69"/>
      <c r="E49" s="70"/>
    </row>
    <row r="50" spans="1:5" x14ac:dyDescent="0.2">
      <c r="A50" s="68" t="s">
        <v>73</v>
      </c>
      <c r="B50" s="69"/>
      <c r="C50" s="69"/>
      <c r="D50" s="69"/>
      <c r="E50" s="70"/>
    </row>
    <row r="51" spans="1:5" x14ac:dyDescent="0.2">
      <c r="A51" s="68"/>
      <c r="B51" s="69"/>
      <c r="C51" s="69"/>
      <c r="D51" s="69"/>
      <c r="E51" s="70"/>
    </row>
    <row r="52" spans="1:5" x14ac:dyDescent="0.2">
      <c r="A52" s="71" t="s">
        <v>74</v>
      </c>
      <c r="B52" s="72"/>
      <c r="C52" s="72"/>
      <c r="D52" s="72"/>
      <c r="E52" s="73"/>
    </row>
    <row r="53" spans="1:5" x14ac:dyDescent="0.2">
      <c r="A53" s="68" t="s">
        <v>75</v>
      </c>
      <c r="B53" s="69"/>
      <c r="C53" s="69"/>
      <c r="D53" s="69"/>
      <c r="E53" s="70"/>
    </row>
    <row r="54" spans="1:5" x14ac:dyDescent="0.2">
      <c r="A54" s="64" t="s">
        <v>76</v>
      </c>
      <c r="B54" s="65"/>
      <c r="C54" s="65"/>
      <c r="D54" s="65"/>
      <c r="E54" s="66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15" priority="1"/>
  </conditionalFormatting>
  <conditionalFormatting sqref="B31">
    <cfRule type="duplicateValues" dxfId="14" priority="7"/>
  </conditionalFormatting>
  <conditionalFormatting sqref="B37">
    <cfRule type="duplicateValues" dxfId="13" priority="3"/>
  </conditionalFormatting>
  <conditionalFormatting sqref="B38">
    <cfRule type="duplicateValues" dxfId="12" priority="2"/>
  </conditionalFormatting>
  <conditionalFormatting sqref="B39">
    <cfRule type="duplicateValues" dxfId="11" priority="6"/>
  </conditionalFormatting>
  <conditionalFormatting sqref="B40">
    <cfRule type="duplicateValues" dxfId="10" priority="5"/>
  </conditionalFormatting>
  <conditionalFormatting sqref="B41">
    <cfRule type="duplicateValues" dxfId="9" priority="4"/>
  </conditionalFormatting>
  <conditionalFormatting sqref="B55:B1048576 B12:B27 B4:B10 B32:B36 B42:B46 B29:B30">
    <cfRule type="duplicateValues" dxfId="8" priority="8"/>
  </conditionalFormatting>
  <pageMargins left="0.7" right="0.7" top="0.75" bottom="0.75" header="0.3" footer="0.3"/>
  <pageSetup paperSize="9" scale="84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221CB-EAF0-4317-B27D-83D10D1C50B4}">
  <sheetPr codeName="Sheet70">
    <tabColor theme="5" tint="0.39997558519241921"/>
    <pageSetUpPr fitToPage="1"/>
  </sheetPr>
  <dimension ref="A1:E54"/>
  <sheetViews>
    <sheetView view="pageBreakPreview" zoomScale="160" zoomScaleNormal="100" zoomScaleSheetLayoutView="160" workbookViewId="0">
      <selection activeCell="D18" sqref="D18:E18"/>
    </sheetView>
  </sheetViews>
  <sheetFormatPr defaultColWidth="8.85546875" defaultRowHeight="12" x14ac:dyDescent="0.2"/>
  <cols>
    <col min="1" max="1" width="12.5703125" style="7" customWidth="1"/>
    <col min="2" max="2" width="13.5703125" style="7" bestFit="1" customWidth="1"/>
    <col min="3" max="3" width="42.7109375" style="7" customWidth="1"/>
    <col min="4" max="4" width="7.85546875" style="7" customWidth="1"/>
    <col min="5" max="5" width="24.28515625" style="7" customWidth="1"/>
    <col min="6" max="16384" width="8.85546875" style="7"/>
  </cols>
  <sheetData>
    <row r="1" spans="1:5" s="2" customFormat="1" ht="30" customHeight="1" x14ac:dyDescent="0.25">
      <c r="A1" s="82" t="e" vm="1">
        <v>#VALUE!</v>
      </c>
      <c r="B1" s="83"/>
      <c r="C1" s="88" t="s">
        <v>83</v>
      </c>
      <c r="D1" s="1" t="s">
        <v>0</v>
      </c>
      <c r="E1" s="1" t="s">
        <v>296</v>
      </c>
    </row>
    <row r="2" spans="1:5" s="2" customFormat="1" ht="30" customHeight="1" x14ac:dyDescent="0.25">
      <c r="A2" s="84"/>
      <c r="B2" s="85"/>
      <c r="C2" s="89"/>
      <c r="D2" s="3" t="s">
        <v>1</v>
      </c>
      <c r="E2" s="4" t="str">
        <f>VLOOKUP(C4,Index!B:J,9,FALSE)</f>
        <v>C0</v>
      </c>
    </row>
    <row r="3" spans="1:5" s="2" customFormat="1" ht="30" customHeight="1" x14ac:dyDescent="0.25">
      <c r="A3" s="86"/>
      <c r="B3" s="87"/>
      <c r="C3" s="90"/>
      <c r="D3" s="3" t="s">
        <v>2</v>
      </c>
      <c r="E3" s="5">
        <f>VLOOKUP(C4,Index!B:I,8,FALSE)</f>
        <v>504</v>
      </c>
    </row>
    <row r="4" spans="1:5" x14ac:dyDescent="0.2">
      <c r="A4" s="91" t="s">
        <v>3</v>
      </c>
      <c r="B4" s="91"/>
      <c r="C4" s="6" t="s">
        <v>91</v>
      </c>
      <c r="D4" s="91" t="s">
        <v>4</v>
      </c>
      <c r="E4" s="91"/>
    </row>
    <row r="5" spans="1:5" x14ac:dyDescent="0.2">
      <c r="A5" s="76" t="s">
        <v>5</v>
      </c>
      <c r="B5" s="76"/>
      <c r="C5" s="9" t="s">
        <v>80</v>
      </c>
      <c r="D5" s="77"/>
      <c r="E5" s="77"/>
    </row>
    <row r="6" spans="1:5" x14ac:dyDescent="0.2">
      <c r="A6" s="76" t="s">
        <v>7</v>
      </c>
      <c r="B6" s="76"/>
      <c r="C6" s="9" t="s">
        <v>8</v>
      </c>
      <c r="D6" s="77"/>
      <c r="E6" s="77"/>
    </row>
    <row r="7" spans="1:5" x14ac:dyDescent="0.2">
      <c r="A7" s="76" t="s">
        <v>9</v>
      </c>
      <c r="B7" s="76"/>
      <c r="C7" s="9" t="s">
        <v>85</v>
      </c>
      <c r="D7" s="77"/>
      <c r="E7" s="77"/>
    </row>
    <row r="8" spans="1:5" x14ac:dyDescent="0.2">
      <c r="A8" s="76" t="s">
        <v>10</v>
      </c>
      <c r="B8" s="76"/>
      <c r="C8" s="9" t="str">
        <f>VLOOKUP(C5,Index!M:V,6,FALSE)</f>
        <v>Chemical Injection (Except Hypochlorite)</v>
      </c>
      <c r="D8" s="77"/>
      <c r="E8" s="77"/>
    </row>
    <row r="9" spans="1:5" x14ac:dyDescent="0.2">
      <c r="A9" s="76" t="s">
        <v>11</v>
      </c>
      <c r="B9" s="76"/>
      <c r="C9" s="9" t="s">
        <v>12</v>
      </c>
      <c r="D9" s="77"/>
      <c r="E9" s="77"/>
    </row>
    <row r="10" spans="1:5" x14ac:dyDescent="0.2">
      <c r="A10" s="76" t="s">
        <v>13</v>
      </c>
      <c r="B10" s="76"/>
      <c r="C10" s="9"/>
      <c r="D10" s="77"/>
      <c r="E10" s="77"/>
    </row>
    <row r="11" spans="1:5" ht="11.45" customHeight="1" x14ac:dyDescent="0.2">
      <c r="A11" s="78" t="s">
        <v>14</v>
      </c>
      <c r="B11" s="79"/>
      <c r="C11" s="11" t="str">
        <f>VLOOKUP(C5,Index!M:V,10,FALSE)</f>
        <v>325 @ 0°C, 325 @ 60°C</v>
      </c>
      <c r="D11" s="80"/>
      <c r="E11" s="81"/>
    </row>
    <row r="12" spans="1:5" x14ac:dyDescent="0.2">
      <c r="A12" s="76" t="s">
        <v>15</v>
      </c>
      <c r="B12" s="76"/>
      <c r="C12" s="9" t="str">
        <f>VLOOKUP(C5,Index!M:V,5,FALSE)</f>
        <v>NIL</v>
      </c>
      <c r="D12" s="77"/>
      <c r="E12" s="77"/>
    </row>
    <row r="13" spans="1:5" x14ac:dyDescent="0.2">
      <c r="A13" s="76" t="s">
        <v>16</v>
      </c>
      <c r="B13" s="76"/>
      <c r="C13" s="9" t="s">
        <v>17</v>
      </c>
      <c r="D13" s="77"/>
      <c r="E13" s="77"/>
    </row>
    <row r="14" spans="1:5" x14ac:dyDescent="0.2">
      <c r="A14" s="76" t="s">
        <v>18</v>
      </c>
      <c r="B14" s="76"/>
      <c r="C14" s="9" t="s">
        <v>86</v>
      </c>
      <c r="D14" s="77"/>
      <c r="E14" s="77"/>
    </row>
    <row r="15" spans="1:5" x14ac:dyDescent="0.2">
      <c r="A15" s="76" t="s">
        <v>19</v>
      </c>
      <c r="B15" s="76"/>
      <c r="C15" s="9" t="s">
        <v>20</v>
      </c>
      <c r="D15" s="77"/>
      <c r="E15" s="77"/>
    </row>
    <row r="16" spans="1:5" x14ac:dyDescent="0.2">
      <c r="A16" s="77" t="s">
        <v>21</v>
      </c>
      <c r="B16" s="8" t="s">
        <v>22</v>
      </c>
      <c r="C16" s="9" t="s">
        <v>89</v>
      </c>
      <c r="D16" s="77"/>
      <c r="E16" s="77"/>
    </row>
    <row r="17" spans="1:5" x14ac:dyDescent="0.2">
      <c r="A17" s="77"/>
      <c r="B17" s="8" t="s">
        <v>23</v>
      </c>
      <c r="C17" s="9" t="s">
        <v>87</v>
      </c>
      <c r="D17" s="77"/>
      <c r="E17" s="77"/>
    </row>
    <row r="18" spans="1:5" x14ac:dyDescent="0.2">
      <c r="A18" s="77"/>
      <c r="B18" s="8" t="s">
        <v>24</v>
      </c>
      <c r="C18" s="9"/>
      <c r="D18" s="77"/>
      <c r="E18" s="77"/>
    </row>
    <row r="19" spans="1:5" x14ac:dyDescent="0.2">
      <c r="A19" s="77"/>
      <c r="B19" s="8" t="s">
        <v>25</v>
      </c>
      <c r="C19" s="9" t="s">
        <v>294</v>
      </c>
      <c r="D19" s="77"/>
      <c r="E19" s="77"/>
    </row>
    <row r="20" spans="1:5" ht="24" x14ac:dyDescent="0.2">
      <c r="A20" s="77"/>
      <c r="B20" s="8" t="s">
        <v>26</v>
      </c>
      <c r="C20" s="9" t="s">
        <v>27</v>
      </c>
      <c r="D20" s="77"/>
      <c r="E20" s="77"/>
    </row>
    <row r="21" spans="1:5" x14ac:dyDescent="0.2">
      <c r="A21" s="76" t="s">
        <v>28</v>
      </c>
      <c r="B21" s="76"/>
      <c r="C21" s="9" t="s">
        <v>90</v>
      </c>
      <c r="D21" s="77"/>
      <c r="E21" s="77"/>
    </row>
    <row r="22" spans="1:5" x14ac:dyDescent="0.2">
      <c r="A22" s="77" t="s">
        <v>29</v>
      </c>
      <c r="B22" s="8" t="s">
        <v>30</v>
      </c>
      <c r="C22" s="9" t="s">
        <v>31</v>
      </c>
      <c r="D22" s="77"/>
      <c r="E22" s="77"/>
    </row>
    <row r="23" spans="1:5" x14ac:dyDescent="0.2">
      <c r="A23" s="77"/>
      <c r="B23" s="8" t="s">
        <v>32</v>
      </c>
      <c r="C23" s="9"/>
      <c r="D23" s="77"/>
      <c r="E23" s="77"/>
    </row>
    <row r="24" spans="1:5" x14ac:dyDescent="0.2">
      <c r="A24" s="77"/>
      <c r="B24" s="8" t="s">
        <v>33</v>
      </c>
      <c r="C24" s="9" t="s">
        <v>34</v>
      </c>
      <c r="D24" s="77"/>
      <c r="E24" s="77"/>
    </row>
    <row r="25" spans="1:5" x14ac:dyDescent="0.2">
      <c r="A25" s="77"/>
      <c r="B25" s="8" t="s">
        <v>35</v>
      </c>
      <c r="C25" s="9"/>
      <c r="D25" s="77"/>
      <c r="E25" s="77"/>
    </row>
    <row r="26" spans="1:5" x14ac:dyDescent="0.2">
      <c r="A26" s="77"/>
      <c r="B26" s="8" t="s">
        <v>37</v>
      </c>
      <c r="C26" s="9" t="s">
        <v>38</v>
      </c>
      <c r="D26" s="77"/>
      <c r="E26" s="77"/>
    </row>
    <row r="27" spans="1:5" x14ac:dyDescent="0.2">
      <c r="A27" s="77"/>
      <c r="B27" s="8" t="s">
        <v>39</v>
      </c>
      <c r="C27" s="9" t="s">
        <v>36</v>
      </c>
      <c r="D27" s="77"/>
      <c r="E27" s="77"/>
    </row>
    <row r="28" spans="1:5" x14ac:dyDescent="0.2">
      <c r="A28" s="77"/>
      <c r="B28" s="10" t="s">
        <v>40</v>
      </c>
      <c r="C28" s="12"/>
      <c r="D28" s="77"/>
      <c r="E28" s="77"/>
    </row>
    <row r="29" spans="1:5" ht="36" x14ac:dyDescent="0.2">
      <c r="A29" s="77"/>
      <c r="B29" s="8" t="s">
        <v>41</v>
      </c>
      <c r="C29" s="9" t="s">
        <v>42</v>
      </c>
      <c r="D29" s="77"/>
      <c r="E29" s="77"/>
    </row>
    <row r="30" spans="1:5" x14ac:dyDescent="0.2">
      <c r="A30" s="77"/>
      <c r="B30" s="13" t="s">
        <v>43</v>
      </c>
      <c r="C30" s="9"/>
      <c r="D30" s="77"/>
      <c r="E30" s="77"/>
    </row>
    <row r="31" spans="1:5" ht="24" x14ac:dyDescent="0.2">
      <c r="A31" s="77"/>
      <c r="B31" s="13" t="s">
        <v>44</v>
      </c>
      <c r="C31" s="9" t="s">
        <v>45</v>
      </c>
      <c r="D31" s="77"/>
      <c r="E31" s="77"/>
    </row>
    <row r="32" spans="1:5" ht="24" x14ac:dyDescent="0.2">
      <c r="A32" s="77"/>
      <c r="B32" s="8" t="s">
        <v>46</v>
      </c>
      <c r="C32" s="9" t="s">
        <v>47</v>
      </c>
      <c r="D32" s="77"/>
      <c r="E32" s="77"/>
    </row>
    <row r="33" spans="1:5" ht="36" x14ac:dyDescent="0.2">
      <c r="A33" s="77"/>
      <c r="B33" s="8" t="s">
        <v>48</v>
      </c>
      <c r="C33" s="9" t="s">
        <v>49</v>
      </c>
      <c r="D33" s="77"/>
      <c r="E33" s="77"/>
    </row>
    <row r="34" spans="1:5" ht="36" x14ac:dyDescent="0.2">
      <c r="A34" s="77"/>
      <c r="B34" s="8" t="s">
        <v>50</v>
      </c>
      <c r="C34" s="9" t="s">
        <v>51</v>
      </c>
      <c r="D34" s="77"/>
      <c r="E34" s="77"/>
    </row>
    <row r="35" spans="1:5" ht="36" x14ac:dyDescent="0.2">
      <c r="A35" s="76" t="s">
        <v>52</v>
      </c>
      <c r="B35" s="76"/>
      <c r="C35" s="9" t="s">
        <v>53</v>
      </c>
      <c r="D35" s="77"/>
      <c r="E35" s="77"/>
    </row>
    <row r="36" spans="1:5" x14ac:dyDescent="0.2">
      <c r="A36" s="76" t="s">
        <v>54</v>
      </c>
      <c r="B36" s="76"/>
      <c r="C36" s="9" t="s">
        <v>55</v>
      </c>
      <c r="D36" s="77"/>
      <c r="E36" s="77"/>
    </row>
    <row r="37" spans="1:5" x14ac:dyDescent="0.2">
      <c r="A37" s="77" t="s">
        <v>56</v>
      </c>
      <c r="B37" s="77"/>
      <c r="C37" s="12" t="s">
        <v>57</v>
      </c>
      <c r="D37" s="77"/>
      <c r="E37" s="77"/>
    </row>
    <row r="38" spans="1:5" x14ac:dyDescent="0.2">
      <c r="A38" s="77" t="s">
        <v>58</v>
      </c>
      <c r="B38" s="77"/>
      <c r="C38" s="12" t="s">
        <v>59</v>
      </c>
      <c r="D38" s="77"/>
      <c r="E38" s="77"/>
    </row>
    <row r="39" spans="1:5" x14ac:dyDescent="0.2">
      <c r="A39" s="74" t="s">
        <v>60</v>
      </c>
      <c r="B39" s="75"/>
      <c r="C39" s="12" t="s">
        <v>81</v>
      </c>
      <c r="D39" s="74"/>
      <c r="E39" s="75"/>
    </row>
    <row r="40" spans="1:5" x14ac:dyDescent="0.2">
      <c r="A40" s="74" t="s">
        <v>62</v>
      </c>
      <c r="B40" s="75"/>
      <c r="C40" s="12" t="s">
        <v>82</v>
      </c>
      <c r="D40" s="74"/>
      <c r="E40" s="75"/>
    </row>
    <row r="41" spans="1:5" x14ac:dyDescent="0.2">
      <c r="A41" s="74" t="s">
        <v>64</v>
      </c>
      <c r="B41" s="75"/>
      <c r="C41" s="12" t="s">
        <v>65</v>
      </c>
      <c r="D41" s="74"/>
      <c r="E41" s="75"/>
    </row>
    <row r="42" spans="1:5" ht="24" x14ac:dyDescent="0.2">
      <c r="A42" s="76" t="s">
        <v>66</v>
      </c>
      <c r="B42" s="76"/>
      <c r="C42" s="9" t="s">
        <v>67</v>
      </c>
      <c r="D42" s="77"/>
      <c r="E42" s="77"/>
    </row>
    <row r="43" spans="1:5" ht="24" x14ac:dyDescent="0.2">
      <c r="A43" s="76" t="s">
        <v>68</v>
      </c>
      <c r="B43" s="76"/>
      <c r="C43" s="9" t="s">
        <v>69</v>
      </c>
      <c r="D43" s="77"/>
      <c r="E43" s="77"/>
    </row>
    <row r="44" spans="1:5" ht="24" x14ac:dyDescent="0.2">
      <c r="A44" s="67" t="s">
        <v>70</v>
      </c>
      <c r="B44" s="67"/>
      <c r="C44" s="11" t="s">
        <v>297</v>
      </c>
      <c r="D44" s="14"/>
      <c r="E44" s="15"/>
    </row>
    <row r="45" spans="1:5" x14ac:dyDescent="0.2">
      <c r="A45" s="16"/>
      <c r="B45" s="14"/>
      <c r="C45" s="14"/>
      <c r="D45" s="14"/>
      <c r="E45" s="15"/>
    </row>
    <row r="46" spans="1:5" x14ac:dyDescent="0.2">
      <c r="A46" s="17" t="s">
        <v>71</v>
      </c>
      <c r="E46" s="18"/>
    </row>
    <row r="47" spans="1:5" x14ac:dyDescent="0.2">
      <c r="A47" s="68" t="s">
        <v>72</v>
      </c>
      <c r="B47" s="69"/>
      <c r="C47" s="69"/>
      <c r="D47" s="69"/>
      <c r="E47" s="70"/>
    </row>
    <row r="48" spans="1:5" x14ac:dyDescent="0.2">
      <c r="A48" s="68"/>
      <c r="B48" s="69"/>
      <c r="C48" s="69"/>
      <c r="D48" s="69"/>
      <c r="E48" s="70"/>
    </row>
    <row r="49" spans="1:5" x14ac:dyDescent="0.2">
      <c r="A49" s="68" t="s">
        <v>298</v>
      </c>
      <c r="B49" s="69"/>
      <c r="C49" s="69"/>
      <c r="D49" s="69"/>
      <c r="E49" s="70"/>
    </row>
    <row r="50" spans="1:5" x14ac:dyDescent="0.2">
      <c r="A50" s="68" t="s">
        <v>73</v>
      </c>
      <c r="B50" s="69"/>
      <c r="C50" s="69"/>
      <c r="D50" s="69"/>
      <c r="E50" s="70"/>
    </row>
    <row r="51" spans="1:5" x14ac:dyDescent="0.2">
      <c r="A51" s="68"/>
      <c r="B51" s="69"/>
      <c r="C51" s="69"/>
      <c r="D51" s="69"/>
      <c r="E51" s="70"/>
    </row>
    <row r="52" spans="1:5" x14ac:dyDescent="0.2">
      <c r="A52" s="71" t="s">
        <v>74</v>
      </c>
      <c r="B52" s="72"/>
      <c r="C52" s="72"/>
      <c r="D52" s="72"/>
      <c r="E52" s="73"/>
    </row>
    <row r="53" spans="1:5" x14ac:dyDescent="0.2">
      <c r="A53" s="68" t="s">
        <v>75</v>
      </c>
      <c r="B53" s="69"/>
      <c r="C53" s="69"/>
      <c r="D53" s="69"/>
      <c r="E53" s="70"/>
    </row>
    <row r="54" spans="1:5" x14ac:dyDescent="0.2">
      <c r="A54" s="64" t="s">
        <v>76</v>
      </c>
      <c r="B54" s="65"/>
      <c r="C54" s="65"/>
      <c r="D54" s="65"/>
      <c r="E54" s="66"/>
    </row>
  </sheetData>
  <mergeCells count="73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0"/>
    <mergeCell ref="D16:E16"/>
    <mergeCell ref="D17:E17"/>
    <mergeCell ref="D18:E18"/>
    <mergeCell ref="D19:E19"/>
    <mergeCell ref="D20:E20"/>
    <mergeCell ref="D34:E34"/>
    <mergeCell ref="A21:B21"/>
    <mergeCell ref="D21:E21"/>
    <mergeCell ref="A22:A34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35:B35"/>
    <mergeCell ref="D35:E35"/>
    <mergeCell ref="A36:B36"/>
    <mergeCell ref="D36:E36"/>
    <mergeCell ref="A37:B37"/>
    <mergeCell ref="D37:E37"/>
    <mergeCell ref="A38:B38"/>
    <mergeCell ref="D38:E38"/>
    <mergeCell ref="A39:B39"/>
    <mergeCell ref="D39:E39"/>
    <mergeCell ref="A40:B40"/>
    <mergeCell ref="D40:E40"/>
    <mergeCell ref="A41:B41"/>
    <mergeCell ref="D41:E41"/>
    <mergeCell ref="A42:B42"/>
    <mergeCell ref="D42:E42"/>
    <mergeCell ref="A43:B43"/>
    <mergeCell ref="D43:E43"/>
    <mergeCell ref="A54:E54"/>
    <mergeCell ref="A44:B44"/>
    <mergeCell ref="A47:E48"/>
    <mergeCell ref="A49:E49"/>
    <mergeCell ref="A50:E51"/>
    <mergeCell ref="A52:E52"/>
    <mergeCell ref="A53:E53"/>
  </mergeCells>
  <conditionalFormatting sqref="B28">
    <cfRule type="duplicateValues" dxfId="7" priority="1"/>
  </conditionalFormatting>
  <conditionalFormatting sqref="B31">
    <cfRule type="duplicateValues" dxfId="6" priority="7"/>
  </conditionalFormatting>
  <conditionalFormatting sqref="B37">
    <cfRule type="duplicateValues" dxfId="5" priority="3"/>
  </conditionalFormatting>
  <conditionalFormatting sqref="B38">
    <cfRule type="duplicateValues" dxfId="4" priority="2"/>
  </conditionalFormatting>
  <conditionalFormatting sqref="B39">
    <cfRule type="duplicateValues" dxfId="3" priority="6"/>
  </conditionalFormatting>
  <conditionalFormatting sqref="B40">
    <cfRule type="duplicateValues" dxfId="2" priority="5"/>
  </conditionalFormatting>
  <conditionalFormatting sqref="B41">
    <cfRule type="duplicateValues" dxfId="1" priority="4"/>
  </conditionalFormatting>
  <conditionalFormatting sqref="B55:B1048576 B12:B27 B4:B10 B32:B36 B42:B46 B29:B30">
    <cfRule type="duplicateValues" dxfId="0" priority="8"/>
  </conditionalFormatting>
  <pageMargins left="0.7" right="0.7" top="0.75" bottom="0.75" header="0.3" footer="0.3"/>
  <pageSetup paperSize="9" scale="84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Index</vt:lpstr>
      <vt:lpstr>NEET50AF</vt:lpstr>
      <vt:lpstr>NEET50BF</vt:lpstr>
      <vt:lpstr>NEET50CF</vt:lpstr>
      <vt:lpstr>Index!Print_Area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Feroz Ahmad</dc:creator>
  <cp:lastModifiedBy>Feroz Ahmad</cp:lastModifiedBy>
  <dcterms:created xsi:type="dcterms:W3CDTF">2025-04-08T06:24:42Z</dcterms:created>
  <dcterms:modified xsi:type="dcterms:W3CDTF">2025-12-31T06:37:10Z</dcterms:modified>
</cp:coreProperties>
</file>