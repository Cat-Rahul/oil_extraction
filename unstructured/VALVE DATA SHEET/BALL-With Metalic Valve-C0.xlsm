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N:\Piping\Sonangol UM 6-7 FPSO\07. Piping Spec\03. Valve Material Specification\IFR\Native\"/>
    </mc:Choice>
  </mc:AlternateContent>
  <xr:revisionPtr revIDLastSave="0" documentId="13_ncr:1_{F2AF7BA7-A147-4292-9785-77322956CA57}" xr6:coauthVersionLast="47" xr6:coauthVersionMax="47" xr10:uidLastSave="{00000000-0000-0000-0000-000000000000}"/>
  <bookViews>
    <workbookView xWindow="-28920" yWindow="-120" windowWidth="29040" windowHeight="15720" tabRatio="714" xr2:uid="{00000000-000D-0000-FFFF-FFFF00000000}"/>
  </bookViews>
  <sheets>
    <sheet name="Index" sheetId="162" r:id="rId1"/>
    <sheet name="BSFA1R" sheetId="29" r:id="rId2"/>
    <sheet name="BSRA1R" sheetId="30" r:id="rId3"/>
    <sheet name="BSFB1R" sheetId="31" r:id="rId4"/>
    <sheet name="BSRB1R" sheetId="32" r:id="rId5"/>
    <sheet name="BSFD1R" sheetId="33" r:id="rId6"/>
    <sheet name="BSRD1R" sheetId="34" r:id="rId7"/>
    <sheet name="BSFE1J" sheetId="35" r:id="rId8"/>
    <sheet name="BSRE1J" sheetId="36" r:id="rId9"/>
    <sheet name="BSFF1J" sheetId="37" r:id="rId10"/>
    <sheet name="BSRF1J" sheetId="38" r:id="rId11"/>
    <sheet name="BSFG1J" sheetId="39" r:id="rId12"/>
    <sheet name="BSRG1J" sheetId="40" r:id="rId13"/>
    <sheet name="BSFA1NR" sheetId="41" r:id="rId14"/>
    <sheet name="BSRA1NR" sheetId="42" r:id="rId15"/>
    <sheet name="BSFB1NR" sheetId="43" r:id="rId16"/>
    <sheet name="BSRB1NR" sheetId="44" r:id="rId17"/>
    <sheet name="BSFD1NR" sheetId="45" r:id="rId18"/>
    <sheet name="BSRD1NR" sheetId="46" r:id="rId19"/>
    <sheet name="BSFE1NJ" sheetId="47" r:id="rId20"/>
    <sheet name="BSRE1NJ" sheetId="48" r:id="rId21"/>
    <sheet name="BSFF1NJ" sheetId="49" r:id="rId22"/>
    <sheet name="BSRF1NJ" sheetId="50" r:id="rId23"/>
    <sheet name="BSFG1NJ" sheetId="51" r:id="rId24"/>
    <sheet name="BSRG1NJ" sheetId="151" r:id="rId25"/>
    <sheet name="BSFMG1NJ" sheetId="152" r:id="rId26"/>
    <sheet name="BSRMG1NJ" sheetId="52" r:id="rId27"/>
    <sheet name="BSFA2NR" sheetId="53" r:id="rId28"/>
    <sheet name="BSRA2NR" sheetId="54" r:id="rId29"/>
    <sheet name="BSFB2NR" sheetId="55" r:id="rId30"/>
    <sheet name="BSRB2NR" sheetId="56" r:id="rId31"/>
    <sheet name="BSFD2NR" sheetId="57" r:id="rId32"/>
    <sheet name="BSRD2NR" sheetId="58" r:id="rId33"/>
    <sheet name="BSFE2NJ" sheetId="59" r:id="rId34"/>
    <sheet name="BSRE2NJ" sheetId="60" r:id="rId35"/>
    <sheet name="BSFF2NJ" sheetId="61" r:id="rId36"/>
    <sheet name="BSRF2NJ" sheetId="62" r:id="rId37"/>
    <sheet name="BSFG2NJ" sheetId="63" r:id="rId38"/>
    <sheet name="BSRG2NJ" sheetId="64" r:id="rId39"/>
    <sheet name="BSFA1LNR" sheetId="65" r:id="rId40"/>
    <sheet name="BSRA1LNR" sheetId="66" r:id="rId41"/>
    <sheet name="BSFB1LNR" sheetId="67" r:id="rId42"/>
    <sheet name="BSRB1LNR" sheetId="68" r:id="rId43"/>
    <sheet name="BSFD1LNR" sheetId="69" r:id="rId44"/>
    <sheet name="BSRD1LNR" sheetId="70" r:id="rId45"/>
    <sheet name="BSFE1LNJ" sheetId="71" r:id="rId46"/>
    <sheet name="BSRE1LNJ" sheetId="72" r:id="rId47"/>
    <sheet name="BSFF1LNJ" sheetId="73" r:id="rId48"/>
    <sheet name="BSRF1LNJ" sheetId="74" r:id="rId49"/>
    <sheet name="BSFG1LNJ" sheetId="75" r:id="rId50"/>
    <sheet name="BSRG1LNJ" sheetId="76" r:id="rId51"/>
    <sheet name="BSFMG1LNJ" sheetId="157" r:id="rId52"/>
    <sheet name="BSRMG1LNJ" sheetId="158" r:id="rId53"/>
    <sheet name="BSFA2LNR" sheetId="77" r:id="rId54"/>
    <sheet name="BSRA2LNR" sheetId="78" r:id="rId55"/>
    <sheet name="BSFB2LNR" sheetId="79" r:id="rId56"/>
    <sheet name="BSRB2LNR" sheetId="80" r:id="rId57"/>
    <sheet name="BSFD2LNR" sheetId="81" r:id="rId58"/>
    <sheet name="BSRD2LNR" sheetId="82" r:id="rId59"/>
    <sheet name="BSFE2LNJ" sheetId="83" r:id="rId60"/>
    <sheet name="BSRE2LNJ" sheetId="84" r:id="rId61"/>
    <sheet name="BSFF2LNJ" sheetId="85" r:id="rId62"/>
    <sheet name="BSRF2LNJ" sheetId="86" r:id="rId63"/>
    <sheet name="BSFG2LNJ" sheetId="87" r:id="rId64"/>
    <sheet name="BSRG2LNJ" sheetId="88" r:id="rId65"/>
    <sheet name="BSFA10R" sheetId="89" r:id="rId66"/>
    <sheet name="BSRA10R" sheetId="90" r:id="rId67"/>
    <sheet name="BSFB10R" sheetId="91" r:id="rId68"/>
    <sheet name="BSRB10R" sheetId="92" r:id="rId69"/>
    <sheet name="BSFD10R" sheetId="93" r:id="rId70"/>
    <sheet name="BSRD10R" sheetId="94" r:id="rId71"/>
    <sheet name="BSFE10J" sheetId="95" r:id="rId72"/>
    <sheet name="BSRE10J" sheetId="96" r:id="rId73"/>
    <sheet name="BSFF10J" sheetId="97" r:id="rId74"/>
    <sheet name="BSRF10J" sheetId="98" r:id="rId75"/>
    <sheet name="BSFG10J" sheetId="99" r:id="rId76"/>
    <sheet name="BSRG10J" sheetId="100" r:id="rId77"/>
    <sheet name="BSFA10NR" sheetId="101" r:id="rId78"/>
    <sheet name="BSRA10NR" sheetId="102" r:id="rId79"/>
    <sheet name="BSFB10NR" sheetId="103" r:id="rId80"/>
    <sheet name="BSRB10NR" sheetId="104" r:id="rId81"/>
    <sheet name="BSFD10NR" sheetId="105" r:id="rId82"/>
    <sheet name="BSRD10NR" sheetId="106" r:id="rId83"/>
    <sheet name="BSFE10NJ" sheetId="107" r:id="rId84"/>
    <sheet name="BSRE10NJ" sheetId="108" r:id="rId85"/>
    <sheet name="BSFF10NJ" sheetId="109" r:id="rId86"/>
    <sheet name="BSRF10NJ" sheetId="110" r:id="rId87"/>
    <sheet name="BSFG10NJ" sheetId="111" r:id="rId88"/>
    <sheet name="BSRG10NJ" sheetId="112" r:id="rId89"/>
    <sheet name="BSFA20NR" sheetId="113" r:id="rId90"/>
    <sheet name="BSRA20NR" sheetId="114" r:id="rId91"/>
    <sheet name="BSFB20NR" sheetId="115" r:id="rId92"/>
    <sheet name="BSRB20NR" sheetId="116" r:id="rId93"/>
    <sheet name="BSFD20NR" sheetId="117" r:id="rId94"/>
    <sheet name="BSRD20NR" sheetId="118" r:id="rId95"/>
    <sheet name="BSFE20NJ" sheetId="119" r:id="rId96"/>
    <sheet name="BSRE20NJ" sheetId="120" r:id="rId97"/>
    <sheet name="BSFF20NJ" sheetId="121" r:id="rId98"/>
    <sheet name="BSRF20NJ" sheetId="122" r:id="rId99"/>
    <sheet name="BSFG20NJ" sheetId="123" r:id="rId100"/>
    <sheet name="BSRG20NJ" sheetId="124" r:id="rId101"/>
    <sheet name="BSFMG20NJ" sheetId="159" r:id="rId102"/>
    <sheet name="BSRMG20NJ" sheetId="160" r:id="rId103"/>
    <sheet name="BSFA25R" sheetId="141" r:id="rId104"/>
    <sheet name="BSRA25R" sheetId="142" r:id="rId105"/>
    <sheet name="BSFG25R" sheetId="143" r:id="rId106"/>
    <sheet name="BSRG25R" sheetId="144" r:id="rId107"/>
    <sheet name="BSFA25NR" sheetId="125" r:id="rId108"/>
    <sheet name="BSRA25NR" sheetId="126" r:id="rId109"/>
    <sheet name="BSFB25NR" sheetId="127" r:id="rId110"/>
    <sheet name="BSRB25NR" sheetId="128" r:id="rId111"/>
    <sheet name="BSFD25NR" sheetId="129" r:id="rId112"/>
    <sheet name="BSRD25NR" sheetId="130" r:id="rId113"/>
    <sheet name="BSFE25NR" sheetId="131" r:id="rId114"/>
    <sheet name="BSRE25NR" sheetId="132" r:id="rId115"/>
    <sheet name="BSFF25NR" sheetId="133" r:id="rId116"/>
    <sheet name="BSRF25NR" sheetId="134" r:id="rId117"/>
    <sheet name="BSFG25NR" sheetId="135" r:id="rId118"/>
    <sheet name="BSRG25NR" sheetId="136" r:id="rId119"/>
    <sheet name="BSFA30F" sheetId="137" r:id="rId120"/>
    <sheet name="BSRA30F" sheetId="138" r:id="rId121"/>
    <sheet name="BSRA31F" sheetId="139" r:id="rId122"/>
    <sheet name="BSFA31F" sheetId="140" r:id="rId123"/>
    <sheet name="BSFT50AJ" sheetId="147" r:id="rId124"/>
    <sheet name="BSFT50BJ" sheetId="148" r:id="rId125"/>
    <sheet name="BSFT50CJ" sheetId="149" r:id="rId126"/>
  </sheets>
  <definedNames>
    <definedName name="ListNames">REPLACE(GET.WORKBOOK(1),1,FIND("]",GET.WORKBOOK(1)),"")</definedName>
    <definedName name="_xlnm.Print_Area" localSheetId="0">Index!$A$1:$I$128</definedName>
    <definedName name="_xlnm.Print_Titles" localSheetId="0">Index!$1:$3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73" l="1"/>
  <c r="E2" i="74"/>
  <c r="E2" i="75"/>
  <c r="E2" i="76"/>
  <c r="E2" i="157"/>
  <c r="E2" i="158"/>
  <c r="E2" i="77"/>
  <c r="E2" i="78"/>
  <c r="E2" i="79"/>
  <c r="E2" i="80"/>
  <c r="E2" i="81"/>
  <c r="E2" i="82"/>
  <c r="E2" i="83"/>
  <c r="E2" i="84"/>
  <c r="E2" i="85"/>
  <c r="E2" i="86"/>
  <c r="E2" i="87"/>
  <c r="E2" i="88"/>
  <c r="E2" i="89"/>
  <c r="E2" i="90"/>
  <c r="E2" i="91"/>
  <c r="E2" i="92"/>
  <c r="E2" i="93"/>
  <c r="E2" i="94"/>
  <c r="E2" i="95"/>
  <c r="E2" i="96"/>
  <c r="E2" i="97"/>
  <c r="E2" i="98"/>
  <c r="E2" i="99"/>
  <c r="E2" i="100"/>
  <c r="E2" i="101"/>
  <c r="E2" i="102"/>
  <c r="E2" i="103"/>
  <c r="E2" i="104"/>
  <c r="E2" i="105"/>
  <c r="E2" i="106"/>
  <c r="E2" i="107"/>
  <c r="E2" i="108"/>
  <c r="E2" i="109"/>
  <c r="E2" i="110"/>
  <c r="E2" i="111"/>
  <c r="E2" i="112"/>
  <c r="E2" i="113"/>
  <c r="E2" i="114"/>
  <c r="E2" i="115"/>
  <c r="E2" i="116"/>
  <c r="E2" i="117"/>
  <c r="E2" i="118"/>
  <c r="E2" i="119"/>
  <c r="E2" i="120"/>
  <c r="E2" i="121"/>
  <c r="E2" i="122"/>
  <c r="E2" i="123"/>
  <c r="E2" i="124"/>
  <c r="E2" i="159"/>
  <c r="E2" i="160"/>
  <c r="E2" i="141"/>
  <c r="E2" i="142"/>
  <c r="E2" i="143"/>
  <c r="E2" i="144"/>
  <c r="E2" i="125"/>
  <c r="E2" i="126"/>
  <c r="E2" i="127"/>
  <c r="E2" i="128"/>
  <c r="E2" i="129"/>
  <c r="E2" i="130"/>
  <c r="E2" i="131"/>
  <c r="E2" i="132"/>
  <c r="E2" i="133"/>
  <c r="E2" i="134"/>
  <c r="E2" i="135"/>
  <c r="E2" i="136"/>
  <c r="E2" i="137"/>
  <c r="E2" i="138"/>
  <c r="E2" i="139"/>
  <c r="E2" i="140"/>
  <c r="E2" i="147"/>
  <c r="E2" i="148"/>
  <c r="E2" i="149"/>
  <c r="E2" i="72"/>
  <c r="E2" i="46"/>
  <c r="E2" i="47"/>
  <c r="E2" i="48"/>
  <c r="E2" i="49"/>
  <c r="E2" i="50"/>
  <c r="E2" i="51"/>
  <c r="E2" i="151"/>
  <c r="E2" i="152"/>
  <c r="E2" i="52"/>
  <c r="E2" i="53"/>
  <c r="E2" i="54"/>
  <c r="E2" i="55"/>
  <c r="E2" i="56"/>
  <c r="E2" i="57"/>
  <c r="E2" i="58"/>
  <c r="E2" i="59"/>
  <c r="E2" i="60"/>
  <c r="E2" i="61"/>
  <c r="E2" i="62"/>
  <c r="E2" i="63"/>
  <c r="E2" i="64"/>
  <c r="E2" i="65"/>
  <c r="E2" i="66"/>
  <c r="E2" i="67"/>
  <c r="E2" i="68"/>
  <c r="E2" i="69"/>
  <c r="E2" i="70"/>
  <c r="E2" i="71"/>
  <c r="E2" i="45"/>
  <c r="E2" i="31"/>
  <c r="E2" i="32"/>
  <c r="E2" i="33"/>
  <c r="E2" i="34"/>
  <c r="E2" i="35"/>
  <c r="E2" i="36"/>
  <c r="E2" i="37"/>
  <c r="E2" i="38"/>
  <c r="E2" i="39"/>
  <c r="E2" i="40"/>
  <c r="E2" i="41"/>
  <c r="E2" i="42"/>
  <c r="E2" i="43"/>
  <c r="E2" i="44"/>
  <c r="E2" i="30"/>
  <c r="E2" i="29"/>
  <c r="E3" i="29"/>
  <c r="V66" i="162"/>
  <c r="C11" i="138"/>
  <c r="C12" i="107"/>
  <c r="C12" i="108"/>
  <c r="C12" i="109"/>
  <c r="C12" i="110"/>
  <c r="C12" i="111"/>
  <c r="C12" i="112"/>
  <c r="C12" i="113"/>
  <c r="C12" i="114"/>
  <c r="C12" i="115"/>
  <c r="C12" i="116"/>
  <c r="C12" i="117"/>
  <c r="C12" i="118"/>
  <c r="C12" i="119"/>
  <c r="C12" i="120"/>
  <c r="C12" i="121"/>
  <c r="C12" i="122"/>
  <c r="C12" i="123"/>
  <c r="C12" i="124"/>
  <c r="C12" i="159"/>
  <c r="C12" i="160"/>
  <c r="C12" i="141"/>
  <c r="C12" i="142"/>
  <c r="C12" i="143"/>
  <c r="C12" i="144"/>
  <c r="C12" i="125"/>
  <c r="C12" i="126"/>
  <c r="C12" i="127"/>
  <c r="C12" i="128"/>
  <c r="C12" i="129"/>
  <c r="C12" i="130"/>
  <c r="C12" i="131"/>
  <c r="C12" i="132"/>
  <c r="C12" i="133"/>
  <c r="C12" i="134"/>
  <c r="C12" i="135"/>
  <c r="C12" i="136"/>
  <c r="C12" i="137"/>
  <c r="C12" i="138"/>
  <c r="C12" i="139"/>
  <c r="C12" i="140"/>
  <c r="C12" i="147"/>
  <c r="C12" i="148"/>
  <c r="C12" i="149"/>
  <c r="C12" i="106"/>
  <c r="V49" i="162"/>
  <c r="C11" i="107"/>
  <c r="C11" i="108"/>
  <c r="V50" i="162"/>
  <c r="C11" i="109"/>
  <c r="C11" i="110"/>
  <c r="V51" i="162"/>
  <c r="C11" i="111"/>
  <c r="C11" i="112"/>
  <c r="V52" i="162"/>
  <c r="C11" i="113"/>
  <c r="C11" i="114"/>
  <c r="V53" i="162"/>
  <c r="C11" i="115"/>
  <c r="C11" i="116"/>
  <c r="V54" i="162"/>
  <c r="C11" i="117"/>
  <c r="C11" i="118"/>
  <c r="V55" i="162"/>
  <c r="C11" i="119"/>
  <c r="C11" i="120"/>
  <c r="V56" i="162"/>
  <c r="C11" i="121"/>
  <c r="C11" i="122"/>
  <c r="V57" i="162"/>
  <c r="C11" i="123"/>
  <c r="C11" i="124"/>
  <c r="C11" i="159"/>
  <c r="C11" i="160"/>
  <c r="V58" i="162"/>
  <c r="C11" i="141"/>
  <c r="C11" i="142"/>
  <c r="V59" i="162"/>
  <c r="C11" i="143"/>
  <c r="C11" i="144"/>
  <c r="V60" i="162"/>
  <c r="C11" i="125"/>
  <c r="C11" i="126"/>
  <c r="V61" i="162"/>
  <c r="C11" i="127"/>
  <c r="C11" i="128"/>
  <c r="V62" i="162"/>
  <c r="C11" i="129"/>
  <c r="C11" i="130"/>
  <c r="V63" i="162"/>
  <c r="C11" i="131"/>
  <c r="C11" i="132"/>
  <c r="V64" i="162"/>
  <c r="C11" i="133"/>
  <c r="C11" i="134"/>
  <c r="V65" i="162"/>
  <c r="C11" i="135"/>
  <c r="C11" i="136"/>
  <c r="C11" i="137"/>
  <c r="V67" i="162"/>
  <c r="C11" i="139"/>
  <c r="C11" i="140"/>
  <c r="V71" i="162"/>
  <c r="C11" i="147"/>
  <c r="V72" i="162"/>
  <c r="C11" i="148"/>
  <c r="V73" i="162"/>
  <c r="C11" i="149"/>
  <c r="V48" i="162"/>
  <c r="C11" i="106"/>
  <c r="E3" i="107"/>
  <c r="E3" i="108"/>
  <c r="E3" i="109"/>
  <c r="E3" i="110"/>
  <c r="E3" i="111"/>
  <c r="E3" i="112"/>
  <c r="E3" i="113"/>
  <c r="E3" i="114"/>
  <c r="E3" i="115"/>
  <c r="E3" i="116"/>
  <c r="E3" i="117"/>
  <c r="E3" i="118"/>
  <c r="E3" i="119"/>
  <c r="E3" i="120"/>
  <c r="E3" i="121"/>
  <c r="E3" i="122"/>
  <c r="E3" i="123"/>
  <c r="E3" i="124"/>
  <c r="E3" i="159"/>
  <c r="E3" i="160"/>
  <c r="E3" i="141"/>
  <c r="E3" i="142"/>
  <c r="E3" i="143"/>
  <c r="E3" i="144"/>
  <c r="E3" i="125"/>
  <c r="E3" i="126"/>
  <c r="E3" i="127"/>
  <c r="E3" i="128"/>
  <c r="E3" i="129"/>
  <c r="E3" i="130"/>
  <c r="E3" i="131"/>
  <c r="E3" i="132"/>
  <c r="E3" i="133"/>
  <c r="E3" i="134"/>
  <c r="E3" i="135"/>
  <c r="E3" i="136"/>
  <c r="E3" i="137"/>
  <c r="E3" i="138"/>
  <c r="E3" i="139"/>
  <c r="E3" i="140"/>
  <c r="E3" i="147"/>
  <c r="E3" i="148"/>
  <c r="E3" i="149"/>
  <c r="E3" i="106"/>
  <c r="C12" i="62"/>
  <c r="C12" i="63"/>
  <c r="C12" i="64"/>
  <c r="C12" i="65"/>
  <c r="C12" i="66"/>
  <c r="C12" i="67"/>
  <c r="C12" i="68"/>
  <c r="C12" i="69"/>
  <c r="C12" i="70"/>
  <c r="C12" i="71"/>
  <c r="C12" i="72"/>
  <c r="C12" i="73"/>
  <c r="C12" i="74"/>
  <c r="C12" i="75"/>
  <c r="C12" i="76"/>
  <c r="C12" i="157"/>
  <c r="C12" i="158"/>
  <c r="C12" i="77"/>
  <c r="C12" i="78"/>
  <c r="C12" i="79"/>
  <c r="C12" i="80"/>
  <c r="C12" i="81"/>
  <c r="C12" i="82"/>
  <c r="C12" i="83"/>
  <c r="C12" i="84"/>
  <c r="C12" i="85"/>
  <c r="C12" i="86"/>
  <c r="C12" i="87"/>
  <c r="C12" i="88"/>
  <c r="C12" i="89"/>
  <c r="C12" i="90"/>
  <c r="C12" i="91"/>
  <c r="C12" i="92"/>
  <c r="C12" i="93"/>
  <c r="C12" i="94"/>
  <c r="C12" i="95"/>
  <c r="C12" i="96"/>
  <c r="C12" i="97"/>
  <c r="C12" i="98"/>
  <c r="C12" i="99"/>
  <c r="C12" i="100"/>
  <c r="C12" i="101"/>
  <c r="C12" i="102"/>
  <c r="C12" i="103"/>
  <c r="C12" i="104"/>
  <c r="C12" i="105"/>
  <c r="C12" i="61"/>
  <c r="V20" i="162"/>
  <c r="C11" i="62"/>
  <c r="V21" i="162"/>
  <c r="C11" i="63"/>
  <c r="C11" i="64"/>
  <c r="V22" i="162"/>
  <c r="C11" i="65"/>
  <c r="C11" i="66"/>
  <c r="V23" i="162"/>
  <c r="C11" i="67"/>
  <c r="C11" i="68"/>
  <c r="V24" i="162"/>
  <c r="C11" i="69"/>
  <c r="C11" i="70"/>
  <c r="V25" i="162"/>
  <c r="C11" i="71"/>
  <c r="C11" i="72"/>
  <c r="V26" i="162"/>
  <c r="C11" i="73"/>
  <c r="C11" i="74"/>
  <c r="V27" i="162"/>
  <c r="C11" i="75"/>
  <c r="C11" i="76"/>
  <c r="C11" i="157"/>
  <c r="C11" i="158"/>
  <c r="V28" i="162"/>
  <c r="C11" i="77"/>
  <c r="C11" i="78"/>
  <c r="V29" i="162"/>
  <c r="C11" i="79"/>
  <c r="C11" i="80"/>
  <c r="V30" i="162"/>
  <c r="C11" i="81"/>
  <c r="C11" i="82"/>
  <c r="V31" i="162"/>
  <c r="C11" i="83"/>
  <c r="C11" i="84"/>
  <c r="V32" i="162"/>
  <c r="C11" i="85"/>
  <c r="C11" i="86"/>
  <c r="V33" i="162"/>
  <c r="C11" i="87"/>
  <c r="C11" i="88"/>
  <c r="V40" i="162"/>
  <c r="C11" i="89"/>
  <c r="C11" i="90"/>
  <c r="V41" i="162"/>
  <c r="C11" i="91"/>
  <c r="C11" i="92"/>
  <c r="V42" i="162"/>
  <c r="C11" i="93"/>
  <c r="C11" i="94"/>
  <c r="V43" i="162"/>
  <c r="C11" i="95"/>
  <c r="C11" i="96"/>
  <c r="V44" i="162"/>
  <c r="C11" i="97"/>
  <c r="C11" i="98"/>
  <c r="V45" i="162"/>
  <c r="C11" i="99"/>
  <c r="C11" i="100"/>
  <c r="V46" i="162"/>
  <c r="C11" i="101"/>
  <c r="C11" i="102"/>
  <c r="V47" i="162"/>
  <c r="C11" i="103"/>
  <c r="C11" i="104"/>
  <c r="C11" i="105"/>
  <c r="C11" i="61"/>
  <c r="E3" i="62"/>
  <c r="E3" i="63"/>
  <c r="E3" i="64"/>
  <c r="E3" i="65"/>
  <c r="E3" i="66"/>
  <c r="E3" i="67"/>
  <c r="E3" i="68"/>
  <c r="E3" i="69"/>
  <c r="E3" i="70"/>
  <c r="E3" i="71"/>
  <c r="E3" i="72"/>
  <c r="E3" i="73"/>
  <c r="E3" i="74"/>
  <c r="E3" i="75"/>
  <c r="E3" i="76"/>
  <c r="E3" i="157"/>
  <c r="E3" i="158"/>
  <c r="E3" i="77"/>
  <c r="E3" i="78"/>
  <c r="E3" i="79"/>
  <c r="E3" i="80"/>
  <c r="E3" i="81"/>
  <c r="E3" i="82"/>
  <c r="E3" i="83"/>
  <c r="E3" i="84"/>
  <c r="E3" i="85"/>
  <c r="E3" i="86"/>
  <c r="E3" i="87"/>
  <c r="E3" i="88"/>
  <c r="E3" i="89"/>
  <c r="E3" i="90"/>
  <c r="E3" i="91"/>
  <c r="E3" i="92"/>
  <c r="E3" i="93"/>
  <c r="E3" i="94"/>
  <c r="E3" i="95"/>
  <c r="E3" i="96"/>
  <c r="E3" i="97"/>
  <c r="E3" i="98"/>
  <c r="E3" i="99"/>
  <c r="E3" i="100"/>
  <c r="E3" i="101"/>
  <c r="E3" i="102"/>
  <c r="E3" i="103"/>
  <c r="E3" i="104"/>
  <c r="E3" i="105"/>
  <c r="E3" i="61"/>
  <c r="C12" i="46"/>
  <c r="C12" i="47"/>
  <c r="C12" i="48"/>
  <c r="C12" i="49"/>
  <c r="C12" i="50"/>
  <c r="C12" i="51"/>
  <c r="C12" i="151"/>
  <c r="C12" i="152"/>
  <c r="C12" i="52"/>
  <c r="C12" i="53"/>
  <c r="C12" i="54"/>
  <c r="C12" i="55"/>
  <c r="C12" i="56"/>
  <c r="C12" i="57"/>
  <c r="C12" i="58"/>
  <c r="C12" i="59"/>
  <c r="C12" i="60"/>
  <c r="C12" i="45"/>
  <c r="V11" i="162"/>
  <c r="C11" i="46"/>
  <c r="V12" i="162"/>
  <c r="C11" i="47"/>
  <c r="C11" i="48"/>
  <c r="V13" i="162"/>
  <c r="C11" i="49"/>
  <c r="C11" i="50"/>
  <c r="V14" i="162"/>
  <c r="C11" i="51"/>
  <c r="C11" i="151"/>
  <c r="C11" i="152"/>
  <c r="C11" i="52"/>
  <c r="V16" i="162"/>
  <c r="C11" i="53"/>
  <c r="C11" i="54"/>
  <c r="V17" i="162"/>
  <c r="C11" i="55"/>
  <c r="C11" i="56"/>
  <c r="V18" i="162"/>
  <c r="C11" i="57"/>
  <c r="C11" i="58"/>
  <c r="V19" i="162"/>
  <c r="C11" i="59"/>
  <c r="C11" i="60"/>
  <c r="C11" i="45"/>
  <c r="E3" i="46"/>
  <c r="E3" i="47"/>
  <c r="E3" i="48"/>
  <c r="E3" i="49"/>
  <c r="E3" i="50"/>
  <c r="E3" i="51"/>
  <c r="E3" i="151"/>
  <c r="E3" i="152"/>
  <c r="E3" i="52"/>
  <c r="E3" i="53"/>
  <c r="E3" i="54"/>
  <c r="E3" i="55"/>
  <c r="E3" i="56"/>
  <c r="E3" i="57"/>
  <c r="E3" i="58"/>
  <c r="E3" i="59"/>
  <c r="E3" i="60"/>
  <c r="E3" i="45"/>
  <c r="C12" i="31"/>
  <c r="C12" i="32"/>
  <c r="C12" i="33"/>
  <c r="C12" i="34"/>
  <c r="C12" i="35"/>
  <c r="C12" i="36"/>
  <c r="C12" i="37"/>
  <c r="C12" i="38"/>
  <c r="C12" i="39"/>
  <c r="C12" i="40"/>
  <c r="C12" i="41"/>
  <c r="C12" i="42"/>
  <c r="C12" i="43"/>
  <c r="C12" i="44"/>
  <c r="C12" i="30"/>
  <c r="V4" i="162"/>
  <c r="C11" i="31"/>
  <c r="C11" i="32"/>
  <c r="V5" i="162"/>
  <c r="C11" i="33"/>
  <c r="C11" i="34"/>
  <c r="V6" i="162"/>
  <c r="C11" i="35"/>
  <c r="C11" i="36"/>
  <c r="V7" i="162"/>
  <c r="C11" i="37"/>
  <c r="C11" i="38"/>
  <c r="V8" i="162"/>
  <c r="C11" i="39"/>
  <c r="C11" i="40"/>
  <c r="V9" i="162"/>
  <c r="C11" i="41"/>
  <c r="C11" i="42"/>
  <c r="V10" i="162"/>
  <c r="C11" i="43"/>
  <c r="C11" i="44"/>
  <c r="V3" i="162"/>
  <c r="C11" i="30"/>
  <c r="E3" i="31"/>
  <c r="E3" i="32"/>
  <c r="E3" i="33"/>
  <c r="E3" i="34"/>
  <c r="E3" i="35"/>
  <c r="E3" i="36"/>
  <c r="E3" i="37"/>
  <c r="E3" i="38"/>
  <c r="E3" i="39"/>
  <c r="E3" i="40"/>
  <c r="E3" i="41"/>
  <c r="E3" i="42"/>
  <c r="E3" i="43"/>
  <c r="E3" i="44"/>
  <c r="E3" i="30"/>
  <c r="C12" i="29"/>
  <c r="C11" i="29"/>
  <c r="V76" i="162"/>
  <c r="V75" i="162"/>
  <c r="V74" i="162"/>
  <c r="V70" i="162"/>
  <c r="V69" i="162"/>
  <c r="V68" i="162"/>
  <c r="V39" i="162"/>
  <c r="V38" i="162"/>
  <c r="V37" i="162"/>
  <c r="V36" i="162"/>
  <c r="V35" i="162"/>
  <c r="V34" i="162"/>
  <c r="V15" i="162"/>
  <c r="E8" i="162"/>
  <c r="C12" i="162"/>
  <c r="G15" i="162"/>
  <c r="E19" i="162"/>
  <c r="C23" i="162"/>
  <c r="G26" i="162"/>
  <c r="E30" i="162"/>
  <c r="C34" i="162"/>
  <c r="G37" i="162"/>
  <c r="E41" i="162"/>
  <c r="C45" i="162"/>
  <c r="G48" i="162"/>
  <c r="E52" i="162"/>
  <c r="C56" i="162"/>
  <c r="G59" i="162"/>
  <c r="E63" i="162"/>
  <c r="C67" i="162"/>
  <c r="G70" i="162"/>
  <c r="E74" i="162"/>
  <c r="C78" i="162"/>
  <c r="G81" i="162"/>
  <c r="E85" i="162"/>
  <c r="C89" i="162"/>
  <c r="G92" i="162"/>
  <c r="E96" i="162"/>
  <c r="C100" i="162"/>
  <c r="G103" i="162"/>
  <c r="E107" i="162"/>
  <c r="C111" i="162"/>
  <c r="G114" i="162"/>
  <c r="E118" i="162"/>
  <c r="C122" i="162"/>
  <c r="G125" i="162"/>
  <c r="F4" i="162"/>
  <c r="D12" i="162"/>
  <c r="H15" i="162"/>
  <c r="F19" i="162"/>
  <c r="D23" i="162"/>
  <c r="H26" i="162"/>
  <c r="F30" i="162"/>
  <c r="D34" i="162"/>
  <c r="H37" i="162"/>
  <c r="F41" i="162"/>
  <c r="D45" i="162"/>
  <c r="H48" i="162"/>
  <c r="F52" i="162"/>
  <c r="D56" i="162"/>
  <c r="H59" i="162"/>
  <c r="F63" i="162"/>
  <c r="D67" i="162"/>
  <c r="H70" i="162"/>
  <c r="F74" i="162"/>
  <c r="D78" i="162"/>
  <c r="H81" i="162"/>
  <c r="F85" i="162"/>
  <c r="D89" i="162"/>
  <c r="H92" i="162"/>
  <c r="F96" i="162"/>
  <c r="D100" i="162"/>
  <c r="H103" i="162"/>
  <c r="F107" i="162"/>
  <c r="D111" i="162"/>
  <c r="H114" i="162"/>
  <c r="F118" i="162"/>
  <c r="D122" i="162"/>
  <c r="H125" i="162"/>
  <c r="E4" i="162"/>
  <c r="C5" i="162"/>
  <c r="G8" i="162"/>
  <c r="E12" i="162"/>
  <c r="C16" i="162"/>
  <c r="E23" i="162"/>
  <c r="C27" i="162"/>
  <c r="G30" i="162"/>
  <c r="E34" i="162"/>
  <c r="C38" i="162"/>
  <c r="G41" i="162"/>
  <c r="E45" i="162"/>
  <c r="C49" i="162"/>
  <c r="G52" i="162"/>
  <c r="E56" i="162"/>
  <c r="G63" i="162"/>
  <c r="E67" i="162"/>
  <c r="C71" i="162"/>
  <c r="G74" i="162"/>
  <c r="C82" i="162"/>
  <c r="G85" i="162"/>
  <c r="E89" i="162"/>
  <c r="C93" i="162"/>
  <c r="E100" i="162"/>
  <c r="C104" i="162"/>
  <c r="G107" i="162"/>
  <c r="E111" i="162"/>
  <c r="G118" i="162"/>
  <c r="E122" i="162"/>
  <c r="C126" i="162"/>
  <c r="D5" i="162"/>
  <c r="H8" i="162"/>
  <c r="D16" i="162"/>
  <c r="H19" i="162"/>
  <c r="F23" i="162"/>
  <c r="D27" i="162"/>
  <c r="H30" i="162"/>
  <c r="F34" i="162"/>
  <c r="D38" i="162"/>
  <c r="H41" i="162"/>
  <c r="F45" i="162"/>
  <c r="D49" i="162"/>
  <c r="F56" i="162"/>
  <c r="D60" i="162"/>
  <c r="H63" i="162"/>
  <c r="F67" i="162"/>
  <c r="D71" i="162"/>
  <c r="H74" i="162"/>
  <c r="F78" i="162"/>
  <c r="H85" i="162"/>
  <c r="F89" i="162"/>
  <c r="D93" i="162"/>
  <c r="F100" i="162"/>
  <c r="D104" i="162"/>
  <c r="F111" i="162"/>
  <c r="D115" i="162"/>
  <c r="F122" i="162"/>
  <c r="D126" i="162"/>
  <c r="G12" i="162"/>
  <c r="E16" i="162"/>
  <c r="C20" i="162"/>
  <c r="F8" i="162"/>
  <c r="G19" i="162"/>
  <c r="C60" i="162"/>
  <c r="E78" i="162"/>
  <c r="G96" i="162"/>
  <c r="C115" i="162"/>
  <c r="D4" i="162"/>
  <c r="F12" i="162"/>
  <c r="H52" i="162"/>
  <c r="D82" i="162"/>
  <c r="H96" i="162"/>
  <c r="H107" i="162"/>
  <c r="H118" i="162"/>
  <c r="C4" i="162"/>
  <c r="E5" i="162"/>
  <c r="C9" i="162"/>
  <c r="F5" i="162"/>
  <c r="D9" i="162"/>
  <c r="H12" i="162"/>
  <c r="F16" i="162"/>
  <c r="D20" i="162"/>
  <c r="H23" i="162"/>
  <c r="F27" i="162"/>
  <c r="D31" i="162"/>
  <c r="H34" i="162"/>
  <c r="F38" i="162"/>
  <c r="D42" i="162"/>
  <c r="H45" i="162"/>
  <c r="F49" i="162"/>
  <c r="D53" i="162"/>
  <c r="H56" i="162"/>
  <c r="F60" i="162"/>
  <c r="E6" i="162"/>
  <c r="C11" i="162"/>
  <c r="G16" i="162"/>
  <c r="E21" i="162"/>
  <c r="H25" i="162"/>
  <c r="C31" i="162"/>
  <c r="G35" i="162"/>
  <c r="D40" i="162"/>
  <c r="G44" i="162"/>
  <c r="C50" i="162"/>
  <c r="F54" i="162"/>
  <c r="C59" i="162"/>
  <c r="D64" i="162"/>
  <c r="F68" i="162"/>
  <c r="H72" i="162"/>
  <c r="D77" i="162"/>
  <c r="F81" i="162"/>
  <c r="F86" i="162"/>
  <c r="H90" i="162"/>
  <c r="D95" i="162"/>
  <c r="F99" i="162"/>
  <c r="F104" i="162"/>
  <c r="H108" i="162"/>
  <c r="D113" i="162"/>
  <c r="F117" i="162"/>
  <c r="H121" i="162"/>
  <c r="H126" i="162"/>
  <c r="F6" i="162"/>
  <c r="D11" i="162"/>
  <c r="H16" i="162"/>
  <c r="F21" i="162"/>
  <c r="C26" i="162"/>
  <c r="E31" i="162"/>
  <c r="H35" i="162"/>
  <c r="E40" i="162"/>
  <c r="H44" i="162"/>
  <c r="D50" i="162"/>
  <c r="G54" i="162"/>
  <c r="D59" i="162"/>
  <c r="E64" i="162"/>
  <c r="G68" i="162"/>
  <c r="E77" i="162"/>
  <c r="E82" i="162"/>
  <c r="G86" i="162"/>
  <c r="C91" i="162"/>
  <c r="E95" i="162"/>
  <c r="G99" i="162"/>
  <c r="G104" i="162"/>
  <c r="C109" i="162"/>
  <c r="E113" i="162"/>
  <c r="G117" i="162"/>
  <c r="G122" i="162"/>
  <c r="C127" i="162"/>
  <c r="G21" i="162"/>
  <c r="G45" i="162"/>
  <c r="H68" i="162"/>
  <c r="D91" i="162"/>
  <c r="F113" i="162"/>
  <c r="E73" i="162"/>
  <c r="H113" i="162"/>
  <c r="G91" i="162"/>
  <c r="E105" i="162"/>
  <c r="C114" i="162"/>
  <c r="E123" i="162"/>
  <c r="C13" i="162"/>
  <c r="E22" i="162"/>
  <c r="D32" i="162"/>
  <c r="D41" i="162"/>
  <c r="F55" i="162"/>
  <c r="D65" i="162"/>
  <c r="H73" i="162"/>
  <c r="D83" i="162"/>
  <c r="H91" i="162"/>
  <c r="D101" i="162"/>
  <c r="H109" i="162"/>
  <c r="D119" i="162"/>
  <c r="H127" i="162"/>
  <c r="F7" i="162"/>
  <c r="D13" i="162"/>
  <c r="H17" i="162"/>
  <c r="H27" i="162"/>
  <c r="E32" i="162"/>
  <c r="H36" i="162"/>
  <c r="C42" i="162"/>
  <c r="G46" i="162"/>
  <c r="D51" i="162"/>
  <c r="G55" i="162"/>
  <c r="C61" i="162"/>
  <c r="E65" i="162"/>
  <c r="G69" i="162"/>
  <c r="C79" i="162"/>
  <c r="E83" i="162"/>
  <c r="G87" i="162"/>
  <c r="C92" i="162"/>
  <c r="C97" i="162"/>
  <c r="G105" i="162"/>
  <c r="C110" i="162"/>
  <c r="E119" i="162"/>
  <c r="C128" i="162"/>
  <c r="C18" i="162"/>
  <c r="F32" i="162"/>
  <c r="E42" i="162"/>
  <c r="E51" i="162"/>
  <c r="D61" i="162"/>
  <c r="H69" i="162"/>
  <c r="D79" i="162"/>
  <c r="H87" i="162"/>
  <c r="C73" i="162"/>
  <c r="G6" i="162"/>
  <c r="E11" i="162"/>
  <c r="C17" i="162"/>
  <c r="D26" i="162"/>
  <c r="F31" i="162"/>
  <c r="C36" i="162"/>
  <c r="F40" i="162"/>
  <c r="E50" i="162"/>
  <c r="H54" i="162"/>
  <c r="E59" i="162"/>
  <c r="F64" i="162"/>
  <c r="D73" i="162"/>
  <c r="F77" i="162"/>
  <c r="F82" i="162"/>
  <c r="H86" i="162"/>
  <c r="F95" i="162"/>
  <c r="H99" i="162"/>
  <c r="H104" i="162"/>
  <c r="D109" i="162"/>
  <c r="H117" i="162"/>
  <c r="H122" i="162"/>
  <c r="D127" i="162"/>
  <c r="H6" i="162"/>
  <c r="F11" i="162"/>
  <c r="D17" i="162"/>
  <c r="H21" i="162"/>
  <c r="E26" i="162"/>
  <c r="G31" i="162"/>
  <c r="D36" i="162"/>
  <c r="G40" i="162"/>
  <c r="C46" i="162"/>
  <c r="F50" i="162"/>
  <c r="C55" i="162"/>
  <c r="F59" i="162"/>
  <c r="G64" i="162"/>
  <c r="C69" i="162"/>
  <c r="G77" i="162"/>
  <c r="G82" i="162"/>
  <c r="C87" i="162"/>
  <c r="E91" i="162"/>
  <c r="G95" i="162"/>
  <c r="G100" i="162"/>
  <c r="C105" i="162"/>
  <c r="E109" i="162"/>
  <c r="G113" i="162"/>
  <c r="C118" i="162"/>
  <c r="C123" i="162"/>
  <c r="E127" i="162"/>
  <c r="C7" i="162"/>
  <c r="G11" i="162"/>
  <c r="E17" i="162"/>
  <c r="C22" i="162"/>
  <c r="F26" i="162"/>
  <c r="H31" i="162"/>
  <c r="E36" i="162"/>
  <c r="H40" i="162"/>
  <c r="D46" i="162"/>
  <c r="G50" i="162"/>
  <c r="D55" i="162"/>
  <c r="E60" i="162"/>
  <c r="H64" i="162"/>
  <c r="D69" i="162"/>
  <c r="F73" i="162"/>
  <c r="H77" i="162"/>
  <c r="H82" i="162"/>
  <c r="D87" i="162"/>
  <c r="F91" i="162"/>
  <c r="H95" i="162"/>
  <c r="H100" i="162"/>
  <c r="D105" i="162"/>
  <c r="F109" i="162"/>
  <c r="D118" i="162"/>
  <c r="D123" i="162"/>
  <c r="F127" i="162"/>
  <c r="D7" i="162"/>
  <c r="H11" i="162"/>
  <c r="F17" i="162"/>
  <c r="D22" i="162"/>
  <c r="E27" i="162"/>
  <c r="C32" i="162"/>
  <c r="F36" i="162"/>
  <c r="C41" i="162"/>
  <c r="E46" i="162"/>
  <c r="H50" i="162"/>
  <c r="E55" i="162"/>
  <c r="G60" i="162"/>
  <c r="C65" i="162"/>
  <c r="E69" i="162"/>
  <c r="G73" i="162"/>
  <c r="G78" i="162"/>
  <c r="C83" i="162"/>
  <c r="E87" i="162"/>
  <c r="C96" i="162"/>
  <c r="C101" i="162"/>
  <c r="G109" i="162"/>
  <c r="C119" i="162"/>
  <c r="G127" i="162"/>
  <c r="E7" i="162"/>
  <c r="G17" i="162"/>
  <c r="G27" i="162"/>
  <c r="G36" i="162"/>
  <c r="F46" i="162"/>
  <c r="C51" i="162"/>
  <c r="H60" i="162"/>
  <c r="F69" i="162"/>
  <c r="H78" i="162"/>
  <c r="F87" i="162"/>
  <c r="D96" i="162"/>
  <c r="F105" i="162"/>
  <c r="D114" i="162"/>
  <c r="F123" i="162"/>
  <c r="F22" i="162"/>
  <c r="C74" i="162"/>
  <c r="E101" i="162"/>
  <c r="E114" i="162"/>
  <c r="G123" i="162"/>
  <c r="G7" i="162"/>
  <c r="E13" i="162"/>
  <c r="G22" i="162"/>
  <c r="C28" i="162"/>
  <c r="C37" i="162"/>
  <c r="H46" i="162"/>
  <c r="H55" i="162"/>
  <c r="F65" i="162"/>
  <c r="D74" i="162"/>
  <c r="F83" i="162"/>
  <c r="E10" i="162"/>
  <c r="C19" i="162"/>
  <c r="E28" i="162"/>
  <c r="D35" i="162"/>
  <c r="F43" i="162"/>
  <c r="H51" i="162"/>
  <c r="G58" i="162"/>
  <c r="H66" i="162"/>
  <c r="F75" i="162"/>
  <c r="E81" i="162"/>
  <c r="C90" i="162"/>
  <c r="G97" i="162"/>
  <c r="E103" i="162"/>
  <c r="G111" i="162"/>
  <c r="E117" i="162"/>
  <c r="C125" i="162"/>
  <c r="F10" i="162"/>
  <c r="D19" i="162"/>
  <c r="F28" i="162"/>
  <c r="E35" i="162"/>
  <c r="G43" i="162"/>
  <c r="C52" i="162"/>
  <c r="H58" i="162"/>
  <c r="G67" i="162"/>
  <c r="G75" i="162"/>
  <c r="G83" i="162"/>
  <c r="D90" i="162"/>
  <c r="H97" i="162"/>
  <c r="F103" i="162"/>
  <c r="H111" i="162"/>
  <c r="F119" i="162"/>
  <c r="D125" i="162"/>
  <c r="G10" i="162"/>
  <c r="E20" i="162"/>
  <c r="G28" i="162"/>
  <c r="F35" i="162"/>
  <c r="H43" i="162"/>
  <c r="D52" i="162"/>
  <c r="E61" i="162"/>
  <c r="H67" i="162"/>
  <c r="H75" i="162"/>
  <c r="H83" i="162"/>
  <c r="E90" i="162"/>
  <c r="C98" i="162"/>
  <c r="E104" i="162"/>
  <c r="C112" i="162"/>
  <c r="G119" i="162"/>
  <c r="E125" i="162"/>
  <c r="H10" i="162"/>
  <c r="F20" i="162"/>
  <c r="H28" i="162"/>
  <c r="D37" i="162"/>
  <c r="C44" i="162"/>
  <c r="C53" i="162"/>
  <c r="F61" i="162"/>
  <c r="C68" i="162"/>
  <c r="C76" i="162"/>
  <c r="C84" i="162"/>
  <c r="F90" i="162"/>
  <c r="D98" i="162"/>
  <c r="H105" i="162"/>
  <c r="D112" i="162"/>
  <c r="H119" i="162"/>
  <c r="F125" i="162"/>
  <c r="F13" i="162"/>
  <c r="G20" i="162"/>
  <c r="C29" i="162"/>
  <c r="E37" i="162"/>
  <c r="D44" i="162"/>
  <c r="E53" i="162"/>
  <c r="G61" i="162"/>
  <c r="D68" i="162"/>
  <c r="D76" i="162"/>
  <c r="D84" i="162"/>
  <c r="G90" i="162"/>
  <c r="E98" i="162"/>
  <c r="C106" i="162"/>
  <c r="E112" i="162"/>
  <c r="C120" i="162"/>
  <c r="E126" i="162"/>
  <c r="G13" i="162"/>
  <c r="H20" i="162"/>
  <c r="D29" i="162"/>
  <c r="F37" i="162"/>
  <c r="E44" i="162"/>
  <c r="F53" i="162"/>
  <c r="H61" i="162"/>
  <c r="E68" i="162"/>
  <c r="E76" i="162"/>
  <c r="E84" i="162"/>
  <c r="D92" i="162"/>
  <c r="F98" i="162"/>
  <c r="D106" i="162"/>
  <c r="F112" i="162"/>
  <c r="D120" i="162"/>
  <c r="F126" i="162"/>
  <c r="G53" i="162"/>
  <c r="G112" i="162"/>
  <c r="C14" i="162"/>
  <c r="D21" i="162"/>
  <c r="G38" i="162"/>
  <c r="C47" i="162"/>
  <c r="H53" i="162"/>
  <c r="D62" i="162"/>
  <c r="D70" i="162"/>
  <c r="G84" i="162"/>
  <c r="F92" i="162"/>
  <c r="H98" i="162"/>
  <c r="H112" i="162"/>
  <c r="F120" i="162"/>
  <c r="H22" i="162"/>
  <c r="H38" i="162"/>
  <c r="C54" i="162"/>
  <c r="E70" i="162"/>
  <c r="H84" i="162"/>
  <c r="C99" i="162"/>
  <c r="C113" i="162"/>
  <c r="G120" i="162"/>
  <c r="G23" i="162"/>
  <c r="F70" i="162"/>
  <c r="F114" i="162"/>
  <c r="C24" i="162"/>
  <c r="E54" i="162"/>
  <c r="D85" i="162"/>
  <c r="C107" i="162"/>
  <c r="C6" i="162"/>
  <c r="G14" i="162"/>
  <c r="E39" i="162"/>
  <c r="G47" i="162"/>
  <c r="H62" i="162"/>
  <c r="F71" i="162"/>
  <c r="C86" i="162"/>
  <c r="H93" i="162"/>
  <c r="D107" i="162"/>
  <c r="F115" i="162"/>
  <c r="H128" i="162"/>
  <c r="H14" i="162"/>
  <c r="H47" i="162"/>
  <c r="C63" i="162"/>
  <c r="G79" i="162"/>
  <c r="C94" i="162"/>
  <c r="C108" i="162"/>
  <c r="E121" i="162"/>
  <c r="H32" i="162"/>
  <c r="H79" i="162"/>
  <c r="F121" i="162"/>
  <c r="C8" i="162"/>
  <c r="G24" i="162"/>
  <c r="C33" i="162"/>
  <c r="H39" i="162"/>
  <c r="E57" i="162"/>
  <c r="C64" i="162"/>
  <c r="C80" i="162"/>
  <c r="E94" i="162"/>
  <c r="E108" i="162"/>
  <c r="G121" i="162"/>
  <c r="E15" i="162"/>
  <c r="C40" i="162"/>
  <c r="G65" i="162"/>
  <c r="D88" i="162"/>
  <c r="H123" i="162"/>
  <c r="E9" i="162"/>
  <c r="C25" i="162"/>
  <c r="E33" i="162"/>
  <c r="F48" i="162"/>
  <c r="E72" i="162"/>
  <c r="G94" i="162"/>
  <c r="E116" i="162"/>
  <c r="D25" i="162"/>
  <c r="C66" i="162"/>
  <c r="H94" i="162"/>
  <c r="F116" i="162"/>
  <c r="G9" i="162"/>
  <c r="E25" i="162"/>
  <c r="G33" i="162"/>
  <c r="H42" i="162"/>
  <c r="C58" i="162"/>
  <c r="D66" i="162"/>
  <c r="G80" i="162"/>
  <c r="G88" i="162"/>
  <c r="G102" i="162"/>
  <c r="E110" i="162"/>
  <c r="E124" i="162"/>
  <c r="C43" i="162"/>
  <c r="H80" i="162"/>
  <c r="H102" i="162"/>
  <c r="F124" i="162"/>
  <c r="C10" i="162"/>
  <c r="G25" i="162"/>
  <c r="D43" i="162"/>
  <c r="E58" i="162"/>
  <c r="C81" i="162"/>
  <c r="E97" i="162"/>
  <c r="C117" i="162"/>
  <c r="H18" i="162"/>
  <c r="E43" i="162"/>
  <c r="G66" i="162"/>
  <c r="D81" i="162"/>
  <c r="D103" i="162"/>
  <c r="H13" i="162"/>
  <c r="C21" i="162"/>
  <c r="E29" i="162"/>
  <c r="E38" i="162"/>
  <c r="F44" i="162"/>
  <c r="C62" i="162"/>
  <c r="C70" i="162"/>
  <c r="F76" i="162"/>
  <c r="F84" i="162"/>
  <c r="E92" i="162"/>
  <c r="G98" i="162"/>
  <c r="E106" i="162"/>
  <c r="E120" i="162"/>
  <c r="G126" i="162"/>
  <c r="F29" i="162"/>
  <c r="G76" i="162"/>
  <c r="F106" i="162"/>
  <c r="D128" i="162"/>
  <c r="D14" i="162"/>
  <c r="G29" i="162"/>
  <c r="D47" i="162"/>
  <c r="E62" i="162"/>
  <c r="H76" i="162"/>
  <c r="E93" i="162"/>
  <c r="G106" i="162"/>
  <c r="E128" i="162"/>
  <c r="G5" i="162"/>
  <c r="E14" i="162"/>
  <c r="H29" i="162"/>
  <c r="C39" i="162"/>
  <c r="E47" i="162"/>
  <c r="D54" i="162"/>
  <c r="F62" i="162"/>
  <c r="C77" i="162"/>
  <c r="C85" i="162"/>
  <c r="F93" i="162"/>
  <c r="D99" i="162"/>
  <c r="H106" i="162"/>
  <c r="H120" i="162"/>
  <c r="F128" i="162"/>
  <c r="H5" i="162"/>
  <c r="F14" i="162"/>
  <c r="C30" i="162"/>
  <c r="D39" i="162"/>
  <c r="F47" i="162"/>
  <c r="G62" i="162"/>
  <c r="E71" i="162"/>
  <c r="E79" i="162"/>
  <c r="G93" i="162"/>
  <c r="E99" i="162"/>
  <c r="E115" i="162"/>
  <c r="C121" i="162"/>
  <c r="G128" i="162"/>
  <c r="D24" i="162"/>
  <c r="G56" i="162"/>
  <c r="F79" i="162"/>
  <c r="F101" i="162"/>
  <c r="D121" i="162"/>
  <c r="D6" i="162"/>
  <c r="E24" i="162"/>
  <c r="G32" i="162"/>
  <c r="F39" i="162"/>
  <c r="C57" i="162"/>
  <c r="G71" i="162"/>
  <c r="D86" i="162"/>
  <c r="G101" i="162"/>
  <c r="G115" i="162"/>
  <c r="H4" i="162"/>
  <c r="H7" i="162"/>
  <c r="C15" i="162"/>
  <c r="F24" i="162"/>
  <c r="G39" i="162"/>
  <c r="C48" i="162"/>
  <c r="D57" i="162"/>
  <c r="D63" i="162"/>
  <c r="H71" i="162"/>
  <c r="E86" i="162"/>
  <c r="D94" i="162"/>
  <c r="D108" i="162"/>
  <c r="H115" i="162"/>
  <c r="G4" i="162"/>
  <c r="D15" i="162"/>
  <c r="D48" i="162"/>
  <c r="C72" i="162"/>
  <c r="C88" i="162"/>
  <c r="C102" i="162"/>
  <c r="C116" i="162"/>
  <c r="D8" i="162"/>
  <c r="H24" i="162"/>
  <c r="D33" i="162"/>
  <c r="F57" i="162"/>
  <c r="D72" i="162"/>
  <c r="D80" i="162"/>
  <c r="F94" i="162"/>
  <c r="D102" i="162"/>
  <c r="D116" i="162"/>
  <c r="F15" i="162"/>
  <c r="F42" i="162"/>
  <c r="G57" i="162"/>
  <c r="H65" i="162"/>
  <c r="E80" i="162"/>
  <c r="E88" i="162"/>
  <c r="E102" i="162"/>
  <c r="G108" i="162"/>
  <c r="C124" i="162"/>
  <c r="F9" i="162"/>
  <c r="D18" i="162"/>
  <c r="F33" i="162"/>
  <c r="G42" i="162"/>
  <c r="E49" i="162"/>
  <c r="H57" i="162"/>
  <c r="F72" i="162"/>
  <c r="F80" i="162"/>
  <c r="F88" i="162"/>
  <c r="F102" i="162"/>
  <c r="D110" i="162"/>
  <c r="D124" i="162"/>
  <c r="E18" i="162"/>
  <c r="G49" i="162"/>
  <c r="G72" i="162"/>
  <c r="C95" i="162"/>
  <c r="G116" i="162"/>
  <c r="H9" i="162"/>
  <c r="F18" i="162"/>
  <c r="F25" i="162"/>
  <c r="H33" i="162"/>
  <c r="H49" i="162"/>
  <c r="D58" i="162"/>
  <c r="E66" i="162"/>
  <c r="C75" i="162"/>
  <c r="H88" i="162"/>
  <c r="D97" i="162"/>
  <c r="H116" i="162"/>
  <c r="G18" i="162"/>
  <c r="G34" i="162"/>
  <c r="F51" i="162"/>
  <c r="D75" i="162"/>
  <c r="G89" i="162"/>
  <c r="C103" i="162"/>
  <c r="G124" i="162"/>
  <c r="D10" i="162"/>
  <c r="D28" i="162"/>
  <c r="C35" i="162"/>
  <c r="G51" i="162"/>
  <c r="E75" i="162"/>
  <c r="H89" i="162"/>
  <c r="F97" i="162"/>
  <c r="H110" i="162"/>
  <c r="H124" i="162"/>
  <c r="F66" i="162"/>
  <c r="G110" i="162"/>
  <c r="D30" i="162"/>
  <c r="H101" i="162"/>
  <c r="E48" i="162"/>
  <c r="F108" i="162"/>
  <c r="F110" i="162"/>
  <c r="F58" i="162"/>
  <c r="D117" i="16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<sst xmlns="http://schemas.openxmlformats.org/spreadsheetml/2006/main" count="12425" uniqueCount="535">
  <si>
    <t>S.NO</t>
  </si>
  <si>
    <t>VDS</t>
  </si>
  <si>
    <t>Size Range</t>
  </si>
  <si>
    <t>Valve type</t>
  </si>
  <si>
    <t>End Connections</t>
  </si>
  <si>
    <t>Ball Material</t>
  </si>
  <si>
    <t>Seat Material</t>
  </si>
  <si>
    <t>Piping Class</t>
  </si>
  <si>
    <t>Page No</t>
  </si>
  <si>
    <t>Rev</t>
  </si>
  <si>
    <t>1.15 - PIPING MATERIAL SPECIFICATION INDEX</t>
  </si>
  <si>
    <t>BALL VALVE</t>
  </si>
  <si>
    <t>SL No.</t>
  </si>
  <si>
    <t>SPEC</t>
  </si>
  <si>
    <t>RATING</t>
  </si>
  <si>
    <t>ASME MATERIAL GROUP</t>
  </si>
  <si>
    <t>PIPE MATERIAL</t>
  </si>
  <si>
    <t>CORROSION ALLOWANCE</t>
  </si>
  <si>
    <t>SERVICE</t>
  </si>
  <si>
    <t>MaxPressure @ Min Temp (barg)</t>
  </si>
  <si>
    <t>MaxPressure @ Max Temp (barg)</t>
  </si>
  <si>
    <t>Sheet No.</t>
  </si>
  <si>
    <t>Temperature</t>
  </si>
  <si>
    <t>Sheet Index</t>
  </si>
  <si>
    <t>A1</t>
  </si>
  <si>
    <t>150#</t>
  </si>
  <si>
    <t>CS</t>
  </si>
  <si>
    <t>3 mm</t>
  </si>
  <si>
    <r>
      <t>Cooling Water, Diesel, Steam,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Fresh Water, Hydraulic, Nitrogen, Exhaust, Fuel Oil, Tank Air Vent</t>
    </r>
  </si>
  <si>
    <t>19.6 @ -29°C</t>
  </si>
  <si>
    <t>13.8 @ 200°C</t>
  </si>
  <si>
    <t>BSFA1R</t>
  </si>
  <si>
    <t>C0</t>
  </si>
  <si>
    <t>B1</t>
  </si>
  <si>
    <t>300#</t>
  </si>
  <si>
    <r>
      <t>Cooling Water, 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</si>
  <si>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51.1 @ -29°C</t>
  </si>
  <si>
    <t>43.8 @ 200°C</t>
  </si>
  <si>
    <t>BSRA1R</t>
  </si>
  <si>
    <t>D1</t>
  </si>
  <si>
    <t>600#</t>
  </si>
  <si>
    <t>102.1 @ -29°C</t>
  </si>
  <si>
    <t>87.6 @ 200°C</t>
  </si>
  <si>
    <t>BSFB1R</t>
  </si>
  <si>
    <t>E1</t>
  </si>
  <si>
    <t>900#</t>
  </si>
  <si>
    <r>
      <t>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</si>
  <si>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153.2 @ -29°C</t>
  </si>
  <si>
    <t>131.4 @ 200°C</t>
  </si>
  <si>
    <t>BSRB1R</t>
  </si>
  <si>
    <t>F1</t>
  </si>
  <si>
    <t>1500#</t>
  </si>
  <si>
    <t>255.3 @ -29°C</t>
  </si>
  <si>
    <t>219 @ 200°C</t>
  </si>
  <si>
    <t>BSFD1R</t>
  </si>
  <si>
    <t>G1</t>
  </si>
  <si>
    <t>2500#</t>
  </si>
  <si>
    <t>HC with low CO2 and H2S, Steam, Hydraulic</t>
  </si>
  <si>
    <t>399.8 @ -29°C</t>
  </si>
  <si>
    <t>342.9 @ 200°C</t>
  </si>
  <si>
    <t>BSRD1R</t>
  </si>
  <si>
    <t>A1N</t>
  </si>
  <si>
    <t>CS NACE</t>
  </si>
  <si>
    <t>Glycol, FG, HC service</t>
  </si>
  <si>
    <t>13.8 @ 250°C</t>
  </si>
  <si>
    <t>BSFE1J</t>
  </si>
  <si>
    <t>B1N</t>
  </si>
  <si>
    <t>43.8 @ 250°C</t>
  </si>
  <si>
    <t>BSRE1J</t>
  </si>
  <si>
    <t>D1N</t>
  </si>
  <si>
    <t>87.6 @ 250°C</t>
  </si>
  <si>
    <t>BSFF1J</t>
  </si>
  <si>
    <t>E1N</t>
  </si>
  <si>
    <t>131.4 @ 250°C</t>
  </si>
  <si>
    <t>BSRF1J</t>
  </si>
  <si>
    <t>F1N</t>
  </si>
  <si>
    <t>BSFG1J</t>
  </si>
  <si>
    <t>G1N</t>
  </si>
  <si>
    <t>BSRG1J</t>
  </si>
  <si>
    <t>A2</t>
  </si>
  <si>
    <t>6 mm</t>
  </si>
  <si>
    <t>Crude Oil</t>
  </si>
  <si>
    <t>BSFA1NR</t>
  </si>
  <si>
    <t>A2N</t>
  </si>
  <si>
    <t>Corrosive HC service</t>
  </si>
  <si>
    <t>BSRA1NR</t>
  </si>
  <si>
    <t>B2N</t>
  </si>
  <si>
    <t>BSFB1NR</t>
  </si>
  <si>
    <t>D2N</t>
  </si>
  <si>
    <t>BSRB1NR</t>
  </si>
  <si>
    <t>E2N</t>
  </si>
  <si>
    <t>BSFD1NR</t>
  </si>
  <si>
    <t>F2N</t>
  </si>
  <si>
    <t>BSRD1NR</t>
  </si>
  <si>
    <t>G2N</t>
  </si>
  <si>
    <t>BSFE1NJ</t>
  </si>
  <si>
    <t>A1LN</t>
  </si>
  <si>
    <t>LTCS NACE</t>
  </si>
  <si>
    <t>Flare, Corrosive HC service (Low Temp)</t>
  </si>
  <si>
    <t>19.6 @ -45°C</t>
  </si>
  <si>
    <t>BSRE1NJ</t>
  </si>
  <si>
    <t>B1LN</t>
  </si>
  <si>
    <t>51.1 @ -45°C</t>
  </si>
  <si>
    <t>BSFF1NJ</t>
  </si>
  <si>
    <t>D1LN</t>
  </si>
  <si>
    <t>Corrosive HC service (Low Temp)</t>
  </si>
  <si>
    <t>102.1 @ -45°C</t>
  </si>
  <si>
    <t>BSRF1NJ</t>
  </si>
  <si>
    <t>E1LN</t>
  </si>
  <si>
    <t>153.2 @ -45°C</t>
  </si>
  <si>
    <t>BSFG1NJ</t>
  </si>
  <si>
    <t>F1LN</t>
  </si>
  <si>
    <t>255.3 @ -45°C</t>
  </si>
  <si>
    <t>BSRG1NJ</t>
  </si>
  <si>
    <t>G1LN</t>
  </si>
  <si>
    <t>Gas Lift, Corrosive HC service (Low Temp)</t>
  </si>
  <si>
    <t>BSFMG1NJ</t>
  </si>
  <si>
    <t>A2LN</t>
  </si>
  <si>
    <t>BSRMG1NJ</t>
  </si>
  <si>
    <t>B2LN</t>
  </si>
  <si>
    <t>BSFA2NR</t>
  </si>
  <si>
    <t>D2LN</t>
  </si>
  <si>
    <t>BSRA2NR</t>
  </si>
  <si>
    <t>E2LN</t>
  </si>
  <si>
    <t>BSFB2NR</t>
  </si>
  <si>
    <t>F2LN</t>
  </si>
  <si>
    <t>BSRB2NR</t>
  </si>
  <si>
    <t>G2LN</t>
  </si>
  <si>
    <t>BSFD2NR</t>
  </si>
  <si>
    <t>A3</t>
  </si>
  <si>
    <t>CS GALV (Valve: SS)</t>
  </si>
  <si>
    <t>Utility Water</t>
  </si>
  <si>
    <t>19 @ -29°C</t>
  </si>
  <si>
    <t xml:space="preserve"> 16.2 @ 100°C</t>
  </si>
  <si>
    <t>BSRD2NR</t>
  </si>
  <si>
    <t>A4</t>
  </si>
  <si>
    <t>1.5 mm</t>
  </si>
  <si>
    <t>Bilge, drain, sewage, produced water, C02 Gas</t>
  </si>
  <si>
    <t>BSFE2NJ</t>
  </si>
  <si>
    <t>B4</t>
  </si>
  <si>
    <t>BSRE2NJ</t>
  </si>
  <si>
    <t>D4</t>
  </si>
  <si>
    <t>BSFF2NJ</t>
  </si>
  <si>
    <t>A5</t>
  </si>
  <si>
    <t>CS GALV</t>
  </si>
  <si>
    <t>Chemical (penetration), Firewater (penetration), Seawater (penetration), Ballast, Inert Gas, COW/Tank Cleaning, Slop, Stripping, Seawater</t>
  </si>
  <si>
    <t>BSRF2NJ</t>
  </si>
  <si>
    <t>A6</t>
  </si>
  <si>
    <t>CS - Epoxy Lined</t>
  </si>
  <si>
    <t>Ballast, Inert Gas, COW/Tank Cleaning, Slop, Seawater, Firewater</t>
  </si>
  <si>
    <t>BSFG2NJ</t>
  </si>
  <si>
    <t>A3, A4, A5, A6, A10</t>
  </si>
  <si>
    <t>SS316L</t>
  </si>
  <si>
    <t>NIL</t>
  </si>
  <si>
    <t>Air, Nitrogen, Lube oil, Chemical, Foam, hydraulic, Instrument Air, Diesel Fuel</t>
  </si>
  <si>
    <t>15.9 @ -100°C</t>
  </si>
  <si>
    <t>11.2 @ 200°C</t>
  </si>
  <si>
    <t>BSRG2NJ</t>
  </si>
  <si>
    <t>B10</t>
  </si>
  <si>
    <t>Air, Nitrogen, Lube oil, Chemical, Foam, Hydraulic, Instrument Air, Diesel Fuel</t>
  </si>
  <si>
    <t>41.4 @ -100°C</t>
  </si>
  <si>
    <t>29.2 @ 200°C</t>
  </si>
  <si>
    <t>BSFA1LNR</t>
  </si>
  <si>
    <t>D10</t>
  </si>
  <si>
    <t>Air, Nitrogen, Lube oil, Chemical, Hydraulic</t>
  </si>
  <si>
    <t>82.7 @ -100°C</t>
  </si>
  <si>
    <t>58.3 @ 200°C</t>
  </si>
  <si>
    <t>BSRA1LNR</t>
  </si>
  <si>
    <t>E10</t>
  </si>
  <si>
    <t>124.1 @ -100°C</t>
  </si>
  <si>
    <t>87.5 @ 200°C</t>
  </si>
  <si>
    <t>BSFB1LNR</t>
  </si>
  <si>
    <t>F10</t>
  </si>
  <si>
    <t>206.8 @ -100°C</t>
  </si>
  <si>
    <t>145.8 @ 200°C</t>
  </si>
  <si>
    <t>BSRB1LNR</t>
  </si>
  <si>
    <t>G10</t>
  </si>
  <si>
    <t>344.7 @ -100°C</t>
  </si>
  <si>
    <t>243 @ 200°C</t>
  </si>
  <si>
    <t>BSFD1LNR</t>
  </si>
  <si>
    <t>A10N</t>
  </si>
  <si>
    <t>SS316L NACE</t>
  </si>
  <si>
    <t>Glycol, Corrosive HC service</t>
  </si>
  <si>
    <t>BSRD1LNR</t>
  </si>
  <si>
    <t>B10N</t>
  </si>
  <si>
    <t>BSFE1LNJ</t>
  </si>
  <si>
    <t>D10N</t>
  </si>
  <si>
    <t>BSRE1LNJ</t>
  </si>
  <si>
    <t>E10N</t>
  </si>
  <si>
    <t>BSFF1LNJ</t>
  </si>
  <si>
    <t>F10N</t>
  </si>
  <si>
    <t>BSRF1LNJ</t>
  </si>
  <si>
    <t>G10N</t>
  </si>
  <si>
    <t>BSFG1LNJ</t>
  </si>
  <si>
    <t>A20N</t>
  </si>
  <si>
    <t>DSS NACE</t>
  </si>
  <si>
    <t>20 @ -46°C</t>
  </si>
  <si>
    <t>BSRG1LNJ</t>
  </si>
  <si>
    <t>B20N</t>
  </si>
  <si>
    <t>51.7 @ -46°C</t>
  </si>
  <si>
    <t>42.7 @ 200°C</t>
  </si>
  <si>
    <t>BSFMG1LNJ</t>
  </si>
  <si>
    <t>D20N</t>
  </si>
  <si>
    <t>103.4 @ -46°C</t>
  </si>
  <si>
    <t>85.3 @ 200°C</t>
  </si>
  <si>
    <t>BSRMG1LNJ</t>
  </si>
  <si>
    <t>E20N</t>
  </si>
  <si>
    <t>155.1 @ -46°C</t>
  </si>
  <si>
    <t>128 @ 200°C</t>
  </si>
  <si>
    <t>BSFA2LNR</t>
  </si>
  <si>
    <t>F20N</t>
  </si>
  <si>
    <t>258.6 @ -46°C</t>
  </si>
  <si>
    <t>213.3 @ 200°C</t>
  </si>
  <si>
    <t>BSRA2LNR</t>
  </si>
  <si>
    <t>G20N</t>
  </si>
  <si>
    <t>430.9 @ -46°C</t>
  </si>
  <si>
    <t>355.4 @ 200°C</t>
  </si>
  <si>
    <t>BSFB2LNR</t>
  </si>
  <si>
    <t>A25</t>
  </si>
  <si>
    <t>SDSS</t>
  </si>
  <si>
    <t>Firewater, Raw Seawater and Topsides Seawater</t>
  </si>
  <si>
    <t>BSRB2LNR</t>
  </si>
  <si>
    <t>G25</t>
  </si>
  <si>
    <t>Topside Seawater and Water Injection</t>
  </si>
  <si>
    <t>BSFD2LNR</t>
  </si>
  <si>
    <t>A25N</t>
  </si>
  <si>
    <t>SDSS NACE</t>
  </si>
  <si>
    <t>BSRD2LNR</t>
  </si>
  <si>
    <t>B25N</t>
  </si>
  <si>
    <t>BSFE2LNJ</t>
  </si>
  <si>
    <t>D25N</t>
  </si>
  <si>
    <t>BSRE2LNJ</t>
  </si>
  <si>
    <t>E25N</t>
  </si>
  <si>
    <t>BSFF2LNJ</t>
  </si>
  <si>
    <t>F25N</t>
  </si>
  <si>
    <t>BSRF2LNJ</t>
  </si>
  <si>
    <t>G25N</t>
  </si>
  <si>
    <t>BSFG2LNJ</t>
  </si>
  <si>
    <t>A30, A40, A41 , A42</t>
  </si>
  <si>
    <t>EEMUA 20 bar</t>
  </si>
  <si>
    <t>-</t>
  </si>
  <si>
    <t>CuNi (Valve: NAB)</t>
  </si>
  <si>
    <t>Raw Sea Water, Fire Water</t>
  </si>
  <si>
    <t>20 @ 0°C</t>
  </si>
  <si>
    <t>17.3 @ 100°C</t>
  </si>
  <si>
    <t>BSRG2LNJ</t>
  </si>
  <si>
    <t>A31</t>
  </si>
  <si>
    <t>Copper</t>
  </si>
  <si>
    <t>Potable Water</t>
  </si>
  <si>
    <t>BSFA10R</t>
  </si>
  <si>
    <t>A40</t>
  </si>
  <si>
    <t>GRE (Valve: NAB)</t>
  </si>
  <si>
    <t>Raw Sea Water</t>
  </si>
  <si>
    <t>20 @ 90°C</t>
  </si>
  <si>
    <t>BSRA10R</t>
  </si>
  <si>
    <t>A41</t>
  </si>
  <si>
    <t>Hypochlorite</t>
  </si>
  <si>
    <t>16.32 @ 0°C</t>
  </si>
  <si>
    <t>16.32 @ 82°C</t>
  </si>
  <si>
    <t>BSFB10R</t>
  </si>
  <si>
    <t>A42</t>
  </si>
  <si>
    <t>CPVC (Valve: NAB)</t>
  </si>
  <si>
    <t>Sewage, Hypochlorite</t>
  </si>
  <si>
    <t>BSRB10R</t>
  </si>
  <si>
    <t>T50A, T60A</t>
  </si>
  <si>
    <t>SS 316 / 316L (Tubing)</t>
  </si>
  <si>
    <t>Chemical Injection (Except Hypochlorite)</t>
  </si>
  <si>
    <t>125 @ 0°C</t>
  </si>
  <si>
    <t>116 @ 60°C</t>
  </si>
  <si>
    <t>BSFD10R</t>
  </si>
  <si>
    <t>T50B, T60B</t>
  </si>
  <si>
    <t>206 @ 0°C</t>
  </si>
  <si>
    <t>200 @ 60°C</t>
  </si>
  <si>
    <t>BSRD10R</t>
  </si>
  <si>
    <t>T50C, T60C</t>
  </si>
  <si>
    <t>325 @ 0°C</t>
  </si>
  <si>
    <t>325 @ 60°C</t>
  </si>
  <si>
    <t>BSFE10J</t>
  </si>
  <si>
    <t>T60A</t>
  </si>
  <si>
    <t>6 MO Tubing</t>
  </si>
  <si>
    <t>BSRE10J</t>
  </si>
  <si>
    <t>T60B</t>
  </si>
  <si>
    <t>BSFF10J</t>
  </si>
  <si>
    <t>T60C</t>
  </si>
  <si>
    <t>BSRF10J</t>
  </si>
  <si>
    <t>BSFG10J</t>
  </si>
  <si>
    <t>BSRG10J</t>
  </si>
  <si>
    <t>BSFA10NR</t>
  </si>
  <si>
    <t>BSRA10NR</t>
  </si>
  <si>
    <t>BSFB10NR</t>
  </si>
  <si>
    <t>BSRB10NR</t>
  </si>
  <si>
    <t>BSFD10NR</t>
  </si>
  <si>
    <t>BSRD10NR</t>
  </si>
  <si>
    <t>BSFE10NJ</t>
  </si>
  <si>
    <t>BSRE10NJ</t>
  </si>
  <si>
    <t>BSFF10NJ</t>
  </si>
  <si>
    <t>BSRF10NJ</t>
  </si>
  <si>
    <t>BSFG10NJ</t>
  </si>
  <si>
    <t>BSRG10NJ</t>
  </si>
  <si>
    <t>BSFA20NR</t>
  </si>
  <si>
    <t>BSRA20NR</t>
  </si>
  <si>
    <t>BSFB20NR</t>
  </si>
  <si>
    <t>BSRB20NR</t>
  </si>
  <si>
    <t>BSFD20NR</t>
  </si>
  <si>
    <t>BSRD20NR</t>
  </si>
  <si>
    <t>BSFE20NJ</t>
  </si>
  <si>
    <t>BSRE20NJ</t>
  </si>
  <si>
    <t>BSFF20NJ</t>
  </si>
  <si>
    <t>BSRF20NJ</t>
  </si>
  <si>
    <t>BSFG20NJ</t>
  </si>
  <si>
    <t>BSRG20NJ</t>
  </si>
  <si>
    <t>BSFMG20NJ</t>
  </si>
  <si>
    <t>BSRMG20NJ</t>
  </si>
  <si>
    <t>BSFA25R</t>
  </si>
  <si>
    <t>BSRA25R</t>
  </si>
  <si>
    <t>BSFG25R</t>
  </si>
  <si>
    <t>BSRG25R</t>
  </si>
  <si>
    <t>BSFA25NR</t>
  </si>
  <si>
    <t>BSRA25NR</t>
  </si>
  <si>
    <t>BSFB25NR</t>
  </si>
  <si>
    <t>BSRB25NR</t>
  </si>
  <si>
    <t>BSFD25NR</t>
  </si>
  <si>
    <t>BSRD25NR</t>
  </si>
  <si>
    <t>BSFE25NR</t>
  </si>
  <si>
    <t>BSRE25NR</t>
  </si>
  <si>
    <t>BSFF25NR</t>
  </si>
  <si>
    <t>BSRF25NR</t>
  </si>
  <si>
    <t>BSFG25NR</t>
  </si>
  <si>
    <t>BSRG25NR</t>
  </si>
  <si>
    <t>BSFA30F</t>
  </si>
  <si>
    <t>BSRA30F</t>
  </si>
  <si>
    <t>BSRA31F</t>
  </si>
  <si>
    <t>BSFA31F</t>
  </si>
  <si>
    <t>BSFT50AJ</t>
  </si>
  <si>
    <t>BSFT50BJ</t>
  </si>
  <si>
    <t>BSFT50CJ</t>
  </si>
  <si>
    <t>BALL VALVE DATASHEET</t>
  </si>
  <si>
    <t xml:space="preserve">Doc. No : </t>
  </si>
  <si>
    <t>50502-SPE-80000-PP-SP-0002</t>
  </si>
  <si>
    <t xml:space="preserve">Rev No : </t>
  </si>
  <si>
    <t>Page No.:</t>
  </si>
  <si>
    <t>VDS No</t>
  </si>
  <si>
    <t>Vendor Offer</t>
  </si>
  <si>
    <t>1/2" - 24"</t>
  </si>
  <si>
    <t>Ball Valve, Full Bore</t>
  </si>
  <si>
    <t>Service</t>
  </si>
  <si>
    <t>Cooling Water, Diesel, Steam, WI, HC with low CO2 and H2S</t>
  </si>
  <si>
    <t>Valve Standard</t>
  </si>
  <si>
    <t>API 6D / ISO 17292</t>
  </si>
  <si>
    <t>Pressure Class</t>
  </si>
  <si>
    <t>ASME B16.34 Class 150</t>
  </si>
  <si>
    <t>Design Pressure</t>
  </si>
  <si>
    <t>Corrosion Allowance</t>
  </si>
  <si>
    <t>Sour Service Requirements</t>
  </si>
  <si>
    <t>Flanged ASME B16.5 RF</t>
  </si>
  <si>
    <t>Face to Face Dimension</t>
  </si>
  <si>
    <t>ASME B16.10 Long pattern, quarter turn</t>
  </si>
  <si>
    <t>Construction</t>
  </si>
  <si>
    <t>Body</t>
  </si>
  <si>
    <t>Bi-Directional, One piece with Top entry (1-1/2” &amp; below), Two piece split body (or) 3piece with Fully contained bolting , butt weld ball valves shall be top-entry design (2” and above), c/w vent and drain fitted with NPT plugs</t>
  </si>
  <si>
    <t>Ball</t>
  </si>
  <si>
    <t>Floating (8” and below), Trunnion mounted (10” and above), no vent hole, Solid Type</t>
  </si>
  <si>
    <t>Stem</t>
  </si>
  <si>
    <t>Anti-static, Anti blowout proof type</t>
  </si>
  <si>
    <t>Seat</t>
  </si>
  <si>
    <t>Soft Seated, Self-energised, Self-relieving, Emergency sealant injection system</t>
  </si>
  <si>
    <t>Locks</t>
  </si>
  <si>
    <t>Valve lockable using padlock - Full Open, Fully Closed</t>
  </si>
  <si>
    <t>Operation</t>
  </si>
  <si>
    <t>Lever (4” and below), Gear operated c/w Hand wheel (6” and above) Fully enclosed, dust proof, with Position Indicator</t>
  </si>
  <si>
    <t xml:space="preserve">Material </t>
  </si>
  <si>
    <r>
      <t>Body</t>
    </r>
    <r>
      <rPr>
        <sz val="9"/>
        <color theme="0"/>
        <rFont val="Arial"/>
        <family val="2"/>
      </rPr>
      <t xml:space="preserve"> Material</t>
    </r>
  </si>
  <si>
    <t>ASTM A105N (1.5” and below), ASTM A105N/ASTM A216 WCB (2” &amp; Above)</t>
  </si>
  <si>
    <r>
      <t xml:space="preserve">Ball </t>
    </r>
    <r>
      <rPr>
        <sz val="9"/>
        <color theme="0"/>
        <rFont val="Arial"/>
        <family val="2"/>
      </rPr>
      <t>Material</t>
    </r>
  </si>
  <si>
    <t>Forged - ASTM A182-F316</t>
  </si>
  <si>
    <r>
      <t>Seat</t>
    </r>
    <r>
      <rPr>
        <sz val="9"/>
        <color theme="0"/>
        <rFont val="Arial"/>
        <family val="2"/>
      </rPr>
      <t xml:space="preserve"> Material</t>
    </r>
  </si>
  <si>
    <t xml:space="preserve">Reinforced PTFE </t>
  </si>
  <si>
    <r>
      <t xml:space="preserve">Seal </t>
    </r>
    <r>
      <rPr>
        <sz val="9"/>
        <color theme="0"/>
        <rFont val="Arial"/>
        <family val="2"/>
      </rPr>
      <t>Material</t>
    </r>
  </si>
  <si>
    <t>PTFE</t>
  </si>
  <si>
    <r>
      <t xml:space="preserve">Stem </t>
    </r>
    <r>
      <rPr>
        <sz val="9"/>
        <color theme="0"/>
        <rFont val="Arial"/>
        <family val="2"/>
      </rPr>
      <t>Material</t>
    </r>
  </si>
  <si>
    <t>Forged - ASTM A182 F316</t>
  </si>
  <si>
    <r>
      <t xml:space="preserve">Gland </t>
    </r>
    <r>
      <rPr>
        <sz val="9"/>
        <color theme="0"/>
        <rFont val="Arial"/>
        <family val="2"/>
      </rPr>
      <t>material</t>
    </r>
  </si>
  <si>
    <t>Forged - ASTM A182 F6A CL 2</t>
  </si>
  <si>
    <t>Gland Packing</t>
  </si>
  <si>
    <t>Flexible graphite with Braided (Non asbestos, yarn reinforced with Inconel, corrosion inhibitor), Renewable</t>
  </si>
  <si>
    <t>Lever / Handwheel</t>
  </si>
  <si>
    <t>Solid ASTM A47 HDG/ ASTM A220 HDG/ SS316</t>
  </si>
  <si>
    <t>Spring</t>
  </si>
  <si>
    <t>Inconel 750</t>
  </si>
  <si>
    <t>Gaskets</t>
  </si>
  <si>
    <t>ASME B 16.20, 4.5mm, SS316/SS316L Spiral Wound with Flexible Graphite (F.G.) filler</t>
  </si>
  <si>
    <t>Bolts</t>
  </si>
  <si>
    <t>ASTM A 193 Gr. B7M, XYLAR 2 + XYLAN 1070 coated with minimum combined thickness of 50μm</t>
  </si>
  <si>
    <t>Nuts</t>
  </si>
  <si>
    <t>ASTM A 194 Gr. 2HM, XYLAR 2 + XYLAN 1070 coated with minimum combined thickness of 50μm</t>
  </si>
  <si>
    <t>Marking - Purchaser’s Specification</t>
  </si>
  <si>
    <t>Hard marked with Valve Type on a stainless steel label, attached using tamper resistant stainless steel fastener, and with Unique Valve Tag Number</t>
  </si>
  <si>
    <t>Marking – Manufacturer</t>
  </si>
  <si>
    <t>MSS-SP-25</t>
  </si>
  <si>
    <t>Inspection – Testing</t>
  </si>
  <si>
    <t>ASME B16.34, API 598</t>
  </si>
  <si>
    <t>Leakage Rate</t>
  </si>
  <si>
    <t>As per API 598</t>
  </si>
  <si>
    <t>Hydrotest Shell Test Pressure</t>
  </si>
  <si>
    <t>29.4 barg</t>
  </si>
  <si>
    <t>Hydrotest Closure Test Pressure</t>
  </si>
  <si>
    <t>21.56 barg</t>
  </si>
  <si>
    <t>Pneumatic LP Test Pressure</t>
  </si>
  <si>
    <t>5.5 barg</t>
  </si>
  <si>
    <t>Material Certification</t>
  </si>
  <si>
    <t>Pressure Retaining Parts EN 10204 3.2, Other parts EN 10204 3.1</t>
  </si>
  <si>
    <t>Fire Rating</t>
  </si>
  <si>
    <t>API 607 / ISO 10497 (For Floating Ball Valve), API 6FA (For Trunnion Ball Valve)</t>
  </si>
  <si>
    <t>Finish</t>
  </si>
  <si>
    <t>General Specification for Paint and Protective Coating doc : 50502-SPE-80000-ME-SP-XXXX</t>
  </si>
  <si>
    <t>Notes:</t>
  </si>
  <si>
    <t>1. This data sheet shall be completed and returned with the quotation. Failure to return the completed data sheet will deem the offer technically not acceptable.</t>
  </si>
  <si>
    <t>2. Data sheet shall be read in conjunction with Piping Material Specification, Doc No.50502-SPE-80000-PP-SP-0001.</t>
  </si>
  <si>
    <t>3. Hydrostatic shell test pressure shall be 1.5 times of Max. design pressure, and hydraulic seat test shall be 1.1 times of Max. design pressure for seats.</t>
  </si>
  <si>
    <t>4. Ball, Stem and Gland material shall be forged, Castings are not acceptable.</t>
  </si>
  <si>
    <t>5. All stud bolts and nuts shall be XYLAR 2 + XYLAN 1070 coated with minimum combined thickness of 50μm.</t>
  </si>
  <si>
    <t xml:space="preserve">  </t>
  </si>
  <si>
    <t>Ball Valve, Reduced Bore</t>
  </si>
  <si>
    <t>Cooling Water, Diesel, WI, HC with low CO2 and H2S</t>
  </si>
  <si>
    <t>ASME B16.34 Class 300</t>
  </si>
  <si>
    <t xml:space="preserve">ASME B16.10 Long pattern, quarter turn </t>
  </si>
  <si>
    <t>Floating (4” and below), Trunnion mounted (6” and above), no vent hole, Solid Type</t>
  </si>
  <si>
    <t>76.65 barg</t>
  </si>
  <si>
    <t>56.21 barg</t>
  </si>
  <si>
    <t>ASME B16.34 Class 600</t>
  </si>
  <si>
    <t>Floating (1.5” and below), Trunnion mounted (2” and above), no vent hole, Solid Type</t>
  </si>
  <si>
    <t>Lever (3” and below), Gear operated c/w Hand wheel (4” and above) Fully enclosed, dust proof, with Position Indicator</t>
  </si>
  <si>
    <t xml:space="preserve">PEEK </t>
  </si>
  <si>
    <t>Viton AED</t>
  </si>
  <si>
    <t>153.15 barg</t>
  </si>
  <si>
    <t>112.31 barg</t>
  </si>
  <si>
    <t>Diesel, WI, HC with low CO2 and H2S</t>
  </si>
  <si>
    <t>ASME B16.34 Class 900</t>
  </si>
  <si>
    <t>Flanged ASME B16.5 RTJ</t>
  </si>
  <si>
    <t>Trunnion mounted (All sizes), no vent hole, Solid type</t>
  </si>
  <si>
    <t>Lever (2” and below), Gear operated c/w Hand wheel (3” and above) Fully enclosed, dust proof, with Position Indicator</t>
  </si>
  <si>
    <t>ASME B 16.20, OCT ring of Soft Iron with Max. Hardness of 90 BHN, HDG</t>
  </si>
  <si>
    <t>229.8 barg</t>
  </si>
  <si>
    <t>168.52 barg</t>
  </si>
  <si>
    <t>ASME B16.34 Class 1500</t>
  </si>
  <si>
    <t>Flanged ASME B16.5 RTJ / Compact Flange / Hub Connector (As per PMS)</t>
  </si>
  <si>
    <t>382.95 barg</t>
  </si>
  <si>
    <t>280.83 barg</t>
  </si>
  <si>
    <t>HC with low CO2 and H2S</t>
  </si>
  <si>
    <t>ASME B16.34 Class 2500</t>
  </si>
  <si>
    <t>638.25 barg</t>
  </si>
  <si>
    <t>468.05 barg</t>
  </si>
  <si>
    <t>NACE MR0175 /ISO 15156-1/2/3, SSC Region 3, Non-exposed, internal only</t>
  </si>
  <si>
    <t>ASTM A105N (1.5” and below), ASTM A216 WCB (2” &amp; Above)</t>
  </si>
  <si>
    <t>Forged - ASTM A182-F316L</t>
  </si>
  <si>
    <t>Forged - ASTM A182 F316L</t>
  </si>
  <si>
    <t>6. Valve shall be in accordance with NACE MR0175 /ISO 15156-1/2/3.</t>
  </si>
  <si>
    <t>ASTM A 193 GR B7M, XYLAR 2 + XYLAN 1070</t>
  </si>
  <si>
    <t>ASTM A 194 GR 2HM, XYLAR 2 + XYLAN 1070</t>
  </si>
  <si>
    <t>PEEK</t>
  </si>
  <si>
    <t>Corrosive HC service - Sour Liquid and Vapour</t>
  </si>
  <si>
    <t>Metal Seated, Self-energised, Self-relieving, Emergency sealant injection system</t>
  </si>
  <si>
    <t>Forged - ASTM A182-F316L, TCC Coated 150μ to 250μ thick with minimum surface hardness 1050 Vickers</t>
  </si>
  <si>
    <t>Metal seated, hard faced, Renewable</t>
  </si>
  <si>
    <t>Soft Iron Ring Gasket</t>
  </si>
  <si>
    <t>ASTM A350 LF2 (1.5” &amp; below), ASTM A352 LCC (2” &amp; Above)</t>
  </si>
  <si>
    <t>Forged - ASTM A350 LF2</t>
  </si>
  <si>
    <t>ASME B 16.20, 4.5 mm, SS316/SS316L Spiral Wound with Flexible Graphite (F.G.) filler</t>
  </si>
  <si>
    <t>ASTM A 320 Gr. L7M, XYLAR 2 + XYLAN 1070 coated with minimum combined thickness of 50μm</t>
  </si>
  <si>
    <t>ASTM A 194 Gr. 7ML, XYLAR 2 + XYLAN 1070 coated with minimum combined thickness of 50μm</t>
  </si>
  <si>
    <t xml:space="preserve">ASTM A352 LCC </t>
  </si>
  <si>
    <t>ASME B 16.20, OCT Ring of Soft Iron with Max. Hardness 90 BHN</t>
  </si>
  <si>
    <t>Utility water, Air, Nitrogen, Lube oil, Chemical</t>
  </si>
  <si>
    <t>ASTM A182 F316L (1.5” and below), A351 CF3M (2” and above)</t>
  </si>
  <si>
    <t>Reinforced PTFE</t>
  </si>
  <si>
    <t>23.85 barg</t>
  </si>
  <si>
    <t>17.49 barg</t>
  </si>
  <si>
    <t>Air, Nitrogen, Lube oil, Chemical</t>
  </si>
  <si>
    <t>62.1 barg</t>
  </si>
  <si>
    <t>45.54 barg</t>
  </si>
  <si>
    <t>124.05 barg</t>
  </si>
  <si>
    <t>90.97 barg</t>
  </si>
  <si>
    <t>ASTM A351 CF3M</t>
  </si>
  <si>
    <t>ASME B 16.20, OCT ring of SS316L with Max. Hardness of 160 BHN</t>
  </si>
  <si>
    <t>186.15 barg</t>
  </si>
  <si>
    <t>136.51 barg</t>
  </si>
  <si>
    <t>310.2 barg</t>
  </si>
  <si>
    <t>227.48 barg</t>
  </si>
  <si>
    <t>517.05 barg</t>
  </si>
  <si>
    <t>379.17 barg</t>
  </si>
  <si>
    <t>DSS - UNS S32205,  Forged - ASTM A182 F60 (1.5” and below), Cast - A995 4A UNS J92205 (2” &amp; Above)</t>
  </si>
  <si>
    <t>Forged - ASTM A182 F60</t>
  </si>
  <si>
    <t>ASME B 16.20, 4.5mm, DSS UNS S31803 Spiral Wound with Flexible Graphite (F.G.) filler</t>
  </si>
  <si>
    <t>ASTM A 453 Gr. 660</t>
  </si>
  <si>
    <t>30 barg</t>
  </si>
  <si>
    <t>22 barg</t>
  </si>
  <si>
    <t>77.55 barg</t>
  </si>
  <si>
    <t>56.87 barg</t>
  </si>
  <si>
    <t>155.1 barg</t>
  </si>
  <si>
    <t>113.74 barg</t>
  </si>
  <si>
    <t>ASME B 16.20, OCT ring of UNS S 31803 with Max. Hardness of 22 HRC</t>
  </si>
  <si>
    <t>232.65 barg</t>
  </si>
  <si>
    <t>170.61 barg</t>
  </si>
  <si>
    <t>387.9 barg</t>
  </si>
  <si>
    <t>284.46 barg</t>
  </si>
  <si>
    <t>646.35 barg</t>
  </si>
  <si>
    <t>473.99 barg</t>
  </si>
  <si>
    <t>Forged - ASTM A182-F60, TCC Coated 150μ to 250μ thick with minimum surface hardness 1050 Vickers</t>
  </si>
  <si>
    <t>1/2" - 32"</t>
  </si>
  <si>
    <t>Firewater, Raw Seawater and Topside Seawater</t>
  </si>
  <si>
    <t>SDSS - UNS S32750, Forged - ASTM A182 F53 (1.5” and below), Cast - ASTM A995 5A UNS J93404 (2” and above)</t>
  </si>
  <si>
    <t>Forged - ASTM A182 F53</t>
  </si>
  <si>
    <t>ASME B 16.20, 4.5mm, DSS UNS S32750 Spiral Wound with Flexible Graphite (F.G.) filler</t>
  </si>
  <si>
    <t>ASME B 16.20, OCT ring of UNS S 332750 with Max. Hardness of 22 HRC</t>
  </si>
  <si>
    <t>Raw Sea Water, Firewater, Hypochlorite, Sewage</t>
  </si>
  <si>
    <t>Class 150</t>
  </si>
  <si>
    <t>Flanged ASME B16.5 FF</t>
  </si>
  <si>
    <t>Manufacturer Standard</t>
  </si>
  <si>
    <t>ASTM B148 C95800</t>
  </si>
  <si>
    <t>Monel K500</t>
  </si>
  <si>
    <t>Flexible graphite Braided (Non asbestos, corrosion inhibitor), Renewable</t>
  </si>
  <si>
    <t>EPDM Rubber Full Face Gasket with SS insert Shore A Hardness 70 ± 5, #150 (e.g. Kroll &amp; Ziller G-ST/PS )</t>
  </si>
  <si>
    <t>1/2" - 4"</t>
  </si>
  <si>
    <t>Potable Water - Hot and cold</t>
  </si>
  <si>
    <t>Brazed with 100mm Nipples on both sides (for 1 1/2" and below) / Flanged ASME B16.5 FF (for 2" and above)</t>
  </si>
  <si>
    <t>Floating ball, no vent hole, Solid type</t>
  </si>
  <si>
    <t>Soft Seated, Self-energised, Self-relieving</t>
  </si>
  <si>
    <t>ASTM B61 UNS C92200</t>
  </si>
  <si>
    <t>Forged - ASTM B124 UNS NO C 37700</t>
  </si>
  <si>
    <t>340.5 psig</t>
  </si>
  <si>
    <t>249.7 psig</t>
  </si>
  <si>
    <t>79 psig</t>
  </si>
  <si>
    <t>1/2" - 1 1/2"</t>
  </si>
  <si>
    <t>OD Tube Connection / NPT Female</t>
  </si>
  <si>
    <t>Lever, Fully enclosed, dust proof, with Position Indicator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</si>
</sst>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7" fillId="0" borderId="0"/>
    <xf numFmtId="0" fontId="11" fillId="0" borderId="0" applyNumberFormat="0" applyFill="0" applyBorder="0" applyAlignment="0" applyProtection="0"/>
  </cellStyleXfs>
  <cellXfs count="89">
    <xf numFmtId="0" fontId="0" fillId="0" borderId="0" xfId="0"/>
    <xf numFmtId="0" fontId="4" fillId="0" borderId="0" xfId="0" applyFont="1"/>
    <xf numFmtId="0" fontId="2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center" wrapText="1" inden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4" fillId="0" borderId="2" xfId="0" applyFont="1" applyBorder="1"/>
    <xf numFmtId="0" fontId="4" fillId="0" borderId="14" xfId="0" applyFont="1" applyBorder="1"/>
    <xf numFmtId="0" fontId="4" fillId="0" borderId="3" xfId="0" applyFont="1" applyBorder="1"/>
    <xf numFmtId="0" fontId="4" fillId="0" borderId="11" xfId="0" applyFont="1" applyBorder="1"/>
    <xf numFmtId="0" fontId="4" fillId="0" borderId="12" xfId="0" applyFont="1" applyBorder="1"/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vertical="center"/>
    </xf>
    <xf numFmtId="0" fontId="1" fillId="0" borderId="1" xfId="0" quotePrefix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10" fillId="0" borderId="0" xfId="0" applyFont="1"/>
    <xf numFmtId="0" fontId="0" fillId="0" borderId="0" xfId="0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4" fillId="0" borderId="24" xfId="2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4" fillId="0" borderId="26" xfId="2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29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shrinkToFit="1"/>
    </xf>
    <xf numFmtId="0" fontId="13" fillId="0" borderId="1" xfId="0" quotePrefix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5" fillId="0" borderId="18" xfId="0" applyFont="1" applyBorder="1" applyAlignment="1">
      <alignment vertical="center"/>
    </xf>
    <xf numFmtId="0" fontId="15" fillId="0" borderId="19" xfId="0" applyFont="1" applyBorder="1" applyAlignment="1">
      <alignment vertical="center"/>
    </xf>
    <xf numFmtId="0" fontId="15" fillId="0" borderId="20" xfId="0" applyFont="1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horizontal="left" vertical="center" wrapText="1"/>
      <protection locked="0"/>
    </xf>
    <xf numFmtId="0" fontId="3" fillId="0" borderId="8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 2" xfId="1" xr:uid="{5AF5B683-F745-4AA8-B0F4-A1AB6FF701B5}"/>
  </cellStyles>
  <dxfs count="8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C0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17/06/relationships/rdRichValueTypes" Target="richData/rdRichValueTyp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eetMetadata" Target="metadata.xml"/><Relationship Id="rId135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microsoft.com/office/2022/10/relationships/richValueRel" Target="richData/richValueRel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17/06/relationships/rdRichValue" Target="richData/rdrichvalue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17/06/relationships/rdRichValueStructure" Target="richData/rdrichvaluestructur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6611E-FAA2-48DF-9AA7-4B22F60C73FE}">
  <sheetPr codeName="Sheet1">
    <pageSetUpPr fitToPage="1"/>
  </sheetPr>
  <dimension ref="A1:V128"/>
  <sheetViews>
    <sheetView tabSelected="1" view="pageBreakPreview" topLeftCell="E1" zoomScaleNormal="100" zoomScaleSheetLayoutView="100" workbookViewId="0">
      <selection activeCell="J11" sqref="J11"/>
    </sheetView>
  </sheetViews>
  <sheetFormatPr defaultRowHeight="22.9" customHeight="1"/>
  <cols>
    <col min="1" max="1" width="8.85546875" style="18"/>
    <col min="2" max="2" width="17.42578125" style="44" bestFit="1" customWidth="1"/>
    <col min="3" max="3" width="16.7109375" bestFit="1" customWidth="1"/>
    <col min="4" max="4" width="26.5703125" bestFit="1" customWidth="1"/>
    <col min="5" max="5" width="107.28515625" bestFit="1" customWidth="1"/>
    <col min="6" max="6" width="105.42578125" bestFit="1" customWidth="1"/>
    <col min="7" max="7" width="37.28515625" customWidth="1"/>
    <col min="8" max="8" width="20.5703125" bestFit="1" customWidth="1"/>
    <col min="9" max="9" width="12.85546875" style="18" bestFit="1" customWidth="1"/>
    <col min="12" max="12" width="6.28515625" style="44" bestFit="1" customWidth="1"/>
    <col min="13" max="13" width="20" style="44" bestFit="1" customWidth="1"/>
    <col min="14" max="14" width="15.7109375" style="44" bestFit="1" customWidth="1"/>
    <col min="15" max="15" width="22.140625" style="44" bestFit="1" customWidth="1"/>
    <col min="16" max="16" width="19.5703125" style="44" bestFit="1" customWidth="1"/>
    <col min="17" max="17" width="59.7109375" style="44" bestFit="1" customWidth="1"/>
    <col min="18" max="18" width="123.28515625" style="45" bestFit="1" customWidth="1"/>
    <col min="19" max="19" width="29" style="44" bestFit="1" customWidth="1"/>
    <col min="20" max="20" width="29.28515625" style="44" bestFit="1" customWidth="1"/>
    <col min="21" max="21" width="9.42578125" style="44" customWidth="1"/>
    <col min="22" max="22" width="27" bestFit="1" customWidth="1"/>
  </cols>
  <sheetData>
    <row r="1" spans="1:22" ht="22.9" customHeight="1" thickBot="1">
      <c r="A1" s="19" t="s">
        <v>0</v>
      </c>
      <c r="B1" s="57" t="s">
        <v>1</v>
      </c>
      <c r="C1" s="20" t="s">
        <v>2</v>
      </c>
      <c r="D1" s="20" t="s">
        <v>3</v>
      </c>
      <c r="E1" s="35" t="s">
        <v>4</v>
      </c>
      <c r="F1" s="20" t="s">
        <v>5</v>
      </c>
      <c r="G1" s="20" t="s">
        <v>6</v>
      </c>
      <c r="H1" s="20" t="s">
        <v>7</v>
      </c>
      <c r="I1" s="21" t="s">
        <v>8</v>
      </c>
      <c r="J1" s="58" t="s">
        <v>9</v>
      </c>
      <c r="L1" s="47"/>
      <c r="M1" s="48"/>
      <c r="N1" s="48"/>
      <c r="O1" s="48"/>
      <c r="P1" s="48"/>
      <c r="Q1" s="48" t="s">
        <v>10</v>
      </c>
      <c r="R1" s="48"/>
      <c r="S1" s="48"/>
      <c r="T1" s="48"/>
      <c r="U1" s="49"/>
    </row>
    <row r="2" spans="1:22" ht="22.9" customHeight="1" thickBot="1">
      <c r="A2" s="56"/>
      <c r="B2" s="59" t="s">
        <v>11</v>
      </c>
      <c r="I2" s="22"/>
      <c r="L2" s="39" t="s">
        <v>12</v>
      </c>
      <c r="M2" s="40" t="s">
        <v>13</v>
      </c>
      <c r="N2" s="40" t="s">
        <v>14</v>
      </c>
      <c r="O2" s="40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40" t="s">
        <v>20</v>
      </c>
      <c r="U2" s="41" t="s">
        <v>21</v>
      </c>
      <c r="V2" s="46" t="s">
        <v>22</v>
      </c>
    </row>
    <row r="3" spans="1:22" ht="22.9" customHeight="1" thickBot="1">
      <c r="A3" s="56"/>
      <c r="B3" s="60" t="s">
        <v>23</v>
      </c>
      <c r="I3" s="22"/>
      <c r="L3" s="23">
        <v>1</v>
      </c>
      <c r="M3" s="25" t="s">
        <v>24</v>
      </c>
      <c r="N3" s="25" t="s">
        <v>25</v>
      </c>
      <c r="O3" s="25">
        <v>1.1000000000000001</v>
      </c>
      <c r="P3" s="25" t="s">
        <v>26</v>
      </c>
      <c r="Q3" s="25" t="s">
        <v>27</v>
      </c>
      <c r="R3" s="36" t="s">
        <v>28</v>
      </c>
      <c r="S3" s="25" t="s">
        <v>29</v>
      </c>
      <c r="T3" s="25" t="s">
        <v>30</v>
      </c>
      <c r="U3" s="26">
        <v>23</v>
      </c>
      <c r="V3" t="str">
        <f>S3&amp;", "&amp;T3</f>
        <v>19.6 @ -29°C, 13.8 @ 200°C</v>
      </c>
    </row>
    <row r="4" spans="1:22" ht="22.9" customHeight="1">
      <c r="A4" s="53">
        <v>1</v>
      </c>
      <c r="B4" s="24" t="s">
        <v>31</v>
      </c>
      <c r="C4" s="25" t="str">
        <f ca="1">VLOOKUP($C$1,INDIRECT(""&amp;B4&amp;"!$A$5:$C$15"),3,FALSE)</f>
        <v>1/2" - 24"</v>
      </c>
      <c r="D4" s="25" t="str">
        <f ca="1">VLOOKUP($D$1,INDIRECT(""&amp;B4&amp;"!$A$5:$C$15"),3,FALSE)</f>
        <v>Ball Valve, Full Bore</v>
      </c>
      <c r="E4" s="36" t="str">
        <f ca="1">VLOOKUP($E$1,INDIRECT(""&amp;B4&amp;"!$A$5:$C$15"),3,FALSE)</f>
        <v>Flanged ASME B16.5 RF</v>
      </c>
      <c r="F4" s="25" t="str">
        <f ca="1">VLOOKUP($F$1,INDIRECT(""&amp;B4&amp;"!$B$5:$C$35"),2,FALSE)</f>
        <v>Forged - ASTM A182-F316</v>
      </c>
      <c r="G4" s="25" t="str">
        <f ca="1">VLOOKUP($G$1,INDIRECT(""&amp;B4&amp;"!$B$5:$C$35"),2,FALSE)</f>
        <v xml:space="preserve">Reinforced PTFE </v>
      </c>
      <c r="H4" s="25" t="str">
        <f ca="1">VLOOKUP($H$1,INDIRECT(""&amp;B4&amp;"!$A$5:$C$15"),3,FALSE)</f>
        <v>A1</v>
      </c>
      <c r="I4" s="50">
        <v>41</v>
      </c>
      <c r="J4" t="s">
        <v>32</v>
      </c>
      <c r="L4" s="27">
        <v>2</v>
      </c>
      <c r="M4" s="29" t="s">
        <v>33</v>
      </c>
      <c r="N4" s="29" t="s">
        <v>34</v>
      </c>
      <c r="O4" s="29">
        <v>1.1000000000000001</v>
      </c>
      <c r="P4" s="29" t="s">
        <v>26</v>
      </c>
      <c r="Q4" s="29" t="s">
        <v>27</v>
      </c>
      <c r="R4" s="37" t="s">
        <v>35</v>
      </c>
      <c r="S4" s="29" t="s">
        <v>36</v>
      </c>
      <c r="T4" s="29" t="s">
        <v>37</v>
      </c>
      <c r="U4" s="30">
        <v>24</v>
      </c>
      <c r="V4" t="str">
        <f t="shared" ref="V4:V67" si="0">S4&amp;", "&amp;T4</f>
        <v>51.1 @ -29°C, 43.8 @ 200°C</v>
      </c>
    </row>
    <row r="5" spans="1:22" ht="22.9" customHeight="1">
      <c r="A5" s="54">
        <v>2</v>
      </c>
      <c r="B5" s="28" t="s">
        <v>38</v>
      </c>
      <c r="C5" s="29" t="str">
        <f t="shared" ref="C5:C68" ca="1" si="1">VLOOKUP($C$1,INDIRECT(""&amp;B5&amp;"!$A$5:$C$15"),3,FALSE)</f>
        <v>1/2" - 24"</v>
      </c>
      <c r="D5" s="29" t="str">
        <f t="shared" ref="D5:D68" ca="1" si="2">VLOOKUP($D$1,INDIRECT(""&amp;B5&amp;"!$A$5:$C$15"),3,FALSE)</f>
        <v>Ball Valve, Reduced Bore</v>
      </c>
      <c r="E5" s="37" t="str">
        <f t="shared" ref="E5:E68" ca="1" si="3">VLOOKUP($E$1,INDIRECT(""&amp;B5&amp;"!$A$5:$C$15"),3,FALSE)</f>
        <v>Flanged ASME B16.5 RF</v>
      </c>
      <c r="F5" s="29" t="str">
        <f t="shared" ref="F5:F68" ca="1" si="4">VLOOKUP($F$1,INDIRECT(""&amp;B5&amp;"!$B$5:$C$35"),2,FALSE)</f>
        <v>Forged - ASTM A182-F316</v>
      </c>
      <c r="G5" s="29" t="str">
        <f t="shared" ref="G5:G68" ca="1" si="5">VLOOKUP($G$1,INDIRECT(""&amp;B5&amp;"!$B$5:$C$35"),2,FALSE)</f>
        <v xml:space="preserve">Reinforced PTFE </v>
      </c>
      <c r="H5" s="29" t="str">
        <f t="shared" ref="H5:H68" ca="1" si="6">VLOOKUP($H$1,INDIRECT(""&amp;B5&amp;"!$A$5:$C$15"),3,FALSE)</f>
        <v>A1</v>
      </c>
      <c r="I5" s="51">
        <v>42</v>
      </c>
      <c r="J5" t="s">
        <v>32</v>
      </c>
      <c r="L5" s="27">
        <v>3</v>
      </c>
      <c r="M5" s="29" t="s">
        <v>39</v>
      </c>
      <c r="N5" s="29" t="s">
        <v>40</v>
      </c>
      <c r="O5" s="29">
        <v>1.1000000000000001</v>
      </c>
      <c r="P5" s="29" t="s">
        <v>26</v>
      </c>
      <c r="Q5" s="29" t="s">
        <v>27</v>
      </c>
      <c r="R5" s="37" t="s">
        <v>35</v>
      </c>
      <c r="S5" s="29" t="s">
        <v>41</v>
      </c>
      <c r="T5" s="29" t="s">
        <v>42</v>
      </c>
      <c r="U5" s="30">
        <v>25</v>
      </c>
      <c r="V5" t="str">
        <f t="shared" si="0"/>
        <v>102.1 @ -29°C, 87.6 @ 200°C</v>
      </c>
    </row>
    <row r="6" spans="1:22" ht="22.9" customHeight="1">
      <c r="A6" s="54">
        <v>3</v>
      </c>
      <c r="B6" s="28" t="s">
        <v>43</v>
      </c>
      <c r="C6" s="29" t="str">
        <f t="shared" ca="1" si="1"/>
        <v>1/2" - 24"</v>
      </c>
      <c r="D6" s="29" t="str">
        <f t="shared" ca="1" si="2"/>
        <v>Ball Valve, Full Bore</v>
      </c>
      <c r="E6" s="37" t="str">
        <f t="shared" ca="1" si="3"/>
        <v>Flanged ASME B16.5 RF</v>
      </c>
      <c r="F6" s="29" t="str">
        <f t="shared" ca="1" si="4"/>
        <v>Forged - ASTM A182-F316</v>
      </c>
      <c r="G6" s="29" t="str">
        <f t="shared" ca="1" si="5"/>
        <v xml:space="preserve">Reinforced PTFE </v>
      </c>
      <c r="H6" s="29" t="str">
        <f t="shared" ca="1" si="6"/>
        <v>B1</v>
      </c>
      <c r="I6" s="51">
        <v>43</v>
      </c>
      <c r="J6" t="s">
        <v>32</v>
      </c>
      <c r="L6" s="27">
        <v>4</v>
      </c>
      <c r="M6" s="29" t="s">
        <v>44</v>
      </c>
      <c r="N6" s="29" t="s">
        <v>45</v>
      </c>
      <c r="O6" s="29">
        <v>1.1000000000000001</v>
      </c>
      <c r="P6" s="29" t="s">
        <v>26</v>
      </c>
      <c r="Q6" s="29" t="s">
        <v>27</v>
      </c>
      <c r="R6" s="37" t="s">
        <v>46</v>
      </c>
      <c r="S6" s="29" t="s">
        <v>47</v>
      </c>
      <c r="T6" s="29" t="s">
        <v>48</v>
      </c>
      <c r="U6" s="30">
        <v>26</v>
      </c>
      <c r="V6" t="str">
        <f t="shared" si="0"/>
        <v>153.2 @ -29°C, 131.4 @ 200°C</v>
      </c>
    </row>
    <row r="7" spans="1:22" ht="22.9" customHeight="1">
      <c r="A7" s="54">
        <v>4</v>
      </c>
      <c r="B7" s="28" t="s">
        <v>49</v>
      </c>
      <c r="C7" s="29" t="str">
        <f t="shared" ca="1" si="1"/>
        <v>1/2" - 24"</v>
      </c>
      <c r="D7" s="29" t="str">
        <f t="shared" ca="1" si="2"/>
        <v>Ball Valve, Reduced Bore</v>
      </c>
      <c r="E7" s="37" t="str">
        <f t="shared" ca="1" si="3"/>
        <v>Flanged ASME B16.5 RF</v>
      </c>
      <c r="F7" s="29" t="str">
        <f t="shared" ca="1" si="4"/>
        <v>Forged - ASTM A182-F316</v>
      </c>
      <c r="G7" s="29" t="str">
        <f t="shared" ca="1" si="5"/>
        <v xml:space="preserve">Reinforced PTFE </v>
      </c>
      <c r="H7" s="29" t="str">
        <f t="shared" ca="1" si="6"/>
        <v>B1</v>
      </c>
      <c r="I7" s="51">
        <v>44</v>
      </c>
      <c r="J7" t="s">
        <v>32</v>
      </c>
      <c r="L7" s="27">
        <v>5</v>
      </c>
      <c r="M7" s="29" t="s">
        <v>50</v>
      </c>
      <c r="N7" s="29" t="s">
        <v>51</v>
      </c>
      <c r="O7" s="29">
        <v>1.1000000000000001</v>
      </c>
      <c r="P7" s="29" t="s">
        <v>26</v>
      </c>
      <c r="Q7" s="29" t="s">
        <v>27</v>
      </c>
      <c r="R7" s="37" t="s">
        <v>46</v>
      </c>
      <c r="S7" s="29" t="s">
        <v>52</v>
      </c>
      <c r="T7" s="29" t="s">
        <v>53</v>
      </c>
      <c r="U7" s="30">
        <v>27</v>
      </c>
      <c r="V7" t="str">
        <f t="shared" si="0"/>
        <v>255.3 @ -29°C, 219 @ 200°C</v>
      </c>
    </row>
    <row r="8" spans="1:22" ht="22.9" customHeight="1">
      <c r="A8" s="54">
        <v>5</v>
      </c>
      <c r="B8" s="28" t="s">
        <v>54</v>
      </c>
      <c r="C8" s="29" t="str">
        <f t="shared" ca="1" si="1"/>
        <v>1/2" - 24"</v>
      </c>
      <c r="D8" s="29" t="str">
        <f t="shared" ca="1" si="2"/>
        <v>Ball Valve, Full Bore</v>
      </c>
      <c r="E8" s="37" t="str">
        <f t="shared" ca="1" si="3"/>
        <v>Flanged ASME B16.5 RF</v>
      </c>
      <c r="F8" s="29" t="str">
        <f t="shared" ca="1" si="4"/>
        <v>Forged - ASTM A182-F316</v>
      </c>
      <c r="G8" s="29" t="str">
        <f t="shared" ca="1" si="5"/>
        <v xml:space="preserve">PEEK </v>
      </c>
      <c r="H8" s="29" t="str">
        <f t="shared" ca="1" si="6"/>
        <v>D1</v>
      </c>
      <c r="I8" s="51">
        <v>45</v>
      </c>
      <c r="J8" t="s">
        <v>32</v>
      </c>
      <c r="L8" s="27">
        <v>6</v>
      </c>
      <c r="M8" s="29" t="s">
        <v>55</v>
      </c>
      <c r="N8" s="29" t="s">
        <v>56</v>
      </c>
      <c r="O8" s="29">
        <v>1.1000000000000001</v>
      </c>
      <c r="P8" s="29" t="s">
        <v>26</v>
      </c>
      <c r="Q8" s="29" t="s">
        <v>27</v>
      </c>
      <c r="R8" s="37" t="s">
        <v>57</v>
      </c>
      <c r="S8" s="29" t="s">
        <v>58</v>
      </c>
      <c r="T8" s="29" t="s">
        <v>59</v>
      </c>
      <c r="U8" s="30">
        <v>28</v>
      </c>
      <c r="V8" t="str">
        <f t="shared" si="0"/>
        <v>399.8 @ -29°C, 342.9 @ 200°C</v>
      </c>
    </row>
    <row r="9" spans="1:22" ht="22.9" customHeight="1">
      <c r="A9" s="54">
        <v>6</v>
      </c>
      <c r="B9" s="28" t="s">
        <v>60</v>
      </c>
      <c r="C9" s="29" t="str">
        <f t="shared" ca="1" si="1"/>
        <v>1/2" - 24"</v>
      </c>
      <c r="D9" s="29" t="str">
        <f t="shared" ca="1" si="2"/>
        <v>Ball Valve, Reduced Bore</v>
      </c>
      <c r="E9" s="37" t="str">
        <f t="shared" ca="1" si="3"/>
        <v>Flanged ASME B16.5 RF</v>
      </c>
      <c r="F9" s="29" t="str">
        <f t="shared" ca="1" si="4"/>
        <v>Forged - ASTM A182-F316</v>
      </c>
      <c r="G9" s="29" t="str">
        <f t="shared" ca="1" si="5"/>
        <v xml:space="preserve">PEEK </v>
      </c>
      <c r="H9" s="29" t="str">
        <f t="shared" ca="1" si="6"/>
        <v>D1</v>
      </c>
      <c r="I9" s="51">
        <v>46</v>
      </c>
      <c r="J9" t="s">
        <v>32</v>
      </c>
      <c r="L9" s="27">
        <v>7</v>
      </c>
      <c r="M9" s="29" t="s">
        <v>61</v>
      </c>
      <c r="N9" s="29" t="s">
        <v>25</v>
      </c>
      <c r="O9" s="29">
        <v>1.1000000000000001</v>
      </c>
      <c r="P9" s="29" t="s">
        <v>62</v>
      </c>
      <c r="Q9" s="29" t="s">
        <v>27</v>
      </c>
      <c r="R9" s="37" t="s">
        <v>63</v>
      </c>
      <c r="S9" s="29" t="s">
        <v>29</v>
      </c>
      <c r="T9" s="29" t="s">
        <v>64</v>
      </c>
      <c r="U9" s="30">
        <v>29</v>
      </c>
      <c r="V9" t="str">
        <f t="shared" si="0"/>
        <v>19.6 @ -29°C, 13.8 @ 250°C</v>
      </c>
    </row>
    <row r="10" spans="1:22" ht="22.9" customHeight="1">
      <c r="A10" s="54">
        <v>7</v>
      </c>
      <c r="B10" s="28" t="s">
        <v>65</v>
      </c>
      <c r="C10" s="29" t="str">
        <f t="shared" ca="1" si="1"/>
        <v>1/2" - 24"</v>
      </c>
      <c r="D10" s="29" t="str">
        <f t="shared" ca="1" si="2"/>
        <v>Ball Valve, Full Bore</v>
      </c>
      <c r="E10" s="37" t="str">
        <f t="shared" ca="1" si="3"/>
        <v>Flanged ASME B16.5 RTJ</v>
      </c>
      <c r="F10" s="29" t="str">
        <f t="shared" ca="1" si="4"/>
        <v>Forged - ASTM A182-F316</v>
      </c>
      <c r="G10" s="29" t="str">
        <f t="shared" ca="1" si="5"/>
        <v xml:space="preserve">PEEK </v>
      </c>
      <c r="H10" s="29" t="str">
        <f t="shared" ca="1" si="6"/>
        <v>E1</v>
      </c>
      <c r="I10" s="51">
        <v>47</v>
      </c>
      <c r="J10" t="s">
        <v>32</v>
      </c>
      <c r="L10" s="27">
        <v>8</v>
      </c>
      <c r="M10" s="29" t="s">
        <v>66</v>
      </c>
      <c r="N10" s="29" t="s">
        <v>34</v>
      </c>
      <c r="O10" s="29">
        <v>1.1000000000000001</v>
      </c>
      <c r="P10" s="29" t="s">
        <v>62</v>
      </c>
      <c r="Q10" s="29" t="s">
        <v>27</v>
      </c>
      <c r="R10" s="37" t="s">
        <v>63</v>
      </c>
      <c r="S10" s="29" t="s">
        <v>36</v>
      </c>
      <c r="T10" s="29" t="s">
        <v>67</v>
      </c>
      <c r="U10" s="30">
        <v>30</v>
      </c>
      <c r="V10" t="str">
        <f t="shared" si="0"/>
        <v>51.1 @ -29°C, 43.8 @ 250°C</v>
      </c>
    </row>
    <row r="11" spans="1:22" ht="22.9" customHeight="1">
      <c r="A11" s="54">
        <v>8</v>
      </c>
      <c r="B11" s="28" t="s">
        <v>68</v>
      </c>
      <c r="C11" s="29" t="str">
        <f t="shared" ca="1" si="1"/>
        <v>1/2" - 24"</v>
      </c>
      <c r="D11" s="29" t="str">
        <f t="shared" ca="1" si="2"/>
        <v>Ball Valve, Reduced Bore</v>
      </c>
      <c r="E11" s="37" t="str">
        <f t="shared" ca="1" si="3"/>
        <v>Flanged ASME B16.5 RTJ</v>
      </c>
      <c r="F11" s="29" t="str">
        <f t="shared" ca="1" si="4"/>
        <v>Forged - ASTM A182-F316</v>
      </c>
      <c r="G11" s="29" t="str">
        <f t="shared" ca="1" si="5"/>
        <v xml:space="preserve">PEEK </v>
      </c>
      <c r="H11" s="29" t="str">
        <f t="shared" ca="1" si="6"/>
        <v>E1</v>
      </c>
      <c r="I11" s="51">
        <v>48</v>
      </c>
      <c r="J11" t="s">
        <v>32</v>
      </c>
      <c r="L11" s="27">
        <v>9</v>
      </c>
      <c r="M11" s="29" t="s">
        <v>69</v>
      </c>
      <c r="N11" s="29" t="s">
        <v>40</v>
      </c>
      <c r="O11" s="29">
        <v>1.1000000000000001</v>
      </c>
      <c r="P11" s="29" t="s">
        <v>62</v>
      </c>
      <c r="Q11" s="29" t="s">
        <v>27</v>
      </c>
      <c r="R11" s="37" t="s">
        <v>63</v>
      </c>
      <c r="S11" s="29" t="s">
        <v>41</v>
      </c>
      <c r="T11" s="29" t="s">
        <v>70</v>
      </c>
      <c r="U11" s="30">
        <v>31</v>
      </c>
      <c r="V11" t="str">
        <f t="shared" si="0"/>
        <v>102.1 @ -29°C, 87.6 @ 250°C</v>
      </c>
    </row>
    <row r="12" spans="1:22" ht="22.9" customHeight="1">
      <c r="A12" s="54">
        <v>9</v>
      </c>
      <c r="B12" s="28" t="s">
        <v>71</v>
      </c>
      <c r="C12" s="29" t="str">
        <f t="shared" ca="1" si="1"/>
        <v>1/2" - 24"</v>
      </c>
      <c r="D12" s="29" t="str">
        <f t="shared" ca="1" si="2"/>
        <v>Ball Valve, Full Bore</v>
      </c>
      <c r="E12" s="37" t="str">
        <f t="shared" ca="1" si="3"/>
        <v>Flanged ASME B16.5 RTJ / Compact Flange / Hub Connector (As per PMS)</v>
      </c>
      <c r="F12" s="29" t="str">
        <f t="shared" ca="1" si="4"/>
        <v>Forged - ASTM A182-F316</v>
      </c>
      <c r="G12" s="29" t="str">
        <f t="shared" ca="1" si="5"/>
        <v xml:space="preserve">PEEK </v>
      </c>
      <c r="H12" s="29" t="str">
        <f t="shared" ca="1" si="6"/>
        <v>F1</v>
      </c>
      <c r="I12" s="51">
        <v>49</v>
      </c>
      <c r="J12" t="s">
        <v>32</v>
      </c>
      <c r="L12" s="27">
        <v>10</v>
      </c>
      <c r="M12" s="29" t="s">
        <v>72</v>
      </c>
      <c r="N12" s="29" t="s">
        <v>45</v>
      </c>
      <c r="O12" s="29">
        <v>1.1000000000000001</v>
      </c>
      <c r="P12" s="29" t="s">
        <v>62</v>
      </c>
      <c r="Q12" s="29" t="s">
        <v>27</v>
      </c>
      <c r="R12" s="37" t="s">
        <v>63</v>
      </c>
      <c r="S12" s="29" t="s">
        <v>47</v>
      </c>
      <c r="T12" s="29" t="s">
        <v>73</v>
      </c>
      <c r="U12" s="30">
        <v>32</v>
      </c>
      <c r="V12" t="str">
        <f t="shared" si="0"/>
        <v>153.2 @ -29°C, 131.4 @ 250°C</v>
      </c>
    </row>
    <row r="13" spans="1:22" ht="22.9" customHeight="1">
      <c r="A13" s="54">
        <v>10</v>
      </c>
      <c r="B13" s="28" t="s">
        <v>74</v>
      </c>
      <c r="C13" s="29" t="str">
        <f t="shared" ca="1" si="1"/>
        <v>1/2" - 24"</v>
      </c>
      <c r="D13" s="29" t="str">
        <f t="shared" ca="1" si="2"/>
        <v>Ball Valve, Reduced Bore</v>
      </c>
      <c r="E13" s="37" t="str">
        <f t="shared" ca="1" si="3"/>
        <v>Flanged ASME B16.5 RTJ / Compact Flange / Hub Connector (As per PMS)</v>
      </c>
      <c r="F13" s="29" t="str">
        <f t="shared" ca="1" si="4"/>
        <v>Forged - ASTM A182-F316</v>
      </c>
      <c r="G13" s="29" t="str">
        <f t="shared" ca="1" si="5"/>
        <v xml:space="preserve">PEEK </v>
      </c>
      <c r="H13" s="29" t="str">
        <f t="shared" ca="1" si="6"/>
        <v>F1</v>
      </c>
      <c r="I13" s="51">
        <v>50</v>
      </c>
      <c r="J13" t="s">
        <v>32</v>
      </c>
      <c r="L13" s="27">
        <v>11</v>
      </c>
      <c r="M13" s="29" t="s">
        <v>75</v>
      </c>
      <c r="N13" s="29" t="s">
        <v>51</v>
      </c>
      <c r="O13" s="29">
        <v>1.1000000000000001</v>
      </c>
      <c r="P13" s="29" t="s">
        <v>62</v>
      </c>
      <c r="Q13" s="29" t="s">
        <v>27</v>
      </c>
      <c r="R13" s="37" t="s">
        <v>63</v>
      </c>
      <c r="S13" s="29" t="s">
        <v>52</v>
      </c>
      <c r="T13" s="29" t="s">
        <v>53</v>
      </c>
      <c r="U13" s="30">
        <v>33</v>
      </c>
      <c r="V13" t="str">
        <f t="shared" si="0"/>
        <v>255.3 @ -29°C, 219 @ 200°C</v>
      </c>
    </row>
    <row r="14" spans="1:22" ht="22.9" customHeight="1">
      <c r="A14" s="54">
        <v>11</v>
      </c>
      <c r="B14" s="28" t="s">
        <v>76</v>
      </c>
      <c r="C14" s="29" t="str">
        <f t="shared" ca="1" si="1"/>
        <v>1/2" - 24"</v>
      </c>
      <c r="D14" s="29" t="str">
        <f t="shared" ca="1" si="2"/>
        <v>Ball Valve, Full Bore</v>
      </c>
      <c r="E14" s="37" t="str">
        <f t="shared" ca="1" si="3"/>
        <v>Flanged ASME B16.5 RTJ / Compact Flange / Hub Connector (As per PMS)</v>
      </c>
      <c r="F14" s="29" t="str">
        <f t="shared" ca="1" si="4"/>
        <v>Forged - ASTM A182-F316</v>
      </c>
      <c r="G14" s="29" t="str">
        <f t="shared" ca="1" si="5"/>
        <v xml:space="preserve">PEEK </v>
      </c>
      <c r="H14" s="29" t="str">
        <f t="shared" ca="1" si="6"/>
        <v>G1</v>
      </c>
      <c r="I14" s="51">
        <v>51</v>
      </c>
      <c r="J14" t="s">
        <v>32</v>
      </c>
      <c r="L14" s="27">
        <v>12</v>
      </c>
      <c r="M14" s="29" t="s">
        <v>77</v>
      </c>
      <c r="N14" s="29" t="s">
        <v>56</v>
      </c>
      <c r="O14" s="29">
        <v>1.1000000000000001</v>
      </c>
      <c r="P14" s="29" t="s">
        <v>62</v>
      </c>
      <c r="Q14" s="29" t="s">
        <v>27</v>
      </c>
      <c r="R14" s="37" t="s">
        <v>63</v>
      </c>
      <c r="S14" s="29" t="s">
        <v>58</v>
      </c>
      <c r="T14" s="29" t="s">
        <v>59</v>
      </c>
      <c r="U14" s="30">
        <v>34</v>
      </c>
      <c r="V14" t="str">
        <f t="shared" si="0"/>
        <v>399.8 @ -29°C, 342.9 @ 200°C</v>
      </c>
    </row>
    <row r="15" spans="1:22" ht="22.9" customHeight="1">
      <c r="A15" s="54">
        <v>12</v>
      </c>
      <c r="B15" s="28" t="s">
        <v>78</v>
      </c>
      <c r="C15" s="29" t="str">
        <f t="shared" ca="1" si="1"/>
        <v>1/2" - 24"</v>
      </c>
      <c r="D15" s="29" t="str">
        <f t="shared" ca="1" si="2"/>
        <v>Ball Valve, Reduced Bore</v>
      </c>
      <c r="E15" s="37" t="str">
        <f t="shared" ca="1" si="3"/>
        <v>Flanged ASME B16.5 RTJ / Compact Flange / Hub Connector (As per PMS)</v>
      </c>
      <c r="F15" s="29" t="str">
        <f t="shared" ca="1" si="4"/>
        <v>Forged - ASTM A182-F316</v>
      </c>
      <c r="G15" s="29" t="str">
        <f t="shared" ca="1" si="5"/>
        <v xml:space="preserve">PEEK </v>
      </c>
      <c r="H15" s="29" t="str">
        <f t="shared" ca="1" si="6"/>
        <v>G1</v>
      </c>
      <c r="I15" s="51">
        <v>52</v>
      </c>
      <c r="J15" t="s">
        <v>32</v>
      </c>
      <c r="L15" s="27">
        <v>13</v>
      </c>
      <c r="M15" s="29" t="s">
        <v>79</v>
      </c>
      <c r="N15" s="29" t="s">
        <v>25</v>
      </c>
      <c r="O15" s="29">
        <v>1.1000000000000001</v>
      </c>
      <c r="P15" s="29" t="s">
        <v>26</v>
      </c>
      <c r="Q15" s="29" t="s">
        <v>80</v>
      </c>
      <c r="R15" s="37" t="s">
        <v>81</v>
      </c>
      <c r="S15" s="29" t="s">
        <v>29</v>
      </c>
      <c r="T15" s="29" t="s">
        <v>30</v>
      </c>
      <c r="U15" s="30">
        <v>35</v>
      </c>
      <c r="V15" t="str">
        <f t="shared" si="0"/>
        <v>19.6 @ -29°C, 13.8 @ 200°C</v>
      </c>
    </row>
    <row r="16" spans="1:22" ht="22.9" customHeight="1">
      <c r="A16" s="54">
        <v>13</v>
      </c>
      <c r="B16" s="28" t="s">
        <v>82</v>
      </c>
      <c r="C16" s="29" t="str">
        <f t="shared" ca="1" si="1"/>
        <v>1/2" - 24"</v>
      </c>
      <c r="D16" s="29" t="str">
        <f t="shared" ca="1" si="2"/>
        <v>Ball Valve, Full Bore</v>
      </c>
      <c r="E16" s="37" t="str">
        <f t="shared" ca="1" si="3"/>
        <v>Flanged ASME B16.5 RF</v>
      </c>
      <c r="F16" s="29" t="str">
        <f t="shared" ca="1" si="4"/>
        <v>Forged - ASTM A182-F316L</v>
      </c>
      <c r="G16" s="29" t="str">
        <f t="shared" ca="1" si="5"/>
        <v xml:space="preserve">Reinforced PTFE </v>
      </c>
      <c r="H16" s="29" t="str">
        <f t="shared" ca="1" si="6"/>
        <v>A1N</v>
      </c>
      <c r="I16" s="51">
        <v>53</v>
      </c>
      <c r="J16" t="s">
        <v>32</v>
      </c>
      <c r="L16" s="27">
        <v>14</v>
      </c>
      <c r="M16" s="29" t="s">
        <v>83</v>
      </c>
      <c r="N16" s="29" t="s">
        <v>25</v>
      </c>
      <c r="O16" s="29">
        <v>1.1000000000000001</v>
      </c>
      <c r="P16" s="29" t="s">
        <v>62</v>
      </c>
      <c r="Q16" s="29" t="s">
        <v>80</v>
      </c>
      <c r="R16" s="37" t="s">
        <v>84</v>
      </c>
      <c r="S16" s="29" t="s">
        <v>29</v>
      </c>
      <c r="T16" s="29" t="s">
        <v>30</v>
      </c>
      <c r="U16" s="30">
        <v>36</v>
      </c>
      <c r="V16" t="str">
        <f t="shared" si="0"/>
        <v>19.6 @ -29°C, 13.8 @ 200°C</v>
      </c>
    </row>
    <row r="17" spans="1:22" ht="22.9" customHeight="1">
      <c r="A17" s="54">
        <v>14</v>
      </c>
      <c r="B17" s="28" t="s">
        <v>85</v>
      </c>
      <c r="C17" s="29" t="str">
        <f t="shared" ca="1" si="1"/>
        <v>1/2" - 24"</v>
      </c>
      <c r="D17" s="29" t="str">
        <f t="shared" ca="1" si="2"/>
        <v>Ball Valve, Reduced Bore</v>
      </c>
      <c r="E17" s="37" t="str">
        <f t="shared" ca="1" si="3"/>
        <v>Flanged ASME B16.5 RF</v>
      </c>
      <c r="F17" s="29" t="str">
        <f t="shared" ca="1" si="4"/>
        <v>Forged - ASTM A182-F316L</v>
      </c>
      <c r="G17" s="29" t="str">
        <f t="shared" ca="1" si="5"/>
        <v xml:space="preserve">Reinforced PTFE </v>
      </c>
      <c r="H17" s="29" t="str">
        <f t="shared" ca="1" si="6"/>
        <v>A1N</v>
      </c>
      <c r="I17" s="51">
        <v>54</v>
      </c>
      <c r="J17" t="s">
        <v>32</v>
      </c>
      <c r="L17" s="27">
        <v>15</v>
      </c>
      <c r="M17" s="29" t="s">
        <v>86</v>
      </c>
      <c r="N17" s="29" t="s">
        <v>34</v>
      </c>
      <c r="O17" s="29">
        <v>1.1000000000000001</v>
      </c>
      <c r="P17" s="29" t="s">
        <v>62</v>
      </c>
      <c r="Q17" s="29" t="s">
        <v>80</v>
      </c>
      <c r="R17" s="37" t="s">
        <v>84</v>
      </c>
      <c r="S17" s="29" t="s">
        <v>36</v>
      </c>
      <c r="T17" s="29" t="s">
        <v>37</v>
      </c>
      <c r="U17" s="30">
        <v>37</v>
      </c>
      <c r="V17" t="str">
        <f t="shared" si="0"/>
        <v>51.1 @ -29°C, 43.8 @ 200°C</v>
      </c>
    </row>
    <row r="18" spans="1:22" ht="22.9" customHeight="1">
      <c r="A18" s="54">
        <v>15</v>
      </c>
      <c r="B18" s="28" t="s">
        <v>87</v>
      </c>
      <c r="C18" s="29" t="str">
        <f t="shared" ca="1" si="1"/>
        <v>1/2" - 24"</v>
      </c>
      <c r="D18" s="29" t="str">
        <f t="shared" ca="1" si="2"/>
        <v>Ball Valve, Full Bore</v>
      </c>
      <c r="E18" s="37" t="str">
        <f t="shared" ca="1" si="3"/>
        <v>Flanged ASME B16.5 RF</v>
      </c>
      <c r="F18" s="29" t="str">
        <f t="shared" ca="1" si="4"/>
        <v>Forged - ASTM A182-F316L</v>
      </c>
      <c r="G18" s="29" t="str">
        <f t="shared" ca="1" si="5"/>
        <v xml:space="preserve">Reinforced PTFE </v>
      </c>
      <c r="H18" s="29" t="str">
        <f t="shared" ca="1" si="6"/>
        <v>B1N</v>
      </c>
      <c r="I18" s="51">
        <v>55</v>
      </c>
      <c r="J18" t="s">
        <v>32</v>
      </c>
      <c r="L18" s="27">
        <v>16</v>
      </c>
      <c r="M18" s="29" t="s">
        <v>88</v>
      </c>
      <c r="N18" s="29" t="s">
        <v>40</v>
      </c>
      <c r="O18" s="29">
        <v>1.1000000000000001</v>
      </c>
      <c r="P18" s="29" t="s">
        <v>62</v>
      </c>
      <c r="Q18" s="29" t="s">
        <v>80</v>
      </c>
      <c r="R18" s="37" t="s">
        <v>84</v>
      </c>
      <c r="S18" s="29" t="s">
        <v>41</v>
      </c>
      <c r="T18" s="29" t="s">
        <v>42</v>
      </c>
      <c r="U18" s="30">
        <v>38</v>
      </c>
      <c r="V18" t="str">
        <f t="shared" si="0"/>
        <v>102.1 @ -29°C, 87.6 @ 200°C</v>
      </c>
    </row>
    <row r="19" spans="1:22" ht="22.9" customHeight="1">
      <c r="A19" s="54">
        <v>16</v>
      </c>
      <c r="B19" s="28" t="s">
        <v>89</v>
      </c>
      <c r="C19" s="29" t="str">
        <f t="shared" ca="1" si="1"/>
        <v>1/2" - 24"</v>
      </c>
      <c r="D19" s="29" t="str">
        <f t="shared" ca="1" si="2"/>
        <v>Ball Valve, Reduced Bore</v>
      </c>
      <c r="E19" s="37" t="str">
        <f t="shared" ca="1" si="3"/>
        <v>Flanged ASME B16.5 RF</v>
      </c>
      <c r="F19" s="29" t="str">
        <f t="shared" ca="1" si="4"/>
        <v>Forged - ASTM A182-F316L</v>
      </c>
      <c r="G19" s="29" t="str">
        <f t="shared" ca="1" si="5"/>
        <v xml:space="preserve">Reinforced PTFE </v>
      </c>
      <c r="H19" s="29" t="str">
        <f t="shared" ca="1" si="6"/>
        <v>B1N</v>
      </c>
      <c r="I19" s="51">
        <v>56</v>
      </c>
      <c r="J19" t="s">
        <v>32</v>
      </c>
      <c r="L19" s="27">
        <v>17</v>
      </c>
      <c r="M19" s="29" t="s">
        <v>90</v>
      </c>
      <c r="N19" s="29" t="s">
        <v>45</v>
      </c>
      <c r="O19" s="29">
        <v>1.1000000000000001</v>
      </c>
      <c r="P19" s="29" t="s">
        <v>62</v>
      </c>
      <c r="Q19" s="29" t="s">
        <v>80</v>
      </c>
      <c r="R19" s="37" t="s">
        <v>84</v>
      </c>
      <c r="S19" s="29" t="s">
        <v>47</v>
      </c>
      <c r="T19" s="29" t="s">
        <v>48</v>
      </c>
      <c r="U19" s="30">
        <v>39</v>
      </c>
      <c r="V19" t="str">
        <f t="shared" si="0"/>
        <v>153.2 @ -29°C, 131.4 @ 200°C</v>
      </c>
    </row>
    <row r="20" spans="1:22" ht="22.9" customHeight="1">
      <c r="A20" s="54">
        <v>17</v>
      </c>
      <c r="B20" s="28" t="s">
        <v>91</v>
      </c>
      <c r="C20" s="29" t="str">
        <f t="shared" ca="1" si="1"/>
        <v>1/2" - 24"</v>
      </c>
      <c r="D20" s="29" t="str">
        <f t="shared" ca="1" si="2"/>
        <v>Ball Valve, Full Bore</v>
      </c>
      <c r="E20" s="37" t="str">
        <f t="shared" ca="1" si="3"/>
        <v>Flanged ASME B16.5 RF</v>
      </c>
      <c r="F20" s="29" t="str">
        <f t="shared" ca="1" si="4"/>
        <v>Forged - ASTM A182-F316L</v>
      </c>
      <c r="G20" s="29" t="str">
        <f t="shared" ca="1" si="5"/>
        <v xml:space="preserve">PEEK </v>
      </c>
      <c r="H20" s="29" t="str">
        <f t="shared" ca="1" si="6"/>
        <v>D1N</v>
      </c>
      <c r="I20" s="51">
        <v>57</v>
      </c>
      <c r="J20" t="s">
        <v>32</v>
      </c>
      <c r="L20" s="27">
        <v>18</v>
      </c>
      <c r="M20" s="29" t="s">
        <v>92</v>
      </c>
      <c r="N20" s="29" t="s">
        <v>51</v>
      </c>
      <c r="O20" s="29">
        <v>1.1000000000000001</v>
      </c>
      <c r="P20" s="29" t="s">
        <v>62</v>
      </c>
      <c r="Q20" s="29" t="s">
        <v>80</v>
      </c>
      <c r="R20" s="37" t="s">
        <v>84</v>
      </c>
      <c r="S20" s="29" t="s">
        <v>52</v>
      </c>
      <c r="T20" s="29" t="s">
        <v>53</v>
      </c>
      <c r="U20" s="30">
        <v>40</v>
      </c>
      <c r="V20" t="str">
        <f t="shared" si="0"/>
        <v>255.3 @ -29°C, 219 @ 200°C</v>
      </c>
    </row>
    <row r="21" spans="1:22" ht="22.9" customHeight="1">
      <c r="A21" s="54">
        <v>18</v>
      </c>
      <c r="B21" s="28" t="s">
        <v>93</v>
      </c>
      <c r="C21" s="29" t="str">
        <f t="shared" ca="1" si="1"/>
        <v>1/2" - 24"</v>
      </c>
      <c r="D21" s="29" t="str">
        <f t="shared" ca="1" si="2"/>
        <v>Ball Valve, Reduced Bore</v>
      </c>
      <c r="E21" s="37" t="str">
        <f t="shared" ca="1" si="3"/>
        <v>Flanged ASME B16.5 RF</v>
      </c>
      <c r="F21" s="29" t="str">
        <f t="shared" ca="1" si="4"/>
        <v>Forged - ASTM A182-F316L</v>
      </c>
      <c r="G21" s="29" t="str">
        <f t="shared" ca="1" si="5"/>
        <v xml:space="preserve">PEEK </v>
      </c>
      <c r="H21" s="29" t="str">
        <f t="shared" ca="1" si="6"/>
        <v>D1N</v>
      </c>
      <c r="I21" s="51">
        <v>58</v>
      </c>
      <c r="J21" t="s">
        <v>32</v>
      </c>
      <c r="L21" s="27">
        <v>19</v>
      </c>
      <c r="M21" s="29" t="s">
        <v>94</v>
      </c>
      <c r="N21" s="29" t="s">
        <v>56</v>
      </c>
      <c r="O21" s="29">
        <v>1.1000000000000001</v>
      </c>
      <c r="P21" s="29" t="s">
        <v>62</v>
      </c>
      <c r="Q21" s="29" t="s">
        <v>80</v>
      </c>
      <c r="R21" s="37" t="s">
        <v>84</v>
      </c>
      <c r="S21" s="29" t="s">
        <v>58</v>
      </c>
      <c r="T21" s="29" t="s">
        <v>59</v>
      </c>
      <c r="U21" s="30">
        <v>41</v>
      </c>
      <c r="V21" t="str">
        <f t="shared" si="0"/>
        <v>399.8 @ -29°C, 342.9 @ 200°C</v>
      </c>
    </row>
    <row r="22" spans="1:22" ht="22.9" customHeight="1">
      <c r="A22" s="54">
        <v>19</v>
      </c>
      <c r="B22" s="28" t="s">
        <v>95</v>
      </c>
      <c r="C22" s="29" t="str">
        <f t="shared" ca="1" si="1"/>
        <v>1/2" - 24"</v>
      </c>
      <c r="D22" s="29" t="str">
        <f t="shared" ca="1" si="2"/>
        <v>Ball Valve, Full Bore</v>
      </c>
      <c r="E22" s="37" t="str">
        <f t="shared" ca="1" si="3"/>
        <v>Flanged ASME B16.5 RTJ</v>
      </c>
      <c r="F22" s="29" t="str">
        <f t="shared" ca="1" si="4"/>
        <v>Forged - ASTM A182-F316L</v>
      </c>
      <c r="G22" s="29" t="str">
        <f t="shared" ca="1" si="5"/>
        <v xml:space="preserve">PEEK </v>
      </c>
      <c r="H22" s="29" t="str">
        <f t="shared" ca="1" si="6"/>
        <v>E1N</v>
      </c>
      <c r="I22" s="51">
        <v>59</v>
      </c>
      <c r="J22" t="s">
        <v>32</v>
      </c>
      <c r="L22" s="27">
        <v>20</v>
      </c>
      <c r="M22" s="29" t="s">
        <v>96</v>
      </c>
      <c r="N22" s="29" t="s">
        <v>25</v>
      </c>
      <c r="O22" s="29">
        <v>1.1000000000000001</v>
      </c>
      <c r="P22" s="29" t="s">
        <v>97</v>
      </c>
      <c r="Q22" s="29" t="s">
        <v>27</v>
      </c>
      <c r="R22" s="42" t="s">
        <v>98</v>
      </c>
      <c r="S22" s="29" t="s">
        <v>99</v>
      </c>
      <c r="T22" s="29" t="s">
        <v>30</v>
      </c>
      <c r="U22" s="30">
        <v>42</v>
      </c>
      <c r="V22" t="str">
        <f t="shared" si="0"/>
        <v>19.6 @ -45°C, 13.8 @ 200°C</v>
      </c>
    </row>
    <row r="23" spans="1:22" ht="22.9" customHeight="1">
      <c r="A23" s="54">
        <v>20</v>
      </c>
      <c r="B23" s="28" t="s">
        <v>100</v>
      </c>
      <c r="C23" s="29" t="str">
        <f t="shared" ca="1" si="1"/>
        <v>1/2" - 24"</v>
      </c>
      <c r="D23" s="29" t="str">
        <f t="shared" ca="1" si="2"/>
        <v>Ball Valve, Reduced Bore</v>
      </c>
      <c r="E23" s="37" t="str">
        <f t="shared" ca="1" si="3"/>
        <v>Flanged ASME B16.5 RTJ</v>
      </c>
      <c r="F23" s="29" t="str">
        <f t="shared" ca="1" si="4"/>
        <v>Forged - ASTM A182-F316L</v>
      </c>
      <c r="G23" s="29" t="str">
        <f t="shared" ca="1" si="5"/>
        <v>PEEK</v>
      </c>
      <c r="H23" s="29" t="str">
        <f t="shared" ca="1" si="6"/>
        <v>E1N</v>
      </c>
      <c r="I23" s="51">
        <v>60</v>
      </c>
      <c r="J23" t="s">
        <v>32</v>
      </c>
      <c r="L23" s="27">
        <v>21</v>
      </c>
      <c r="M23" s="29" t="s">
        <v>101</v>
      </c>
      <c r="N23" s="29" t="s">
        <v>34</v>
      </c>
      <c r="O23" s="29">
        <v>1.1000000000000001</v>
      </c>
      <c r="P23" s="29" t="s">
        <v>97</v>
      </c>
      <c r="Q23" s="29" t="s">
        <v>27</v>
      </c>
      <c r="R23" s="42" t="s">
        <v>98</v>
      </c>
      <c r="S23" s="29" t="s">
        <v>102</v>
      </c>
      <c r="T23" s="29" t="s">
        <v>37</v>
      </c>
      <c r="U23" s="30">
        <v>43</v>
      </c>
      <c r="V23" t="str">
        <f t="shared" si="0"/>
        <v>51.1 @ -45°C, 43.8 @ 200°C</v>
      </c>
    </row>
    <row r="24" spans="1:22" ht="22.9" customHeight="1">
      <c r="A24" s="54">
        <v>21</v>
      </c>
      <c r="B24" s="28" t="s">
        <v>103</v>
      </c>
      <c r="C24" s="29" t="str">
        <f t="shared" ca="1" si="1"/>
        <v>1/2" - 24"</v>
      </c>
      <c r="D24" s="29" t="str">
        <f t="shared" ca="1" si="2"/>
        <v>Ball Valve, Full Bore</v>
      </c>
      <c r="E24" s="37" t="str">
        <f t="shared" ca="1" si="3"/>
        <v>Flanged ASME B16.5 RTJ / Compact Flange / Hub Connector (As per PMS)</v>
      </c>
      <c r="F24" s="29" t="str">
        <f t="shared" ca="1" si="4"/>
        <v>Forged - ASTM A182-F316L</v>
      </c>
      <c r="G24" s="29" t="str">
        <f t="shared" ca="1" si="5"/>
        <v>PEEK</v>
      </c>
      <c r="H24" s="29" t="str">
        <f t="shared" ca="1" si="6"/>
        <v>F1N</v>
      </c>
      <c r="I24" s="51">
        <v>61</v>
      </c>
      <c r="J24" t="s">
        <v>32</v>
      </c>
      <c r="L24" s="27">
        <v>22</v>
      </c>
      <c r="M24" s="29" t="s">
        <v>104</v>
      </c>
      <c r="N24" s="29" t="s">
        <v>40</v>
      </c>
      <c r="O24" s="29">
        <v>1.1000000000000001</v>
      </c>
      <c r="P24" s="29" t="s">
        <v>97</v>
      </c>
      <c r="Q24" s="29" t="s">
        <v>27</v>
      </c>
      <c r="R24" s="42" t="s">
        <v>105</v>
      </c>
      <c r="S24" s="29" t="s">
        <v>106</v>
      </c>
      <c r="T24" s="29" t="s">
        <v>42</v>
      </c>
      <c r="U24" s="30">
        <v>44</v>
      </c>
      <c r="V24" t="str">
        <f t="shared" si="0"/>
        <v>102.1 @ -45°C, 87.6 @ 200°C</v>
      </c>
    </row>
    <row r="25" spans="1:22" ht="22.9" customHeight="1">
      <c r="A25" s="54">
        <v>22</v>
      </c>
      <c r="B25" s="28" t="s">
        <v>107</v>
      </c>
      <c r="C25" s="29" t="str">
        <f t="shared" ca="1" si="1"/>
        <v>1/2" - 24"</v>
      </c>
      <c r="D25" s="29" t="str">
        <f t="shared" ca="1" si="2"/>
        <v>Ball Valve, Reduced Bore</v>
      </c>
      <c r="E25" s="37" t="str">
        <f t="shared" ca="1" si="3"/>
        <v>Flanged ASME B16.5 RTJ / Compact Flange / Hub Connector (As per PMS)</v>
      </c>
      <c r="F25" s="29" t="str">
        <f t="shared" ca="1" si="4"/>
        <v>Forged - ASTM A182-F316L</v>
      </c>
      <c r="G25" s="29" t="str">
        <f t="shared" ca="1" si="5"/>
        <v>PEEK</v>
      </c>
      <c r="H25" s="29" t="str">
        <f t="shared" ca="1" si="6"/>
        <v>F1N</v>
      </c>
      <c r="I25" s="51">
        <v>62</v>
      </c>
      <c r="J25" t="s">
        <v>32</v>
      </c>
      <c r="L25" s="27">
        <v>23</v>
      </c>
      <c r="M25" s="29" t="s">
        <v>108</v>
      </c>
      <c r="N25" s="29" t="s">
        <v>45</v>
      </c>
      <c r="O25" s="29">
        <v>1.1000000000000001</v>
      </c>
      <c r="P25" s="29" t="s">
        <v>97</v>
      </c>
      <c r="Q25" s="29" t="s">
        <v>27</v>
      </c>
      <c r="R25" s="42" t="s">
        <v>105</v>
      </c>
      <c r="S25" s="29" t="s">
        <v>109</v>
      </c>
      <c r="T25" s="29" t="s">
        <v>48</v>
      </c>
      <c r="U25" s="30">
        <v>45</v>
      </c>
      <c r="V25" t="str">
        <f t="shared" si="0"/>
        <v>153.2 @ -45°C, 131.4 @ 200°C</v>
      </c>
    </row>
    <row r="26" spans="1:22" ht="22.9" customHeight="1">
      <c r="A26" s="54">
        <v>23</v>
      </c>
      <c r="B26" s="28" t="s">
        <v>110</v>
      </c>
      <c r="C26" s="29" t="str">
        <f t="shared" ca="1" si="1"/>
        <v>1/2" - 24"</v>
      </c>
      <c r="D26" s="29" t="str">
        <f t="shared" ca="1" si="2"/>
        <v>Ball Valve, Full Bore</v>
      </c>
      <c r="E26" s="37" t="str">
        <f t="shared" ca="1" si="3"/>
        <v>Flanged ASME B16.5 RTJ / Compact Flange / Hub Connector (As per PMS)</v>
      </c>
      <c r="F26" s="29" t="str">
        <f t="shared" ca="1" si="4"/>
        <v>Forged - ASTM A182-F316L</v>
      </c>
      <c r="G26" s="29" t="str">
        <f t="shared" ca="1" si="5"/>
        <v>PEEK</v>
      </c>
      <c r="H26" s="29" t="str">
        <f t="shared" ca="1" si="6"/>
        <v>G1N</v>
      </c>
      <c r="I26" s="51">
        <v>63</v>
      </c>
      <c r="J26" t="s">
        <v>32</v>
      </c>
      <c r="L26" s="27">
        <v>24</v>
      </c>
      <c r="M26" s="29" t="s">
        <v>111</v>
      </c>
      <c r="N26" s="29" t="s">
        <v>51</v>
      </c>
      <c r="O26" s="29">
        <v>1.1000000000000001</v>
      </c>
      <c r="P26" s="29" t="s">
        <v>97</v>
      </c>
      <c r="Q26" s="29" t="s">
        <v>27</v>
      </c>
      <c r="R26" s="42" t="s">
        <v>105</v>
      </c>
      <c r="S26" s="29" t="s">
        <v>112</v>
      </c>
      <c r="T26" s="29" t="s">
        <v>53</v>
      </c>
      <c r="U26" s="30">
        <v>46</v>
      </c>
      <c r="V26" t="str">
        <f t="shared" si="0"/>
        <v>255.3 @ -45°C, 219 @ 200°C</v>
      </c>
    </row>
    <row r="27" spans="1:22" ht="22.9" customHeight="1">
      <c r="A27" s="54">
        <v>24</v>
      </c>
      <c r="B27" s="28" t="s">
        <v>113</v>
      </c>
      <c r="C27" s="29" t="str">
        <f t="shared" ca="1" si="1"/>
        <v>1/2" - 24"</v>
      </c>
      <c r="D27" s="29" t="str">
        <f t="shared" ca="1" si="2"/>
        <v>Ball Valve, Reduced Bore</v>
      </c>
      <c r="E27" s="37" t="str">
        <f t="shared" ca="1" si="3"/>
        <v>Flanged ASME B16.5 RTJ / Compact Flange / Hub Connector (As per PMS)</v>
      </c>
      <c r="F27" s="29" t="str">
        <f t="shared" ca="1" si="4"/>
        <v>Forged - ASTM A182-F316L</v>
      </c>
      <c r="G27" s="29" t="str">
        <f t="shared" ca="1" si="5"/>
        <v>PEEK</v>
      </c>
      <c r="H27" s="29" t="str">
        <f t="shared" ca="1" si="6"/>
        <v>G1N</v>
      </c>
      <c r="I27" s="51">
        <v>64</v>
      </c>
      <c r="J27" t="s">
        <v>32</v>
      </c>
      <c r="L27" s="27">
        <v>25</v>
      </c>
      <c r="M27" s="29" t="s">
        <v>114</v>
      </c>
      <c r="N27" s="29" t="s">
        <v>56</v>
      </c>
      <c r="O27" s="29">
        <v>1.1000000000000001</v>
      </c>
      <c r="P27" s="29" t="s">
        <v>97</v>
      </c>
      <c r="Q27" s="29" t="s">
        <v>27</v>
      </c>
      <c r="R27" s="42" t="s">
        <v>115</v>
      </c>
      <c r="S27" s="29" t="s">
        <v>58</v>
      </c>
      <c r="T27" s="29" t="s">
        <v>59</v>
      </c>
      <c r="U27" s="30">
        <v>47</v>
      </c>
      <c r="V27" t="str">
        <f t="shared" si="0"/>
        <v>399.8 @ -29°C, 342.9 @ 200°C</v>
      </c>
    </row>
    <row r="28" spans="1:22" ht="22.9" customHeight="1">
      <c r="A28" s="54">
        <v>25</v>
      </c>
      <c r="B28" s="28" t="s">
        <v>116</v>
      </c>
      <c r="C28" s="29" t="str">
        <f t="shared" ca="1" si="1"/>
        <v>1/2" - 24"</v>
      </c>
      <c r="D28" s="29" t="str">
        <f t="shared" ca="1" si="2"/>
        <v>Ball Valve, Full Bore</v>
      </c>
      <c r="E28" s="37" t="str">
        <f t="shared" ca="1" si="3"/>
        <v>Flanged ASME B16.5 RTJ / Compact Flange / Hub Connector (As per PMS)</v>
      </c>
      <c r="F28" s="29" t="str">
        <f t="shared" ca="1" si="4"/>
        <v>Forged - ASTM A182-F316L, TCC Coated 150μ to 250μ thick with minimum surface hardness 1050 Vickers</v>
      </c>
      <c r="G28" s="29" t="str">
        <f t="shared" ca="1" si="5"/>
        <v>Metal seated, hard faced, Renewable</v>
      </c>
      <c r="H28" s="29" t="str">
        <f t="shared" ca="1" si="6"/>
        <v>G1N</v>
      </c>
      <c r="I28" s="51">
        <v>65</v>
      </c>
      <c r="J28" t="s">
        <v>32</v>
      </c>
      <c r="L28" s="27">
        <v>26</v>
      </c>
      <c r="M28" s="29" t="s">
        <v>117</v>
      </c>
      <c r="N28" s="29" t="s">
        <v>25</v>
      </c>
      <c r="O28" s="29">
        <v>1.1000000000000001</v>
      </c>
      <c r="P28" s="29" t="s">
        <v>97</v>
      </c>
      <c r="Q28" s="29" t="s">
        <v>80</v>
      </c>
      <c r="R28" s="42" t="s">
        <v>105</v>
      </c>
      <c r="S28" s="29" t="s">
        <v>99</v>
      </c>
      <c r="T28" s="29" t="s">
        <v>30</v>
      </c>
      <c r="U28" s="30">
        <v>48</v>
      </c>
      <c r="V28" t="str">
        <f t="shared" si="0"/>
        <v>19.6 @ -45°C, 13.8 @ 200°C</v>
      </c>
    </row>
    <row r="29" spans="1:22" ht="22.9" customHeight="1">
      <c r="A29" s="54">
        <v>26</v>
      </c>
      <c r="B29" s="28" t="s">
        <v>118</v>
      </c>
      <c r="C29" s="29" t="str">
        <f t="shared" ca="1" si="1"/>
        <v>1/2" - 24"</v>
      </c>
      <c r="D29" s="29" t="str">
        <f t="shared" ca="1" si="2"/>
        <v>Ball Valve, Reduced Bore</v>
      </c>
      <c r="E29" s="37" t="str">
        <f t="shared" ca="1" si="3"/>
        <v>Flanged ASME B16.5 RTJ / Compact Flange / Hub Connector (As per PMS)</v>
      </c>
      <c r="F29" s="29" t="str">
        <f t="shared" ca="1" si="4"/>
        <v>Forged - ASTM A182-F316L, TCC Coated 150μ to 250μ thick with minimum surface hardness 1050 Vickers</v>
      </c>
      <c r="G29" s="29" t="str">
        <f t="shared" ca="1" si="5"/>
        <v>Metal seated, hard faced, Renewable</v>
      </c>
      <c r="H29" s="29" t="str">
        <f t="shared" ca="1" si="6"/>
        <v>G1N</v>
      </c>
      <c r="I29" s="51">
        <v>66</v>
      </c>
      <c r="J29" t="s">
        <v>32</v>
      </c>
      <c r="L29" s="27">
        <v>27</v>
      </c>
      <c r="M29" s="29" t="s">
        <v>119</v>
      </c>
      <c r="N29" s="29" t="s">
        <v>34</v>
      </c>
      <c r="O29" s="29">
        <v>1.1000000000000001</v>
      </c>
      <c r="P29" s="29" t="s">
        <v>97</v>
      </c>
      <c r="Q29" s="29" t="s">
        <v>80</v>
      </c>
      <c r="R29" s="42" t="s">
        <v>105</v>
      </c>
      <c r="S29" s="29" t="s">
        <v>102</v>
      </c>
      <c r="T29" s="29" t="s">
        <v>37</v>
      </c>
      <c r="U29" s="30">
        <v>49</v>
      </c>
      <c r="V29" t="str">
        <f t="shared" si="0"/>
        <v>51.1 @ -45°C, 43.8 @ 200°C</v>
      </c>
    </row>
    <row r="30" spans="1:22" ht="22.9" customHeight="1">
      <c r="A30" s="54">
        <v>27</v>
      </c>
      <c r="B30" s="28" t="s">
        <v>120</v>
      </c>
      <c r="C30" s="29" t="str">
        <f t="shared" ca="1" si="1"/>
        <v>1/2" - 24"</v>
      </c>
      <c r="D30" s="29" t="str">
        <f t="shared" ca="1" si="2"/>
        <v>Ball Valve, Full Bore</v>
      </c>
      <c r="E30" s="37" t="str">
        <f t="shared" ca="1" si="3"/>
        <v>Flanged ASME B16.5 RF</v>
      </c>
      <c r="F30" s="29" t="str">
        <f t="shared" ca="1" si="4"/>
        <v>Forged - ASTM A182-F316L</v>
      </c>
      <c r="G30" s="29" t="str">
        <f t="shared" ca="1" si="5"/>
        <v xml:space="preserve">Reinforced PTFE </v>
      </c>
      <c r="H30" s="29" t="str">
        <f t="shared" ca="1" si="6"/>
        <v>A2N</v>
      </c>
      <c r="I30" s="51">
        <v>67</v>
      </c>
      <c r="J30" t="s">
        <v>32</v>
      </c>
      <c r="L30" s="27">
        <v>28</v>
      </c>
      <c r="M30" s="29" t="s">
        <v>121</v>
      </c>
      <c r="N30" s="29" t="s">
        <v>40</v>
      </c>
      <c r="O30" s="29">
        <v>1.1000000000000001</v>
      </c>
      <c r="P30" s="29" t="s">
        <v>97</v>
      </c>
      <c r="Q30" s="29" t="s">
        <v>80</v>
      </c>
      <c r="R30" s="42" t="s">
        <v>105</v>
      </c>
      <c r="S30" s="29" t="s">
        <v>106</v>
      </c>
      <c r="T30" s="29" t="s">
        <v>42</v>
      </c>
      <c r="U30" s="30">
        <v>50</v>
      </c>
      <c r="V30" t="str">
        <f t="shared" si="0"/>
        <v>102.1 @ -45°C, 87.6 @ 200°C</v>
      </c>
    </row>
    <row r="31" spans="1:22" ht="22.9" customHeight="1">
      <c r="A31" s="54">
        <v>28</v>
      </c>
      <c r="B31" s="28" t="s">
        <v>122</v>
      </c>
      <c r="C31" s="29" t="str">
        <f t="shared" ca="1" si="1"/>
        <v>1/2" - 24"</v>
      </c>
      <c r="D31" s="29" t="str">
        <f t="shared" ca="1" si="2"/>
        <v>Ball Valve, Reduced Bore</v>
      </c>
      <c r="E31" s="37" t="str">
        <f t="shared" ca="1" si="3"/>
        <v>Flanged ASME B16.5 RF</v>
      </c>
      <c r="F31" s="29" t="str">
        <f t="shared" ca="1" si="4"/>
        <v>Forged - ASTM A182-F316L</v>
      </c>
      <c r="G31" s="29" t="str">
        <f t="shared" ca="1" si="5"/>
        <v xml:space="preserve">Reinforced PTFE </v>
      </c>
      <c r="H31" s="29" t="str">
        <f t="shared" ca="1" si="6"/>
        <v>A2N</v>
      </c>
      <c r="I31" s="51">
        <v>68</v>
      </c>
      <c r="J31" t="s">
        <v>32</v>
      </c>
      <c r="L31" s="27">
        <v>29</v>
      </c>
      <c r="M31" s="29" t="s">
        <v>123</v>
      </c>
      <c r="N31" s="29" t="s">
        <v>45</v>
      </c>
      <c r="O31" s="29">
        <v>1.1000000000000001</v>
      </c>
      <c r="P31" s="29" t="s">
        <v>97</v>
      </c>
      <c r="Q31" s="29" t="s">
        <v>80</v>
      </c>
      <c r="R31" s="42" t="s">
        <v>105</v>
      </c>
      <c r="S31" s="29" t="s">
        <v>109</v>
      </c>
      <c r="T31" s="29" t="s">
        <v>48</v>
      </c>
      <c r="U31" s="30">
        <v>51</v>
      </c>
      <c r="V31" t="str">
        <f t="shared" si="0"/>
        <v>153.2 @ -45°C, 131.4 @ 200°C</v>
      </c>
    </row>
    <row r="32" spans="1:22" ht="22.9" customHeight="1">
      <c r="A32" s="54">
        <v>29</v>
      </c>
      <c r="B32" s="28" t="s">
        <v>124</v>
      </c>
      <c r="C32" s="29" t="str">
        <f t="shared" ca="1" si="1"/>
        <v>1/2" - 24"</v>
      </c>
      <c r="D32" s="29" t="str">
        <f t="shared" ca="1" si="2"/>
        <v>Ball Valve, Full Bore</v>
      </c>
      <c r="E32" s="37" t="str">
        <f t="shared" ca="1" si="3"/>
        <v>Flanged ASME B16.5 RF</v>
      </c>
      <c r="F32" s="29" t="str">
        <f t="shared" ca="1" si="4"/>
        <v>Forged - ASTM A182-F316L</v>
      </c>
      <c r="G32" s="29" t="str">
        <f t="shared" ca="1" si="5"/>
        <v xml:space="preserve">Reinforced PTFE </v>
      </c>
      <c r="H32" s="29" t="str">
        <f t="shared" ca="1" si="6"/>
        <v>B2N</v>
      </c>
      <c r="I32" s="51">
        <v>69</v>
      </c>
      <c r="J32" t="s">
        <v>32</v>
      </c>
      <c r="L32" s="27">
        <v>30</v>
      </c>
      <c r="M32" s="29" t="s">
        <v>125</v>
      </c>
      <c r="N32" s="29" t="s">
        <v>51</v>
      </c>
      <c r="O32" s="29">
        <v>1.1000000000000001</v>
      </c>
      <c r="P32" s="29" t="s">
        <v>97</v>
      </c>
      <c r="Q32" s="29" t="s">
        <v>80</v>
      </c>
      <c r="R32" s="42" t="s">
        <v>105</v>
      </c>
      <c r="S32" s="29" t="s">
        <v>112</v>
      </c>
      <c r="T32" s="29" t="s">
        <v>53</v>
      </c>
      <c r="U32" s="30">
        <v>52</v>
      </c>
      <c r="V32" t="str">
        <f t="shared" si="0"/>
        <v>255.3 @ -45°C, 219 @ 200°C</v>
      </c>
    </row>
    <row r="33" spans="1:22" ht="22.9" customHeight="1">
      <c r="A33" s="54">
        <v>30</v>
      </c>
      <c r="B33" s="28" t="s">
        <v>126</v>
      </c>
      <c r="C33" s="29" t="str">
        <f t="shared" ca="1" si="1"/>
        <v>1/2" - 24"</v>
      </c>
      <c r="D33" s="29" t="str">
        <f t="shared" ca="1" si="2"/>
        <v>Ball Valve, Reduced Bore</v>
      </c>
      <c r="E33" s="37" t="str">
        <f t="shared" ca="1" si="3"/>
        <v>Flanged ASME B16.5 RF</v>
      </c>
      <c r="F33" s="29" t="str">
        <f t="shared" ca="1" si="4"/>
        <v>Forged - ASTM A182-F316L</v>
      </c>
      <c r="G33" s="29" t="str">
        <f t="shared" ca="1" si="5"/>
        <v xml:space="preserve">Reinforced PTFE </v>
      </c>
      <c r="H33" s="29" t="str">
        <f t="shared" ca="1" si="6"/>
        <v>B2N</v>
      </c>
      <c r="I33" s="51">
        <v>70</v>
      </c>
      <c r="J33" t="s">
        <v>32</v>
      </c>
      <c r="L33" s="27">
        <v>31</v>
      </c>
      <c r="M33" s="29" t="s">
        <v>127</v>
      </c>
      <c r="N33" s="29" t="s">
        <v>56</v>
      </c>
      <c r="O33" s="29">
        <v>1.1000000000000001</v>
      </c>
      <c r="P33" s="29" t="s">
        <v>97</v>
      </c>
      <c r="Q33" s="29" t="s">
        <v>80</v>
      </c>
      <c r="R33" s="42" t="s">
        <v>105</v>
      </c>
      <c r="S33" s="29" t="s">
        <v>58</v>
      </c>
      <c r="T33" s="29" t="s">
        <v>59</v>
      </c>
      <c r="U33" s="30">
        <v>53</v>
      </c>
      <c r="V33" t="str">
        <f t="shared" si="0"/>
        <v>399.8 @ -29°C, 342.9 @ 200°C</v>
      </c>
    </row>
    <row r="34" spans="1:22" ht="22.9" customHeight="1">
      <c r="A34" s="54">
        <v>31</v>
      </c>
      <c r="B34" s="28" t="s">
        <v>128</v>
      </c>
      <c r="C34" s="29" t="str">
        <f t="shared" ca="1" si="1"/>
        <v>1/2" - 24"</v>
      </c>
      <c r="D34" s="29" t="str">
        <f t="shared" ca="1" si="2"/>
        <v>Ball Valve, Full Bore</v>
      </c>
      <c r="E34" s="37" t="str">
        <f t="shared" ca="1" si="3"/>
        <v>Flanged ASME B16.5 RF</v>
      </c>
      <c r="F34" s="29" t="str">
        <f t="shared" ca="1" si="4"/>
        <v>Forged - ASTM A182-F316L</v>
      </c>
      <c r="G34" s="29" t="str">
        <f t="shared" ca="1" si="5"/>
        <v xml:space="preserve">PEEK </v>
      </c>
      <c r="H34" s="29" t="str">
        <f t="shared" ca="1" si="6"/>
        <v>D2N</v>
      </c>
      <c r="I34" s="51">
        <v>71</v>
      </c>
      <c r="J34" t="s">
        <v>32</v>
      </c>
      <c r="L34" s="27">
        <v>32</v>
      </c>
      <c r="M34" s="29" t="s">
        <v>129</v>
      </c>
      <c r="N34" s="29" t="s">
        <v>25</v>
      </c>
      <c r="O34" s="29">
        <v>1.1000000000000001</v>
      </c>
      <c r="P34" s="29" t="s">
        <v>130</v>
      </c>
      <c r="Q34" s="29" t="s">
        <v>27</v>
      </c>
      <c r="R34" s="37" t="s">
        <v>131</v>
      </c>
      <c r="S34" s="29" t="s">
        <v>132</v>
      </c>
      <c r="T34" s="29" t="s">
        <v>133</v>
      </c>
      <c r="U34" s="30">
        <v>54</v>
      </c>
      <c r="V34" t="str">
        <f t="shared" si="0"/>
        <v>19 @ -29°C,  16.2 @ 100°C</v>
      </c>
    </row>
    <row r="35" spans="1:22" ht="22.9" customHeight="1">
      <c r="A35" s="54">
        <v>32</v>
      </c>
      <c r="B35" s="28" t="s">
        <v>134</v>
      </c>
      <c r="C35" s="29" t="str">
        <f t="shared" ca="1" si="1"/>
        <v>1/2" - 24"</v>
      </c>
      <c r="D35" s="29" t="str">
        <f t="shared" ca="1" si="2"/>
        <v>Ball Valve, Reduced Bore</v>
      </c>
      <c r="E35" s="37" t="str">
        <f t="shared" ca="1" si="3"/>
        <v>Flanged ASME B16.5 RF</v>
      </c>
      <c r="F35" s="29" t="str">
        <f t="shared" ca="1" si="4"/>
        <v>Forged - ASTM A182-F316L</v>
      </c>
      <c r="G35" s="29" t="str">
        <f t="shared" ca="1" si="5"/>
        <v xml:space="preserve">PEEK </v>
      </c>
      <c r="H35" s="29" t="str">
        <f t="shared" ca="1" si="6"/>
        <v>D2N</v>
      </c>
      <c r="I35" s="51">
        <v>72</v>
      </c>
      <c r="J35" t="s">
        <v>32</v>
      </c>
      <c r="L35" s="27">
        <v>33</v>
      </c>
      <c r="M35" s="29" t="s">
        <v>135</v>
      </c>
      <c r="N35" s="29" t="s">
        <v>25</v>
      </c>
      <c r="O35" s="29">
        <v>1.1000000000000001</v>
      </c>
      <c r="P35" s="29" t="s">
        <v>130</v>
      </c>
      <c r="Q35" s="29" t="s">
        <v>136</v>
      </c>
      <c r="R35" s="42" t="s">
        <v>137</v>
      </c>
      <c r="S35" s="29" t="s">
        <v>132</v>
      </c>
      <c r="T35" s="29" t="s">
        <v>133</v>
      </c>
      <c r="U35" s="30">
        <v>55</v>
      </c>
      <c r="V35" t="str">
        <f t="shared" si="0"/>
        <v>19 @ -29°C,  16.2 @ 100°C</v>
      </c>
    </row>
    <row r="36" spans="1:22" ht="22.9" customHeight="1">
      <c r="A36" s="54">
        <v>33</v>
      </c>
      <c r="B36" s="28" t="s">
        <v>138</v>
      </c>
      <c r="C36" s="29" t="str">
        <f t="shared" ca="1" si="1"/>
        <v>1/2" - 24"</v>
      </c>
      <c r="D36" s="29" t="str">
        <f t="shared" ca="1" si="2"/>
        <v>Ball Valve, Full Bore</v>
      </c>
      <c r="E36" s="37" t="str">
        <f t="shared" ca="1" si="3"/>
        <v>Flanged ASME B16.5 RTJ</v>
      </c>
      <c r="F36" s="29" t="str">
        <f t="shared" ca="1" si="4"/>
        <v>Forged - ASTM A182-F316L</v>
      </c>
      <c r="G36" s="29" t="str">
        <f t="shared" ca="1" si="5"/>
        <v xml:space="preserve">PEEK </v>
      </c>
      <c r="H36" s="29" t="str">
        <f t="shared" ca="1" si="6"/>
        <v>E2N</v>
      </c>
      <c r="I36" s="51">
        <v>73</v>
      </c>
      <c r="J36" t="s">
        <v>32</v>
      </c>
      <c r="L36" s="27">
        <v>34</v>
      </c>
      <c r="M36" s="29" t="s">
        <v>139</v>
      </c>
      <c r="N36" s="29" t="s">
        <v>34</v>
      </c>
      <c r="O36" s="29">
        <v>1.1000000000000001</v>
      </c>
      <c r="P36" s="29" t="s">
        <v>130</v>
      </c>
      <c r="Q36" s="29" t="s">
        <v>136</v>
      </c>
      <c r="R36" s="42" t="s">
        <v>137</v>
      </c>
      <c r="S36" s="29" t="s">
        <v>36</v>
      </c>
      <c r="T36" s="29" t="s">
        <v>67</v>
      </c>
      <c r="U36" s="30">
        <v>56</v>
      </c>
      <c r="V36" t="str">
        <f t="shared" si="0"/>
        <v>51.1 @ -29°C, 43.8 @ 250°C</v>
      </c>
    </row>
    <row r="37" spans="1:22" ht="22.9" customHeight="1">
      <c r="A37" s="54">
        <v>34</v>
      </c>
      <c r="B37" s="28" t="s">
        <v>140</v>
      </c>
      <c r="C37" s="29" t="str">
        <f t="shared" ca="1" si="1"/>
        <v>1/2" - 24"</v>
      </c>
      <c r="D37" s="29" t="str">
        <f t="shared" ca="1" si="2"/>
        <v>Ball Valve, Reduced Bore</v>
      </c>
      <c r="E37" s="37" t="str">
        <f t="shared" ca="1" si="3"/>
        <v>Flanged ASME B16.5 RTJ</v>
      </c>
      <c r="F37" s="29" t="str">
        <f t="shared" ca="1" si="4"/>
        <v>Forged - ASTM A182-F316L</v>
      </c>
      <c r="G37" s="29" t="str">
        <f t="shared" ca="1" si="5"/>
        <v xml:space="preserve">PEEK </v>
      </c>
      <c r="H37" s="29" t="str">
        <f t="shared" ca="1" si="6"/>
        <v>E2N</v>
      </c>
      <c r="I37" s="51">
        <v>74</v>
      </c>
      <c r="J37" t="s">
        <v>32</v>
      </c>
      <c r="L37" s="27">
        <v>35</v>
      </c>
      <c r="M37" s="29" t="s">
        <v>141</v>
      </c>
      <c r="N37" s="29" t="s">
        <v>40</v>
      </c>
      <c r="O37" s="29">
        <v>1.1000000000000001</v>
      </c>
      <c r="P37" s="29" t="s">
        <v>130</v>
      </c>
      <c r="Q37" s="29" t="s">
        <v>136</v>
      </c>
      <c r="R37" s="42" t="s">
        <v>137</v>
      </c>
      <c r="S37" s="29" t="s">
        <v>41</v>
      </c>
      <c r="T37" s="29" t="s">
        <v>70</v>
      </c>
      <c r="U37" s="30">
        <v>57</v>
      </c>
      <c r="V37" t="str">
        <f t="shared" si="0"/>
        <v>102.1 @ -29°C, 87.6 @ 250°C</v>
      </c>
    </row>
    <row r="38" spans="1:22" ht="22.9" customHeight="1">
      <c r="A38" s="54">
        <v>35</v>
      </c>
      <c r="B38" s="28" t="s">
        <v>142</v>
      </c>
      <c r="C38" s="29" t="str">
        <f t="shared" ca="1" si="1"/>
        <v>1/2" - 24"</v>
      </c>
      <c r="D38" s="29" t="str">
        <f t="shared" ca="1" si="2"/>
        <v>Ball Valve, Full Bore</v>
      </c>
      <c r="E38" s="37" t="str">
        <f t="shared" ca="1" si="3"/>
        <v>Flanged ASME B16.5 RTJ / Compact Flange / Hub Connector (As per PMS)</v>
      </c>
      <c r="F38" s="29" t="str">
        <f t="shared" ca="1" si="4"/>
        <v>Forged - ASTM A182-F316L</v>
      </c>
      <c r="G38" s="29" t="str">
        <f t="shared" ca="1" si="5"/>
        <v xml:space="preserve">PEEK </v>
      </c>
      <c r="H38" s="29" t="str">
        <f t="shared" ca="1" si="6"/>
        <v>F2N</v>
      </c>
      <c r="I38" s="51">
        <v>75</v>
      </c>
      <c r="J38" t="s">
        <v>32</v>
      </c>
      <c r="L38" s="27">
        <v>36</v>
      </c>
      <c r="M38" s="29" t="s">
        <v>143</v>
      </c>
      <c r="N38" s="29" t="s">
        <v>25</v>
      </c>
      <c r="O38" s="29">
        <v>1.1000000000000001</v>
      </c>
      <c r="P38" s="29" t="s">
        <v>144</v>
      </c>
      <c r="Q38" s="29" t="s">
        <v>80</v>
      </c>
      <c r="R38" s="29" t="s">
        <v>145</v>
      </c>
      <c r="S38" s="29" t="s">
        <v>132</v>
      </c>
      <c r="T38" s="29" t="s">
        <v>133</v>
      </c>
      <c r="U38" s="30">
        <v>58</v>
      </c>
      <c r="V38" t="str">
        <f t="shared" si="0"/>
        <v>19 @ -29°C,  16.2 @ 100°C</v>
      </c>
    </row>
    <row r="39" spans="1:22" ht="22.9" customHeight="1">
      <c r="A39" s="54">
        <v>36</v>
      </c>
      <c r="B39" s="28" t="s">
        <v>146</v>
      </c>
      <c r="C39" s="29" t="str">
        <f t="shared" ca="1" si="1"/>
        <v>1/2" - 24"</v>
      </c>
      <c r="D39" s="29" t="str">
        <f t="shared" ca="1" si="2"/>
        <v>Ball Valve, Reduced Bore</v>
      </c>
      <c r="E39" s="37" t="str">
        <f t="shared" ca="1" si="3"/>
        <v>Flanged ASME B16.5 RTJ / Compact Flange / Hub Connector (As per PMS)</v>
      </c>
      <c r="F39" s="29" t="str">
        <f t="shared" ca="1" si="4"/>
        <v>Forged - ASTM A182-F316L</v>
      </c>
      <c r="G39" s="29" t="str">
        <f t="shared" ca="1" si="5"/>
        <v xml:space="preserve">PEEK </v>
      </c>
      <c r="H39" s="29" t="str">
        <f t="shared" ca="1" si="6"/>
        <v>F2N</v>
      </c>
      <c r="I39" s="51">
        <v>76</v>
      </c>
      <c r="J39" t="s">
        <v>32</v>
      </c>
      <c r="L39" s="27">
        <v>37</v>
      </c>
      <c r="M39" s="29" t="s">
        <v>147</v>
      </c>
      <c r="N39" s="29" t="s">
        <v>25</v>
      </c>
      <c r="O39" s="29">
        <v>1.1000000000000001</v>
      </c>
      <c r="P39" s="29" t="s">
        <v>148</v>
      </c>
      <c r="Q39" s="29" t="s">
        <v>80</v>
      </c>
      <c r="R39" s="37" t="s">
        <v>149</v>
      </c>
      <c r="S39" s="29" t="s">
        <v>132</v>
      </c>
      <c r="T39" s="29" t="s">
        <v>133</v>
      </c>
      <c r="U39" s="30">
        <v>59</v>
      </c>
      <c r="V39" t="str">
        <f t="shared" si="0"/>
        <v>19 @ -29°C,  16.2 @ 100°C</v>
      </c>
    </row>
    <row r="40" spans="1:22" ht="22.9" customHeight="1">
      <c r="A40" s="54">
        <v>37</v>
      </c>
      <c r="B40" s="28" t="s">
        <v>150</v>
      </c>
      <c r="C40" s="29" t="str">
        <f t="shared" ca="1" si="1"/>
        <v>1/2" - 24"</v>
      </c>
      <c r="D40" s="29" t="str">
        <f t="shared" ca="1" si="2"/>
        <v>Ball Valve, Full Bore</v>
      </c>
      <c r="E40" s="37" t="str">
        <f t="shared" ca="1" si="3"/>
        <v>Flanged ASME B16.5 RTJ / Compact Flange / Hub Connector (As per PMS)</v>
      </c>
      <c r="F40" s="29" t="str">
        <f t="shared" ca="1" si="4"/>
        <v>Forged - ASTM A182-F316L</v>
      </c>
      <c r="G40" s="29" t="str">
        <f t="shared" ca="1" si="5"/>
        <v xml:space="preserve">PEEK </v>
      </c>
      <c r="H40" s="29" t="str">
        <f t="shared" ca="1" si="6"/>
        <v>G2N</v>
      </c>
      <c r="I40" s="51">
        <v>77</v>
      </c>
      <c r="J40" t="s">
        <v>32</v>
      </c>
      <c r="L40" s="27">
        <v>38</v>
      </c>
      <c r="M40" s="29" t="s">
        <v>151</v>
      </c>
      <c r="N40" s="29" t="s">
        <v>25</v>
      </c>
      <c r="O40" s="29">
        <v>2.2999999999999998</v>
      </c>
      <c r="P40" s="29" t="s">
        <v>152</v>
      </c>
      <c r="Q40" s="29" t="s">
        <v>153</v>
      </c>
      <c r="R40" s="37" t="s">
        <v>154</v>
      </c>
      <c r="S40" s="29" t="s">
        <v>155</v>
      </c>
      <c r="T40" s="29" t="s">
        <v>156</v>
      </c>
      <c r="U40" s="30">
        <v>60</v>
      </c>
      <c r="V40" t="str">
        <f t="shared" si="0"/>
        <v>15.9 @ -100°C, 11.2 @ 200°C</v>
      </c>
    </row>
    <row r="41" spans="1:22" ht="22.9" customHeight="1">
      <c r="A41" s="54">
        <v>38</v>
      </c>
      <c r="B41" s="28" t="s">
        <v>157</v>
      </c>
      <c r="C41" s="29" t="str">
        <f t="shared" ca="1" si="1"/>
        <v>1/2" - 24"</v>
      </c>
      <c r="D41" s="29" t="str">
        <f t="shared" ca="1" si="2"/>
        <v>Ball Valve, Reduced Bore</v>
      </c>
      <c r="E41" s="37" t="str">
        <f t="shared" ca="1" si="3"/>
        <v>Flanged ASME B16.5 RTJ / Compact Flange / Hub Connector (As per PMS)</v>
      </c>
      <c r="F41" s="29" t="str">
        <f t="shared" ca="1" si="4"/>
        <v>Forged - ASTM A182-F316L</v>
      </c>
      <c r="G41" s="29" t="str">
        <f t="shared" ca="1" si="5"/>
        <v xml:space="preserve">PEEK </v>
      </c>
      <c r="H41" s="29" t="str">
        <f t="shared" ca="1" si="6"/>
        <v>G2N</v>
      </c>
      <c r="I41" s="51">
        <v>78</v>
      </c>
      <c r="J41" t="s">
        <v>32</v>
      </c>
      <c r="L41" s="27">
        <v>39</v>
      </c>
      <c r="M41" s="29" t="s">
        <v>158</v>
      </c>
      <c r="N41" s="29" t="s">
        <v>34</v>
      </c>
      <c r="O41" s="29">
        <v>2.2999999999999998</v>
      </c>
      <c r="P41" s="29" t="s">
        <v>152</v>
      </c>
      <c r="Q41" s="29" t="s">
        <v>153</v>
      </c>
      <c r="R41" s="37" t="s">
        <v>159</v>
      </c>
      <c r="S41" s="29" t="s">
        <v>160</v>
      </c>
      <c r="T41" s="29" t="s">
        <v>161</v>
      </c>
      <c r="U41" s="30">
        <v>61</v>
      </c>
      <c r="V41" t="str">
        <f t="shared" si="0"/>
        <v>41.4 @ -100°C, 29.2 @ 200°C</v>
      </c>
    </row>
    <row r="42" spans="1:22" ht="22.9" customHeight="1">
      <c r="A42" s="54">
        <v>39</v>
      </c>
      <c r="B42" s="28" t="s">
        <v>162</v>
      </c>
      <c r="C42" s="29" t="str">
        <f t="shared" ca="1" si="1"/>
        <v>1/2" - 24"</v>
      </c>
      <c r="D42" s="29" t="str">
        <f t="shared" ca="1" si="2"/>
        <v>Ball Valve, Full Bore</v>
      </c>
      <c r="E42" s="37" t="str">
        <f t="shared" ca="1" si="3"/>
        <v>Flanged ASME B16.5 RF</v>
      </c>
      <c r="F42" s="29" t="str">
        <f t="shared" ca="1" si="4"/>
        <v>Forged - ASTM A182-F316L</v>
      </c>
      <c r="G42" s="29" t="str">
        <f t="shared" ca="1" si="5"/>
        <v xml:space="preserve">Reinforced PTFE </v>
      </c>
      <c r="H42" s="29" t="str">
        <f t="shared" ca="1" si="6"/>
        <v>A1LN</v>
      </c>
      <c r="I42" s="51">
        <v>79</v>
      </c>
      <c r="J42" t="s">
        <v>32</v>
      </c>
      <c r="L42" s="27">
        <v>40</v>
      </c>
      <c r="M42" s="29" t="s">
        <v>163</v>
      </c>
      <c r="N42" s="29" t="s">
        <v>40</v>
      </c>
      <c r="O42" s="29">
        <v>2.2999999999999998</v>
      </c>
      <c r="P42" s="29" t="s">
        <v>152</v>
      </c>
      <c r="Q42" s="29" t="s">
        <v>153</v>
      </c>
      <c r="R42" s="42" t="s">
        <v>164</v>
      </c>
      <c r="S42" s="29" t="s">
        <v>165</v>
      </c>
      <c r="T42" s="29" t="s">
        <v>166</v>
      </c>
      <c r="U42" s="30">
        <v>62</v>
      </c>
      <c r="V42" t="str">
        <f t="shared" si="0"/>
        <v>82.7 @ -100°C, 58.3 @ 200°C</v>
      </c>
    </row>
    <row r="43" spans="1:22" ht="22.9" customHeight="1">
      <c r="A43" s="54">
        <v>40</v>
      </c>
      <c r="B43" s="28" t="s">
        <v>167</v>
      </c>
      <c r="C43" s="29" t="str">
        <f t="shared" ca="1" si="1"/>
        <v>1/2" - 24"</v>
      </c>
      <c r="D43" s="29" t="str">
        <f t="shared" ca="1" si="2"/>
        <v>Ball Valve, Reduced Bore</v>
      </c>
      <c r="E43" s="37" t="str">
        <f t="shared" ca="1" si="3"/>
        <v>Flanged ASME B16.5 RF</v>
      </c>
      <c r="F43" s="29" t="str">
        <f t="shared" ca="1" si="4"/>
        <v>Forged - ASTM A182-F316L</v>
      </c>
      <c r="G43" s="29" t="str">
        <f t="shared" ca="1" si="5"/>
        <v xml:space="preserve">Reinforced PTFE </v>
      </c>
      <c r="H43" s="29" t="str">
        <f t="shared" ca="1" si="6"/>
        <v>A1LN</v>
      </c>
      <c r="I43" s="51">
        <v>80</v>
      </c>
      <c r="J43" t="s">
        <v>32</v>
      </c>
      <c r="L43" s="27">
        <v>41</v>
      </c>
      <c r="M43" s="29" t="s">
        <v>168</v>
      </c>
      <c r="N43" s="29" t="s">
        <v>45</v>
      </c>
      <c r="O43" s="29">
        <v>2.2999999999999998</v>
      </c>
      <c r="P43" s="29" t="s">
        <v>152</v>
      </c>
      <c r="Q43" s="29" t="s">
        <v>153</v>
      </c>
      <c r="R43" s="42" t="s">
        <v>164</v>
      </c>
      <c r="S43" s="29" t="s">
        <v>169</v>
      </c>
      <c r="T43" s="29" t="s">
        <v>170</v>
      </c>
      <c r="U43" s="30">
        <v>63</v>
      </c>
      <c r="V43" t="str">
        <f t="shared" si="0"/>
        <v>124.1 @ -100°C, 87.5 @ 200°C</v>
      </c>
    </row>
    <row r="44" spans="1:22" ht="22.9" customHeight="1">
      <c r="A44" s="54">
        <v>41</v>
      </c>
      <c r="B44" s="28" t="s">
        <v>171</v>
      </c>
      <c r="C44" s="29" t="str">
        <f t="shared" ca="1" si="1"/>
        <v>1/2" - 24"</v>
      </c>
      <c r="D44" s="29" t="str">
        <f t="shared" ca="1" si="2"/>
        <v>Ball Valve, Full Bore</v>
      </c>
      <c r="E44" s="37" t="str">
        <f t="shared" ca="1" si="3"/>
        <v>Flanged ASME B16.5 RF</v>
      </c>
      <c r="F44" s="29" t="str">
        <f t="shared" ca="1" si="4"/>
        <v>Forged - ASTM A182-F316L</v>
      </c>
      <c r="G44" s="29" t="str">
        <f t="shared" ca="1" si="5"/>
        <v xml:space="preserve">Reinforced PTFE </v>
      </c>
      <c r="H44" s="29" t="str">
        <f t="shared" ca="1" si="6"/>
        <v>B1LN</v>
      </c>
      <c r="I44" s="51">
        <v>81</v>
      </c>
      <c r="J44" t="s">
        <v>32</v>
      </c>
      <c r="L44" s="27">
        <v>42</v>
      </c>
      <c r="M44" s="29" t="s">
        <v>172</v>
      </c>
      <c r="N44" s="29" t="s">
        <v>51</v>
      </c>
      <c r="O44" s="29">
        <v>2.2999999999999998</v>
      </c>
      <c r="P44" s="29" t="s">
        <v>152</v>
      </c>
      <c r="Q44" s="29" t="s">
        <v>153</v>
      </c>
      <c r="R44" s="42" t="s">
        <v>164</v>
      </c>
      <c r="S44" s="29" t="s">
        <v>173</v>
      </c>
      <c r="T44" s="29" t="s">
        <v>174</v>
      </c>
      <c r="U44" s="30">
        <v>64</v>
      </c>
      <c r="V44" t="str">
        <f t="shared" si="0"/>
        <v>206.8 @ -100°C, 145.8 @ 200°C</v>
      </c>
    </row>
    <row r="45" spans="1:22" ht="22.9" customHeight="1">
      <c r="A45" s="54">
        <v>42</v>
      </c>
      <c r="B45" s="28" t="s">
        <v>175</v>
      </c>
      <c r="C45" s="29" t="str">
        <f t="shared" ca="1" si="1"/>
        <v>1/2" - 24"</v>
      </c>
      <c r="D45" s="29" t="str">
        <f t="shared" ca="1" si="2"/>
        <v>Ball Valve, Reduced Bore</v>
      </c>
      <c r="E45" s="37" t="str">
        <f t="shared" ca="1" si="3"/>
        <v>Flanged ASME B16.5 RF</v>
      </c>
      <c r="F45" s="29" t="str">
        <f t="shared" ca="1" si="4"/>
        <v>Forged - ASTM A182-F316L</v>
      </c>
      <c r="G45" s="29" t="str">
        <f t="shared" ca="1" si="5"/>
        <v xml:space="preserve">Reinforced PTFE </v>
      </c>
      <c r="H45" s="29" t="str">
        <f t="shared" ca="1" si="6"/>
        <v>B1LN</v>
      </c>
      <c r="I45" s="51">
        <v>82</v>
      </c>
      <c r="J45" t="s">
        <v>32</v>
      </c>
      <c r="L45" s="27">
        <v>43</v>
      </c>
      <c r="M45" s="29" t="s">
        <v>176</v>
      </c>
      <c r="N45" s="29" t="s">
        <v>56</v>
      </c>
      <c r="O45" s="29">
        <v>2.2999999999999998</v>
      </c>
      <c r="P45" s="29" t="s">
        <v>152</v>
      </c>
      <c r="Q45" s="29" t="s">
        <v>153</v>
      </c>
      <c r="R45" s="42" t="s">
        <v>164</v>
      </c>
      <c r="S45" s="29" t="s">
        <v>177</v>
      </c>
      <c r="T45" s="29" t="s">
        <v>178</v>
      </c>
      <c r="U45" s="30">
        <v>65</v>
      </c>
      <c r="V45" t="str">
        <f t="shared" si="0"/>
        <v>344.7 @ -100°C, 243 @ 200°C</v>
      </c>
    </row>
    <row r="46" spans="1:22" ht="22.9" customHeight="1">
      <c r="A46" s="54">
        <v>43</v>
      </c>
      <c r="B46" s="28" t="s">
        <v>179</v>
      </c>
      <c r="C46" s="29" t="str">
        <f t="shared" ca="1" si="1"/>
        <v>1/2" - 24"</v>
      </c>
      <c r="D46" s="29" t="str">
        <f t="shared" ca="1" si="2"/>
        <v>Ball Valve, Full Bore</v>
      </c>
      <c r="E46" s="37" t="str">
        <f t="shared" ca="1" si="3"/>
        <v>Flanged ASME B16.5 RF</v>
      </c>
      <c r="F46" s="29" t="str">
        <f t="shared" ca="1" si="4"/>
        <v>Forged - ASTM A182-F316L</v>
      </c>
      <c r="G46" s="29" t="str">
        <f t="shared" ca="1" si="5"/>
        <v xml:space="preserve">PEEK </v>
      </c>
      <c r="H46" s="29" t="str">
        <f t="shared" ca="1" si="6"/>
        <v>D1LN</v>
      </c>
      <c r="I46" s="51">
        <v>83</v>
      </c>
      <c r="J46" t="s">
        <v>32</v>
      </c>
      <c r="L46" s="27">
        <v>44</v>
      </c>
      <c r="M46" s="29" t="s">
        <v>180</v>
      </c>
      <c r="N46" s="29" t="s">
        <v>25</v>
      </c>
      <c r="O46" s="29">
        <v>2.2999999999999998</v>
      </c>
      <c r="P46" s="29" t="s">
        <v>181</v>
      </c>
      <c r="Q46" s="29" t="s">
        <v>153</v>
      </c>
      <c r="R46" s="42" t="s">
        <v>182</v>
      </c>
      <c r="S46" s="29" t="s">
        <v>155</v>
      </c>
      <c r="T46" s="29" t="s">
        <v>156</v>
      </c>
      <c r="U46" s="30">
        <v>66</v>
      </c>
      <c r="V46" t="str">
        <f t="shared" si="0"/>
        <v>15.9 @ -100°C, 11.2 @ 200°C</v>
      </c>
    </row>
    <row r="47" spans="1:22" ht="22.9" customHeight="1">
      <c r="A47" s="54">
        <v>44</v>
      </c>
      <c r="B47" s="28" t="s">
        <v>183</v>
      </c>
      <c r="C47" s="29" t="str">
        <f t="shared" ca="1" si="1"/>
        <v>1/2" - 24"</v>
      </c>
      <c r="D47" s="29" t="str">
        <f t="shared" ca="1" si="2"/>
        <v>Ball Valve, Reduced Bore</v>
      </c>
      <c r="E47" s="37" t="str">
        <f t="shared" ca="1" si="3"/>
        <v>Flanged ASME B16.5 RF</v>
      </c>
      <c r="F47" s="29" t="str">
        <f t="shared" ca="1" si="4"/>
        <v>Forged - ASTM A182-F316L</v>
      </c>
      <c r="G47" s="29" t="str">
        <f t="shared" ca="1" si="5"/>
        <v xml:space="preserve">PEEK </v>
      </c>
      <c r="H47" s="29" t="str">
        <f t="shared" ca="1" si="6"/>
        <v>D1LN</v>
      </c>
      <c r="I47" s="51">
        <v>84</v>
      </c>
      <c r="J47" t="s">
        <v>32</v>
      </c>
      <c r="L47" s="27">
        <v>45</v>
      </c>
      <c r="M47" s="29" t="s">
        <v>184</v>
      </c>
      <c r="N47" s="29" t="s">
        <v>34</v>
      </c>
      <c r="O47" s="29">
        <v>2.2999999999999998</v>
      </c>
      <c r="P47" s="29" t="s">
        <v>181</v>
      </c>
      <c r="Q47" s="29" t="s">
        <v>153</v>
      </c>
      <c r="R47" s="42" t="s">
        <v>182</v>
      </c>
      <c r="S47" s="29" t="s">
        <v>160</v>
      </c>
      <c r="T47" s="29" t="s">
        <v>161</v>
      </c>
      <c r="U47" s="30">
        <v>67</v>
      </c>
      <c r="V47" t="str">
        <f t="shared" si="0"/>
        <v>41.4 @ -100°C, 29.2 @ 200°C</v>
      </c>
    </row>
    <row r="48" spans="1:22" ht="22.9" customHeight="1">
      <c r="A48" s="54">
        <v>45</v>
      </c>
      <c r="B48" s="28" t="s">
        <v>185</v>
      </c>
      <c r="C48" s="29" t="str">
        <f t="shared" ca="1" si="1"/>
        <v>1/2" - 24"</v>
      </c>
      <c r="D48" s="29" t="str">
        <f t="shared" ca="1" si="2"/>
        <v>Ball Valve, Full Bore</v>
      </c>
      <c r="E48" s="37" t="str">
        <f t="shared" ca="1" si="3"/>
        <v>Flanged ASME B16.5 RTJ</v>
      </c>
      <c r="F48" s="29" t="str">
        <f t="shared" ca="1" si="4"/>
        <v>Forged - ASTM A182-F316L</v>
      </c>
      <c r="G48" s="29" t="str">
        <f t="shared" ca="1" si="5"/>
        <v xml:space="preserve">PEEK </v>
      </c>
      <c r="H48" s="29" t="str">
        <f t="shared" ca="1" si="6"/>
        <v>E1LN</v>
      </c>
      <c r="I48" s="51">
        <v>85</v>
      </c>
      <c r="J48" t="s">
        <v>32</v>
      </c>
      <c r="L48" s="27">
        <v>46</v>
      </c>
      <c r="M48" s="29" t="s">
        <v>186</v>
      </c>
      <c r="N48" s="29" t="s">
        <v>40</v>
      </c>
      <c r="O48" s="29">
        <v>2.2999999999999998</v>
      </c>
      <c r="P48" s="29" t="s">
        <v>181</v>
      </c>
      <c r="Q48" s="29" t="s">
        <v>153</v>
      </c>
      <c r="R48" s="42" t="s">
        <v>182</v>
      </c>
      <c r="S48" s="29" t="s">
        <v>165</v>
      </c>
      <c r="T48" s="29" t="s">
        <v>166</v>
      </c>
      <c r="U48" s="30">
        <v>68</v>
      </c>
      <c r="V48" t="str">
        <f t="shared" si="0"/>
        <v>82.7 @ -100°C, 58.3 @ 200°C</v>
      </c>
    </row>
    <row r="49" spans="1:22" ht="22.9" customHeight="1">
      <c r="A49" s="54">
        <v>46</v>
      </c>
      <c r="B49" s="28" t="s">
        <v>187</v>
      </c>
      <c r="C49" s="29" t="str">
        <f t="shared" ca="1" si="1"/>
        <v>1/2" - 24"</v>
      </c>
      <c r="D49" s="29" t="str">
        <f t="shared" ca="1" si="2"/>
        <v>Ball Valve, Reduced Bore</v>
      </c>
      <c r="E49" s="37" t="str">
        <f t="shared" ca="1" si="3"/>
        <v>Flanged ASME B16.5 RTJ</v>
      </c>
      <c r="F49" s="29" t="str">
        <f t="shared" ca="1" si="4"/>
        <v>Forged - ASTM A182-F316L</v>
      </c>
      <c r="G49" s="29" t="str">
        <f t="shared" ca="1" si="5"/>
        <v xml:space="preserve">PEEK </v>
      </c>
      <c r="H49" s="29" t="str">
        <f t="shared" ca="1" si="6"/>
        <v>E1LN</v>
      </c>
      <c r="I49" s="51">
        <v>86</v>
      </c>
      <c r="J49" t="s">
        <v>32</v>
      </c>
      <c r="L49" s="27">
        <v>47</v>
      </c>
      <c r="M49" s="29" t="s">
        <v>188</v>
      </c>
      <c r="N49" s="29" t="s">
        <v>45</v>
      </c>
      <c r="O49" s="29">
        <v>2.2999999999999998</v>
      </c>
      <c r="P49" s="29" t="s">
        <v>181</v>
      </c>
      <c r="Q49" s="29" t="s">
        <v>153</v>
      </c>
      <c r="R49" s="42" t="s">
        <v>182</v>
      </c>
      <c r="S49" s="29" t="s">
        <v>169</v>
      </c>
      <c r="T49" s="29" t="s">
        <v>170</v>
      </c>
      <c r="U49" s="30">
        <v>69</v>
      </c>
      <c r="V49" t="str">
        <f t="shared" si="0"/>
        <v>124.1 @ -100°C, 87.5 @ 200°C</v>
      </c>
    </row>
    <row r="50" spans="1:22" ht="22.9" customHeight="1">
      <c r="A50" s="54">
        <v>47</v>
      </c>
      <c r="B50" s="28" t="s">
        <v>189</v>
      </c>
      <c r="C50" s="29" t="str">
        <f t="shared" ca="1" si="1"/>
        <v>1/2" - 24"</v>
      </c>
      <c r="D50" s="29" t="str">
        <f t="shared" ca="1" si="2"/>
        <v>Ball Valve, Full Bore</v>
      </c>
      <c r="E50" s="37" t="str">
        <f t="shared" ca="1" si="3"/>
        <v>Flanged ASME B16.5 RTJ / Compact Flange / Hub Connector (As per PMS)</v>
      </c>
      <c r="F50" s="29" t="str">
        <f t="shared" ca="1" si="4"/>
        <v>Forged - ASTM A182-F316L</v>
      </c>
      <c r="G50" s="29" t="str">
        <f t="shared" ca="1" si="5"/>
        <v xml:space="preserve">PEEK </v>
      </c>
      <c r="H50" s="29" t="str">
        <f t="shared" ca="1" si="6"/>
        <v>F1LN</v>
      </c>
      <c r="I50" s="51">
        <v>87</v>
      </c>
      <c r="J50" t="s">
        <v>32</v>
      </c>
      <c r="L50" s="27">
        <v>48</v>
      </c>
      <c r="M50" s="29" t="s">
        <v>190</v>
      </c>
      <c r="N50" s="29" t="s">
        <v>51</v>
      </c>
      <c r="O50" s="29">
        <v>2.2999999999999998</v>
      </c>
      <c r="P50" s="29" t="s">
        <v>181</v>
      </c>
      <c r="Q50" s="29" t="s">
        <v>153</v>
      </c>
      <c r="R50" s="42" t="s">
        <v>182</v>
      </c>
      <c r="S50" s="29" t="s">
        <v>173</v>
      </c>
      <c r="T50" s="29" t="s">
        <v>174</v>
      </c>
      <c r="U50" s="30">
        <v>70</v>
      </c>
      <c r="V50" t="str">
        <f t="shared" si="0"/>
        <v>206.8 @ -100°C, 145.8 @ 200°C</v>
      </c>
    </row>
    <row r="51" spans="1:22" ht="22.9" customHeight="1">
      <c r="A51" s="54">
        <v>48</v>
      </c>
      <c r="B51" s="28" t="s">
        <v>191</v>
      </c>
      <c r="C51" s="29" t="str">
        <f t="shared" ca="1" si="1"/>
        <v>1/2" - 24"</v>
      </c>
      <c r="D51" s="29" t="str">
        <f t="shared" ca="1" si="2"/>
        <v>Ball Valve, Reduced Bore</v>
      </c>
      <c r="E51" s="37" t="str">
        <f t="shared" ca="1" si="3"/>
        <v>Flanged ASME B16.5 RTJ / Compact Flange / Hub Connector (As per PMS)</v>
      </c>
      <c r="F51" s="29" t="str">
        <f t="shared" ca="1" si="4"/>
        <v>Forged - ASTM A182-F316L</v>
      </c>
      <c r="G51" s="29" t="str">
        <f t="shared" ca="1" si="5"/>
        <v xml:space="preserve">PEEK </v>
      </c>
      <c r="H51" s="29" t="str">
        <f t="shared" ca="1" si="6"/>
        <v>F1LN</v>
      </c>
      <c r="I51" s="51">
        <v>88</v>
      </c>
      <c r="J51" t="s">
        <v>32</v>
      </c>
      <c r="L51" s="27">
        <v>49</v>
      </c>
      <c r="M51" s="29" t="s">
        <v>192</v>
      </c>
      <c r="N51" s="29" t="s">
        <v>56</v>
      </c>
      <c r="O51" s="29">
        <v>2.2999999999999998</v>
      </c>
      <c r="P51" s="29" t="s">
        <v>181</v>
      </c>
      <c r="Q51" s="29" t="s">
        <v>153</v>
      </c>
      <c r="R51" s="42" t="s">
        <v>182</v>
      </c>
      <c r="S51" s="29" t="s">
        <v>177</v>
      </c>
      <c r="T51" s="29" t="s">
        <v>178</v>
      </c>
      <c r="U51" s="30">
        <v>71</v>
      </c>
      <c r="V51" t="str">
        <f t="shared" si="0"/>
        <v>344.7 @ -100°C, 243 @ 200°C</v>
      </c>
    </row>
    <row r="52" spans="1:22" ht="22.9" customHeight="1">
      <c r="A52" s="54">
        <v>49</v>
      </c>
      <c r="B52" s="28" t="s">
        <v>193</v>
      </c>
      <c r="C52" s="29" t="str">
        <f t="shared" ca="1" si="1"/>
        <v>1/2" - 24"</v>
      </c>
      <c r="D52" s="29" t="str">
        <f t="shared" ca="1" si="2"/>
        <v>Ball Valve, Full Bore</v>
      </c>
      <c r="E52" s="37" t="str">
        <f t="shared" ca="1" si="3"/>
        <v>Flanged ASME B16.5 RTJ / Compact Flange / Hub Connector (As per PMS)</v>
      </c>
      <c r="F52" s="29" t="str">
        <f t="shared" ca="1" si="4"/>
        <v>Forged - ASTM A182-F316L</v>
      </c>
      <c r="G52" s="29" t="str">
        <f t="shared" ca="1" si="5"/>
        <v xml:space="preserve">PEEK </v>
      </c>
      <c r="H52" s="29" t="str">
        <f t="shared" ca="1" si="6"/>
        <v>G1LN</v>
      </c>
      <c r="I52" s="51">
        <v>89</v>
      </c>
      <c r="J52" t="s">
        <v>32</v>
      </c>
      <c r="L52" s="27">
        <v>50</v>
      </c>
      <c r="M52" s="29" t="s">
        <v>194</v>
      </c>
      <c r="N52" s="29" t="s">
        <v>25</v>
      </c>
      <c r="O52" s="29">
        <v>2.8</v>
      </c>
      <c r="P52" s="29" t="s">
        <v>195</v>
      </c>
      <c r="Q52" s="29" t="s">
        <v>153</v>
      </c>
      <c r="R52" s="37" t="s">
        <v>84</v>
      </c>
      <c r="S52" s="29" t="s">
        <v>196</v>
      </c>
      <c r="T52" s="29" t="s">
        <v>30</v>
      </c>
      <c r="U52" s="30">
        <v>72</v>
      </c>
      <c r="V52" t="str">
        <f t="shared" si="0"/>
        <v>20 @ -46°C, 13.8 @ 200°C</v>
      </c>
    </row>
    <row r="53" spans="1:22" ht="22.9" customHeight="1">
      <c r="A53" s="54">
        <v>50</v>
      </c>
      <c r="B53" s="28" t="s">
        <v>197</v>
      </c>
      <c r="C53" s="29" t="str">
        <f t="shared" ca="1" si="1"/>
        <v>1/2" - 24"</v>
      </c>
      <c r="D53" s="29" t="str">
        <f t="shared" ca="1" si="2"/>
        <v>Ball Valve, Reduced Bore</v>
      </c>
      <c r="E53" s="37" t="str">
        <f t="shared" ca="1" si="3"/>
        <v>Flanged ASME B16.5 RTJ / Compact Flange / Hub Connector (As per PMS)</v>
      </c>
      <c r="F53" s="29" t="str">
        <f t="shared" ca="1" si="4"/>
        <v>Forged - ASTM A182-F316L</v>
      </c>
      <c r="G53" s="29" t="str">
        <f t="shared" ca="1" si="5"/>
        <v xml:space="preserve">PEEK </v>
      </c>
      <c r="H53" s="29" t="str">
        <f t="shared" ca="1" si="6"/>
        <v>G1LN</v>
      </c>
      <c r="I53" s="51">
        <v>90</v>
      </c>
      <c r="J53" t="s">
        <v>32</v>
      </c>
      <c r="L53" s="27">
        <v>51</v>
      </c>
      <c r="M53" s="29" t="s">
        <v>198</v>
      </c>
      <c r="N53" s="29" t="s">
        <v>34</v>
      </c>
      <c r="O53" s="29">
        <v>2.8</v>
      </c>
      <c r="P53" s="29" t="s">
        <v>195</v>
      </c>
      <c r="Q53" s="29" t="s">
        <v>153</v>
      </c>
      <c r="R53" s="37" t="s">
        <v>84</v>
      </c>
      <c r="S53" s="29" t="s">
        <v>199</v>
      </c>
      <c r="T53" s="29" t="s">
        <v>200</v>
      </c>
      <c r="U53" s="30">
        <v>73</v>
      </c>
      <c r="V53" t="str">
        <f t="shared" si="0"/>
        <v>51.7 @ -46°C, 42.7 @ 200°C</v>
      </c>
    </row>
    <row r="54" spans="1:22" ht="22.9" customHeight="1">
      <c r="A54" s="54">
        <v>51</v>
      </c>
      <c r="B54" s="28" t="s">
        <v>201</v>
      </c>
      <c r="C54" s="29" t="str">
        <f t="shared" ca="1" si="1"/>
        <v>1/2" - 24"</v>
      </c>
      <c r="D54" s="29" t="str">
        <f t="shared" ca="1" si="2"/>
        <v>Ball Valve, Full Bore</v>
      </c>
      <c r="E54" s="37" t="str">
        <f t="shared" ca="1" si="3"/>
        <v>Flanged ASME B16.5 RTJ / Compact Flange / Hub Connector (As per PMS)</v>
      </c>
      <c r="F54" s="29" t="str">
        <f t="shared" ca="1" si="4"/>
        <v>Forged - ASTM A182-F316L, TCC Coated 150μ to 250μ thick with minimum surface hardness 1050 Vickers</v>
      </c>
      <c r="G54" s="29" t="str">
        <f t="shared" ca="1" si="5"/>
        <v>Metal seated, hard faced, Renewable</v>
      </c>
      <c r="H54" s="29" t="str">
        <f t="shared" ca="1" si="6"/>
        <v>G1LN</v>
      </c>
      <c r="I54" s="51">
        <v>91</v>
      </c>
      <c r="J54" t="s">
        <v>32</v>
      </c>
      <c r="L54" s="27">
        <v>52</v>
      </c>
      <c r="M54" s="29" t="s">
        <v>202</v>
      </c>
      <c r="N54" s="29" t="s">
        <v>40</v>
      </c>
      <c r="O54" s="29">
        <v>2.8</v>
      </c>
      <c r="P54" s="29" t="s">
        <v>195</v>
      </c>
      <c r="Q54" s="29" t="s">
        <v>153</v>
      </c>
      <c r="R54" s="37" t="s">
        <v>84</v>
      </c>
      <c r="S54" s="29" t="s">
        <v>203</v>
      </c>
      <c r="T54" s="29" t="s">
        <v>204</v>
      </c>
      <c r="U54" s="30">
        <v>74</v>
      </c>
      <c r="V54" t="str">
        <f t="shared" si="0"/>
        <v>103.4 @ -46°C, 85.3 @ 200°C</v>
      </c>
    </row>
    <row r="55" spans="1:22" ht="22.9" customHeight="1">
      <c r="A55" s="54">
        <v>52</v>
      </c>
      <c r="B55" s="28" t="s">
        <v>205</v>
      </c>
      <c r="C55" s="29" t="str">
        <f t="shared" ca="1" si="1"/>
        <v>1/2" - 24"</v>
      </c>
      <c r="D55" s="29" t="str">
        <f t="shared" ca="1" si="2"/>
        <v>Ball Valve, Reduced Bore</v>
      </c>
      <c r="E55" s="37" t="str">
        <f t="shared" ca="1" si="3"/>
        <v>Flanged ASME B16.5 RTJ / Compact Flange / Hub Connector (As per PMS)</v>
      </c>
      <c r="F55" s="29" t="str">
        <f t="shared" ca="1" si="4"/>
        <v>Forged - ASTM A182-F316L, TCC Coated 150μ to 250μ thick with minimum surface hardness 1050 Vickers</v>
      </c>
      <c r="G55" s="29" t="str">
        <f t="shared" ca="1" si="5"/>
        <v>Metal seated, hard faced, Renewable</v>
      </c>
      <c r="H55" s="29" t="str">
        <f t="shared" ca="1" si="6"/>
        <v>G1LN</v>
      </c>
      <c r="I55" s="51">
        <v>92</v>
      </c>
      <c r="J55" t="s">
        <v>32</v>
      </c>
      <c r="L55" s="27">
        <v>53</v>
      </c>
      <c r="M55" s="29" t="s">
        <v>206</v>
      </c>
      <c r="N55" s="29" t="s">
        <v>45</v>
      </c>
      <c r="O55" s="29">
        <v>2.8</v>
      </c>
      <c r="P55" s="29" t="s">
        <v>195</v>
      </c>
      <c r="Q55" s="29" t="s">
        <v>153</v>
      </c>
      <c r="R55" s="37" t="s">
        <v>84</v>
      </c>
      <c r="S55" s="29" t="s">
        <v>207</v>
      </c>
      <c r="T55" s="29" t="s">
        <v>208</v>
      </c>
      <c r="U55" s="30">
        <v>75</v>
      </c>
      <c r="V55" t="str">
        <f t="shared" si="0"/>
        <v>155.1 @ -46°C, 128 @ 200°C</v>
      </c>
    </row>
    <row r="56" spans="1:22" ht="22.9" customHeight="1">
      <c r="A56" s="54">
        <v>53</v>
      </c>
      <c r="B56" s="28" t="s">
        <v>209</v>
      </c>
      <c r="C56" s="29" t="str">
        <f t="shared" ca="1" si="1"/>
        <v>1/2" - 24"</v>
      </c>
      <c r="D56" s="29" t="str">
        <f t="shared" ca="1" si="2"/>
        <v>Ball Valve, Full Bore</v>
      </c>
      <c r="E56" s="37" t="str">
        <f t="shared" ca="1" si="3"/>
        <v>Flanged ASME B16.5 RF</v>
      </c>
      <c r="F56" s="29" t="str">
        <f t="shared" ca="1" si="4"/>
        <v>Forged - ASTM A182-F316L</v>
      </c>
      <c r="G56" s="29" t="str">
        <f t="shared" ca="1" si="5"/>
        <v xml:space="preserve">Reinforced PTFE </v>
      </c>
      <c r="H56" s="29" t="str">
        <f t="shared" ca="1" si="6"/>
        <v>A2LN</v>
      </c>
      <c r="I56" s="51">
        <v>93</v>
      </c>
      <c r="J56" t="s">
        <v>32</v>
      </c>
      <c r="L56" s="27">
        <v>54</v>
      </c>
      <c r="M56" s="29" t="s">
        <v>210</v>
      </c>
      <c r="N56" s="29" t="s">
        <v>51</v>
      </c>
      <c r="O56" s="29">
        <v>2.8</v>
      </c>
      <c r="P56" s="29" t="s">
        <v>195</v>
      </c>
      <c r="Q56" s="29" t="s">
        <v>153</v>
      </c>
      <c r="R56" s="37" t="s">
        <v>84</v>
      </c>
      <c r="S56" s="29" t="s">
        <v>211</v>
      </c>
      <c r="T56" s="29" t="s">
        <v>212</v>
      </c>
      <c r="U56" s="30">
        <v>76</v>
      </c>
      <c r="V56" t="str">
        <f t="shared" si="0"/>
        <v>258.6 @ -46°C, 213.3 @ 200°C</v>
      </c>
    </row>
    <row r="57" spans="1:22" ht="22.9" customHeight="1">
      <c r="A57" s="54">
        <v>54</v>
      </c>
      <c r="B57" s="28" t="s">
        <v>213</v>
      </c>
      <c r="C57" s="29" t="str">
        <f t="shared" ca="1" si="1"/>
        <v>1/2" - 24"</v>
      </c>
      <c r="D57" s="29" t="str">
        <f t="shared" ca="1" si="2"/>
        <v>Ball Valve, Reduced Bore</v>
      </c>
      <c r="E57" s="37" t="str">
        <f t="shared" ca="1" si="3"/>
        <v>Flanged ASME B16.5 RF</v>
      </c>
      <c r="F57" s="29" t="str">
        <f t="shared" ca="1" si="4"/>
        <v>Forged - ASTM A182-F316L</v>
      </c>
      <c r="G57" s="29" t="str">
        <f t="shared" ca="1" si="5"/>
        <v xml:space="preserve">Reinforced PTFE </v>
      </c>
      <c r="H57" s="29" t="str">
        <f t="shared" ca="1" si="6"/>
        <v>A2LN</v>
      </c>
      <c r="I57" s="51">
        <v>94</v>
      </c>
      <c r="J57" t="s">
        <v>32</v>
      </c>
      <c r="L57" s="27">
        <v>55</v>
      </c>
      <c r="M57" s="29" t="s">
        <v>214</v>
      </c>
      <c r="N57" s="29" t="s">
        <v>56</v>
      </c>
      <c r="O57" s="29">
        <v>2.8</v>
      </c>
      <c r="P57" s="29" t="s">
        <v>195</v>
      </c>
      <c r="Q57" s="29" t="s">
        <v>153</v>
      </c>
      <c r="R57" s="37" t="s">
        <v>84</v>
      </c>
      <c r="S57" s="29" t="s">
        <v>215</v>
      </c>
      <c r="T57" s="29" t="s">
        <v>216</v>
      </c>
      <c r="U57" s="30">
        <v>77</v>
      </c>
      <c r="V57" t="str">
        <f t="shared" si="0"/>
        <v>430.9 @ -46°C, 355.4 @ 200°C</v>
      </c>
    </row>
    <row r="58" spans="1:22" ht="22.9" customHeight="1">
      <c r="A58" s="54">
        <v>55</v>
      </c>
      <c r="B58" s="28" t="s">
        <v>217</v>
      </c>
      <c r="C58" s="29" t="str">
        <f t="shared" ca="1" si="1"/>
        <v>1/2" - 24"</v>
      </c>
      <c r="D58" s="29" t="str">
        <f t="shared" ca="1" si="2"/>
        <v>Ball Valve, Full Bore</v>
      </c>
      <c r="E58" s="37" t="str">
        <f t="shared" ca="1" si="3"/>
        <v>Flanged ASME B16.5 RF</v>
      </c>
      <c r="F58" s="29" t="str">
        <f t="shared" ca="1" si="4"/>
        <v>Forged - ASTM A182-F316L</v>
      </c>
      <c r="G58" s="29" t="str">
        <f t="shared" ca="1" si="5"/>
        <v xml:space="preserve">Reinforced PTFE </v>
      </c>
      <c r="H58" s="29" t="str">
        <f t="shared" ca="1" si="6"/>
        <v>B2LN</v>
      </c>
      <c r="I58" s="51">
        <v>95</v>
      </c>
      <c r="J58" t="s">
        <v>32</v>
      </c>
      <c r="L58" s="27">
        <v>56</v>
      </c>
      <c r="M58" s="29" t="s">
        <v>218</v>
      </c>
      <c r="N58" s="29" t="s">
        <v>25</v>
      </c>
      <c r="O58" s="29">
        <v>2.8</v>
      </c>
      <c r="P58" s="29" t="s">
        <v>219</v>
      </c>
      <c r="Q58" s="29" t="s">
        <v>153</v>
      </c>
      <c r="R58" s="37" t="s">
        <v>220</v>
      </c>
      <c r="S58" s="29" t="s">
        <v>196</v>
      </c>
      <c r="T58" s="29" t="s">
        <v>30</v>
      </c>
      <c r="U58" s="30">
        <v>78</v>
      </c>
      <c r="V58" t="str">
        <f t="shared" si="0"/>
        <v>20 @ -46°C, 13.8 @ 200°C</v>
      </c>
    </row>
    <row r="59" spans="1:22" ht="22.9" customHeight="1">
      <c r="A59" s="54">
        <v>56</v>
      </c>
      <c r="B59" s="28" t="s">
        <v>221</v>
      </c>
      <c r="C59" s="29" t="str">
        <f t="shared" ca="1" si="1"/>
        <v>1/2" - 24"</v>
      </c>
      <c r="D59" s="29" t="str">
        <f t="shared" ca="1" si="2"/>
        <v>Ball Valve, Reduced Bore</v>
      </c>
      <c r="E59" s="37" t="str">
        <f t="shared" ca="1" si="3"/>
        <v>Flanged ASME B16.5 RF</v>
      </c>
      <c r="F59" s="29" t="str">
        <f t="shared" ca="1" si="4"/>
        <v>Forged - ASTM A182-F316L</v>
      </c>
      <c r="G59" s="29" t="str">
        <f t="shared" ca="1" si="5"/>
        <v xml:space="preserve">Reinforced PTFE </v>
      </c>
      <c r="H59" s="29" t="str">
        <f t="shared" ca="1" si="6"/>
        <v>B2LN</v>
      </c>
      <c r="I59" s="51">
        <v>96</v>
      </c>
      <c r="J59" t="s">
        <v>32</v>
      </c>
      <c r="L59" s="27">
        <v>62</v>
      </c>
      <c r="M59" s="29" t="s">
        <v>222</v>
      </c>
      <c r="N59" s="29" t="s">
        <v>56</v>
      </c>
      <c r="O59" s="29">
        <v>2.8</v>
      </c>
      <c r="P59" s="29" t="s">
        <v>219</v>
      </c>
      <c r="Q59" s="29" t="s">
        <v>153</v>
      </c>
      <c r="R59" s="37" t="s">
        <v>223</v>
      </c>
      <c r="S59" s="29" t="s">
        <v>215</v>
      </c>
      <c r="T59" s="29" t="s">
        <v>216</v>
      </c>
      <c r="U59" s="30">
        <v>79</v>
      </c>
      <c r="V59" t="str">
        <f t="shared" si="0"/>
        <v>430.9 @ -46°C, 355.4 @ 200°C</v>
      </c>
    </row>
    <row r="60" spans="1:22" ht="22.9" customHeight="1">
      <c r="A60" s="54">
        <v>57</v>
      </c>
      <c r="B60" s="28" t="s">
        <v>224</v>
      </c>
      <c r="C60" s="29" t="str">
        <f t="shared" ca="1" si="1"/>
        <v>1/2" - 24"</v>
      </c>
      <c r="D60" s="29" t="str">
        <f t="shared" ca="1" si="2"/>
        <v>Ball Valve, Full Bore</v>
      </c>
      <c r="E60" s="37" t="str">
        <f t="shared" ca="1" si="3"/>
        <v>Flanged ASME B16.5 RF</v>
      </c>
      <c r="F60" s="29" t="str">
        <f t="shared" ca="1" si="4"/>
        <v>Forged - ASTM A182-F316L</v>
      </c>
      <c r="G60" s="29" t="str">
        <f t="shared" ca="1" si="5"/>
        <v>PEEK</v>
      </c>
      <c r="H60" s="29" t="str">
        <f t="shared" ca="1" si="6"/>
        <v>D2LN</v>
      </c>
      <c r="I60" s="51">
        <v>97</v>
      </c>
      <c r="J60" t="s">
        <v>32</v>
      </c>
      <c r="L60" s="27">
        <v>57</v>
      </c>
      <c r="M60" s="29" t="s">
        <v>225</v>
      </c>
      <c r="N60" s="29" t="s">
        <v>25</v>
      </c>
      <c r="O60" s="29">
        <v>2.8</v>
      </c>
      <c r="P60" s="29" t="s">
        <v>226</v>
      </c>
      <c r="Q60" s="29" t="s">
        <v>153</v>
      </c>
      <c r="R60" s="37" t="s">
        <v>84</v>
      </c>
      <c r="S60" s="29" t="s">
        <v>196</v>
      </c>
      <c r="T60" s="29" t="s">
        <v>30</v>
      </c>
      <c r="U60" s="30">
        <v>80</v>
      </c>
      <c r="V60" t="str">
        <f t="shared" si="0"/>
        <v>20 @ -46°C, 13.8 @ 200°C</v>
      </c>
    </row>
    <row r="61" spans="1:22" ht="22.9" customHeight="1">
      <c r="A61" s="54">
        <v>58</v>
      </c>
      <c r="B61" s="28" t="s">
        <v>227</v>
      </c>
      <c r="C61" s="29" t="str">
        <f t="shared" ca="1" si="1"/>
        <v>1/2" - 24"</v>
      </c>
      <c r="D61" s="29" t="str">
        <f t="shared" ca="1" si="2"/>
        <v>Ball Valve, Reduced Bore</v>
      </c>
      <c r="E61" s="37" t="str">
        <f t="shared" ca="1" si="3"/>
        <v>Flanged ASME B16.5 RF</v>
      </c>
      <c r="F61" s="29" t="str">
        <f t="shared" ca="1" si="4"/>
        <v>Forged - ASTM A182-F316L</v>
      </c>
      <c r="G61" s="29" t="str">
        <f t="shared" ca="1" si="5"/>
        <v>PEEK</v>
      </c>
      <c r="H61" s="29" t="str">
        <f t="shared" ca="1" si="6"/>
        <v>D2LN</v>
      </c>
      <c r="I61" s="51">
        <v>98</v>
      </c>
      <c r="J61" t="s">
        <v>32</v>
      </c>
      <c r="L61" s="27">
        <v>58</v>
      </c>
      <c r="M61" s="29" t="s">
        <v>228</v>
      </c>
      <c r="N61" s="29" t="s">
        <v>34</v>
      </c>
      <c r="O61" s="29">
        <v>2.8</v>
      </c>
      <c r="P61" s="29" t="s">
        <v>226</v>
      </c>
      <c r="Q61" s="29" t="s">
        <v>153</v>
      </c>
      <c r="R61" s="37" t="s">
        <v>84</v>
      </c>
      <c r="S61" s="29" t="s">
        <v>199</v>
      </c>
      <c r="T61" s="29" t="s">
        <v>200</v>
      </c>
      <c r="U61" s="30">
        <v>81</v>
      </c>
      <c r="V61" t="str">
        <f t="shared" si="0"/>
        <v>51.7 @ -46°C, 42.7 @ 200°C</v>
      </c>
    </row>
    <row r="62" spans="1:22" ht="22.9" customHeight="1">
      <c r="A62" s="54">
        <v>59</v>
      </c>
      <c r="B62" s="28" t="s">
        <v>229</v>
      </c>
      <c r="C62" s="29" t="str">
        <f t="shared" ca="1" si="1"/>
        <v>1/2" - 24"</v>
      </c>
      <c r="D62" s="29" t="str">
        <f t="shared" ca="1" si="2"/>
        <v>Ball Valve, Full Bore</v>
      </c>
      <c r="E62" s="37" t="str">
        <f t="shared" ca="1" si="3"/>
        <v>Flanged ASME B16.5 RTJ</v>
      </c>
      <c r="F62" s="29" t="str">
        <f t="shared" ca="1" si="4"/>
        <v>Forged - ASTM A182-F316L</v>
      </c>
      <c r="G62" s="29" t="str">
        <f t="shared" ca="1" si="5"/>
        <v>PEEK</v>
      </c>
      <c r="H62" s="29" t="str">
        <f t="shared" ca="1" si="6"/>
        <v>E2LN</v>
      </c>
      <c r="I62" s="51">
        <v>99</v>
      </c>
      <c r="J62" t="s">
        <v>32</v>
      </c>
      <c r="L62" s="27">
        <v>59</v>
      </c>
      <c r="M62" s="29" t="s">
        <v>230</v>
      </c>
      <c r="N62" s="29" t="s">
        <v>40</v>
      </c>
      <c r="O62" s="29">
        <v>2.8</v>
      </c>
      <c r="P62" s="29" t="s">
        <v>226</v>
      </c>
      <c r="Q62" s="29" t="s">
        <v>153</v>
      </c>
      <c r="R62" s="37" t="s">
        <v>84</v>
      </c>
      <c r="S62" s="29" t="s">
        <v>203</v>
      </c>
      <c r="T62" s="29" t="s">
        <v>204</v>
      </c>
      <c r="U62" s="30">
        <v>82</v>
      </c>
      <c r="V62" t="str">
        <f t="shared" si="0"/>
        <v>103.4 @ -46°C, 85.3 @ 200°C</v>
      </c>
    </row>
    <row r="63" spans="1:22" ht="22.9" customHeight="1">
      <c r="A63" s="54">
        <v>60</v>
      </c>
      <c r="B63" s="28" t="s">
        <v>231</v>
      </c>
      <c r="C63" s="29" t="str">
        <f t="shared" ca="1" si="1"/>
        <v>1/2" - 24"</v>
      </c>
      <c r="D63" s="29" t="str">
        <f t="shared" ca="1" si="2"/>
        <v>Ball Valve, Reduced Bore</v>
      </c>
      <c r="E63" s="37" t="str">
        <f t="shared" ca="1" si="3"/>
        <v>Flanged ASME B16.5 RTJ</v>
      </c>
      <c r="F63" s="29" t="str">
        <f t="shared" ca="1" si="4"/>
        <v>Forged - ASTM A182-F316L</v>
      </c>
      <c r="G63" s="29" t="str">
        <f t="shared" ca="1" si="5"/>
        <v>PEEK</v>
      </c>
      <c r="H63" s="29" t="str">
        <f t="shared" ca="1" si="6"/>
        <v>E2LN</v>
      </c>
      <c r="I63" s="51">
        <v>100</v>
      </c>
      <c r="J63" t="s">
        <v>32</v>
      </c>
      <c r="L63" s="27">
        <v>60</v>
      </c>
      <c r="M63" s="29" t="s">
        <v>232</v>
      </c>
      <c r="N63" s="29" t="s">
        <v>45</v>
      </c>
      <c r="O63" s="29">
        <v>2.8</v>
      </c>
      <c r="P63" s="43" t="s">
        <v>226</v>
      </c>
      <c r="Q63" s="29" t="s">
        <v>153</v>
      </c>
      <c r="R63" s="37" t="s">
        <v>84</v>
      </c>
      <c r="S63" s="29" t="s">
        <v>207</v>
      </c>
      <c r="T63" s="29" t="s">
        <v>208</v>
      </c>
      <c r="U63" s="30">
        <v>83</v>
      </c>
      <c r="V63" t="str">
        <f t="shared" si="0"/>
        <v>155.1 @ -46°C, 128 @ 200°C</v>
      </c>
    </row>
    <row r="64" spans="1:22" ht="22.9" customHeight="1">
      <c r="A64" s="54">
        <v>61</v>
      </c>
      <c r="B64" s="28" t="s">
        <v>233</v>
      </c>
      <c r="C64" s="29" t="str">
        <f t="shared" ca="1" si="1"/>
        <v>1/2" - 24"</v>
      </c>
      <c r="D64" s="29" t="str">
        <f t="shared" ca="1" si="2"/>
        <v>Ball Valve, Full Bore</v>
      </c>
      <c r="E64" s="37" t="str">
        <f t="shared" ca="1" si="3"/>
        <v>Flanged ASME B16.5 RTJ / Compact Flange / Hub Connector (As per PMS)</v>
      </c>
      <c r="F64" s="29" t="str">
        <f t="shared" ca="1" si="4"/>
        <v>Forged - ASTM A182-F316L</v>
      </c>
      <c r="G64" s="29" t="str">
        <f t="shared" ca="1" si="5"/>
        <v>PEEK</v>
      </c>
      <c r="H64" s="29" t="str">
        <f t="shared" ca="1" si="6"/>
        <v>F2LN</v>
      </c>
      <c r="I64" s="51">
        <v>101</v>
      </c>
      <c r="J64" t="s">
        <v>32</v>
      </c>
      <c r="L64" s="27">
        <v>61</v>
      </c>
      <c r="M64" s="29" t="s">
        <v>234</v>
      </c>
      <c r="N64" s="29" t="s">
        <v>51</v>
      </c>
      <c r="O64" s="29">
        <v>2.8</v>
      </c>
      <c r="P64" s="29" t="s">
        <v>226</v>
      </c>
      <c r="Q64" s="29" t="s">
        <v>153</v>
      </c>
      <c r="R64" s="37" t="s">
        <v>84</v>
      </c>
      <c r="S64" s="29" t="s">
        <v>211</v>
      </c>
      <c r="T64" s="29" t="s">
        <v>212</v>
      </c>
      <c r="U64" s="30">
        <v>84</v>
      </c>
      <c r="V64" t="str">
        <f t="shared" si="0"/>
        <v>258.6 @ -46°C, 213.3 @ 200°C</v>
      </c>
    </row>
    <row r="65" spans="1:22" ht="22.9" customHeight="1">
      <c r="A65" s="54">
        <v>62</v>
      </c>
      <c r="B65" s="28" t="s">
        <v>235</v>
      </c>
      <c r="C65" s="29" t="str">
        <f t="shared" ca="1" si="1"/>
        <v>1/2" - 24"</v>
      </c>
      <c r="D65" s="29" t="str">
        <f t="shared" ca="1" si="2"/>
        <v>Ball Valve, Reduced Bore</v>
      </c>
      <c r="E65" s="37" t="str">
        <f t="shared" ca="1" si="3"/>
        <v>Flanged ASME B16.5 RTJ / Compact Flange / Hub Connector (As per PMS)</v>
      </c>
      <c r="F65" s="29" t="str">
        <f t="shared" ca="1" si="4"/>
        <v>Forged - ASTM A182-F316L</v>
      </c>
      <c r="G65" s="29" t="str">
        <f t="shared" ca="1" si="5"/>
        <v>PEEK</v>
      </c>
      <c r="H65" s="29" t="str">
        <f t="shared" ca="1" si="6"/>
        <v>F2LN</v>
      </c>
      <c r="I65" s="51">
        <v>102</v>
      </c>
      <c r="J65" t="s">
        <v>32</v>
      </c>
      <c r="L65" s="27">
        <v>62</v>
      </c>
      <c r="M65" s="29" t="s">
        <v>236</v>
      </c>
      <c r="N65" s="29" t="s">
        <v>56</v>
      </c>
      <c r="O65" s="29">
        <v>2.8</v>
      </c>
      <c r="P65" s="29" t="s">
        <v>226</v>
      </c>
      <c r="Q65" s="29" t="s">
        <v>153</v>
      </c>
      <c r="R65" s="37" t="s">
        <v>84</v>
      </c>
      <c r="S65" s="29" t="s">
        <v>215</v>
      </c>
      <c r="T65" s="29" t="s">
        <v>216</v>
      </c>
      <c r="U65" s="30">
        <v>85</v>
      </c>
      <c r="V65" t="str">
        <f t="shared" si="0"/>
        <v>430.9 @ -46°C, 355.4 @ 200°C</v>
      </c>
    </row>
    <row r="66" spans="1:22" ht="22.9" customHeight="1">
      <c r="A66" s="54">
        <v>63</v>
      </c>
      <c r="B66" s="28" t="s">
        <v>237</v>
      </c>
      <c r="C66" s="29" t="str">
        <f t="shared" ca="1" si="1"/>
        <v>1/2" - 24"</v>
      </c>
      <c r="D66" s="29" t="str">
        <f t="shared" ca="1" si="2"/>
        <v>Ball Valve, Full Bore</v>
      </c>
      <c r="E66" s="37" t="str">
        <f t="shared" ca="1" si="3"/>
        <v>Flanged ASME B16.5 RTJ / Compact Flange / Hub Connector (As per PMS)</v>
      </c>
      <c r="F66" s="29" t="str">
        <f t="shared" ca="1" si="4"/>
        <v>Forged - ASTM A182-F316L</v>
      </c>
      <c r="G66" s="29" t="str">
        <f t="shared" ca="1" si="5"/>
        <v>PEEK</v>
      </c>
      <c r="H66" s="29" t="str">
        <f t="shared" ca="1" si="6"/>
        <v>G2LN</v>
      </c>
      <c r="I66" s="51">
        <v>103</v>
      </c>
      <c r="J66" t="s">
        <v>32</v>
      </c>
      <c r="L66" s="27">
        <v>63</v>
      </c>
      <c r="M66" s="29" t="s">
        <v>238</v>
      </c>
      <c r="N66" s="29" t="s">
        <v>239</v>
      </c>
      <c r="O66" s="29" t="s">
        <v>240</v>
      </c>
      <c r="P66" s="29" t="s">
        <v>241</v>
      </c>
      <c r="Q66" s="29" t="s">
        <v>153</v>
      </c>
      <c r="R66" s="37" t="s">
        <v>242</v>
      </c>
      <c r="S66" s="29" t="s">
        <v>243</v>
      </c>
      <c r="T66" s="29" t="s">
        <v>244</v>
      </c>
      <c r="U66" s="30">
        <v>86</v>
      </c>
      <c r="V66" t="str">
        <f t="shared" si="0"/>
        <v>20 @ 0°C, 17.3 @ 100°C</v>
      </c>
    </row>
    <row r="67" spans="1:22" ht="22.9" customHeight="1">
      <c r="A67" s="54">
        <v>64</v>
      </c>
      <c r="B67" s="28" t="s">
        <v>245</v>
      </c>
      <c r="C67" s="29" t="str">
        <f t="shared" ca="1" si="1"/>
        <v>1/2" - 24"</v>
      </c>
      <c r="D67" s="29" t="str">
        <f t="shared" ca="1" si="2"/>
        <v>Ball Valve, Reduced Bore</v>
      </c>
      <c r="E67" s="37" t="str">
        <f t="shared" ca="1" si="3"/>
        <v>Flanged ASME B16.5 RTJ / Compact Flange / Hub Connector (As per PMS)</v>
      </c>
      <c r="F67" s="29" t="str">
        <f t="shared" ca="1" si="4"/>
        <v>Forged - ASTM A182-F316L</v>
      </c>
      <c r="G67" s="29" t="str">
        <f t="shared" ca="1" si="5"/>
        <v>PEEK</v>
      </c>
      <c r="H67" s="29" t="str">
        <f t="shared" ca="1" si="6"/>
        <v>G2LN</v>
      </c>
      <c r="I67" s="51">
        <v>104</v>
      </c>
      <c r="J67" t="s">
        <v>32</v>
      </c>
      <c r="L67" s="27">
        <v>64</v>
      </c>
      <c r="M67" s="29" t="s">
        <v>246</v>
      </c>
      <c r="N67" s="29" t="s">
        <v>25</v>
      </c>
      <c r="O67" s="29" t="s">
        <v>240</v>
      </c>
      <c r="P67" s="29" t="s">
        <v>247</v>
      </c>
      <c r="Q67" s="29" t="s">
        <v>153</v>
      </c>
      <c r="R67" s="37" t="s">
        <v>248</v>
      </c>
      <c r="S67" s="29" t="s">
        <v>243</v>
      </c>
      <c r="T67" s="29" t="s">
        <v>244</v>
      </c>
      <c r="U67" s="30">
        <v>87</v>
      </c>
      <c r="V67" t="str">
        <f t="shared" si="0"/>
        <v>20 @ 0°C, 17.3 @ 100°C</v>
      </c>
    </row>
    <row r="68" spans="1:22" ht="22.9" customHeight="1">
      <c r="A68" s="54">
        <v>65</v>
      </c>
      <c r="B68" s="28" t="s">
        <v>249</v>
      </c>
      <c r="C68" s="29" t="str">
        <f t="shared" ca="1" si="1"/>
        <v>1/2" - 24"</v>
      </c>
      <c r="D68" s="29" t="str">
        <f t="shared" ca="1" si="2"/>
        <v>Ball Valve, Full Bore</v>
      </c>
      <c r="E68" s="37" t="str">
        <f t="shared" ca="1" si="3"/>
        <v>Flanged ASME B16.5 RF</v>
      </c>
      <c r="F68" s="29" t="str">
        <f t="shared" ca="1" si="4"/>
        <v>Forged - ASTM A182-F316L</v>
      </c>
      <c r="G68" s="29" t="str">
        <f t="shared" ca="1" si="5"/>
        <v>Reinforced PTFE</v>
      </c>
      <c r="H68" s="29" t="str">
        <f t="shared" ca="1" si="6"/>
        <v>A3, A4, A5, A6, A10</v>
      </c>
      <c r="I68" s="51">
        <v>105</v>
      </c>
      <c r="J68" t="s">
        <v>32</v>
      </c>
      <c r="L68" s="27">
        <v>65</v>
      </c>
      <c r="M68" s="29" t="s">
        <v>250</v>
      </c>
      <c r="N68" s="29" t="s">
        <v>25</v>
      </c>
      <c r="O68" s="29" t="s">
        <v>240</v>
      </c>
      <c r="P68" s="29" t="s">
        <v>251</v>
      </c>
      <c r="Q68" s="29" t="s">
        <v>153</v>
      </c>
      <c r="R68" s="37" t="s">
        <v>252</v>
      </c>
      <c r="S68" s="29" t="s">
        <v>243</v>
      </c>
      <c r="T68" s="29" t="s">
        <v>253</v>
      </c>
      <c r="U68" s="30">
        <v>88</v>
      </c>
      <c r="V68" t="str">
        <f t="shared" ref="V68:V76" si="7">S68&amp;", "&amp;T68</f>
        <v>20 @ 0°C, 20 @ 90°C</v>
      </c>
    </row>
    <row r="69" spans="1:22" ht="22.9" customHeight="1">
      <c r="A69" s="54">
        <v>66</v>
      </c>
      <c r="B69" s="28" t="s">
        <v>254</v>
      </c>
      <c r="C69" s="29" t="str">
        <f t="shared" ref="C69:C128" ca="1" si="8">VLOOKUP($C$1,INDIRECT(""&amp;B69&amp;"!$A$5:$C$15"),3,FALSE)</f>
        <v>1/2" - 24"</v>
      </c>
      <c r="D69" s="29" t="str">
        <f t="shared" ref="D69:D128" ca="1" si="9">VLOOKUP($D$1,INDIRECT(""&amp;B69&amp;"!$A$5:$C$15"),3,FALSE)</f>
        <v>Ball Valve, Reduced Bore</v>
      </c>
      <c r="E69" s="37" t="str">
        <f t="shared" ref="E69:E128" ca="1" si="10">VLOOKUP($E$1,INDIRECT(""&amp;B69&amp;"!$A$5:$C$15"),3,FALSE)</f>
        <v>Flanged ASME B16.5 RF</v>
      </c>
      <c r="F69" s="29" t="str">
        <f t="shared" ref="F69:F128" ca="1" si="11">VLOOKUP($F$1,INDIRECT(""&amp;B69&amp;"!$B$5:$C$35"),2,FALSE)</f>
        <v>Forged - ASTM A182-F316L</v>
      </c>
      <c r="G69" s="29" t="str">
        <f t="shared" ref="G69:G128" ca="1" si="12">VLOOKUP($G$1,INDIRECT(""&amp;B69&amp;"!$B$5:$C$35"),2,FALSE)</f>
        <v>Reinforced PTFE</v>
      </c>
      <c r="H69" s="29" t="str">
        <f t="shared" ref="H69:H128" ca="1" si="13">VLOOKUP($H$1,INDIRECT(""&amp;B69&amp;"!$A$5:$C$15"),3,FALSE)</f>
        <v>A3, A4, A5, A6, A10</v>
      </c>
      <c r="I69" s="51">
        <v>106</v>
      </c>
      <c r="J69" t="s">
        <v>32</v>
      </c>
      <c r="L69" s="27">
        <v>65</v>
      </c>
      <c r="M69" s="29" t="s">
        <v>255</v>
      </c>
      <c r="N69" s="29" t="s">
        <v>25</v>
      </c>
      <c r="O69" s="29" t="s">
        <v>240</v>
      </c>
      <c r="P69" s="29" t="s">
        <v>251</v>
      </c>
      <c r="Q69" s="29" t="s">
        <v>153</v>
      </c>
      <c r="R69" s="37" t="s">
        <v>256</v>
      </c>
      <c r="S69" s="29" t="s">
        <v>257</v>
      </c>
      <c r="T69" s="29" t="s">
        <v>258</v>
      </c>
      <c r="U69" s="30">
        <v>89</v>
      </c>
      <c r="V69" t="str">
        <f t="shared" si="7"/>
        <v>16.32 @ 0°C, 16.32 @ 82°C</v>
      </c>
    </row>
    <row r="70" spans="1:22" ht="22.9" customHeight="1" thickBot="1">
      <c r="A70" s="54">
        <v>67</v>
      </c>
      <c r="B70" s="28" t="s">
        <v>259</v>
      </c>
      <c r="C70" s="29" t="str">
        <f t="shared" ca="1" si="8"/>
        <v>1/2" - 24"</v>
      </c>
      <c r="D70" s="29" t="str">
        <f t="shared" ca="1" si="9"/>
        <v>Ball Valve, Full Bore</v>
      </c>
      <c r="E70" s="37" t="str">
        <f t="shared" ca="1" si="10"/>
        <v>Flanged ASME B16.5 RF</v>
      </c>
      <c r="F70" s="29" t="str">
        <f t="shared" ca="1" si="11"/>
        <v>Forged - ASTM A182-F316L</v>
      </c>
      <c r="G70" s="29" t="str">
        <f t="shared" ca="1" si="12"/>
        <v>Reinforced PTFE</v>
      </c>
      <c r="H70" s="29" t="str">
        <f t="shared" ca="1" si="13"/>
        <v>B10</v>
      </c>
      <c r="I70" s="51">
        <v>107</v>
      </c>
      <c r="J70" t="s">
        <v>32</v>
      </c>
      <c r="L70" s="31">
        <v>66</v>
      </c>
      <c r="M70" s="33" t="s">
        <v>260</v>
      </c>
      <c r="N70" s="33" t="s">
        <v>25</v>
      </c>
      <c r="O70" s="33" t="s">
        <v>240</v>
      </c>
      <c r="P70" s="33" t="s">
        <v>261</v>
      </c>
      <c r="Q70" s="33" t="s">
        <v>153</v>
      </c>
      <c r="R70" s="38" t="s">
        <v>262</v>
      </c>
      <c r="S70" s="33" t="s">
        <v>243</v>
      </c>
      <c r="T70" s="33" t="s">
        <v>253</v>
      </c>
      <c r="U70" s="34">
        <v>90</v>
      </c>
      <c r="V70" t="str">
        <f t="shared" si="7"/>
        <v>20 @ 0°C, 20 @ 90°C</v>
      </c>
    </row>
    <row r="71" spans="1:22" ht="22.9" customHeight="1">
      <c r="A71" s="54">
        <v>68</v>
      </c>
      <c r="B71" s="28" t="s">
        <v>263</v>
      </c>
      <c r="C71" s="29" t="str">
        <f t="shared" ca="1" si="8"/>
        <v>1/2" - 24"</v>
      </c>
      <c r="D71" s="29" t="str">
        <f t="shared" ca="1" si="9"/>
        <v>Ball Valve, Reduced Bore</v>
      </c>
      <c r="E71" s="37" t="str">
        <f t="shared" ca="1" si="10"/>
        <v>Flanged ASME B16.5 RF</v>
      </c>
      <c r="F71" s="29" t="str">
        <f t="shared" ca="1" si="11"/>
        <v>Forged - ASTM A182-F316L</v>
      </c>
      <c r="G71" s="29" t="str">
        <f t="shared" ca="1" si="12"/>
        <v>Reinforced PTFE</v>
      </c>
      <c r="H71" s="29" t="str">
        <f t="shared" ca="1" si="13"/>
        <v>B10</v>
      </c>
      <c r="I71" s="51">
        <v>108</v>
      </c>
      <c r="J71" t="s">
        <v>32</v>
      </c>
      <c r="L71" s="27">
        <v>67</v>
      </c>
      <c r="M71" s="29" t="s">
        <v>264</v>
      </c>
      <c r="N71" s="29" t="s">
        <v>240</v>
      </c>
      <c r="O71" s="29" t="s">
        <v>240</v>
      </c>
      <c r="P71" s="29" t="s">
        <v>265</v>
      </c>
      <c r="Q71" s="29" t="s">
        <v>153</v>
      </c>
      <c r="R71" s="37" t="s">
        <v>266</v>
      </c>
      <c r="S71" s="29" t="s">
        <v>267</v>
      </c>
      <c r="T71" s="29" t="s">
        <v>268</v>
      </c>
      <c r="V71" t="str">
        <f t="shared" si="7"/>
        <v>125 @ 0°C, 116 @ 60°C</v>
      </c>
    </row>
    <row r="72" spans="1:22" ht="22.9" customHeight="1">
      <c r="A72" s="54">
        <v>69</v>
      </c>
      <c r="B72" s="28" t="s">
        <v>269</v>
      </c>
      <c r="C72" s="29" t="str">
        <f t="shared" ca="1" si="8"/>
        <v>1/2" - 24"</v>
      </c>
      <c r="D72" s="29" t="str">
        <f t="shared" ca="1" si="9"/>
        <v>Ball Valve, Full Bore</v>
      </c>
      <c r="E72" s="37" t="str">
        <f t="shared" ca="1" si="10"/>
        <v>Flanged ASME B16.5 RF</v>
      </c>
      <c r="F72" s="29" t="str">
        <f t="shared" ca="1" si="11"/>
        <v>Forged - ASTM A182-F316L</v>
      </c>
      <c r="G72" s="29" t="str">
        <f t="shared" ca="1" si="12"/>
        <v>PEEK</v>
      </c>
      <c r="H72" s="29" t="str">
        <f t="shared" ca="1" si="13"/>
        <v>D10</v>
      </c>
      <c r="I72" s="51">
        <v>109</v>
      </c>
      <c r="J72" t="s">
        <v>32</v>
      </c>
      <c r="L72" s="27">
        <v>68</v>
      </c>
      <c r="M72" s="29" t="s">
        <v>270</v>
      </c>
      <c r="N72" s="29" t="s">
        <v>240</v>
      </c>
      <c r="O72" s="29" t="s">
        <v>240</v>
      </c>
      <c r="P72" s="29" t="s">
        <v>265</v>
      </c>
      <c r="Q72" s="29" t="s">
        <v>153</v>
      </c>
      <c r="R72" s="37" t="s">
        <v>266</v>
      </c>
      <c r="S72" s="29" t="s">
        <v>271</v>
      </c>
      <c r="T72" s="29" t="s">
        <v>272</v>
      </c>
      <c r="V72" t="str">
        <f t="shared" si="7"/>
        <v>206 @ 0°C, 200 @ 60°C</v>
      </c>
    </row>
    <row r="73" spans="1:22" ht="22.9" customHeight="1">
      <c r="A73" s="54">
        <v>70</v>
      </c>
      <c r="B73" s="28" t="s">
        <v>273</v>
      </c>
      <c r="C73" s="29" t="str">
        <f t="shared" ca="1" si="8"/>
        <v>1/2" - 24"</v>
      </c>
      <c r="D73" s="29" t="str">
        <f t="shared" ca="1" si="9"/>
        <v>Ball Valve, Reduced Bore</v>
      </c>
      <c r="E73" s="37" t="str">
        <f t="shared" ca="1" si="10"/>
        <v>Flanged ASME B16.5 RF</v>
      </c>
      <c r="F73" s="29" t="str">
        <f t="shared" ca="1" si="11"/>
        <v>Forged - ASTM A182-F316L</v>
      </c>
      <c r="G73" s="29" t="str">
        <f t="shared" ca="1" si="12"/>
        <v>PEEK</v>
      </c>
      <c r="H73" s="29" t="str">
        <f t="shared" ca="1" si="13"/>
        <v>D10</v>
      </c>
      <c r="I73" s="51">
        <v>110</v>
      </c>
      <c r="J73" t="s">
        <v>32</v>
      </c>
      <c r="L73" s="27">
        <v>69</v>
      </c>
      <c r="M73" s="29" t="s">
        <v>274</v>
      </c>
      <c r="N73" s="29" t="s">
        <v>240</v>
      </c>
      <c r="O73" s="29" t="s">
        <v>240</v>
      </c>
      <c r="P73" s="29" t="s">
        <v>265</v>
      </c>
      <c r="Q73" s="29" t="s">
        <v>153</v>
      </c>
      <c r="R73" s="37" t="s">
        <v>266</v>
      </c>
      <c r="S73" s="29" t="s">
        <v>275</v>
      </c>
      <c r="T73" s="29" t="s">
        <v>276</v>
      </c>
      <c r="V73" t="str">
        <f t="shared" si="7"/>
        <v>325 @ 0°C, 325 @ 60°C</v>
      </c>
    </row>
    <row r="74" spans="1:22" ht="22.9" customHeight="1">
      <c r="A74" s="54">
        <v>71</v>
      </c>
      <c r="B74" s="28" t="s">
        <v>277</v>
      </c>
      <c r="C74" s="29" t="str">
        <f t="shared" ca="1" si="8"/>
        <v>1/2" - 24"</v>
      </c>
      <c r="D74" s="29" t="str">
        <f t="shared" ca="1" si="9"/>
        <v>Ball Valve, Full Bore</v>
      </c>
      <c r="E74" s="37" t="str">
        <f t="shared" ca="1" si="10"/>
        <v>Flanged ASME B16.5 RTJ</v>
      </c>
      <c r="F74" s="29" t="str">
        <f t="shared" ca="1" si="11"/>
        <v>Forged - ASTM A182-F316L</v>
      </c>
      <c r="G74" s="29" t="str">
        <f t="shared" ca="1" si="12"/>
        <v>PEEK</v>
      </c>
      <c r="H74" s="29" t="str">
        <f t="shared" ca="1" si="13"/>
        <v>E10</v>
      </c>
      <c r="I74" s="51">
        <v>111</v>
      </c>
      <c r="J74" t="s">
        <v>32</v>
      </c>
      <c r="L74" s="27">
        <v>70</v>
      </c>
      <c r="M74" s="29" t="s">
        <v>278</v>
      </c>
      <c r="N74" s="29" t="s">
        <v>240</v>
      </c>
      <c r="O74" s="29" t="s">
        <v>240</v>
      </c>
      <c r="P74" s="29" t="s">
        <v>279</v>
      </c>
      <c r="Q74" s="29" t="s">
        <v>153</v>
      </c>
      <c r="R74" s="37" t="s">
        <v>266</v>
      </c>
      <c r="S74" s="29" t="s">
        <v>267</v>
      </c>
      <c r="T74" s="29" t="s">
        <v>268</v>
      </c>
      <c r="V74" t="str">
        <f t="shared" si="7"/>
        <v>125 @ 0°C, 116 @ 60°C</v>
      </c>
    </row>
    <row r="75" spans="1:22" ht="22.9" customHeight="1">
      <c r="A75" s="54">
        <v>72</v>
      </c>
      <c r="B75" s="28" t="s">
        <v>280</v>
      </c>
      <c r="C75" s="29" t="str">
        <f t="shared" ca="1" si="8"/>
        <v>1/2" - 24"</v>
      </c>
      <c r="D75" s="29" t="str">
        <f t="shared" ca="1" si="9"/>
        <v>Ball Valve, Reduced Bore</v>
      </c>
      <c r="E75" s="37" t="str">
        <f t="shared" ca="1" si="10"/>
        <v>Flanged ASME B16.5 RTJ</v>
      </c>
      <c r="F75" s="29" t="str">
        <f t="shared" ca="1" si="11"/>
        <v>Forged - ASTM A182-F316L</v>
      </c>
      <c r="G75" s="29" t="str">
        <f t="shared" ca="1" si="12"/>
        <v>PEEK</v>
      </c>
      <c r="H75" s="29" t="str">
        <f t="shared" ca="1" si="13"/>
        <v>E10</v>
      </c>
      <c r="I75" s="51">
        <v>112</v>
      </c>
      <c r="J75" t="s">
        <v>32</v>
      </c>
      <c r="L75" s="27">
        <v>71</v>
      </c>
      <c r="M75" s="29" t="s">
        <v>281</v>
      </c>
      <c r="N75" s="29" t="s">
        <v>240</v>
      </c>
      <c r="O75" s="29" t="s">
        <v>240</v>
      </c>
      <c r="P75" s="29" t="s">
        <v>279</v>
      </c>
      <c r="Q75" s="29" t="s">
        <v>153</v>
      </c>
      <c r="R75" s="37" t="s">
        <v>266</v>
      </c>
      <c r="S75" s="29" t="s">
        <v>271</v>
      </c>
      <c r="T75" s="29" t="s">
        <v>272</v>
      </c>
      <c r="V75" t="str">
        <f t="shared" si="7"/>
        <v>206 @ 0°C, 200 @ 60°C</v>
      </c>
    </row>
    <row r="76" spans="1:22" ht="22.9" customHeight="1" thickBot="1">
      <c r="A76" s="54">
        <v>73</v>
      </c>
      <c r="B76" s="28" t="s">
        <v>282</v>
      </c>
      <c r="C76" s="29" t="str">
        <f t="shared" ca="1" si="8"/>
        <v>1/2" - 24"</v>
      </c>
      <c r="D76" s="29" t="str">
        <f t="shared" ca="1" si="9"/>
        <v>Ball Valve, Full Bore</v>
      </c>
      <c r="E76" s="37" t="str">
        <f t="shared" ca="1" si="10"/>
        <v>Flanged ASME B16.5 RTJ / Compact Flange / Hub Connector (As per PMS)</v>
      </c>
      <c r="F76" s="29" t="str">
        <f t="shared" ca="1" si="11"/>
        <v>Forged - ASTM A182-F316L</v>
      </c>
      <c r="G76" s="29" t="str">
        <f t="shared" ca="1" si="12"/>
        <v>PEEK</v>
      </c>
      <c r="H76" s="29" t="str">
        <f t="shared" ca="1" si="13"/>
        <v>F10</v>
      </c>
      <c r="I76" s="51">
        <v>113</v>
      </c>
      <c r="J76" t="s">
        <v>32</v>
      </c>
      <c r="L76" s="31">
        <v>72</v>
      </c>
      <c r="M76" s="29" t="s">
        <v>283</v>
      </c>
      <c r="N76" s="33" t="s">
        <v>240</v>
      </c>
      <c r="O76" s="33" t="s">
        <v>240</v>
      </c>
      <c r="P76" s="33" t="s">
        <v>279</v>
      </c>
      <c r="Q76" s="33" t="s">
        <v>153</v>
      </c>
      <c r="R76" s="38" t="s">
        <v>266</v>
      </c>
      <c r="S76" s="33" t="s">
        <v>275</v>
      </c>
      <c r="T76" s="33" t="s">
        <v>276</v>
      </c>
      <c r="V76" t="str">
        <f t="shared" si="7"/>
        <v>325 @ 0°C, 325 @ 60°C</v>
      </c>
    </row>
    <row r="77" spans="1:22" ht="22.9" customHeight="1">
      <c r="A77" s="54">
        <v>74</v>
      </c>
      <c r="B77" s="28" t="s">
        <v>284</v>
      </c>
      <c r="C77" s="29" t="str">
        <f t="shared" ca="1" si="8"/>
        <v>1/2" - 24"</v>
      </c>
      <c r="D77" s="29" t="str">
        <f t="shared" ca="1" si="9"/>
        <v>Ball Valve, Reduced Bore</v>
      </c>
      <c r="E77" s="37" t="str">
        <f t="shared" ca="1" si="10"/>
        <v>Flanged ASME B16.5 RTJ / Compact Flange / Hub Connector (As per PMS)</v>
      </c>
      <c r="F77" s="29" t="str">
        <f t="shared" ca="1" si="11"/>
        <v>Forged - ASTM A182-F316L</v>
      </c>
      <c r="G77" s="29" t="str">
        <f t="shared" ca="1" si="12"/>
        <v>PEEK</v>
      </c>
      <c r="H77" s="29" t="str">
        <f t="shared" ca="1" si="13"/>
        <v>F10</v>
      </c>
      <c r="I77" s="51">
        <v>114</v>
      </c>
      <c r="J77" t="s">
        <v>32</v>
      </c>
    </row>
    <row r="78" spans="1:22" ht="22.9" customHeight="1">
      <c r="A78" s="54">
        <v>75</v>
      </c>
      <c r="B78" s="28" t="s">
        <v>285</v>
      </c>
      <c r="C78" s="29" t="str">
        <f t="shared" ca="1" si="8"/>
        <v>1/2" - 24"</v>
      </c>
      <c r="D78" s="29" t="str">
        <f t="shared" ca="1" si="9"/>
        <v>Ball Valve, Full Bore</v>
      </c>
      <c r="E78" s="37" t="str">
        <f t="shared" ca="1" si="10"/>
        <v>Flanged ASME B16.5 RTJ / Compact Flange / Hub Connector (As per PMS)</v>
      </c>
      <c r="F78" s="29" t="str">
        <f t="shared" ca="1" si="11"/>
        <v>Forged - ASTM A182-F316L</v>
      </c>
      <c r="G78" s="29" t="str">
        <f t="shared" ca="1" si="12"/>
        <v>PEEK</v>
      </c>
      <c r="H78" s="29" t="str">
        <f t="shared" ca="1" si="13"/>
        <v>G10</v>
      </c>
      <c r="I78" s="51">
        <v>115</v>
      </c>
      <c r="J78" t="s">
        <v>32</v>
      </c>
    </row>
    <row r="79" spans="1:22" ht="22.9" customHeight="1">
      <c r="A79" s="54">
        <v>76</v>
      </c>
      <c r="B79" s="28" t="s">
        <v>286</v>
      </c>
      <c r="C79" s="29" t="str">
        <f t="shared" ca="1" si="8"/>
        <v>1/2" - 24"</v>
      </c>
      <c r="D79" s="29" t="str">
        <f t="shared" ca="1" si="9"/>
        <v>Ball Valve, Reduced Bore</v>
      </c>
      <c r="E79" s="37" t="str">
        <f t="shared" ca="1" si="10"/>
        <v>Flanged ASME B16.5 RTJ / Compact Flange / Hub Connector (As per PMS)</v>
      </c>
      <c r="F79" s="29" t="str">
        <f t="shared" ca="1" si="11"/>
        <v>Forged - ASTM A182-F316L</v>
      </c>
      <c r="G79" s="29" t="str">
        <f t="shared" ca="1" si="12"/>
        <v>PEEK</v>
      </c>
      <c r="H79" s="29" t="str">
        <f t="shared" ca="1" si="13"/>
        <v>G10</v>
      </c>
      <c r="I79" s="51">
        <v>116</v>
      </c>
      <c r="J79" t="s">
        <v>32</v>
      </c>
    </row>
    <row r="80" spans="1:22" ht="22.9" customHeight="1">
      <c r="A80" s="54">
        <v>77</v>
      </c>
      <c r="B80" s="28" t="s">
        <v>287</v>
      </c>
      <c r="C80" s="29" t="str">
        <f t="shared" ca="1" si="8"/>
        <v>1/2" - 24"</v>
      </c>
      <c r="D80" s="29" t="str">
        <f t="shared" ca="1" si="9"/>
        <v>Ball Valve, Full Bore</v>
      </c>
      <c r="E80" s="37" t="str">
        <f t="shared" ca="1" si="10"/>
        <v>Flanged ASME B16.5 RF</v>
      </c>
      <c r="F80" s="29" t="str">
        <f t="shared" ca="1" si="11"/>
        <v>Forged - ASTM A182-F316L</v>
      </c>
      <c r="G80" s="29" t="str">
        <f t="shared" ca="1" si="12"/>
        <v xml:space="preserve">Reinforced PTFE </v>
      </c>
      <c r="H80" s="29" t="str">
        <f t="shared" ca="1" si="13"/>
        <v>A10N</v>
      </c>
      <c r="I80" s="51">
        <v>117</v>
      </c>
      <c r="J80" t="s">
        <v>32</v>
      </c>
    </row>
    <row r="81" spans="1:10" ht="22.9" customHeight="1">
      <c r="A81" s="54">
        <v>78</v>
      </c>
      <c r="B81" s="28" t="s">
        <v>288</v>
      </c>
      <c r="C81" s="29" t="str">
        <f t="shared" ca="1" si="8"/>
        <v>1/2" - 24"</v>
      </c>
      <c r="D81" s="29" t="str">
        <f t="shared" ca="1" si="9"/>
        <v>Ball Valve, Reduced Bore</v>
      </c>
      <c r="E81" s="37" t="str">
        <f t="shared" ca="1" si="10"/>
        <v>Flanged ASME B16.5 RF</v>
      </c>
      <c r="F81" s="29" t="str">
        <f t="shared" ca="1" si="11"/>
        <v>Forged - ASTM A182-F316L</v>
      </c>
      <c r="G81" s="29" t="str">
        <f t="shared" ca="1" si="12"/>
        <v xml:space="preserve">Reinforced PTFE </v>
      </c>
      <c r="H81" s="29" t="str">
        <f t="shared" ca="1" si="13"/>
        <v>A10N</v>
      </c>
      <c r="I81" s="51">
        <v>118</v>
      </c>
      <c r="J81" t="s">
        <v>32</v>
      </c>
    </row>
    <row r="82" spans="1:10" ht="22.9" customHeight="1">
      <c r="A82" s="54">
        <v>79</v>
      </c>
      <c r="B82" s="28" t="s">
        <v>289</v>
      </c>
      <c r="C82" s="29" t="str">
        <f t="shared" ca="1" si="8"/>
        <v>1/2" - 24"</v>
      </c>
      <c r="D82" s="29" t="str">
        <f t="shared" ca="1" si="9"/>
        <v>Ball Valve, Full Bore</v>
      </c>
      <c r="E82" s="37" t="str">
        <f t="shared" ca="1" si="10"/>
        <v>Flanged ASME B16.5 RF</v>
      </c>
      <c r="F82" s="29" t="str">
        <f t="shared" ca="1" si="11"/>
        <v>Forged - ASTM A182-F316L</v>
      </c>
      <c r="G82" s="29" t="str">
        <f t="shared" ca="1" si="12"/>
        <v xml:space="preserve">Reinforced PTFE </v>
      </c>
      <c r="H82" s="29" t="str">
        <f t="shared" ca="1" si="13"/>
        <v>B10N</v>
      </c>
      <c r="I82" s="51">
        <v>119</v>
      </c>
      <c r="J82" t="s">
        <v>32</v>
      </c>
    </row>
    <row r="83" spans="1:10" ht="22.9" customHeight="1">
      <c r="A83" s="54">
        <v>80</v>
      </c>
      <c r="B83" s="28" t="s">
        <v>290</v>
      </c>
      <c r="C83" s="29" t="str">
        <f t="shared" ca="1" si="8"/>
        <v>1/2" - 24"</v>
      </c>
      <c r="D83" s="29" t="str">
        <f t="shared" ca="1" si="9"/>
        <v>Ball Valve, Reduced Bore</v>
      </c>
      <c r="E83" s="37" t="str">
        <f t="shared" ca="1" si="10"/>
        <v>Flanged ASME B16.5 RF</v>
      </c>
      <c r="F83" s="29" t="str">
        <f t="shared" ca="1" si="11"/>
        <v>Forged - ASTM A182-F316L</v>
      </c>
      <c r="G83" s="29" t="str">
        <f t="shared" ca="1" si="12"/>
        <v xml:space="preserve">Reinforced PTFE </v>
      </c>
      <c r="H83" s="29" t="str">
        <f t="shared" ca="1" si="13"/>
        <v>B10N</v>
      </c>
      <c r="I83" s="51">
        <v>120</v>
      </c>
      <c r="J83" t="s">
        <v>32</v>
      </c>
    </row>
    <row r="84" spans="1:10" ht="22.9" customHeight="1">
      <c r="A84" s="54">
        <v>81</v>
      </c>
      <c r="B84" s="28" t="s">
        <v>291</v>
      </c>
      <c r="C84" s="29" t="str">
        <f t="shared" ca="1" si="8"/>
        <v>1/2" - 24"</v>
      </c>
      <c r="D84" s="29" t="str">
        <f t="shared" ca="1" si="9"/>
        <v>Ball Valve, Full Bore</v>
      </c>
      <c r="E84" s="37" t="str">
        <f t="shared" ca="1" si="10"/>
        <v>Flanged ASME B16.5 RF</v>
      </c>
      <c r="F84" s="29" t="str">
        <f t="shared" ca="1" si="11"/>
        <v>Forged - ASTM A182-F316L</v>
      </c>
      <c r="G84" s="29" t="str">
        <f t="shared" ca="1" si="12"/>
        <v>PEEK</v>
      </c>
      <c r="H84" s="29" t="str">
        <f t="shared" ca="1" si="13"/>
        <v>D10N</v>
      </c>
      <c r="I84" s="51">
        <v>121</v>
      </c>
      <c r="J84" t="s">
        <v>32</v>
      </c>
    </row>
    <row r="85" spans="1:10" ht="22.9" customHeight="1">
      <c r="A85" s="54">
        <v>82</v>
      </c>
      <c r="B85" s="28" t="s">
        <v>292</v>
      </c>
      <c r="C85" s="29" t="str">
        <f t="shared" ca="1" si="8"/>
        <v>1/2" - 24"</v>
      </c>
      <c r="D85" s="29" t="str">
        <f t="shared" ca="1" si="9"/>
        <v>Ball Valve, Reduced Bore</v>
      </c>
      <c r="E85" s="37" t="str">
        <f t="shared" ca="1" si="10"/>
        <v>Flanged ASME B16.5 RF</v>
      </c>
      <c r="F85" s="29" t="str">
        <f t="shared" ca="1" si="11"/>
        <v>Forged - ASTM A182-F316L</v>
      </c>
      <c r="G85" s="29" t="str">
        <f t="shared" ca="1" si="12"/>
        <v>PEEK</v>
      </c>
      <c r="H85" s="29" t="str">
        <f t="shared" ca="1" si="13"/>
        <v>D10N</v>
      </c>
      <c r="I85" s="51">
        <v>122</v>
      </c>
      <c r="J85" t="s">
        <v>32</v>
      </c>
    </row>
    <row r="86" spans="1:10" ht="22.9" customHeight="1">
      <c r="A86" s="54">
        <v>83</v>
      </c>
      <c r="B86" s="28" t="s">
        <v>293</v>
      </c>
      <c r="C86" s="29" t="str">
        <f t="shared" ca="1" si="8"/>
        <v>1/2" - 24"</v>
      </c>
      <c r="D86" s="29" t="str">
        <f t="shared" ca="1" si="9"/>
        <v>Ball Valve, Full Bore</v>
      </c>
      <c r="E86" s="37" t="str">
        <f t="shared" ca="1" si="10"/>
        <v>Flanged ASME B16.5 RTJ</v>
      </c>
      <c r="F86" s="29" t="str">
        <f t="shared" ca="1" si="11"/>
        <v>Forged - ASTM A182-F316L</v>
      </c>
      <c r="G86" s="29" t="str">
        <f t="shared" ca="1" si="12"/>
        <v>PEEK</v>
      </c>
      <c r="H86" s="29" t="str">
        <f t="shared" ca="1" si="13"/>
        <v>E10N</v>
      </c>
      <c r="I86" s="51">
        <v>123</v>
      </c>
      <c r="J86" t="s">
        <v>32</v>
      </c>
    </row>
    <row r="87" spans="1:10" ht="22.9" customHeight="1">
      <c r="A87" s="54">
        <v>84</v>
      </c>
      <c r="B87" s="28" t="s">
        <v>294</v>
      </c>
      <c r="C87" s="29" t="str">
        <f t="shared" ca="1" si="8"/>
        <v>1/2" - 24"</v>
      </c>
      <c r="D87" s="29" t="str">
        <f t="shared" ca="1" si="9"/>
        <v>Ball Valve, Reduced Bore</v>
      </c>
      <c r="E87" s="37" t="str">
        <f t="shared" ca="1" si="10"/>
        <v>Flanged ASME B16.5 RTJ</v>
      </c>
      <c r="F87" s="29" t="str">
        <f t="shared" ca="1" si="11"/>
        <v>Forged - ASTM A182-F316L</v>
      </c>
      <c r="G87" s="29" t="str">
        <f t="shared" ca="1" si="12"/>
        <v>PEEK</v>
      </c>
      <c r="H87" s="29" t="str">
        <f t="shared" ca="1" si="13"/>
        <v>E10N</v>
      </c>
      <c r="I87" s="51">
        <v>124</v>
      </c>
      <c r="J87" t="s">
        <v>32</v>
      </c>
    </row>
    <row r="88" spans="1:10" ht="22.9" customHeight="1">
      <c r="A88" s="54">
        <v>85</v>
      </c>
      <c r="B88" s="28" t="s">
        <v>295</v>
      </c>
      <c r="C88" s="29" t="str">
        <f t="shared" ca="1" si="8"/>
        <v>1/2" - 24"</v>
      </c>
      <c r="D88" s="29" t="str">
        <f t="shared" ca="1" si="9"/>
        <v>Ball Valve, Full Bore</v>
      </c>
      <c r="E88" s="37" t="str">
        <f t="shared" ca="1" si="10"/>
        <v>Flanged ASME B16.5 RTJ / Compact Flange / Hub Connector (As per PMS)</v>
      </c>
      <c r="F88" s="29" t="str">
        <f t="shared" ca="1" si="11"/>
        <v>Forged - ASTM A182-F316L</v>
      </c>
      <c r="G88" s="29" t="str">
        <f t="shared" ca="1" si="12"/>
        <v>PEEK</v>
      </c>
      <c r="H88" s="29" t="str">
        <f t="shared" ca="1" si="13"/>
        <v>F10N</v>
      </c>
      <c r="I88" s="51">
        <v>125</v>
      </c>
      <c r="J88" t="s">
        <v>32</v>
      </c>
    </row>
    <row r="89" spans="1:10" ht="22.9" customHeight="1">
      <c r="A89" s="54">
        <v>86</v>
      </c>
      <c r="B89" s="28" t="s">
        <v>296</v>
      </c>
      <c r="C89" s="29" t="str">
        <f t="shared" ca="1" si="8"/>
        <v>1/2" - 24"</v>
      </c>
      <c r="D89" s="29" t="str">
        <f t="shared" ca="1" si="9"/>
        <v>Ball Valve, Reduced Bore</v>
      </c>
      <c r="E89" s="37" t="str">
        <f t="shared" ca="1" si="10"/>
        <v>Flanged ASME B16.5 RTJ / Compact Flange / Hub Connector (As per PMS)</v>
      </c>
      <c r="F89" s="29" t="str">
        <f t="shared" ca="1" si="11"/>
        <v>Forged - ASTM A182-F316L</v>
      </c>
      <c r="G89" s="29" t="str">
        <f t="shared" ca="1" si="12"/>
        <v>PEEK</v>
      </c>
      <c r="H89" s="29" t="str">
        <f t="shared" ca="1" si="13"/>
        <v>F10N</v>
      </c>
      <c r="I89" s="51">
        <v>126</v>
      </c>
      <c r="J89" t="s">
        <v>32</v>
      </c>
    </row>
    <row r="90" spans="1:10" ht="22.9" customHeight="1">
      <c r="A90" s="54">
        <v>87</v>
      </c>
      <c r="B90" s="28" t="s">
        <v>297</v>
      </c>
      <c r="C90" s="29" t="str">
        <f t="shared" ca="1" si="8"/>
        <v>1/2" - 24"</v>
      </c>
      <c r="D90" s="29" t="str">
        <f t="shared" ca="1" si="9"/>
        <v>Ball Valve, Full Bore</v>
      </c>
      <c r="E90" s="37" t="str">
        <f t="shared" ca="1" si="10"/>
        <v>Flanged ASME B16.5 RTJ / Compact Flange / Hub Connector (As per PMS)</v>
      </c>
      <c r="F90" s="29" t="str">
        <f t="shared" ca="1" si="11"/>
        <v>Forged - ASTM A182-F316L</v>
      </c>
      <c r="G90" s="29" t="str">
        <f t="shared" ca="1" si="12"/>
        <v>PEEK</v>
      </c>
      <c r="H90" s="29" t="str">
        <f t="shared" ca="1" si="13"/>
        <v>G10N</v>
      </c>
      <c r="I90" s="51">
        <v>127</v>
      </c>
      <c r="J90" t="s">
        <v>32</v>
      </c>
    </row>
    <row r="91" spans="1:10" ht="22.9" customHeight="1">
      <c r="A91" s="54">
        <v>88</v>
      </c>
      <c r="B91" s="28" t="s">
        <v>298</v>
      </c>
      <c r="C91" s="29" t="str">
        <f t="shared" ca="1" si="8"/>
        <v>1/2" - 24"</v>
      </c>
      <c r="D91" s="29" t="str">
        <f t="shared" ca="1" si="9"/>
        <v>Ball Valve, Reduced Bore</v>
      </c>
      <c r="E91" s="37" t="str">
        <f t="shared" ca="1" si="10"/>
        <v>Flanged ASME B16.5 RTJ / Compact Flange / Hub Connector (As per PMS)</v>
      </c>
      <c r="F91" s="29" t="str">
        <f t="shared" ca="1" si="11"/>
        <v>Forged - ASTM A182-F316L</v>
      </c>
      <c r="G91" s="29" t="str">
        <f t="shared" ca="1" si="12"/>
        <v>PEEK</v>
      </c>
      <c r="H91" s="29" t="str">
        <f t="shared" ca="1" si="13"/>
        <v>G10N</v>
      </c>
      <c r="I91" s="51">
        <v>128</v>
      </c>
      <c r="J91" t="s">
        <v>32</v>
      </c>
    </row>
    <row r="92" spans="1:10" ht="22.9" customHeight="1">
      <c r="A92" s="54">
        <v>89</v>
      </c>
      <c r="B92" s="28" t="s">
        <v>299</v>
      </c>
      <c r="C92" s="29" t="str">
        <f t="shared" ca="1" si="8"/>
        <v>1/2" - 24"</v>
      </c>
      <c r="D92" s="29" t="str">
        <f t="shared" ca="1" si="9"/>
        <v>Ball Valve, Full Bore</v>
      </c>
      <c r="E92" s="37" t="str">
        <f t="shared" ca="1" si="10"/>
        <v>Flanged ASME B16.5 RF</v>
      </c>
      <c r="F92" s="29" t="str">
        <f t="shared" ca="1" si="11"/>
        <v>Forged - ASTM A182 F60</v>
      </c>
      <c r="G92" s="29" t="str">
        <f t="shared" ca="1" si="12"/>
        <v>Reinforced PTFE</v>
      </c>
      <c r="H92" s="29" t="str">
        <f t="shared" ca="1" si="13"/>
        <v>A20N</v>
      </c>
      <c r="I92" s="51">
        <v>129</v>
      </c>
      <c r="J92" t="s">
        <v>32</v>
      </c>
    </row>
    <row r="93" spans="1:10" ht="22.9" customHeight="1">
      <c r="A93" s="54">
        <v>90</v>
      </c>
      <c r="B93" s="28" t="s">
        <v>300</v>
      </c>
      <c r="C93" s="29" t="str">
        <f t="shared" ca="1" si="8"/>
        <v>1/2" - 24"</v>
      </c>
      <c r="D93" s="29" t="str">
        <f t="shared" ca="1" si="9"/>
        <v>Ball Valve, Reduced Bore</v>
      </c>
      <c r="E93" s="37" t="str">
        <f t="shared" ca="1" si="10"/>
        <v>Flanged ASME B16.5 RF</v>
      </c>
      <c r="F93" s="29" t="str">
        <f t="shared" ca="1" si="11"/>
        <v>Forged - ASTM A182 F60</v>
      </c>
      <c r="G93" s="29" t="str">
        <f t="shared" ca="1" si="12"/>
        <v>Reinforced PTFE</v>
      </c>
      <c r="H93" s="29" t="str">
        <f t="shared" ca="1" si="13"/>
        <v>A20N</v>
      </c>
      <c r="I93" s="51">
        <v>130</v>
      </c>
      <c r="J93" t="s">
        <v>32</v>
      </c>
    </row>
    <row r="94" spans="1:10" ht="22.9" customHeight="1">
      <c r="A94" s="54">
        <v>91</v>
      </c>
      <c r="B94" s="28" t="s">
        <v>301</v>
      </c>
      <c r="C94" s="29" t="str">
        <f t="shared" ca="1" si="8"/>
        <v>1/2" - 24"</v>
      </c>
      <c r="D94" s="29" t="str">
        <f t="shared" ca="1" si="9"/>
        <v>Ball Valve, Full Bore</v>
      </c>
      <c r="E94" s="37" t="str">
        <f t="shared" ca="1" si="10"/>
        <v>Flanged ASME B16.5 RF</v>
      </c>
      <c r="F94" s="29" t="str">
        <f t="shared" ca="1" si="11"/>
        <v>Forged - ASTM A182 F60</v>
      </c>
      <c r="G94" s="29" t="str">
        <f t="shared" ca="1" si="12"/>
        <v>Reinforced PTFE</v>
      </c>
      <c r="H94" s="29" t="str">
        <f t="shared" ca="1" si="13"/>
        <v>B20N</v>
      </c>
      <c r="I94" s="51">
        <v>131</v>
      </c>
      <c r="J94" t="s">
        <v>32</v>
      </c>
    </row>
    <row r="95" spans="1:10" ht="22.9" customHeight="1">
      <c r="A95" s="54">
        <v>92</v>
      </c>
      <c r="B95" s="28" t="s">
        <v>302</v>
      </c>
      <c r="C95" s="29" t="str">
        <f t="shared" ca="1" si="8"/>
        <v>1/2" - 24"</v>
      </c>
      <c r="D95" s="29" t="str">
        <f t="shared" ca="1" si="9"/>
        <v>Ball Valve, Reduced Bore</v>
      </c>
      <c r="E95" s="37" t="str">
        <f t="shared" ca="1" si="10"/>
        <v>Flanged ASME B16.5 RF</v>
      </c>
      <c r="F95" s="29" t="str">
        <f t="shared" ca="1" si="11"/>
        <v>Forged - ASTM A182 F60</v>
      </c>
      <c r="G95" s="29" t="str">
        <f t="shared" ca="1" si="12"/>
        <v>Reinforced PTFE</v>
      </c>
      <c r="H95" s="29" t="str">
        <f t="shared" ca="1" si="13"/>
        <v>B20N</v>
      </c>
      <c r="I95" s="51">
        <v>132</v>
      </c>
      <c r="J95" t="s">
        <v>32</v>
      </c>
    </row>
    <row r="96" spans="1:10" ht="22.9" customHeight="1">
      <c r="A96" s="54">
        <v>93</v>
      </c>
      <c r="B96" s="28" t="s">
        <v>303</v>
      </c>
      <c r="C96" s="29" t="str">
        <f t="shared" ca="1" si="8"/>
        <v>1/2" - 24"</v>
      </c>
      <c r="D96" s="29" t="str">
        <f t="shared" ca="1" si="9"/>
        <v>Ball Valve, Full Bore</v>
      </c>
      <c r="E96" s="37" t="str">
        <f t="shared" ca="1" si="10"/>
        <v>Flanged ASME B16.5 RF</v>
      </c>
      <c r="F96" s="29" t="str">
        <f t="shared" ca="1" si="11"/>
        <v>Forged - ASTM A182 F60</v>
      </c>
      <c r="G96" s="29" t="str">
        <f t="shared" ca="1" si="12"/>
        <v>PEEK</v>
      </c>
      <c r="H96" s="29" t="str">
        <f t="shared" ca="1" si="13"/>
        <v>D20N</v>
      </c>
      <c r="I96" s="51">
        <v>133</v>
      </c>
      <c r="J96" t="s">
        <v>32</v>
      </c>
    </row>
    <row r="97" spans="1:10" ht="22.9" customHeight="1">
      <c r="A97" s="54">
        <v>94</v>
      </c>
      <c r="B97" s="28" t="s">
        <v>304</v>
      </c>
      <c r="C97" s="29" t="str">
        <f t="shared" ca="1" si="8"/>
        <v>1/2" - 24"</v>
      </c>
      <c r="D97" s="29" t="str">
        <f t="shared" ca="1" si="9"/>
        <v>Ball Valve, Reduced Bore</v>
      </c>
      <c r="E97" s="37" t="str">
        <f t="shared" ca="1" si="10"/>
        <v>Flanged ASME B16.5 RF</v>
      </c>
      <c r="F97" s="29" t="str">
        <f t="shared" ca="1" si="11"/>
        <v>Forged - ASTM A182 F60</v>
      </c>
      <c r="G97" s="29" t="str">
        <f t="shared" ca="1" si="12"/>
        <v>PEEK</v>
      </c>
      <c r="H97" s="29" t="str">
        <f t="shared" ca="1" si="13"/>
        <v>D20N</v>
      </c>
      <c r="I97" s="51">
        <v>134</v>
      </c>
      <c r="J97" t="s">
        <v>32</v>
      </c>
    </row>
    <row r="98" spans="1:10" ht="22.9" customHeight="1">
      <c r="A98" s="54">
        <v>95</v>
      </c>
      <c r="B98" s="28" t="s">
        <v>305</v>
      </c>
      <c r="C98" s="29" t="str">
        <f t="shared" ca="1" si="8"/>
        <v>1/2" - 24"</v>
      </c>
      <c r="D98" s="29" t="str">
        <f t="shared" ca="1" si="9"/>
        <v>Ball Valve, Full Bore</v>
      </c>
      <c r="E98" s="37" t="str">
        <f t="shared" ca="1" si="10"/>
        <v>Flanged ASME B16.5 RTJ</v>
      </c>
      <c r="F98" s="29" t="str">
        <f t="shared" ca="1" si="11"/>
        <v>Forged - ASTM A182 F60</v>
      </c>
      <c r="G98" s="29" t="str">
        <f t="shared" ca="1" si="12"/>
        <v>PEEK</v>
      </c>
      <c r="H98" s="29" t="str">
        <f t="shared" ca="1" si="13"/>
        <v>E20N</v>
      </c>
      <c r="I98" s="51">
        <v>135</v>
      </c>
      <c r="J98" t="s">
        <v>32</v>
      </c>
    </row>
    <row r="99" spans="1:10" ht="22.9" customHeight="1">
      <c r="A99" s="54">
        <v>96</v>
      </c>
      <c r="B99" s="28" t="s">
        <v>306</v>
      </c>
      <c r="C99" s="29" t="str">
        <f t="shared" ca="1" si="8"/>
        <v>1/2" - 24"</v>
      </c>
      <c r="D99" s="29" t="str">
        <f t="shared" ca="1" si="9"/>
        <v>Ball Valve, Reduced Bore</v>
      </c>
      <c r="E99" s="37" t="str">
        <f t="shared" ca="1" si="10"/>
        <v>Flanged ASME B16.5 RTJ</v>
      </c>
      <c r="F99" s="29" t="str">
        <f t="shared" ca="1" si="11"/>
        <v>Forged - ASTM A182 F60</v>
      </c>
      <c r="G99" s="29" t="str">
        <f t="shared" ca="1" si="12"/>
        <v>PEEK</v>
      </c>
      <c r="H99" s="29" t="str">
        <f t="shared" ca="1" si="13"/>
        <v>E20N</v>
      </c>
      <c r="I99" s="51">
        <v>136</v>
      </c>
      <c r="J99" t="s">
        <v>32</v>
      </c>
    </row>
    <row r="100" spans="1:10" ht="22.9" customHeight="1">
      <c r="A100" s="54">
        <v>97</v>
      </c>
      <c r="B100" s="28" t="s">
        <v>307</v>
      </c>
      <c r="C100" s="29" t="str">
        <f t="shared" ca="1" si="8"/>
        <v>1/2" - 24"</v>
      </c>
      <c r="D100" s="29" t="str">
        <f t="shared" ca="1" si="9"/>
        <v>Ball Valve, Full Bore</v>
      </c>
      <c r="E100" s="37" t="str">
        <f t="shared" ca="1" si="10"/>
        <v>Flanged ASME B16.5 RTJ / Compact Flange / Hub Connector (As per PMS)</v>
      </c>
      <c r="F100" s="29" t="str">
        <f t="shared" ca="1" si="11"/>
        <v>Forged - ASTM A182 F60</v>
      </c>
      <c r="G100" s="29" t="str">
        <f t="shared" ca="1" si="12"/>
        <v>PEEK</v>
      </c>
      <c r="H100" s="29" t="str">
        <f t="shared" ca="1" si="13"/>
        <v>F20N</v>
      </c>
      <c r="I100" s="51">
        <v>137</v>
      </c>
      <c r="J100" t="s">
        <v>32</v>
      </c>
    </row>
    <row r="101" spans="1:10" ht="22.9" customHeight="1">
      <c r="A101" s="54">
        <v>98</v>
      </c>
      <c r="B101" s="28" t="s">
        <v>308</v>
      </c>
      <c r="C101" s="29" t="str">
        <f t="shared" ca="1" si="8"/>
        <v>1/2" - 24"</v>
      </c>
      <c r="D101" s="29" t="str">
        <f t="shared" ca="1" si="9"/>
        <v>Ball Valve, Reduced Bore</v>
      </c>
      <c r="E101" s="37" t="str">
        <f t="shared" ca="1" si="10"/>
        <v>Flanged ASME B16.5 RTJ / Compact Flange / Hub Connector (As per PMS)</v>
      </c>
      <c r="F101" s="29" t="str">
        <f t="shared" ca="1" si="11"/>
        <v>Forged - ASTM A182 F60</v>
      </c>
      <c r="G101" s="29" t="str">
        <f t="shared" ca="1" si="12"/>
        <v>PEEK</v>
      </c>
      <c r="H101" s="29" t="str">
        <f t="shared" ca="1" si="13"/>
        <v>F20N</v>
      </c>
      <c r="I101" s="51">
        <v>138</v>
      </c>
      <c r="J101" t="s">
        <v>32</v>
      </c>
    </row>
    <row r="102" spans="1:10" ht="22.9" customHeight="1">
      <c r="A102" s="54">
        <v>99</v>
      </c>
      <c r="B102" s="28" t="s">
        <v>309</v>
      </c>
      <c r="C102" s="29" t="str">
        <f t="shared" ca="1" si="8"/>
        <v>1/2" - 24"</v>
      </c>
      <c r="D102" s="29" t="str">
        <f t="shared" ca="1" si="9"/>
        <v>Ball Valve, Full Bore</v>
      </c>
      <c r="E102" s="37" t="str">
        <f t="shared" ca="1" si="10"/>
        <v>Flanged ASME B16.5 RTJ / Compact Flange / Hub Connector (As per PMS)</v>
      </c>
      <c r="F102" s="29" t="str">
        <f t="shared" ca="1" si="11"/>
        <v>Forged - ASTM A182 F60</v>
      </c>
      <c r="G102" s="29" t="str">
        <f t="shared" ca="1" si="12"/>
        <v>PEEK</v>
      </c>
      <c r="H102" s="29" t="str">
        <f t="shared" ca="1" si="13"/>
        <v>G20N</v>
      </c>
      <c r="I102" s="51">
        <v>139</v>
      </c>
      <c r="J102" t="s">
        <v>32</v>
      </c>
    </row>
    <row r="103" spans="1:10" ht="22.9" customHeight="1">
      <c r="A103" s="54">
        <v>100</v>
      </c>
      <c r="B103" s="28" t="s">
        <v>310</v>
      </c>
      <c r="C103" s="29" t="str">
        <f t="shared" ca="1" si="8"/>
        <v>1/2" - 24"</v>
      </c>
      <c r="D103" s="29" t="str">
        <f t="shared" ca="1" si="9"/>
        <v>Ball Valve, Reduced Bore</v>
      </c>
      <c r="E103" s="37" t="str">
        <f t="shared" ca="1" si="10"/>
        <v>Flanged ASME B16.5 RTJ / Compact Flange / Hub Connector (As per PMS)</v>
      </c>
      <c r="F103" s="29" t="str">
        <f t="shared" ca="1" si="11"/>
        <v>Forged - ASTM A182 F60</v>
      </c>
      <c r="G103" s="29" t="str">
        <f t="shared" ca="1" si="12"/>
        <v>PEEK</v>
      </c>
      <c r="H103" s="29" t="str">
        <f t="shared" ca="1" si="13"/>
        <v>G20N</v>
      </c>
      <c r="I103" s="51">
        <v>140</v>
      </c>
      <c r="J103" t="s">
        <v>32</v>
      </c>
    </row>
    <row r="104" spans="1:10" ht="22.9" customHeight="1">
      <c r="A104" s="54">
        <v>101</v>
      </c>
      <c r="B104" s="28" t="s">
        <v>311</v>
      </c>
      <c r="C104" s="29" t="str">
        <f t="shared" ca="1" si="8"/>
        <v>1/2" - 24"</v>
      </c>
      <c r="D104" s="29" t="str">
        <f t="shared" ca="1" si="9"/>
        <v>Ball Valve, Full Bore</v>
      </c>
      <c r="E104" s="37" t="str">
        <f t="shared" ca="1" si="10"/>
        <v>Flanged ASME B16.5 RTJ / Compact Flange / Hub Connector (As per PMS)</v>
      </c>
      <c r="F104" s="29" t="str">
        <f t="shared" ca="1" si="11"/>
        <v>Forged - ASTM A182-F60, TCC Coated 150μ to 250μ thick with minimum surface hardness 1050 Vickers</v>
      </c>
      <c r="G104" s="29" t="str">
        <f t="shared" ca="1" si="12"/>
        <v>Metal seated, hard faced, Renewable</v>
      </c>
      <c r="H104" s="29" t="str">
        <f t="shared" ca="1" si="13"/>
        <v>G20N</v>
      </c>
      <c r="I104" s="51">
        <v>141</v>
      </c>
      <c r="J104" t="s">
        <v>32</v>
      </c>
    </row>
    <row r="105" spans="1:10" ht="22.9" customHeight="1">
      <c r="A105" s="54">
        <v>102</v>
      </c>
      <c r="B105" s="28" t="s">
        <v>312</v>
      </c>
      <c r="C105" s="29" t="str">
        <f t="shared" ca="1" si="8"/>
        <v>1/2" - 24"</v>
      </c>
      <c r="D105" s="29" t="str">
        <f t="shared" ca="1" si="9"/>
        <v>Ball Valve, Reduced Bore</v>
      </c>
      <c r="E105" s="37" t="str">
        <f t="shared" ca="1" si="10"/>
        <v>Flanged ASME B16.5 RTJ / Compact Flange / Hub Connector (As per PMS)</v>
      </c>
      <c r="F105" s="29" t="str">
        <f t="shared" ca="1" si="11"/>
        <v>Forged - ASTM A182-F60, TCC Coated 150μ to 250μ thick with minimum surface hardness 1050 Vickers</v>
      </c>
      <c r="G105" s="29" t="str">
        <f t="shared" ca="1" si="12"/>
        <v>Metal seated, hard faced, Renewable</v>
      </c>
      <c r="H105" s="29" t="str">
        <f t="shared" ca="1" si="13"/>
        <v>G20N</v>
      </c>
      <c r="I105" s="51">
        <v>142</v>
      </c>
      <c r="J105" t="s">
        <v>32</v>
      </c>
    </row>
    <row r="106" spans="1:10" ht="22.9" customHeight="1">
      <c r="A106" s="54">
        <v>103</v>
      </c>
      <c r="B106" s="28" t="s">
        <v>313</v>
      </c>
      <c r="C106" s="29" t="str">
        <f t="shared" ca="1" si="8"/>
        <v>1/2" - 32"</v>
      </c>
      <c r="D106" s="29" t="str">
        <f t="shared" ca="1" si="9"/>
        <v>Ball Valve, Full Bore</v>
      </c>
      <c r="E106" s="37" t="str">
        <f t="shared" ca="1" si="10"/>
        <v>Flanged ASME B16.5 RF</v>
      </c>
      <c r="F106" s="29" t="str">
        <f t="shared" ca="1" si="11"/>
        <v>Forged - ASTM A182 F53</v>
      </c>
      <c r="G106" s="29" t="str">
        <f t="shared" ca="1" si="12"/>
        <v>Reinforced PTFE</v>
      </c>
      <c r="H106" s="29" t="str">
        <f t="shared" ca="1" si="13"/>
        <v>A25</v>
      </c>
      <c r="I106" s="51">
        <v>143</v>
      </c>
      <c r="J106" t="s">
        <v>32</v>
      </c>
    </row>
    <row r="107" spans="1:10" ht="22.9" customHeight="1">
      <c r="A107" s="54">
        <v>104</v>
      </c>
      <c r="B107" s="28" t="s">
        <v>314</v>
      </c>
      <c r="C107" s="29" t="str">
        <f t="shared" ca="1" si="8"/>
        <v>1/2" - 32"</v>
      </c>
      <c r="D107" s="29" t="str">
        <f t="shared" ca="1" si="9"/>
        <v>Ball Valve, Reduced Bore</v>
      </c>
      <c r="E107" s="37" t="str">
        <f t="shared" ca="1" si="10"/>
        <v>Flanged ASME B16.5 RF</v>
      </c>
      <c r="F107" s="29" t="str">
        <f t="shared" ca="1" si="11"/>
        <v>Forged - ASTM A182 F53</v>
      </c>
      <c r="G107" s="29" t="str">
        <f t="shared" ca="1" si="12"/>
        <v>Reinforced PTFE</v>
      </c>
      <c r="H107" s="29" t="str">
        <f t="shared" ca="1" si="13"/>
        <v>A25</v>
      </c>
      <c r="I107" s="51">
        <v>144</v>
      </c>
      <c r="J107" t="s">
        <v>32</v>
      </c>
    </row>
    <row r="108" spans="1:10" ht="22.9" customHeight="1">
      <c r="A108" s="54">
        <v>105</v>
      </c>
      <c r="B108" s="28" t="s">
        <v>315</v>
      </c>
      <c r="C108" s="29" t="str">
        <f t="shared" ca="1" si="8"/>
        <v>1/2" - 24"</v>
      </c>
      <c r="D108" s="29" t="str">
        <f t="shared" ca="1" si="9"/>
        <v>Ball Valve, Full Bore</v>
      </c>
      <c r="E108" s="37" t="str">
        <f t="shared" ca="1" si="10"/>
        <v>Flanged ASME B16.5 RTJ / Compact Flange / Hub Connector (As per PMS)</v>
      </c>
      <c r="F108" s="29" t="str">
        <f t="shared" ca="1" si="11"/>
        <v>Forged - ASTM A182 F53</v>
      </c>
      <c r="G108" s="29" t="str">
        <f t="shared" ca="1" si="12"/>
        <v>PEEK</v>
      </c>
      <c r="H108" s="29" t="str">
        <f t="shared" ca="1" si="13"/>
        <v>G25</v>
      </c>
      <c r="I108" s="51">
        <v>145</v>
      </c>
      <c r="J108" t="s">
        <v>32</v>
      </c>
    </row>
    <row r="109" spans="1:10" ht="22.9" customHeight="1">
      <c r="A109" s="54">
        <v>106</v>
      </c>
      <c r="B109" s="28" t="s">
        <v>316</v>
      </c>
      <c r="C109" s="29" t="str">
        <f t="shared" ca="1" si="8"/>
        <v>1/2" - 24"</v>
      </c>
      <c r="D109" s="29" t="str">
        <f t="shared" ca="1" si="9"/>
        <v>Ball Valve, Reduced Bore</v>
      </c>
      <c r="E109" s="37" t="str">
        <f t="shared" ca="1" si="10"/>
        <v>Flanged ASME B16.5 RTJ / Compact Flange / Hub Connector (As per PMS)</v>
      </c>
      <c r="F109" s="29" t="str">
        <f t="shared" ca="1" si="11"/>
        <v>Forged - ASTM A182 F53</v>
      </c>
      <c r="G109" s="29" t="str">
        <f t="shared" ca="1" si="12"/>
        <v>PEEK</v>
      </c>
      <c r="H109" s="29" t="str">
        <f t="shared" ca="1" si="13"/>
        <v>G25</v>
      </c>
      <c r="I109" s="51">
        <v>146</v>
      </c>
      <c r="J109" t="s">
        <v>32</v>
      </c>
    </row>
    <row r="110" spans="1:10" ht="22.9" customHeight="1">
      <c r="A110" s="54">
        <v>107</v>
      </c>
      <c r="B110" s="28" t="s">
        <v>317</v>
      </c>
      <c r="C110" s="29" t="str">
        <f t="shared" ca="1" si="8"/>
        <v>1/2" - 24"</v>
      </c>
      <c r="D110" s="29" t="str">
        <f t="shared" ca="1" si="9"/>
        <v>Ball Valve, Full Bore</v>
      </c>
      <c r="E110" s="37" t="str">
        <f t="shared" ca="1" si="10"/>
        <v>Flanged ASME B16.5 RF</v>
      </c>
      <c r="F110" s="29" t="str">
        <f t="shared" ca="1" si="11"/>
        <v>Forged - ASTM A182 F53</v>
      </c>
      <c r="G110" s="29" t="str">
        <f t="shared" ca="1" si="12"/>
        <v>Reinforced PTFE</v>
      </c>
      <c r="H110" s="29" t="str">
        <f t="shared" ca="1" si="13"/>
        <v>A25N</v>
      </c>
      <c r="I110" s="51">
        <v>147</v>
      </c>
      <c r="J110" t="s">
        <v>32</v>
      </c>
    </row>
    <row r="111" spans="1:10" ht="22.9" customHeight="1">
      <c r="A111" s="54">
        <v>108</v>
      </c>
      <c r="B111" s="28" t="s">
        <v>318</v>
      </c>
      <c r="C111" s="29" t="str">
        <f t="shared" ca="1" si="8"/>
        <v>1/2" - 24"</v>
      </c>
      <c r="D111" s="29" t="str">
        <f t="shared" ca="1" si="9"/>
        <v>Ball Valve, Reduced Bore</v>
      </c>
      <c r="E111" s="37" t="str">
        <f t="shared" ca="1" si="10"/>
        <v>Flanged ASME B16.5 RF</v>
      </c>
      <c r="F111" s="29" t="str">
        <f t="shared" ca="1" si="11"/>
        <v>Forged - ASTM A182 F53</v>
      </c>
      <c r="G111" s="29" t="str">
        <f t="shared" ca="1" si="12"/>
        <v>Reinforced PTFE</v>
      </c>
      <c r="H111" s="29" t="str">
        <f t="shared" ca="1" si="13"/>
        <v>A25N</v>
      </c>
      <c r="I111" s="51">
        <v>148</v>
      </c>
      <c r="J111" t="s">
        <v>32</v>
      </c>
    </row>
    <row r="112" spans="1:10" ht="22.9" customHeight="1">
      <c r="A112" s="54">
        <v>109</v>
      </c>
      <c r="B112" s="28" t="s">
        <v>319</v>
      </c>
      <c r="C112" s="29" t="str">
        <f t="shared" ca="1" si="8"/>
        <v>1/2" - 24"</v>
      </c>
      <c r="D112" s="29" t="str">
        <f t="shared" ca="1" si="9"/>
        <v>Ball Valve, Full Bore</v>
      </c>
      <c r="E112" s="37" t="str">
        <f t="shared" ca="1" si="10"/>
        <v>Flanged ASME B16.5 RF</v>
      </c>
      <c r="F112" s="29" t="str">
        <f t="shared" ca="1" si="11"/>
        <v>Forged - ASTM A182 F53</v>
      </c>
      <c r="G112" s="29" t="str">
        <f t="shared" ca="1" si="12"/>
        <v>Reinforced PTFE</v>
      </c>
      <c r="H112" s="29" t="str">
        <f t="shared" ca="1" si="13"/>
        <v>B25N</v>
      </c>
      <c r="I112" s="51">
        <v>149</v>
      </c>
      <c r="J112" t="s">
        <v>32</v>
      </c>
    </row>
    <row r="113" spans="1:10" ht="22.9" customHeight="1">
      <c r="A113" s="54">
        <v>110</v>
      </c>
      <c r="B113" s="28" t="s">
        <v>320</v>
      </c>
      <c r="C113" s="29" t="str">
        <f t="shared" ca="1" si="8"/>
        <v>1/2" - 24"</v>
      </c>
      <c r="D113" s="29" t="str">
        <f t="shared" ca="1" si="9"/>
        <v>Ball Valve, Reduced Bore</v>
      </c>
      <c r="E113" s="37" t="str">
        <f t="shared" ca="1" si="10"/>
        <v>Flanged ASME B16.5 RF</v>
      </c>
      <c r="F113" s="29" t="str">
        <f t="shared" ca="1" si="11"/>
        <v>Forged - ASTM A182 F53</v>
      </c>
      <c r="G113" s="29" t="str">
        <f t="shared" ca="1" si="12"/>
        <v>Reinforced PTFE</v>
      </c>
      <c r="H113" s="29" t="str">
        <f t="shared" ca="1" si="13"/>
        <v>B25N</v>
      </c>
      <c r="I113" s="51">
        <v>150</v>
      </c>
      <c r="J113" t="s">
        <v>32</v>
      </c>
    </row>
    <row r="114" spans="1:10" ht="22.9" customHeight="1">
      <c r="A114" s="54">
        <v>111</v>
      </c>
      <c r="B114" s="28" t="s">
        <v>321</v>
      </c>
      <c r="C114" s="29" t="str">
        <f t="shared" ca="1" si="8"/>
        <v>1/2" - 24"</v>
      </c>
      <c r="D114" s="29" t="str">
        <f t="shared" ca="1" si="9"/>
        <v>Ball Valve, Full Bore</v>
      </c>
      <c r="E114" s="37" t="str">
        <f t="shared" ca="1" si="10"/>
        <v>Flanged ASME B16.5 RF</v>
      </c>
      <c r="F114" s="29" t="str">
        <f t="shared" ca="1" si="11"/>
        <v>Forged - ASTM A182 F53</v>
      </c>
      <c r="G114" s="29" t="str">
        <f t="shared" ca="1" si="12"/>
        <v>PEEK</v>
      </c>
      <c r="H114" s="29" t="str">
        <f t="shared" ca="1" si="13"/>
        <v>D25N</v>
      </c>
      <c r="I114" s="51">
        <v>151</v>
      </c>
      <c r="J114" t="s">
        <v>32</v>
      </c>
    </row>
    <row r="115" spans="1:10" ht="22.9" customHeight="1">
      <c r="A115" s="54">
        <v>112</v>
      </c>
      <c r="B115" s="28" t="s">
        <v>322</v>
      </c>
      <c r="C115" s="29" t="str">
        <f t="shared" ca="1" si="8"/>
        <v>1/2" - 24"</v>
      </c>
      <c r="D115" s="29" t="str">
        <f t="shared" ca="1" si="9"/>
        <v>Ball Valve, Reduced Bore</v>
      </c>
      <c r="E115" s="37" t="str">
        <f t="shared" ca="1" si="10"/>
        <v>Flanged ASME B16.5 RF</v>
      </c>
      <c r="F115" s="29" t="str">
        <f t="shared" ca="1" si="11"/>
        <v>Forged - ASTM A182 F53</v>
      </c>
      <c r="G115" s="29" t="str">
        <f t="shared" ca="1" si="12"/>
        <v>PEEK</v>
      </c>
      <c r="H115" s="29" t="str">
        <f t="shared" ca="1" si="13"/>
        <v>D25N</v>
      </c>
      <c r="I115" s="51">
        <v>152</v>
      </c>
      <c r="J115" t="s">
        <v>32</v>
      </c>
    </row>
    <row r="116" spans="1:10" ht="22.9" customHeight="1">
      <c r="A116" s="54">
        <v>113</v>
      </c>
      <c r="B116" s="28" t="s">
        <v>323</v>
      </c>
      <c r="C116" s="29" t="str">
        <f t="shared" ca="1" si="8"/>
        <v>1/2" - 24"</v>
      </c>
      <c r="D116" s="29" t="str">
        <f t="shared" ca="1" si="9"/>
        <v>Ball Valve, Full Bore</v>
      </c>
      <c r="E116" s="37" t="str">
        <f t="shared" ca="1" si="10"/>
        <v>Flanged ASME B16.5 RTJ</v>
      </c>
      <c r="F116" s="29" t="str">
        <f t="shared" ca="1" si="11"/>
        <v>Forged - ASTM A182 F53</v>
      </c>
      <c r="G116" s="29" t="str">
        <f t="shared" ca="1" si="12"/>
        <v>PEEK</v>
      </c>
      <c r="H116" s="29" t="str">
        <f t="shared" ca="1" si="13"/>
        <v>E25N</v>
      </c>
      <c r="I116" s="51">
        <v>153</v>
      </c>
      <c r="J116" t="s">
        <v>32</v>
      </c>
    </row>
    <row r="117" spans="1:10" ht="22.9" customHeight="1">
      <c r="A117" s="54">
        <v>114</v>
      </c>
      <c r="B117" s="28" t="s">
        <v>324</v>
      </c>
      <c r="C117" s="29" t="str">
        <f t="shared" ca="1" si="8"/>
        <v>1/2" - 24"</v>
      </c>
      <c r="D117" s="29" t="str">
        <f t="shared" ca="1" si="9"/>
        <v>Ball Valve, Reduced Bore</v>
      </c>
      <c r="E117" s="37" t="str">
        <f t="shared" ca="1" si="10"/>
        <v>Flanged ASME B16.5 RTJ</v>
      </c>
      <c r="F117" s="29" t="str">
        <f t="shared" ca="1" si="11"/>
        <v>Forged - ASTM A182 F53</v>
      </c>
      <c r="G117" s="29" t="str">
        <f t="shared" ca="1" si="12"/>
        <v>PEEK</v>
      </c>
      <c r="H117" s="29" t="str">
        <f t="shared" ca="1" si="13"/>
        <v>E25N</v>
      </c>
      <c r="I117" s="51">
        <v>154</v>
      </c>
      <c r="J117" t="s">
        <v>32</v>
      </c>
    </row>
    <row r="118" spans="1:10" ht="22.9" customHeight="1">
      <c r="A118" s="54">
        <v>115</v>
      </c>
      <c r="B118" s="28" t="s">
        <v>325</v>
      </c>
      <c r="C118" s="29" t="str">
        <f t="shared" ca="1" si="8"/>
        <v>1/2" - 24"</v>
      </c>
      <c r="D118" s="29" t="str">
        <f t="shared" ca="1" si="9"/>
        <v>Ball Valve, Full Bore</v>
      </c>
      <c r="E118" s="37" t="str">
        <f t="shared" ca="1" si="10"/>
        <v>Flanged ASME B16.5 RTJ / Compact Flange / Hub Connector (As per PMS)</v>
      </c>
      <c r="F118" s="29" t="str">
        <f t="shared" ca="1" si="11"/>
        <v>Forged - ASTM A182 F53</v>
      </c>
      <c r="G118" s="29" t="str">
        <f t="shared" ca="1" si="12"/>
        <v>PEEK</v>
      </c>
      <c r="H118" s="29" t="str">
        <f t="shared" ca="1" si="13"/>
        <v>F25N</v>
      </c>
      <c r="I118" s="51">
        <v>155</v>
      </c>
      <c r="J118" t="s">
        <v>32</v>
      </c>
    </row>
    <row r="119" spans="1:10" ht="22.9" customHeight="1">
      <c r="A119" s="54">
        <v>116</v>
      </c>
      <c r="B119" s="28" t="s">
        <v>326</v>
      </c>
      <c r="C119" s="29" t="str">
        <f t="shared" ca="1" si="8"/>
        <v>1/2" - 24"</v>
      </c>
      <c r="D119" s="29" t="str">
        <f t="shared" ca="1" si="9"/>
        <v>Ball Valve, Reduced Bore</v>
      </c>
      <c r="E119" s="37" t="str">
        <f t="shared" ca="1" si="10"/>
        <v>Flanged ASME B16.5 RTJ / Compact Flange / Hub Connector (As per PMS)</v>
      </c>
      <c r="F119" s="29" t="str">
        <f t="shared" ca="1" si="11"/>
        <v>Forged - ASTM A182 F53</v>
      </c>
      <c r="G119" s="29" t="str">
        <f t="shared" ca="1" si="12"/>
        <v>PEEK</v>
      </c>
      <c r="H119" s="29" t="str">
        <f t="shared" ca="1" si="13"/>
        <v>F25N</v>
      </c>
      <c r="I119" s="51">
        <v>156</v>
      </c>
      <c r="J119" t="s">
        <v>32</v>
      </c>
    </row>
    <row r="120" spans="1:10" ht="22.9" customHeight="1">
      <c r="A120" s="54">
        <v>117</v>
      </c>
      <c r="B120" s="28" t="s">
        <v>327</v>
      </c>
      <c r="C120" s="29" t="str">
        <f t="shared" ca="1" si="8"/>
        <v>1/2" - 24"</v>
      </c>
      <c r="D120" s="29" t="str">
        <f t="shared" ca="1" si="9"/>
        <v>Ball Valve, Full Bore</v>
      </c>
      <c r="E120" s="37" t="str">
        <f t="shared" ca="1" si="10"/>
        <v>Flanged ASME B16.5 RTJ / Compact Flange / Hub Connector (As per PMS)</v>
      </c>
      <c r="F120" s="29" t="str">
        <f t="shared" ca="1" si="11"/>
        <v>Forged - ASTM A182 F53</v>
      </c>
      <c r="G120" s="29" t="str">
        <f t="shared" ca="1" si="12"/>
        <v>PEEK</v>
      </c>
      <c r="H120" s="29" t="str">
        <f t="shared" ca="1" si="13"/>
        <v>G25N</v>
      </c>
      <c r="I120" s="51">
        <v>157</v>
      </c>
      <c r="J120" t="s">
        <v>32</v>
      </c>
    </row>
    <row r="121" spans="1:10" ht="22.9" customHeight="1">
      <c r="A121" s="54">
        <v>118</v>
      </c>
      <c r="B121" s="28" t="s">
        <v>328</v>
      </c>
      <c r="C121" s="29" t="str">
        <f t="shared" ca="1" si="8"/>
        <v>1/2" - 24"</v>
      </c>
      <c r="D121" s="29" t="str">
        <f t="shared" ca="1" si="9"/>
        <v>Ball Valve, Reduced Bore</v>
      </c>
      <c r="E121" s="37" t="str">
        <f t="shared" ca="1" si="10"/>
        <v>Flanged ASME B16.5 RTJ / Compact Flange / Hub Connector (As per PMS)</v>
      </c>
      <c r="F121" s="29" t="str">
        <f t="shared" ca="1" si="11"/>
        <v>Forged - ASTM A182 F53</v>
      </c>
      <c r="G121" s="29" t="str">
        <f t="shared" ca="1" si="12"/>
        <v>PEEK</v>
      </c>
      <c r="H121" s="29" t="str">
        <f t="shared" ca="1" si="13"/>
        <v>G25N</v>
      </c>
      <c r="I121" s="51">
        <v>158</v>
      </c>
      <c r="J121" t="s">
        <v>32</v>
      </c>
    </row>
    <row r="122" spans="1:10" ht="22.9" customHeight="1">
      <c r="A122" s="54">
        <v>119</v>
      </c>
      <c r="B122" s="28" t="s">
        <v>329</v>
      </c>
      <c r="C122" s="29" t="str">
        <f t="shared" ca="1" si="8"/>
        <v>1/2" - 24"</v>
      </c>
      <c r="D122" s="29" t="str">
        <f t="shared" ca="1" si="9"/>
        <v>Ball Valve, Full Bore</v>
      </c>
      <c r="E122" s="37" t="str">
        <f t="shared" ca="1" si="10"/>
        <v>Flanged ASME B16.5 FF</v>
      </c>
      <c r="F122" s="29" t="str">
        <f t="shared" ca="1" si="11"/>
        <v>Monel K500</v>
      </c>
      <c r="G122" s="29" t="str">
        <f t="shared" ca="1" si="12"/>
        <v>Reinforced PTFE</v>
      </c>
      <c r="H122" s="29" t="str">
        <f t="shared" ca="1" si="13"/>
        <v>A30, A40, A41 , A42</v>
      </c>
      <c r="I122" s="51">
        <v>159</v>
      </c>
      <c r="J122" t="s">
        <v>32</v>
      </c>
    </row>
    <row r="123" spans="1:10" ht="22.9" customHeight="1">
      <c r="A123" s="54">
        <v>120</v>
      </c>
      <c r="B123" s="28" t="s">
        <v>330</v>
      </c>
      <c r="C123" s="29" t="str">
        <f t="shared" ca="1" si="8"/>
        <v>1/2" - 24"</v>
      </c>
      <c r="D123" s="29" t="str">
        <f t="shared" ca="1" si="9"/>
        <v>Ball Valve, Reduced Bore</v>
      </c>
      <c r="E123" s="37" t="str">
        <f t="shared" ca="1" si="10"/>
        <v>Flanged ASME B16.5 FF</v>
      </c>
      <c r="F123" s="29" t="str">
        <f t="shared" ca="1" si="11"/>
        <v>Monel K500</v>
      </c>
      <c r="G123" s="29" t="str">
        <f t="shared" ca="1" si="12"/>
        <v>Reinforced PTFE</v>
      </c>
      <c r="H123" s="29" t="str">
        <f t="shared" ca="1" si="13"/>
        <v>A30, A40, A41 , A42</v>
      </c>
      <c r="I123" s="51">
        <v>160</v>
      </c>
      <c r="J123" t="s">
        <v>32</v>
      </c>
    </row>
    <row r="124" spans="1:10" ht="22.9" customHeight="1">
      <c r="A124" s="54">
        <v>121</v>
      </c>
      <c r="B124" s="28" t="s">
        <v>331</v>
      </c>
      <c r="C124" s="29" t="str">
        <f t="shared" ca="1" si="8"/>
        <v>1/2" - 4"</v>
      </c>
      <c r="D124" s="29" t="str">
        <f t="shared" ca="1" si="9"/>
        <v>Ball Valve, Reduced Bore</v>
      </c>
      <c r="E124" s="37" t="str">
        <f t="shared" ca="1" si="10"/>
        <v>Brazed with 100mm Nipples on both sides (for 1 1/2" and below) / Flanged ASME B16.5 FF (for 2" and above)</v>
      </c>
      <c r="F124" s="29" t="str">
        <f t="shared" ca="1" si="11"/>
        <v>Forged - ASTM B124 UNS NO C 37700</v>
      </c>
      <c r="G124" s="29" t="str">
        <f t="shared" ca="1" si="12"/>
        <v>Reinforced PTFE</v>
      </c>
      <c r="H124" s="29" t="str">
        <f t="shared" ca="1" si="13"/>
        <v>A31</v>
      </c>
      <c r="I124" s="51">
        <v>161</v>
      </c>
      <c r="J124" t="s">
        <v>32</v>
      </c>
    </row>
    <row r="125" spans="1:10" ht="22.9" customHeight="1">
      <c r="A125" s="54">
        <v>122</v>
      </c>
      <c r="B125" s="28" t="s">
        <v>332</v>
      </c>
      <c r="C125" s="29" t="str">
        <f t="shared" ca="1" si="8"/>
        <v>1/2" - 4"</v>
      </c>
      <c r="D125" s="29" t="str">
        <f t="shared" ca="1" si="9"/>
        <v>Ball Valve, Full Bore</v>
      </c>
      <c r="E125" s="37" t="str">
        <f t="shared" ca="1" si="10"/>
        <v>Brazed with 100mm Nipples on both sides (for 1 1/2" and below) / Flanged ASME B16.5 FF (for 2" and above)</v>
      </c>
      <c r="F125" s="29" t="str">
        <f t="shared" ca="1" si="11"/>
        <v>Forged - ASTM B124 UNS NO C 37700</v>
      </c>
      <c r="G125" s="29" t="str">
        <f t="shared" ca="1" si="12"/>
        <v>Reinforced PTFE</v>
      </c>
      <c r="H125" s="29" t="str">
        <f t="shared" ca="1" si="13"/>
        <v>A31</v>
      </c>
      <c r="I125" s="51">
        <v>162</v>
      </c>
      <c r="J125" t="s">
        <v>32</v>
      </c>
    </row>
    <row r="126" spans="1:10" ht="22.9" customHeight="1">
      <c r="A126" s="54">
        <v>123</v>
      </c>
      <c r="B126" s="28" t="s">
        <v>333</v>
      </c>
      <c r="C126" s="29" t="str">
        <f t="shared" ca="1" si="8"/>
        <v>1/2" - 1 1/2"</v>
      </c>
      <c r="D126" s="29" t="str">
        <f t="shared" ca="1" si="9"/>
        <v>Ball Valve, Full Bore</v>
      </c>
      <c r="E126" s="37" t="str">
        <f t="shared" ca="1" si="10"/>
        <v>OD Tube Connection / NPT Female</v>
      </c>
      <c r="F126" s="29" t="str">
        <f t="shared" ca="1" si="11"/>
        <v>Forged - ASTM A182-F316L</v>
      </c>
      <c r="G126" s="29" t="str">
        <f t="shared" ca="1" si="12"/>
        <v>PEEK</v>
      </c>
      <c r="H126" s="29" t="str">
        <f t="shared" ca="1" si="13"/>
        <v>T50A, T60A</v>
      </c>
      <c r="I126" s="51">
        <v>163</v>
      </c>
      <c r="J126" t="s">
        <v>32</v>
      </c>
    </row>
    <row r="127" spans="1:10" ht="22.9" customHeight="1">
      <c r="A127" s="54">
        <v>124</v>
      </c>
      <c r="B127" s="28" t="s">
        <v>334</v>
      </c>
      <c r="C127" s="29" t="str">
        <f t="shared" ca="1" si="8"/>
        <v>1/2" - 1 1/2"</v>
      </c>
      <c r="D127" s="29" t="str">
        <f t="shared" ca="1" si="9"/>
        <v>Ball Valve, Full Bore</v>
      </c>
      <c r="E127" s="37" t="str">
        <f t="shared" ca="1" si="10"/>
        <v>OD Tube Connection / NPT Female</v>
      </c>
      <c r="F127" s="29" t="str">
        <f t="shared" ca="1" si="11"/>
        <v>Forged - ASTM A182-F316L</v>
      </c>
      <c r="G127" s="29" t="str">
        <f t="shared" ca="1" si="12"/>
        <v>PEEK</v>
      </c>
      <c r="H127" s="29" t="str">
        <f t="shared" ca="1" si="13"/>
        <v>T50B, T60B</v>
      </c>
      <c r="I127" s="51">
        <v>164</v>
      </c>
      <c r="J127" t="s">
        <v>32</v>
      </c>
    </row>
    <row r="128" spans="1:10" ht="22.9" customHeight="1" thickBot="1">
      <c r="A128" s="55">
        <v>125</v>
      </c>
      <c r="B128" s="32" t="s">
        <v>335</v>
      </c>
      <c r="C128" s="33" t="str">
        <f t="shared" ca="1" si="8"/>
        <v>1/2" - 1 1/2"</v>
      </c>
      <c r="D128" s="33" t="str">
        <f t="shared" ca="1" si="9"/>
        <v>Ball Valve, Full Bore</v>
      </c>
      <c r="E128" s="38" t="str">
        <f t="shared" ca="1" si="10"/>
        <v>OD Tube Connection / NPT Female</v>
      </c>
      <c r="F128" s="33" t="str">
        <f t="shared" ca="1" si="11"/>
        <v>Forged - ASTM A182-F316L</v>
      </c>
      <c r="G128" s="33" t="str">
        <f t="shared" ca="1" si="12"/>
        <v>PEEK</v>
      </c>
      <c r="H128" s="33" t="str">
        <f t="shared" ca="1" si="13"/>
        <v>T50C, T60C</v>
      </c>
      <c r="I128" s="52">
        <v>165</v>
      </c>
      <c r="J128" t="s">
        <v>32</v>
      </c>
    </row>
  </sheetData>
  <phoneticPr fontId="20" type="noConversion"/>
  <hyperlinks>
    <hyperlink ref="B4" location="'BSFA1R'!A1" display="BSFA1R" xr:uid="{7C76622A-53A9-4D1C-9A41-C8D7FA1732D7}"/>
    <hyperlink ref="B5" location="'BSRA1R'!A1" display="BSRA1R" xr:uid="{4AD44DFA-406A-4DC7-B87E-3FC7E83FB24A}"/>
    <hyperlink ref="B6" location="'BSFB1R'!A1" display="BSFB1R" xr:uid="{EB3F0A26-502C-4FFD-B2DB-CD8EB8E8D855}"/>
    <hyperlink ref="B7" location="'BSRB1R'!A1" display="BSRB1R" xr:uid="{A0DD2CB2-1617-49F0-BF46-4320E27053D3}"/>
    <hyperlink ref="B8" location="'BSFD1R'!A1" display="BSFD1R" xr:uid="{644A537A-BA6F-4F9F-949C-6FEA3B9F940F}"/>
    <hyperlink ref="B9" location="'BSRD1R'!A1" display="BSRD1R" xr:uid="{D8C1AF7D-F608-459C-894A-696590480B45}"/>
    <hyperlink ref="B10" location="'BSFE1J'!A1" display="BSFE1J" xr:uid="{AEA43B4F-8A8E-44A7-8580-9DAF45C4B365}"/>
    <hyperlink ref="B11" location="'BSRE1J'!A1" display="BSRE1J" xr:uid="{7E4E6A6A-4AA3-4328-8B97-3BC3FDA9611C}"/>
    <hyperlink ref="B12" location="'BSFF1J'!A1" display="BSFF1J" xr:uid="{5C9C75F6-2DD7-45E0-8F8D-66D688806DFE}"/>
    <hyperlink ref="B13" location="'BSRF1J'!A1" display="BSRF1J" xr:uid="{80DF9989-DD47-4D89-9D93-FD5464B02F07}"/>
    <hyperlink ref="B14" location="'BSFG1J'!A1" display="BSFG1J" xr:uid="{8CC994FD-E920-4790-B1F0-F4C1A129DB9F}"/>
    <hyperlink ref="B15" location="'BSRG1J'!A1" display="BSRG1J" xr:uid="{DF88E50A-6605-4C32-8EC2-59E82D74F233}"/>
    <hyperlink ref="B16" location="'BSFA1NR'!A1" display="BSFA1NR" xr:uid="{C9D5CFE8-DDBC-488A-8E3E-8B4C92AE29A8}"/>
    <hyperlink ref="B17" location="'BSRA1NR'!A1" display="BSRA1NR" xr:uid="{C4DA2AA4-D32E-4362-A1C0-903CD103E14A}"/>
    <hyperlink ref="B18" location="'BSFB1NR'!A1" display="BSFB1NR" xr:uid="{15993BB0-1B89-41D7-A84C-3F95B19201A7}"/>
    <hyperlink ref="B19" location="'BSRB1NR'!A1" display="BSRB1NR" xr:uid="{3F2D1FA4-260E-4735-B52D-DD385EC0E55D}"/>
    <hyperlink ref="B20" location="'BSFD1NR'!A1" display="BSFD1NR" xr:uid="{00D366B1-C6F6-489A-8648-1B65421B2089}"/>
    <hyperlink ref="B21" location="'BSRD1NR'!A1" display="BSRD1NR" xr:uid="{B1B3A5C7-5331-437F-891C-71CF98FF582F}"/>
    <hyperlink ref="B22" location="'BSFE1NJ'!A1" display="BSFE1NJ" xr:uid="{AC60B817-C317-4126-8561-DA5C28B549BC}"/>
    <hyperlink ref="B23" location="'BSRE1NJ'!A1" display="BSRE1NJ" xr:uid="{23AECB4B-B4F3-42B0-A39C-B7468214D5DC}"/>
    <hyperlink ref="B24" location="'BSFF1NJ'!A1" display="BSFF1NJ" xr:uid="{749E7F6B-A911-4D5C-964A-901A3B4B8304}"/>
    <hyperlink ref="B25" location="'BSRF1NJ'!A1" display="BSRF1NJ" xr:uid="{6A1DAB1B-8448-41E7-875D-ADBA88FB6A01}"/>
    <hyperlink ref="B26" location="'BSFG1NJ'!A1" display="BSFG1NJ" xr:uid="{CFA4F662-3A0A-417B-91B7-D0C3B3906870}"/>
    <hyperlink ref="B27" location="'BSRG1NJ'!A1" display="BSRG1NJ" xr:uid="{0B7BC4D4-78A5-4025-86F2-DF9B1CB573D8}"/>
    <hyperlink ref="B28" location="'BSFMG1NJ'!A1" display="BSFMG1NJ" xr:uid="{36FDA522-0BEC-4B2B-944B-044E08C14D6E}"/>
    <hyperlink ref="B29" location="'BSRMG1NJ'!A1" display="BSRMG1NJ" xr:uid="{50F47800-1702-4800-B4D6-43414C9E0D20}"/>
    <hyperlink ref="B30" location="'BSFA2NR'!A1" display="BSFA2NR" xr:uid="{8F818F04-A7F8-4415-A142-74EF16397CD7}"/>
    <hyperlink ref="B31" location="'BSRA2NR'!A1" display="BSRA2NR" xr:uid="{46B9E487-7E4F-40D6-BFBA-D78F440E5A2D}"/>
    <hyperlink ref="B32" location="'BSFB2NR'!A1" display="BSFB2NR" xr:uid="{2AFFE86E-2643-4B9B-9BFF-D08F9F8FA38D}"/>
    <hyperlink ref="B33" location="'BSRB2NR'!A1" display="BSRB2NR" xr:uid="{8D9DAD75-B243-44E0-82A1-21F113CDC3E2}"/>
    <hyperlink ref="B34" location="'BSFD2NR'!A1" display="BSFD2NR" xr:uid="{5FFD928E-A624-45A4-940C-08F5BA56AF19}"/>
    <hyperlink ref="B35" location="'BSRD2NR'!A1" display="BSRD2NR" xr:uid="{76E71094-B840-4D05-8191-FFB250FC02A3}"/>
    <hyperlink ref="B36" location="'BSFE2NJ'!A1" display="BSFE2NJ" xr:uid="{7B102C95-0F59-4A9F-904A-0E28453CBEC9}"/>
    <hyperlink ref="B37" location="'BSRE2NJ'!A1" display="BSRE2NJ" xr:uid="{41110971-2E83-429E-AE52-E1E87C8F0286}"/>
    <hyperlink ref="B38" location="'BSFF2NJ'!A1" display="BSFF2NJ" xr:uid="{0703CCA3-2011-4344-AEDD-2B874500710C}"/>
    <hyperlink ref="B39" location="'BSRF2NJ'!A1" display="BSRF2NJ" xr:uid="{5FEC27E7-5BBB-4FBC-B989-C2B16AC7998A}"/>
    <hyperlink ref="B40" location="'BSFG2NJ'!A1" display="BSFG2NJ" xr:uid="{5DF918AA-4893-412C-B742-BF79BFDAFAF7}"/>
    <hyperlink ref="B41" location="'BSRG2NJ'!A1" display="BSRG2NJ" xr:uid="{8DCE004F-D1FE-4FA5-935D-22BA82A21616}"/>
    <hyperlink ref="B42" location="'BSFA1LNR'!A1" display="BSFA1LNR" xr:uid="{99B3C0D7-E17B-43C6-87D8-B61FDF467C25}"/>
    <hyperlink ref="B43" location="'BSRA1LNR'!A1" display="BSRA1LNR" xr:uid="{CB91D7BB-5DBE-4001-B7EB-72671670F2A4}"/>
    <hyperlink ref="B44" location="'BSFB1LNR'!A1" display="BSFB1LNR" xr:uid="{658266B8-CF42-455B-BA72-F0466D666E6F}"/>
    <hyperlink ref="B45" location="'BSRB1LNR'!A1" display="BSRB1LNR" xr:uid="{040E34A9-111F-4820-9CCC-5538499361B4}"/>
    <hyperlink ref="B46" location="'BSFD1LNR'!A1" display="BSFD1LNR" xr:uid="{42487685-CB2B-4AD8-AD12-39E890059A93}"/>
    <hyperlink ref="B47" location="'BSRD1LNR'!A1" display="BSRD1LNR" xr:uid="{1F04FE1E-AED9-4623-B5B6-B6EC5C059A72}"/>
    <hyperlink ref="B48" location="'BSFE1LNJ'!A1" display="BSFE1LNJ" xr:uid="{0822F8A2-A1FA-4DD9-ABA2-71414D86FD93}"/>
    <hyperlink ref="B49" location="'BSRE1LNJ'!A1" display="BSRE1LNJ" xr:uid="{6B674E37-129D-468D-9019-040F00F7F2DF}"/>
    <hyperlink ref="B50" location="'BSFF1LNJ'!A1" display="BSFF1LNJ" xr:uid="{A3C7DDCC-D874-409A-9725-79FB353D3C14}"/>
    <hyperlink ref="B51" location="'BSRF1LNJ'!A1" display="BSRF1LNJ" xr:uid="{3E17FA65-02F8-4E10-BB07-5E9B702D5947}"/>
    <hyperlink ref="B52" location="'BSFG1LNJ'!A1" display="BSFG1LNJ" xr:uid="{F7BDB988-1287-4C4E-B9C2-B591641227E2}"/>
    <hyperlink ref="B53" location="'BSRG1LNJ'!A1" display="BSRG1LNJ" xr:uid="{A4E06922-80EF-400E-9752-31DA9501FBF9}"/>
    <hyperlink ref="B54" location="'BSFMG1LNJ'!A1" display="BSFMG1LNJ" xr:uid="{52FC7C63-BAA7-4A71-BFC0-2417342D5D2F}"/>
    <hyperlink ref="B55" location="'BSRMG1LNJ'!A1" display="BSRMG1LNJ" xr:uid="{BC1B58B0-0EB3-4FAD-980F-ADC77885C6BE}"/>
    <hyperlink ref="B56" location="'BSFA2LNR'!A1" display="BSFA2LNR" xr:uid="{AD09FC2A-76B9-44F3-88B7-467BA7047F67}"/>
    <hyperlink ref="B57" location="'BSRA2LNR'!A1" display="BSRA2LNR" xr:uid="{7623F0EE-A7A9-4A75-9B1E-4F87EE5A64F6}"/>
    <hyperlink ref="B58" location="'BSFB2LNR'!A1" display="BSFB2LNR" xr:uid="{338E4D50-B19D-48C7-ACD1-21BA4A6EF084}"/>
    <hyperlink ref="B59" location="'BSRB2LNR'!A1" display="BSRB2LNR" xr:uid="{975D745C-8D6A-4F49-86A2-D95CAAD00173}"/>
    <hyperlink ref="B60" location="'BSFD2LNR'!A1" display="BSFD2LNR" xr:uid="{C33E2A09-F7C4-4223-8B04-75F7FF7E0CA7}"/>
    <hyperlink ref="B61" location="'BSRD2LNR'!A1" display="BSRD2LNR" xr:uid="{0FF53EC4-BE05-42AE-8FA7-BF638C2C309F}"/>
    <hyperlink ref="B62" location="'BSFE2LNJ'!A1" display="BSFE2LNJ" xr:uid="{94373943-7580-44A7-A7B8-065E8C194702}"/>
    <hyperlink ref="B63" location="'BSRE2LNJ'!A1" display="BSRE2LNJ" xr:uid="{A091133A-2102-4F9C-8BFE-6A84CB3C9281}"/>
    <hyperlink ref="B64" location="'BSFF2LNJ'!A1" display="BSFF2LNJ" xr:uid="{56E75DC1-DD6E-485B-B602-2DFF5EAA0C63}"/>
    <hyperlink ref="B65" location="'BSRF2LNJ'!A1" display="BSRF2LNJ" xr:uid="{06EA3193-774C-41AE-A8AB-9A469F27C19A}"/>
    <hyperlink ref="B66" location="'BSFG2LNJ'!A1" display="BSFG2LNJ" xr:uid="{AB9DFD0B-E2CC-4F1F-B56E-02B239FC0DE1}"/>
    <hyperlink ref="B67" location="'BSRG2LNJ'!A1" display="BSRG2LNJ" xr:uid="{BCAEBEBA-16C3-4831-AD00-070AD7C1C4D8}"/>
    <hyperlink ref="B68" location="'BSFA10R'!A1" display="BSFA10R" xr:uid="{E9E99C4B-EE78-4343-8F96-B2F0D3038666}"/>
    <hyperlink ref="B69" location="'BSRA10R'!A1" display="BSRA10R" xr:uid="{512BB7E6-06F5-477D-B7B6-28E802959E1F}"/>
    <hyperlink ref="B70" location="'BSFB10R'!A1" display="BSFB10R" xr:uid="{83C380E8-B4B6-44DB-A5AE-6A40CBF8C05A}"/>
    <hyperlink ref="B71" location="'BSRB10R'!A1" display="BSRB10R" xr:uid="{CB8DAE86-ECC4-42BF-82F3-F3DDF0C45A3B}"/>
    <hyperlink ref="B72" location="'BSFD10R'!A1" display="BSFD10R" xr:uid="{4B242A65-9AE8-4724-BBB7-697B3660BF8C}"/>
    <hyperlink ref="B73" location="'BSRD10R'!A1" display="BSRD10R" xr:uid="{44EC149F-4285-4F89-A311-727CD5913264}"/>
    <hyperlink ref="B74" location="'BSFE10J'!A1" display="BSFE10J" xr:uid="{0C813809-A960-4228-BA48-6200D67C5D45}"/>
    <hyperlink ref="B75" location="'BSRE10J'!A1" display="BSRE10J" xr:uid="{6BAF02B1-B193-4A12-BE2E-0C790389534B}"/>
    <hyperlink ref="B76" location="'BSFF10J'!A1" display="BSFF10J" xr:uid="{E96D8477-4A95-4B07-AD1E-4D10614062D2}"/>
    <hyperlink ref="B77" location="'BSRF10J'!A1" display="BSRF10J" xr:uid="{999102E9-DF0E-428C-8178-F6B27AB515A6}"/>
    <hyperlink ref="B78" location="'BSFG10J'!A1" display="BSFG10J" xr:uid="{7E016064-61C0-49D2-89A6-565D232F7201}"/>
    <hyperlink ref="B79" location="'BSRG10J'!A1" display="BSRG10J" xr:uid="{3CFBF85C-9EFE-4652-A6CB-950EBA45556E}"/>
    <hyperlink ref="B80" location="'BSFA10NR'!A1" display="BSFA10NR" xr:uid="{965C0787-0591-444B-8DC4-45E0D517FEDE}"/>
    <hyperlink ref="B81" location="'BSRA10NR'!A1" display="BSRA10NR" xr:uid="{151B718E-33E6-4FC7-AED1-B321D1B65C38}"/>
    <hyperlink ref="B82" location="'BSFB10NR'!A1" display="BSFB10NR" xr:uid="{359165C3-3A6C-40CD-AE6E-886B3C8EE838}"/>
    <hyperlink ref="B83" location="'BSRB10NR'!A1" display="BSRB10NR" xr:uid="{7FCC2492-ECC2-4AED-ACB1-106F3485A967}"/>
    <hyperlink ref="B84" location="'BSFD10NR'!A1" display="BSFD10NR" xr:uid="{DF5A3247-FF2C-47E2-AF33-8CD5B0CAE01C}"/>
    <hyperlink ref="B85" location="'BSRD10NR'!A1" display="BSRD10NR" xr:uid="{EED3F759-1E14-49EB-8E6E-E895FE53BFA2}"/>
    <hyperlink ref="B86" location="'BSFE10NJ'!A1" display="BSFE10NJ" xr:uid="{D1DC02A8-8995-4D56-A113-12CEE498AC97}"/>
    <hyperlink ref="B87" location="'BSRE10NJ'!A1" display="BSRE10NJ" xr:uid="{F046A4C6-4BEE-4EE1-AD3B-0117AAE5B50E}"/>
    <hyperlink ref="B88" location="'BSFF10NJ'!A1" display="BSFF10NJ" xr:uid="{3890F646-D804-4D5D-80A4-FD2A2DB85094}"/>
    <hyperlink ref="B89" location="'BSRF10NJ'!A1" display="BSRF10NJ" xr:uid="{8807001A-19A0-4E5C-BCA2-71B2AEBB48D6}"/>
    <hyperlink ref="B90" location="'BSFG10NJ'!A1" display="BSFG10NJ" xr:uid="{22F0705E-5DFB-470B-A734-7C32C9DB212F}"/>
    <hyperlink ref="B91" location="'BSRG10NJ'!A1" display="BSRG10NJ" xr:uid="{62F2A365-4318-4038-96C2-425749082E70}"/>
    <hyperlink ref="B92" location="'BSFA20NR'!A1" display="BSFA20NR" xr:uid="{6DEA9249-9B7B-417C-ADA0-DEA26B916B31}"/>
    <hyperlink ref="B93" location="'BSRA20NR'!A1" display="BSRA20NR" xr:uid="{DCED4257-BB0F-498A-8937-338941BE233D}"/>
    <hyperlink ref="B94" location="'BSFB20NR'!A1" display="BSFB20NR" xr:uid="{AA4E6B15-FA03-4F82-AC53-B175154DD1C8}"/>
    <hyperlink ref="B95" location="'BSRB20NR'!A1" display="BSRB20NR" xr:uid="{37A28ED5-F134-4E07-9DC3-C6AFB1AF6424}"/>
    <hyperlink ref="B96" location="'BSFD20NR'!A1" display="BSFD20NR" xr:uid="{695FE137-A34C-48D2-AE45-637C5614502D}"/>
    <hyperlink ref="B97" location="'BSRD20NR'!A1" display="BSRD20NR" xr:uid="{75E3A1FB-2CFE-45D8-AB4D-C041A8F89F2E}"/>
    <hyperlink ref="B98" location="'BSFE20NJ'!A1" display="BSFE20NJ" xr:uid="{F6E38FEB-BCDD-42AF-83DC-012CE7FDF568}"/>
    <hyperlink ref="B99" location="'BSRE20NJ'!A1" display="BSRE20NJ" xr:uid="{E5591793-0FA5-488B-A1AE-4427FD80A12F}"/>
    <hyperlink ref="B100" location="'BSFF20NJ'!A1" display="BSFF20NJ" xr:uid="{82E330C9-D615-4FD9-8642-DC9E98539EBA}"/>
    <hyperlink ref="B101" location="'BSRF20NJ'!A1" display="BSRF20NJ" xr:uid="{DE49B881-C833-46F9-9510-EEA32230DAA4}"/>
    <hyperlink ref="B102" location="'BSFG20NJ'!A1" display="BSFG20NJ" xr:uid="{88F8BD6D-58C5-4ED9-AA7A-0016CA548FD8}"/>
    <hyperlink ref="B103" location="'BSRG20NJ'!A1" display="BSRG20NJ" xr:uid="{4AEFD8EA-993D-41D1-8602-D91FAC92AD94}"/>
    <hyperlink ref="B104" location="'BSFMG20NJ'!A1" display="BSFMG20NJ" xr:uid="{D7D6BD84-9349-4966-B45E-2244ACD6BC45}"/>
    <hyperlink ref="B105" location="'BSRMG20NJ'!A1" display="BSRMG20NJ" xr:uid="{F6EFCBB5-B76F-4A3B-9ABB-3FFE76A3BE79}"/>
    <hyperlink ref="B106" location="'BSFA25R'!A1" display="BSFA25R" xr:uid="{BEAA7175-E05F-4F9A-B001-6328F7D08C4C}"/>
    <hyperlink ref="B107" location="'BSRA25R'!A1" display="BSRA25R" xr:uid="{A5E86680-7C4A-409F-96FD-84F39036474D}"/>
    <hyperlink ref="B108" location="'BSFG25R'!A1" display="BSFG25R" xr:uid="{9FC09537-3218-458B-92A3-134B08CD159E}"/>
    <hyperlink ref="B109" location="'BSRG25R'!A1" display="BSRG25R" xr:uid="{F465EA41-2F2F-4961-B174-EFA3E753A057}"/>
    <hyperlink ref="B110" location="'BSFA25NR'!A1" display="BSFA25NR" xr:uid="{40459B4B-6601-48AE-B9FD-10BC80E1CFDC}"/>
    <hyperlink ref="B111" location="'BSRA25NR'!A1" display="BSRA25NR" xr:uid="{AED10E31-354B-4D4F-9CAE-51A2174AD5E8}"/>
    <hyperlink ref="B112" location="'BSFB25NR'!A1" display="BSFB25NR" xr:uid="{D7D5FDC2-AFD6-4383-A094-7712FF11E10A}"/>
    <hyperlink ref="B113" location="'BSRB25NR'!A1" display="BSRB25NR" xr:uid="{F8F01A16-85F4-48B3-AE15-DC1C23FDD6A1}"/>
    <hyperlink ref="B114" location="'BSFD25NR'!A1" display="BSFD25NR" xr:uid="{E4FEA308-9C23-4C15-B476-2BD91C54EBBE}"/>
    <hyperlink ref="B115" location="'BSRD25NR'!A1" display="BSRD25NR" xr:uid="{9DFC4185-4377-4BC8-84B5-7E343841FA30}"/>
    <hyperlink ref="B116" location="'BSFE25NR'!A1" display="BSFE25NR" xr:uid="{1542207D-820B-42B9-9047-AB314FAB0BB7}"/>
    <hyperlink ref="B117" location="'BSRE25NR'!A1" display="BSRE25NR" xr:uid="{5C40F2D4-23F2-4E71-B9BB-42A12D2CB3E5}"/>
    <hyperlink ref="B118" location="'BSFF25NR'!A1" display="BSFF25NR" xr:uid="{F6FC8733-BF2D-4E3D-AB2B-C937CF8DC8CD}"/>
    <hyperlink ref="B119" location="'BSRF25NR'!A1" display="BSRF25NR" xr:uid="{8C99E12C-5E60-4178-88B6-6AAC6B7814B8}"/>
    <hyperlink ref="B120" location="'BSFG25NR'!A1" display="BSFG25NR" xr:uid="{559DFC7D-0E93-40D1-85D2-157529D0ECCD}"/>
    <hyperlink ref="B121" location="'BSRG25NR'!A1" display="BSRG25NR" xr:uid="{93431300-64CC-4C91-9795-FACDF5548159}"/>
    <hyperlink ref="B122" location="'BSFA30F'!A1" display="BSFA30F" xr:uid="{9771065E-042B-4653-8E2A-CE980A6C9ED9}"/>
    <hyperlink ref="B123" location="'BSRA30F'!A1" display="BSRA30F" xr:uid="{C01A4373-2B31-4FB6-AC2D-298D3BB42B67}"/>
    <hyperlink ref="B124" location="'BSRA31F'!A1" display="BSRA31F" xr:uid="{A08F12D8-1EC6-4E89-96C8-5CB26439DDA0}"/>
    <hyperlink ref="B125" location="'BSFA31F'!A1" display="BSFA31F" xr:uid="{1D58D5F5-8456-425E-AEEE-7731A995D54B}"/>
    <hyperlink ref="B126" location="'BSFT50AJ'!A1" display="BSFT50AJ" xr:uid="{74C1E2A5-AABA-45DF-A437-02DABBAF4812}"/>
    <hyperlink ref="B127" location="'BSFT50BJ'!A1" display="BSFT50BJ" xr:uid="{0DE9786A-0C0F-4ABF-A67E-A6F55CE1E63B}"/>
    <hyperlink ref="B128" location="'BSFT50CJ'!A1" display="BSFT50CJ" xr:uid="{AA69D271-1224-4BBE-AC80-5DE7C8E3ED61}"/>
  </hyperlinks>
  <pageMargins left="0.70866141732283472" right="0.70866141732283472" top="0.74803149606299213" bottom="0.74803149606299213" header="0.31496062992125984" footer="0.31496062992125984"/>
  <pageSetup paperSize="8" scale="54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E40F2-3962-42A0-8343-5900193204A0}">
  <sheetPr codeName="Sheet9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41</v>
      </c>
    </row>
    <row r="4" spans="1:5">
      <c r="A4" s="83" t="s">
        <v>341</v>
      </c>
      <c r="B4" s="84"/>
      <c r="C4" s="2" t="s">
        <v>31</v>
      </c>
      <c r="D4" s="85" t="s">
        <v>342</v>
      </c>
      <c r="E4" s="85"/>
    </row>
    <row r="5" spans="1:5">
      <c r="A5" s="72" t="s">
        <v>7</v>
      </c>
      <c r="B5" s="73"/>
      <c r="C5" s="3" t="s">
        <v>24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 ht="24">
      <c r="A8" s="72" t="s">
        <v>345</v>
      </c>
      <c r="B8" s="73"/>
      <c r="C8" s="3" t="s">
        <v>346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19.6 @ -29°C,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404</v>
      </c>
      <c r="D38" s="61"/>
      <c r="E38" s="61"/>
    </row>
    <row r="39" spans="1:5">
      <c r="A39" s="61" t="s">
        <v>405</v>
      </c>
      <c r="B39" s="61"/>
      <c r="C39" s="3" t="s">
        <v>406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78" priority="1"/>
  </conditionalFormatting>
  <conditionalFormatting sqref="B29">
    <cfRule type="duplicateValues" dxfId="877" priority="6"/>
  </conditionalFormatting>
  <conditionalFormatting sqref="B30">
    <cfRule type="duplicateValues" dxfId="876" priority="2"/>
  </conditionalFormatting>
  <conditionalFormatting sqref="B37">
    <cfRule type="duplicateValues" dxfId="875" priority="3"/>
  </conditionalFormatting>
  <conditionalFormatting sqref="B39">
    <cfRule type="duplicateValues" dxfId="874" priority="5"/>
  </conditionalFormatting>
  <conditionalFormatting sqref="B40">
    <cfRule type="duplicateValues" dxfId="873" priority="4"/>
  </conditionalFormatting>
  <conditionalFormatting sqref="B54:B1048576 B12:B16 B4:B10 B31:B36 B41:B45 B38 B18:B28">
    <cfRule type="duplicateValues" dxfId="872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941A-7252-4782-ADD8-C61439A07EA9}">
  <sheetPr codeName="Sheet1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42</v>
      </c>
    </row>
    <row r="4" spans="1:5">
      <c r="A4" s="83" t="s">
        <v>341</v>
      </c>
      <c r="B4" s="84"/>
      <c r="C4" s="2" t="s">
        <v>38</v>
      </c>
      <c r="D4" s="85" t="s">
        <v>342</v>
      </c>
      <c r="E4" s="85"/>
    </row>
    <row r="5" spans="1:5">
      <c r="A5" s="72" t="s">
        <v>7</v>
      </c>
      <c r="B5" s="73"/>
      <c r="C5" s="3" t="s">
        <v>24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 ht="24">
      <c r="A8" s="72" t="s">
        <v>345</v>
      </c>
      <c r="B8" s="73"/>
      <c r="C8" s="3" t="s">
        <v>346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19.6 @ -29°C,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404</v>
      </c>
      <c r="D38" s="61"/>
      <c r="E38" s="61"/>
    </row>
    <row r="39" spans="1:5">
      <c r="A39" s="61" t="s">
        <v>405</v>
      </c>
      <c r="B39" s="61"/>
      <c r="C39" s="3" t="s">
        <v>406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71" priority="1"/>
  </conditionalFormatting>
  <conditionalFormatting sqref="B29">
    <cfRule type="duplicateValues" dxfId="870" priority="6"/>
  </conditionalFormatting>
  <conditionalFormatting sqref="B30">
    <cfRule type="duplicateValues" dxfId="869" priority="2"/>
  </conditionalFormatting>
  <conditionalFormatting sqref="B37">
    <cfRule type="duplicateValues" dxfId="868" priority="3"/>
  </conditionalFormatting>
  <conditionalFormatting sqref="B39">
    <cfRule type="duplicateValues" dxfId="867" priority="5"/>
  </conditionalFormatting>
  <conditionalFormatting sqref="B40">
    <cfRule type="duplicateValues" dxfId="866" priority="4"/>
  </conditionalFormatting>
  <conditionalFormatting sqref="B54:B1048576 B12:B16 B4:B10 B31:B36 B41:B45 B38 B18:B28">
    <cfRule type="duplicateValues" dxfId="865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05008-F118-47C8-887A-5BAD61CFCBAC}">
  <sheetPr codeName="Sheet14">
    <tabColor rgb="FFFFFF00"/>
    <pageSetUpPr fitToPage="1"/>
  </sheetPr>
  <dimension ref="A1:E53"/>
  <sheetViews>
    <sheetView topLeftCell="A31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43</v>
      </c>
    </row>
    <row r="4" spans="1:5">
      <c r="A4" s="83" t="s">
        <v>341</v>
      </c>
      <c r="B4" s="84"/>
      <c r="C4" s="2" t="s">
        <v>43</v>
      </c>
      <c r="D4" s="85" t="s">
        <v>342</v>
      </c>
      <c r="E4" s="85"/>
    </row>
    <row r="5" spans="1:5">
      <c r="A5" s="72" t="s">
        <v>7</v>
      </c>
      <c r="B5" s="73"/>
      <c r="C5" s="3" t="s">
        <v>33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 ht="24">
      <c r="A8" s="72" t="s">
        <v>345</v>
      </c>
      <c r="B8" s="73"/>
      <c r="C8" s="3" t="s">
        <v>423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51.1 @ -29°C, 43.8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427</v>
      </c>
      <c r="D38" s="61"/>
      <c r="E38" s="61"/>
    </row>
    <row r="39" spans="1:5">
      <c r="A39" s="61" t="s">
        <v>405</v>
      </c>
      <c r="B39" s="61"/>
      <c r="C39" s="3" t="s">
        <v>428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64" priority="1"/>
  </conditionalFormatting>
  <conditionalFormatting sqref="B29">
    <cfRule type="duplicateValues" dxfId="863" priority="6"/>
  </conditionalFormatting>
  <conditionalFormatting sqref="B30">
    <cfRule type="duplicateValues" dxfId="862" priority="2"/>
  </conditionalFormatting>
  <conditionalFormatting sqref="B37">
    <cfRule type="duplicateValues" dxfId="861" priority="3"/>
  </conditionalFormatting>
  <conditionalFormatting sqref="B39">
    <cfRule type="duplicateValues" dxfId="860" priority="5"/>
  </conditionalFormatting>
  <conditionalFormatting sqref="B40">
    <cfRule type="duplicateValues" dxfId="859" priority="4"/>
  </conditionalFormatting>
  <conditionalFormatting sqref="B54:B1048576 B12:B16 B4:B10 B31:B36 B41:B45 B38 B18:B28">
    <cfRule type="duplicateValues" dxfId="85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D76AC-D285-467B-9C5A-8DBD822CB272}">
  <sheetPr codeName="Sheet1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44</v>
      </c>
    </row>
    <row r="4" spans="1:5">
      <c r="A4" s="83" t="s">
        <v>341</v>
      </c>
      <c r="B4" s="84"/>
      <c r="C4" s="2" t="s">
        <v>49</v>
      </c>
      <c r="D4" s="85" t="s">
        <v>342</v>
      </c>
      <c r="E4" s="85"/>
    </row>
    <row r="5" spans="1:5">
      <c r="A5" s="72" t="s">
        <v>7</v>
      </c>
      <c r="B5" s="73"/>
      <c r="C5" s="3" t="s">
        <v>33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 ht="24">
      <c r="A8" s="72" t="s">
        <v>345</v>
      </c>
      <c r="B8" s="73"/>
      <c r="C8" s="3" t="s">
        <v>423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51.1 @ -29°C, 43.8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427</v>
      </c>
      <c r="D38" s="61"/>
      <c r="E38" s="61"/>
    </row>
    <row r="39" spans="1:5">
      <c r="A39" s="61" t="s">
        <v>405</v>
      </c>
      <c r="B39" s="61"/>
      <c r="C39" s="3" t="s">
        <v>428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57" priority="1"/>
  </conditionalFormatting>
  <conditionalFormatting sqref="B29">
    <cfRule type="duplicateValues" dxfId="856" priority="6"/>
  </conditionalFormatting>
  <conditionalFormatting sqref="B30">
    <cfRule type="duplicateValues" dxfId="855" priority="2"/>
  </conditionalFormatting>
  <conditionalFormatting sqref="B37">
    <cfRule type="duplicateValues" dxfId="854" priority="3"/>
  </conditionalFormatting>
  <conditionalFormatting sqref="B39">
    <cfRule type="duplicateValues" dxfId="853" priority="5"/>
  </conditionalFormatting>
  <conditionalFormatting sqref="B40">
    <cfRule type="duplicateValues" dxfId="852" priority="4"/>
  </conditionalFormatting>
  <conditionalFormatting sqref="B54:B1048576 B12:B16 B4:B10 B31:B36 B41:B45 B38 B18:B28">
    <cfRule type="duplicateValues" dxfId="851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56A1-0F8B-457D-9C87-DDAD7BCFDC37}">
  <sheetPr codeName="Sheet1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45</v>
      </c>
    </row>
    <row r="4" spans="1:5">
      <c r="A4" s="83" t="s">
        <v>341</v>
      </c>
      <c r="B4" s="84"/>
      <c r="C4" s="2" t="s">
        <v>54</v>
      </c>
      <c r="D4" s="85" t="s">
        <v>342</v>
      </c>
      <c r="E4" s="85"/>
    </row>
    <row r="5" spans="1:5">
      <c r="A5" s="72" t="s">
        <v>7</v>
      </c>
      <c r="B5" s="73"/>
      <c r="C5" s="3" t="s">
        <v>39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 ht="24">
      <c r="A8" s="72" t="s">
        <v>345</v>
      </c>
      <c r="B8" s="73"/>
      <c r="C8" s="3" t="s">
        <v>423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102.1 @ -29°C, 87.6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434</v>
      </c>
      <c r="D38" s="61"/>
      <c r="E38" s="61"/>
    </row>
    <row r="39" spans="1:5">
      <c r="A39" s="61" t="s">
        <v>405</v>
      </c>
      <c r="B39" s="61"/>
      <c r="C39" s="3" t="s">
        <v>435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50" priority="1"/>
  </conditionalFormatting>
  <conditionalFormatting sqref="B29">
    <cfRule type="duplicateValues" dxfId="849" priority="6"/>
  </conditionalFormatting>
  <conditionalFormatting sqref="B30">
    <cfRule type="duplicateValues" dxfId="848" priority="2"/>
  </conditionalFormatting>
  <conditionalFormatting sqref="B37">
    <cfRule type="duplicateValues" dxfId="847" priority="3"/>
  </conditionalFormatting>
  <conditionalFormatting sqref="B39">
    <cfRule type="duplicateValues" dxfId="846" priority="5"/>
  </conditionalFormatting>
  <conditionalFormatting sqref="B40">
    <cfRule type="duplicateValues" dxfId="845" priority="4"/>
  </conditionalFormatting>
  <conditionalFormatting sqref="B54:B1048576 B12:B16 B4:B10 B31:B36 B41:B45 B38 B18:B28">
    <cfRule type="duplicateValues" dxfId="84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A5A1E-3710-470B-92E5-594AA6904188}">
  <sheetPr codeName="Sheet1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46</v>
      </c>
    </row>
    <row r="4" spans="1:5">
      <c r="A4" s="83" t="s">
        <v>341</v>
      </c>
      <c r="B4" s="84"/>
      <c r="C4" s="2" t="s">
        <v>60</v>
      </c>
      <c r="D4" s="85" t="s">
        <v>342</v>
      </c>
      <c r="E4" s="85"/>
    </row>
    <row r="5" spans="1:5">
      <c r="A5" s="72" t="s">
        <v>7</v>
      </c>
      <c r="B5" s="73"/>
      <c r="C5" s="3" t="s">
        <v>39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 ht="24">
      <c r="A8" s="72" t="s">
        <v>345</v>
      </c>
      <c r="B8" s="73"/>
      <c r="C8" s="3" t="s">
        <v>423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102.1 @ -29°C, 87.6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434</v>
      </c>
      <c r="D38" s="61"/>
      <c r="E38" s="61"/>
    </row>
    <row r="39" spans="1:5">
      <c r="A39" s="61" t="s">
        <v>405</v>
      </c>
      <c r="B39" s="61"/>
      <c r="C39" s="3" t="s">
        <v>435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43" priority="1"/>
  </conditionalFormatting>
  <conditionalFormatting sqref="B29">
    <cfRule type="duplicateValues" dxfId="842" priority="6"/>
  </conditionalFormatting>
  <conditionalFormatting sqref="B30">
    <cfRule type="duplicateValues" dxfId="841" priority="2"/>
  </conditionalFormatting>
  <conditionalFormatting sqref="B37">
    <cfRule type="duplicateValues" dxfId="840" priority="3"/>
  </conditionalFormatting>
  <conditionalFormatting sqref="B39">
    <cfRule type="duplicateValues" dxfId="839" priority="5"/>
  </conditionalFormatting>
  <conditionalFormatting sqref="B40">
    <cfRule type="duplicateValues" dxfId="838" priority="4"/>
  </conditionalFormatting>
  <conditionalFormatting sqref="B54:B1048576 B12:B16 B4:B10 B31:B36 B41:B45 B38 B18:B28">
    <cfRule type="duplicateValues" dxfId="83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23708-4B75-4CEF-BFAE-764B1C25A7A2}">
  <sheetPr codeName="Sheet18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47</v>
      </c>
    </row>
    <row r="4" spans="1:5">
      <c r="A4" s="83" t="s">
        <v>341</v>
      </c>
      <c r="B4" s="84"/>
      <c r="C4" s="2" t="s">
        <v>65</v>
      </c>
      <c r="D4" s="85" t="s">
        <v>342</v>
      </c>
      <c r="E4" s="85"/>
    </row>
    <row r="5" spans="1:5">
      <c r="A5" s="72" t="s">
        <v>7</v>
      </c>
      <c r="B5" s="73"/>
      <c r="C5" s="3" t="s">
        <v>44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436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153.2 @ -29°C, 131.4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442</v>
      </c>
      <c r="D38" s="61"/>
      <c r="E38" s="61"/>
    </row>
    <row r="39" spans="1:5">
      <c r="A39" s="61" t="s">
        <v>405</v>
      </c>
      <c r="B39" s="61"/>
      <c r="C39" s="3" t="s">
        <v>443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36" priority="1"/>
  </conditionalFormatting>
  <conditionalFormatting sqref="B29">
    <cfRule type="duplicateValues" dxfId="835" priority="6"/>
  </conditionalFormatting>
  <conditionalFormatting sqref="B30">
    <cfRule type="duplicateValues" dxfId="834" priority="2"/>
  </conditionalFormatting>
  <conditionalFormatting sqref="B37">
    <cfRule type="duplicateValues" dxfId="833" priority="3"/>
  </conditionalFormatting>
  <conditionalFormatting sqref="B39">
    <cfRule type="duplicateValues" dxfId="832" priority="5"/>
  </conditionalFormatting>
  <conditionalFormatting sqref="B40">
    <cfRule type="duplicateValues" dxfId="831" priority="4"/>
  </conditionalFormatting>
  <conditionalFormatting sqref="B54:B1048576 B12:B16 B4:B10 B31:B36 B41:B45 B38 B18:B28">
    <cfRule type="duplicateValues" dxfId="830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7EDE5-F03A-46CD-971B-584BF84C44BA}">
  <sheetPr codeName="Sheet19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48</v>
      </c>
    </row>
    <row r="4" spans="1:5">
      <c r="A4" s="83" t="s">
        <v>341</v>
      </c>
      <c r="B4" s="84"/>
      <c r="C4" s="2" t="s">
        <v>68</v>
      </c>
      <c r="D4" s="85" t="s">
        <v>342</v>
      </c>
      <c r="E4" s="85"/>
    </row>
    <row r="5" spans="1:5">
      <c r="A5" s="72" t="s">
        <v>7</v>
      </c>
      <c r="B5" s="73"/>
      <c r="C5" s="3" t="s">
        <v>44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436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153.2 @ -29°C, 131.4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442</v>
      </c>
      <c r="D38" s="61"/>
      <c r="E38" s="61"/>
    </row>
    <row r="39" spans="1:5">
      <c r="A39" s="61" t="s">
        <v>405</v>
      </c>
      <c r="B39" s="61"/>
      <c r="C39" s="3" t="s">
        <v>443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29" priority="1"/>
  </conditionalFormatting>
  <conditionalFormatting sqref="B29">
    <cfRule type="duplicateValues" dxfId="828" priority="6"/>
  </conditionalFormatting>
  <conditionalFormatting sqref="B30">
    <cfRule type="duplicateValues" dxfId="827" priority="2"/>
  </conditionalFormatting>
  <conditionalFormatting sqref="B37">
    <cfRule type="duplicateValues" dxfId="826" priority="3"/>
  </conditionalFormatting>
  <conditionalFormatting sqref="B39">
    <cfRule type="duplicateValues" dxfId="825" priority="5"/>
  </conditionalFormatting>
  <conditionalFormatting sqref="B40">
    <cfRule type="duplicateValues" dxfId="824" priority="4"/>
  </conditionalFormatting>
  <conditionalFormatting sqref="B54:B1048576 B12:B16 B4:B10 B31:B36 B41:B45 B38 B18:B28">
    <cfRule type="duplicateValues" dxfId="82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088B3-52BB-4A5C-8302-E3B699D0CD9D}">
  <sheetPr codeName="Sheet20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49</v>
      </c>
    </row>
    <row r="4" spans="1:5">
      <c r="A4" s="83" t="s">
        <v>341</v>
      </c>
      <c r="B4" s="84"/>
      <c r="C4" s="2" t="s">
        <v>71</v>
      </c>
      <c r="D4" s="85" t="s">
        <v>342</v>
      </c>
      <c r="E4" s="85"/>
    </row>
    <row r="5" spans="1:5">
      <c r="A5" s="72" t="s">
        <v>7</v>
      </c>
      <c r="B5" s="73"/>
      <c r="C5" s="3" t="s">
        <v>50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436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255.3 @ -29°C, 219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446</v>
      </c>
      <c r="D38" s="61"/>
      <c r="E38" s="61"/>
    </row>
    <row r="39" spans="1:5">
      <c r="A39" s="61" t="s">
        <v>405</v>
      </c>
      <c r="B39" s="61"/>
      <c r="C39" s="3" t="s">
        <v>447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22" priority="1"/>
  </conditionalFormatting>
  <conditionalFormatting sqref="B29">
    <cfRule type="duplicateValues" dxfId="821" priority="6"/>
  </conditionalFormatting>
  <conditionalFormatting sqref="B30">
    <cfRule type="duplicateValues" dxfId="820" priority="2"/>
  </conditionalFormatting>
  <conditionalFormatting sqref="B37">
    <cfRule type="duplicateValues" dxfId="819" priority="3"/>
  </conditionalFormatting>
  <conditionalFormatting sqref="B39">
    <cfRule type="duplicateValues" dxfId="818" priority="5"/>
  </conditionalFormatting>
  <conditionalFormatting sqref="B40">
    <cfRule type="duplicateValues" dxfId="817" priority="4"/>
  </conditionalFormatting>
  <conditionalFormatting sqref="B54:B1048576 B12:B16 B4:B10 B31:B36 B41:B45 B38 B18:B28">
    <cfRule type="duplicateValues" dxfId="816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970C-B53F-4509-8972-77D4857AB32B}">
  <sheetPr codeName="Sheet21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50</v>
      </c>
    </row>
    <row r="4" spans="1:5">
      <c r="A4" s="83" t="s">
        <v>341</v>
      </c>
      <c r="B4" s="84"/>
      <c r="C4" s="2" t="s">
        <v>74</v>
      </c>
      <c r="D4" s="85" t="s">
        <v>342</v>
      </c>
      <c r="E4" s="85"/>
    </row>
    <row r="5" spans="1:5">
      <c r="A5" s="72" t="s">
        <v>7</v>
      </c>
      <c r="B5" s="73"/>
      <c r="C5" s="3" t="s">
        <v>50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436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255.3 @ -29°C, 219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446</v>
      </c>
      <c r="D38" s="61"/>
      <c r="E38" s="61"/>
    </row>
    <row r="39" spans="1:5">
      <c r="A39" s="61" t="s">
        <v>405</v>
      </c>
      <c r="B39" s="61"/>
      <c r="C39" s="3" t="s">
        <v>447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15" priority="1"/>
  </conditionalFormatting>
  <conditionalFormatting sqref="B29">
    <cfRule type="duplicateValues" dxfId="814" priority="6"/>
  </conditionalFormatting>
  <conditionalFormatting sqref="B30">
    <cfRule type="duplicateValues" dxfId="813" priority="2"/>
  </conditionalFormatting>
  <conditionalFormatting sqref="B37">
    <cfRule type="duplicateValues" dxfId="812" priority="3"/>
  </conditionalFormatting>
  <conditionalFormatting sqref="B39">
    <cfRule type="duplicateValues" dxfId="811" priority="5"/>
  </conditionalFormatting>
  <conditionalFormatting sqref="B40">
    <cfRule type="duplicateValues" dxfId="810" priority="4"/>
  </conditionalFormatting>
  <conditionalFormatting sqref="B54:B1048576 B12:B16 B4:B10 B31:B36 B41:B45 B38 B18:B28">
    <cfRule type="duplicateValues" dxfId="809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48B89-0D85-4CA2-BAA2-00D5BD49504D}">
  <sheetPr codeName="Sheet22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51</v>
      </c>
    </row>
    <row r="4" spans="1:5">
      <c r="A4" s="83" t="s">
        <v>341</v>
      </c>
      <c r="B4" s="84"/>
      <c r="C4" s="2" t="s">
        <v>76</v>
      </c>
      <c r="D4" s="85" t="s">
        <v>342</v>
      </c>
      <c r="E4" s="85"/>
    </row>
    <row r="5" spans="1:5">
      <c r="A5" s="72" t="s">
        <v>7</v>
      </c>
      <c r="B5" s="73"/>
      <c r="C5" s="3" t="s">
        <v>55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448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08" priority="1"/>
  </conditionalFormatting>
  <conditionalFormatting sqref="B29">
    <cfRule type="duplicateValues" dxfId="807" priority="6"/>
  </conditionalFormatting>
  <conditionalFormatting sqref="B30">
    <cfRule type="duplicateValues" dxfId="806" priority="2"/>
  </conditionalFormatting>
  <conditionalFormatting sqref="B37">
    <cfRule type="duplicateValues" dxfId="805" priority="3"/>
  </conditionalFormatting>
  <conditionalFormatting sqref="B39">
    <cfRule type="duplicateValues" dxfId="804" priority="5"/>
  </conditionalFormatting>
  <conditionalFormatting sqref="B40">
    <cfRule type="duplicateValues" dxfId="803" priority="4"/>
  </conditionalFormatting>
  <conditionalFormatting sqref="B54:B1048576 B12:B16 B4:B10 B31:B36 B41:B45 B38 B18:B28">
    <cfRule type="duplicateValues" dxfId="802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5F700-B9E5-4A07-BF9B-1B75EC943CED}">
  <sheetPr codeName="Sheet23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52</v>
      </c>
    </row>
    <row r="4" spans="1:5">
      <c r="A4" s="83" t="s">
        <v>341</v>
      </c>
      <c r="B4" s="84"/>
      <c r="C4" s="2" t="s">
        <v>78</v>
      </c>
      <c r="D4" s="85" t="s">
        <v>342</v>
      </c>
      <c r="E4" s="85"/>
    </row>
    <row r="5" spans="1:5">
      <c r="A5" s="72" t="s">
        <v>7</v>
      </c>
      <c r="B5" s="73"/>
      <c r="C5" s="3" t="s">
        <v>55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448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372</v>
      </c>
      <c r="D22" s="61"/>
      <c r="E22" s="61"/>
    </row>
    <row r="23" spans="1:5">
      <c r="A23" s="61"/>
      <c r="B23" s="4" t="s">
        <v>373</v>
      </c>
      <c r="C23" s="3" t="s">
        <v>374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380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01" priority="1"/>
  </conditionalFormatting>
  <conditionalFormatting sqref="B29">
    <cfRule type="duplicateValues" dxfId="800" priority="6"/>
  </conditionalFormatting>
  <conditionalFormatting sqref="B30">
    <cfRule type="duplicateValues" dxfId="799" priority="2"/>
  </conditionalFormatting>
  <conditionalFormatting sqref="B37">
    <cfRule type="duplicateValues" dxfId="798" priority="3"/>
  </conditionalFormatting>
  <conditionalFormatting sqref="B39">
    <cfRule type="duplicateValues" dxfId="797" priority="5"/>
  </conditionalFormatting>
  <conditionalFormatting sqref="B40">
    <cfRule type="duplicateValues" dxfId="796" priority="4"/>
  </conditionalFormatting>
  <conditionalFormatting sqref="B54:B1048576 B12:B16 B4:B10 B31:B36 B41:B45 B38 B18:B28">
    <cfRule type="duplicateValues" dxfId="795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E0ABE-CCF4-4A66-8EFC-77BB9260B07A}">
  <sheetPr codeName="Sheet24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53</v>
      </c>
    </row>
    <row r="4" spans="1:5">
      <c r="A4" s="83" t="s">
        <v>341</v>
      </c>
      <c r="B4" s="84"/>
      <c r="C4" s="2" t="s">
        <v>82</v>
      </c>
      <c r="D4" s="85" t="s">
        <v>342</v>
      </c>
      <c r="E4" s="85"/>
    </row>
    <row r="5" spans="1:5">
      <c r="A5" s="72" t="s">
        <v>7</v>
      </c>
      <c r="B5" s="73"/>
      <c r="C5" s="3" t="s">
        <v>61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19.6 @ -29°C, 13.8 @ 250°C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404</v>
      </c>
      <c r="D38" s="61"/>
      <c r="E38" s="61"/>
    </row>
    <row r="39" spans="1:5">
      <c r="A39" s="61" t="s">
        <v>405</v>
      </c>
      <c r="B39" s="61"/>
      <c r="C39" s="3" t="s">
        <v>406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94" priority="1"/>
  </conditionalFormatting>
  <conditionalFormatting sqref="B29">
    <cfRule type="duplicateValues" dxfId="793" priority="6"/>
  </conditionalFormatting>
  <conditionalFormatting sqref="B30">
    <cfRule type="duplicateValues" dxfId="792" priority="2"/>
  </conditionalFormatting>
  <conditionalFormatting sqref="B37">
    <cfRule type="duplicateValues" dxfId="791" priority="3"/>
  </conditionalFormatting>
  <conditionalFormatting sqref="B39">
    <cfRule type="duplicateValues" dxfId="790" priority="5"/>
  </conditionalFormatting>
  <conditionalFormatting sqref="B40">
    <cfRule type="duplicateValues" dxfId="789" priority="4"/>
  </conditionalFormatting>
  <conditionalFormatting sqref="B54:B1048576 B12:B16 B4:B10 B31:B36 B41:B45 B38 B18:B28">
    <cfRule type="duplicateValues" dxfId="788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B5136-641C-4B5F-B04F-422DF08ECBF5}">
  <sheetPr codeName="Sheet25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54</v>
      </c>
    </row>
    <row r="4" spans="1:5">
      <c r="A4" s="83" t="s">
        <v>341</v>
      </c>
      <c r="B4" s="84"/>
      <c r="C4" s="2" t="s">
        <v>85</v>
      </c>
      <c r="D4" s="85" t="s">
        <v>342</v>
      </c>
      <c r="E4" s="85"/>
    </row>
    <row r="5" spans="1:5">
      <c r="A5" s="72" t="s">
        <v>7</v>
      </c>
      <c r="B5" s="73"/>
      <c r="C5" s="3" t="s">
        <v>61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19.6 @ -29°C, 13.8 @ 250°C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404</v>
      </c>
      <c r="D38" s="61"/>
      <c r="E38" s="61"/>
    </row>
    <row r="39" spans="1:5">
      <c r="A39" s="61" t="s">
        <v>405</v>
      </c>
      <c r="B39" s="61"/>
      <c r="C39" s="3" t="s">
        <v>406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87" priority="1"/>
  </conditionalFormatting>
  <conditionalFormatting sqref="B29">
    <cfRule type="duplicateValues" dxfId="786" priority="6"/>
  </conditionalFormatting>
  <conditionalFormatting sqref="B30">
    <cfRule type="duplicateValues" dxfId="785" priority="2"/>
  </conditionalFormatting>
  <conditionalFormatting sqref="B37">
    <cfRule type="duplicateValues" dxfId="784" priority="3"/>
  </conditionalFormatting>
  <conditionalFormatting sqref="B39">
    <cfRule type="duplicateValues" dxfId="783" priority="5"/>
  </conditionalFormatting>
  <conditionalFormatting sqref="B40">
    <cfRule type="duplicateValues" dxfId="782" priority="4"/>
  </conditionalFormatting>
  <conditionalFormatting sqref="B54:B1048576 B12:B16 B4:B10 B31:B36 B41:B45 B38 B18:B28">
    <cfRule type="duplicateValues" dxfId="781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17916-5665-4A53-B38D-0D1879269628}">
  <sheetPr codeName="Sheet26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55</v>
      </c>
    </row>
    <row r="4" spans="1:5">
      <c r="A4" s="83" t="s">
        <v>341</v>
      </c>
      <c r="B4" s="84"/>
      <c r="C4" s="2" t="s">
        <v>87</v>
      </c>
      <c r="D4" s="85" t="s">
        <v>342</v>
      </c>
      <c r="E4" s="85"/>
    </row>
    <row r="5" spans="1:5">
      <c r="A5" s="72" t="s">
        <v>7</v>
      </c>
      <c r="B5" s="73"/>
      <c r="C5" s="3" t="s">
        <v>66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51.1 @ -29°C, 43.8 @ 250°C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427</v>
      </c>
      <c r="D38" s="61"/>
      <c r="E38" s="61"/>
    </row>
    <row r="39" spans="1:5">
      <c r="A39" s="61" t="s">
        <v>405</v>
      </c>
      <c r="B39" s="61"/>
      <c r="C39" s="3" t="s">
        <v>428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80" priority="1"/>
  </conditionalFormatting>
  <conditionalFormatting sqref="B29">
    <cfRule type="duplicateValues" dxfId="779" priority="6"/>
  </conditionalFormatting>
  <conditionalFormatting sqref="B30">
    <cfRule type="duplicateValues" dxfId="778" priority="2"/>
  </conditionalFormatting>
  <conditionalFormatting sqref="B37">
    <cfRule type="duplicateValues" dxfId="777" priority="3"/>
  </conditionalFormatting>
  <conditionalFormatting sqref="B39">
    <cfRule type="duplicateValues" dxfId="776" priority="5"/>
  </conditionalFormatting>
  <conditionalFormatting sqref="B40">
    <cfRule type="duplicateValues" dxfId="775" priority="4"/>
  </conditionalFormatting>
  <conditionalFormatting sqref="B54:B1048576 B12:B16 B4:B10 B31:B36 B41:B45 B38 B18:B28">
    <cfRule type="duplicateValues" dxfId="77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0FDE9-4605-4891-98F8-627D260DDC73}">
  <sheetPr codeName="Sheet27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56</v>
      </c>
    </row>
    <row r="4" spans="1:5">
      <c r="A4" s="83" t="s">
        <v>341</v>
      </c>
      <c r="B4" s="84"/>
      <c r="C4" s="2" t="s">
        <v>89</v>
      </c>
      <c r="D4" s="85" t="s">
        <v>342</v>
      </c>
      <c r="E4" s="85"/>
    </row>
    <row r="5" spans="1:5">
      <c r="A5" s="72" t="s">
        <v>7</v>
      </c>
      <c r="B5" s="73"/>
      <c r="C5" s="3" t="s">
        <v>66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51.1 @ -29°C, 43.8 @ 250°C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427</v>
      </c>
      <c r="D38" s="61"/>
      <c r="E38" s="61"/>
    </row>
    <row r="39" spans="1:5">
      <c r="A39" s="61" t="s">
        <v>405</v>
      </c>
      <c r="B39" s="61"/>
      <c r="C39" s="3" t="s">
        <v>428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73" priority="1"/>
  </conditionalFormatting>
  <conditionalFormatting sqref="B29">
    <cfRule type="duplicateValues" dxfId="772" priority="6"/>
  </conditionalFormatting>
  <conditionalFormatting sqref="B30">
    <cfRule type="duplicateValues" dxfId="771" priority="2"/>
  </conditionalFormatting>
  <conditionalFormatting sqref="B37">
    <cfRule type="duplicateValues" dxfId="770" priority="3"/>
  </conditionalFormatting>
  <conditionalFormatting sqref="B39">
    <cfRule type="duplicateValues" dxfId="769" priority="5"/>
  </conditionalFormatting>
  <conditionalFormatting sqref="B40">
    <cfRule type="duplicateValues" dxfId="768" priority="4"/>
  </conditionalFormatting>
  <conditionalFormatting sqref="B54:B1048576 B12:B16 B4:B10 B31:B36 B41:B45 B38 B18:B28">
    <cfRule type="duplicateValues" dxfId="76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37893-C120-4AFB-BAC1-1B76CC2BE0AD}">
  <sheetPr codeName="Sheet2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57</v>
      </c>
    </row>
    <row r="4" spans="1:5">
      <c r="A4" s="83" t="s">
        <v>341</v>
      </c>
      <c r="B4" s="84"/>
      <c r="C4" s="2" t="s">
        <v>91</v>
      </c>
      <c r="D4" s="85" t="s">
        <v>342</v>
      </c>
      <c r="E4" s="85"/>
    </row>
    <row r="5" spans="1:5">
      <c r="A5" s="72" t="s">
        <v>7</v>
      </c>
      <c r="B5" s="73"/>
      <c r="C5" s="3" t="s">
        <v>69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102.1 @ -29°C, 87.6 @ 250°C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434</v>
      </c>
      <c r="D38" s="61"/>
      <c r="E38" s="61"/>
    </row>
    <row r="39" spans="1:5">
      <c r="A39" s="61" t="s">
        <v>405</v>
      </c>
      <c r="B39" s="61"/>
      <c r="C39" s="3" t="s">
        <v>435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66" priority="1"/>
  </conditionalFormatting>
  <conditionalFormatting sqref="B29">
    <cfRule type="duplicateValues" dxfId="765" priority="6"/>
  </conditionalFormatting>
  <conditionalFormatting sqref="B30">
    <cfRule type="duplicateValues" dxfId="764" priority="2"/>
  </conditionalFormatting>
  <conditionalFormatting sqref="B37">
    <cfRule type="duplicateValues" dxfId="763" priority="3"/>
  </conditionalFormatting>
  <conditionalFormatting sqref="B39">
    <cfRule type="duplicateValues" dxfId="762" priority="5"/>
  </conditionalFormatting>
  <conditionalFormatting sqref="B40">
    <cfRule type="duplicateValues" dxfId="761" priority="4"/>
  </conditionalFormatting>
  <conditionalFormatting sqref="B54:B1048576 B12:B16 B4:B10 B31:B36 B41:B45 B38 B18:B28">
    <cfRule type="duplicateValues" dxfId="760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B7B8-694B-47E5-9A5C-5A10D0605F74}">
  <sheetPr codeName="Sheet2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58</v>
      </c>
    </row>
    <row r="4" spans="1:5">
      <c r="A4" s="83" t="s">
        <v>341</v>
      </c>
      <c r="B4" s="84"/>
      <c r="C4" s="2" t="s">
        <v>93</v>
      </c>
      <c r="D4" s="85" t="s">
        <v>342</v>
      </c>
      <c r="E4" s="85"/>
    </row>
    <row r="5" spans="1:5">
      <c r="A5" s="72" t="s">
        <v>7</v>
      </c>
      <c r="B5" s="73"/>
      <c r="C5" s="3" t="s">
        <v>69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102.1 @ -29°C, 87.6 @ 250°C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434</v>
      </c>
      <c r="D38" s="61"/>
      <c r="E38" s="61"/>
    </row>
    <row r="39" spans="1:5">
      <c r="A39" s="61" t="s">
        <v>405</v>
      </c>
      <c r="B39" s="61"/>
      <c r="C39" s="3" t="s">
        <v>435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59" priority="1"/>
  </conditionalFormatting>
  <conditionalFormatting sqref="B29">
    <cfRule type="duplicateValues" dxfId="758" priority="6"/>
  </conditionalFormatting>
  <conditionalFormatting sqref="B30">
    <cfRule type="duplicateValues" dxfId="757" priority="2"/>
  </conditionalFormatting>
  <conditionalFormatting sqref="B37">
    <cfRule type="duplicateValues" dxfId="756" priority="3"/>
  </conditionalFormatting>
  <conditionalFormatting sqref="B39">
    <cfRule type="duplicateValues" dxfId="755" priority="5"/>
  </conditionalFormatting>
  <conditionalFormatting sqref="B40">
    <cfRule type="duplicateValues" dxfId="754" priority="4"/>
  </conditionalFormatting>
  <conditionalFormatting sqref="B54:B1048576 B12:B16 B4:B10 B31:B36 B41:B45 B38 B18:B28">
    <cfRule type="duplicateValues" dxfId="75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B8391-5FF1-405C-B976-817A1638BF3C}">
  <sheetPr codeName="Sheet3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59</v>
      </c>
    </row>
    <row r="4" spans="1:5">
      <c r="A4" s="83" t="s">
        <v>341</v>
      </c>
      <c r="B4" s="84"/>
      <c r="C4" s="2" t="s">
        <v>95</v>
      </c>
      <c r="D4" s="85" t="s">
        <v>342</v>
      </c>
      <c r="E4" s="85"/>
    </row>
    <row r="5" spans="1:5">
      <c r="A5" s="72" t="s">
        <v>7</v>
      </c>
      <c r="B5" s="73"/>
      <c r="C5" s="3" t="s">
        <v>72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153.2 @ -29°C, 131.4 @ 250°C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442</v>
      </c>
      <c r="D38" s="61"/>
      <c r="E38" s="61"/>
    </row>
    <row r="39" spans="1:5">
      <c r="A39" s="61" t="s">
        <v>405</v>
      </c>
      <c r="B39" s="61"/>
      <c r="C39" s="3" t="s">
        <v>443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52" priority="1"/>
  </conditionalFormatting>
  <conditionalFormatting sqref="B29">
    <cfRule type="duplicateValues" dxfId="751" priority="6"/>
  </conditionalFormatting>
  <conditionalFormatting sqref="B30">
    <cfRule type="duplicateValues" dxfId="750" priority="2"/>
  </conditionalFormatting>
  <conditionalFormatting sqref="B37">
    <cfRule type="duplicateValues" dxfId="749" priority="3"/>
  </conditionalFormatting>
  <conditionalFormatting sqref="B39">
    <cfRule type="duplicateValues" dxfId="748" priority="5"/>
  </conditionalFormatting>
  <conditionalFormatting sqref="B40">
    <cfRule type="duplicateValues" dxfId="747" priority="4"/>
  </conditionalFormatting>
  <conditionalFormatting sqref="B54:B1048576 B12:B16 B4:B10 B31:B36 B41:B45 B38 B18:B28">
    <cfRule type="duplicateValues" dxfId="746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AC309-05DD-4595-B28E-32543B72E910}">
  <sheetPr codeName="Sheet3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60</v>
      </c>
    </row>
    <row r="4" spans="1:5">
      <c r="A4" s="83" t="s">
        <v>341</v>
      </c>
      <c r="B4" s="84"/>
      <c r="C4" s="2" t="s">
        <v>100</v>
      </c>
      <c r="D4" s="85" t="s">
        <v>342</v>
      </c>
      <c r="E4" s="85"/>
    </row>
    <row r="5" spans="1:5">
      <c r="A5" s="72" t="s">
        <v>7</v>
      </c>
      <c r="B5" s="73"/>
      <c r="C5" s="3" t="s">
        <v>72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153.2 @ -29°C, 131.4 @ 250°C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442</v>
      </c>
      <c r="D38" s="61"/>
      <c r="E38" s="61"/>
    </row>
    <row r="39" spans="1:5">
      <c r="A39" s="61" t="s">
        <v>405</v>
      </c>
      <c r="B39" s="61"/>
      <c r="C39" s="3" t="s">
        <v>443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45" priority="1"/>
  </conditionalFormatting>
  <conditionalFormatting sqref="B29">
    <cfRule type="duplicateValues" dxfId="744" priority="6"/>
  </conditionalFormatting>
  <conditionalFormatting sqref="B30">
    <cfRule type="duplicateValues" dxfId="743" priority="2"/>
  </conditionalFormatting>
  <conditionalFormatting sqref="B37">
    <cfRule type="duplicateValues" dxfId="742" priority="3"/>
  </conditionalFormatting>
  <conditionalFormatting sqref="B39">
    <cfRule type="duplicateValues" dxfId="741" priority="5"/>
  </conditionalFormatting>
  <conditionalFormatting sqref="B40">
    <cfRule type="duplicateValues" dxfId="740" priority="4"/>
  </conditionalFormatting>
  <conditionalFormatting sqref="B54:B1048576 B12:B16 B4:B10 B31:B36 B41:B45 B38 B18:B28">
    <cfRule type="duplicateValues" dxfId="739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28500-FFC3-4390-801F-B8607812E0A2}">
  <sheetPr codeName="Sheet3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61</v>
      </c>
    </row>
    <row r="4" spans="1:5">
      <c r="A4" s="83" t="s">
        <v>341</v>
      </c>
      <c r="B4" s="84"/>
      <c r="C4" s="2" t="s">
        <v>103</v>
      </c>
      <c r="D4" s="85" t="s">
        <v>342</v>
      </c>
      <c r="E4" s="85"/>
    </row>
    <row r="5" spans="1:5">
      <c r="A5" s="72" t="s">
        <v>7</v>
      </c>
      <c r="B5" s="73"/>
      <c r="C5" s="3" t="s">
        <v>75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255.3 @ -29°C, 219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446</v>
      </c>
      <c r="D38" s="61"/>
      <c r="E38" s="61"/>
    </row>
    <row r="39" spans="1:5">
      <c r="A39" s="61" t="s">
        <v>405</v>
      </c>
      <c r="B39" s="61"/>
      <c r="C39" s="3" t="s">
        <v>447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38" priority="1"/>
  </conditionalFormatting>
  <conditionalFormatting sqref="B29">
    <cfRule type="duplicateValues" dxfId="737" priority="6"/>
  </conditionalFormatting>
  <conditionalFormatting sqref="B30">
    <cfRule type="duplicateValues" dxfId="736" priority="2"/>
  </conditionalFormatting>
  <conditionalFormatting sqref="B37">
    <cfRule type="duplicateValues" dxfId="735" priority="3"/>
  </conditionalFormatting>
  <conditionalFormatting sqref="B39">
    <cfRule type="duplicateValues" dxfId="734" priority="5"/>
  </conditionalFormatting>
  <conditionalFormatting sqref="B40">
    <cfRule type="duplicateValues" dxfId="733" priority="4"/>
  </conditionalFormatting>
  <conditionalFormatting sqref="B54:B1048576 B12:B16 B4:B10 B31:B36 B41:B45 B38 B18:B28">
    <cfRule type="duplicateValues" dxfId="732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E1A24-22EC-4999-9534-27A745213CBC}">
  <sheetPr codeName="Sheet3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62</v>
      </c>
    </row>
    <row r="4" spans="1:5">
      <c r="A4" s="83" t="s">
        <v>341</v>
      </c>
      <c r="B4" s="84"/>
      <c r="C4" s="2" t="s">
        <v>107</v>
      </c>
      <c r="D4" s="85" t="s">
        <v>342</v>
      </c>
      <c r="E4" s="85"/>
    </row>
    <row r="5" spans="1:5">
      <c r="A5" s="72" t="s">
        <v>7</v>
      </c>
      <c r="B5" s="73"/>
      <c r="C5" s="3" t="s">
        <v>75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255.3 @ -29°C, 219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446</v>
      </c>
      <c r="D38" s="61"/>
      <c r="E38" s="61"/>
    </row>
    <row r="39" spans="1:5">
      <c r="A39" s="61" t="s">
        <v>405</v>
      </c>
      <c r="B39" s="61"/>
      <c r="C39" s="3" t="s">
        <v>447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31" priority="1"/>
  </conditionalFormatting>
  <conditionalFormatting sqref="B29">
    <cfRule type="duplicateValues" dxfId="730" priority="6"/>
  </conditionalFormatting>
  <conditionalFormatting sqref="B30">
    <cfRule type="duplicateValues" dxfId="729" priority="2"/>
  </conditionalFormatting>
  <conditionalFormatting sqref="B37">
    <cfRule type="duplicateValues" dxfId="728" priority="3"/>
  </conditionalFormatting>
  <conditionalFormatting sqref="B39">
    <cfRule type="duplicateValues" dxfId="727" priority="5"/>
  </conditionalFormatting>
  <conditionalFormatting sqref="B40">
    <cfRule type="duplicateValues" dxfId="726" priority="4"/>
  </conditionalFormatting>
  <conditionalFormatting sqref="B54:B1048576 B12:B16 B4:B10 B31:B36 B41:B45 B38 B18:B28">
    <cfRule type="duplicateValues" dxfId="725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18339-5F76-40E4-ABC0-C256C3451A31}">
  <sheetPr codeName="Sheet3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63</v>
      </c>
    </row>
    <row r="4" spans="1:5">
      <c r="A4" s="83" t="s">
        <v>341</v>
      </c>
      <c r="B4" s="84"/>
      <c r="C4" s="2" t="s">
        <v>110</v>
      </c>
      <c r="D4" s="85" t="s">
        <v>342</v>
      </c>
      <c r="E4" s="85"/>
    </row>
    <row r="5" spans="1:5">
      <c r="A5" s="72" t="s">
        <v>7</v>
      </c>
      <c r="B5" s="73"/>
      <c r="C5" s="3" t="s">
        <v>77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24" priority="1"/>
  </conditionalFormatting>
  <conditionalFormatting sqref="B29">
    <cfRule type="duplicateValues" dxfId="723" priority="6"/>
  </conditionalFormatting>
  <conditionalFormatting sqref="B30">
    <cfRule type="duplicateValues" dxfId="722" priority="2"/>
  </conditionalFormatting>
  <conditionalFormatting sqref="B37">
    <cfRule type="duplicateValues" dxfId="721" priority="3"/>
  </conditionalFormatting>
  <conditionalFormatting sqref="B39">
    <cfRule type="duplicateValues" dxfId="720" priority="5"/>
  </conditionalFormatting>
  <conditionalFormatting sqref="B40">
    <cfRule type="duplicateValues" dxfId="719" priority="4"/>
  </conditionalFormatting>
  <conditionalFormatting sqref="B54:B1048576 B12:B16 B4:B10 B31:B36 B41:B45 B38 B18:B28">
    <cfRule type="duplicateValues" dxfId="71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14257-97AB-48B6-A50A-80A4D0E90CE2}">
  <sheetPr codeName="Sheet12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64</v>
      </c>
    </row>
    <row r="4" spans="1:5">
      <c r="A4" s="83" t="s">
        <v>341</v>
      </c>
      <c r="B4" s="84"/>
      <c r="C4" s="2" t="s">
        <v>113</v>
      </c>
      <c r="D4" s="85" t="s">
        <v>342</v>
      </c>
      <c r="E4" s="85"/>
    </row>
    <row r="5" spans="1:5">
      <c r="A5" s="72" t="s">
        <v>7</v>
      </c>
      <c r="B5" s="73"/>
      <c r="C5" s="3" t="s">
        <v>77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63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17" priority="1"/>
  </conditionalFormatting>
  <conditionalFormatting sqref="B29">
    <cfRule type="duplicateValues" dxfId="716" priority="6"/>
  </conditionalFormatting>
  <conditionalFormatting sqref="B30">
    <cfRule type="duplicateValues" dxfId="715" priority="2"/>
  </conditionalFormatting>
  <conditionalFormatting sqref="B37">
    <cfRule type="duplicateValues" dxfId="714" priority="3"/>
  </conditionalFormatting>
  <conditionalFormatting sqref="B39">
    <cfRule type="duplicateValues" dxfId="713" priority="5"/>
  </conditionalFormatting>
  <conditionalFormatting sqref="B40">
    <cfRule type="duplicateValues" dxfId="712" priority="4"/>
  </conditionalFormatting>
  <conditionalFormatting sqref="B54:B1048576 B12:B16 B4:B10 B31:B36 B41:B45 B38 B18:B28">
    <cfRule type="duplicateValues" dxfId="711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5468E-4944-45E6-9CD4-7AF777AE3F64}">
  <sheetPr codeName="Sheet12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65</v>
      </c>
    </row>
    <row r="4" spans="1:5">
      <c r="A4" s="83" t="s">
        <v>341</v>
      </c>
      <c r="B4" s="84"/>
      <c r="C4" s="2" t="s">
        <v>116</v>
      </c>
      <c r="D4" s="85" t="s">
        <v>342</v>
      </c>
      <c r="E4" s="85"/>
    </row>
    <row r="5" spans="1:5">
      <c r="A5" s="72" t="s">
        <v>7</v>
      </c>
      <c r="B5" s="73"/>
      <c r="C5" s="3" t="s">
        <v>77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460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461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 ht="36">
      <c r="A23" s="61"/>
      <c r="B23" s="4" t="s">
        <v>373</v>
      </c>
      <c r="C23" s="3" t="s">
        <v>462</v>
      </c>
      <c r="D23" s="61"/>
      <c r="E23" s="61"/>
    </row>
    <row r="24" spans="1:5">
      <c r="A24" s="61"/>
      <c r="B24" s="4" t="s">
        <v>375</v>
      </c>
      <c r="C24" s="3" t="s">
        <v>463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>
      <c r="A31" s="61"/>
      <c r="B31" s="4" t="s">
        <v>389</v>
      </c>
      <c r="C31" s="3" t="s">
        <v>464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10" priority="1"/>
  </conditionalFormatting>
  <conditionalFormatting sqref="B29">
    <cfRule type="duplicateValues" dxfId="709" priority="6"/>
  </conditionalFormatting>
  <conditionalFormatting sqref="B30">
    <cfRule type="duplicateValues" dxfId="708" priority="2"/>
  </conditionalFormatting>
  <conditionalFormatting sqref="B37">
    <cfRule type="duplicateValues" dxfId="707" priority="3"/>
  </conditionalFormatting>
  <conditionalFormatting sqref="B39">
    <cfRule type="duplicateValues" dxfId="706" priority="5"/>
  </conditionalFormatting>
  <conditionalFormatting sqref="B40">
    <cfRule type="duplicateValues" dxfId="705" priority="4"/>
  </conditionalFormatting>
  <conditionalFormatting sqref="B54:B1048576 B12:B16 B4:B10 B31:B36 B41:B45 B38 B18:B28">
    <cfRule type="duplicateValues" dxfId="70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3907D-1A0C-40CF-B572-C286805C1714}">
  <sheetPr codeName="Sheet3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66</v>
      </c>
    </row>
    <row r="4" spans="1:5">
      <c r="A4" s="83" t="s">
        <v>341</v>
      </c>
      <c r="B4" s="84"/>
      <c r="C4" s="2" t="s">
        <v>118</v>
      </c>
      <c r="D4" s="85" t="s">
        <v>342</v>
      </c>
      <c r="E4" s="85"/>
    </row>
    <row r="5" spans="1:5">
      <c r="A5" s="72" t="s">
        <v>7</v>
      </c>
      <c r="B5" s="73"/>
      <c r="C5" s="3" t="s">
        <v>77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460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461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 ht="36">
      <c r="A23" s="61"/>
      <c r="B23" s="4" t="s">
        <v>373</v>
      </c>
      <c r="C23" s="3" t="s">
        <v>462</v>
      </c>
      <c r="D23" s="61"/>
      <c r="E23" s="61"/>
    </row>
    <row r="24" spans="1:5">
      <c r="A24" s="61"/>
      <c r="B24" s="4" t="s">
        <v>375</v>
      </c>
      <c r="C24" s="3" t="s">
        <v>463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>
      <c r="A31" s="61"/>
      <c r="B31" s="4" t="s">
        <v>389</v>
      </c>
      <c r="C31" s="3" t="s">
        <v>464</v>
      </c>
      <c r="D31" s="61"/>
      <c r="E31" s="61"/>
    </row>
    <row r="32" spans="1:5">
      <c r="A32" s="61"/>
      <c r="B32" s="4" t="s">
        <v>391</v>
      </c>
      <c r="C32" s="3" t="s">
        <v>457</v>
      </c>
      <c r="D32" s="61"/>
      <c r="E32" s="61"/>
    </row>
    <row r="33" spans="1:5">
      <c r="A33" s="61"/>
      <c r="B33" s="4" t="s">
        <v>393</v>
      </c>
      <c r="C33" s="3" t="s">
        <v>458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03" priority="1"/>
  </conditionalFormatting>
  <conditionalFormatting sqref="B29">
    <cfRule type="duplicateValues" dxfId="702" priority="6"/>
  </conditionalFormatting>
  <conditionalFormatting sqref="B30">
    <cfRule type="duplicateValues" dxfId="701" priority="2"/>
  </conditionalFormatting>
  <conditionalFormatting sqref="B37">
    <cfRule type="duplicateValues" dxfId="700" priority="3"/>
  </conditionalFormatting>
  <conditionalFormatting sqref="B39">
    <cfRule type="duplicateValues" dxfId="699" priority="5"/>
  </conditionalFormatting>
  <conditionalFormatting sqref="B40">
    <cfRule type="duplicateValues" dxfId="698" priority="4"/>
  </conditionalFormatting>
  <conditionalFormatting sqref="B54:B1048576 B12:B16 B4:B10 B31:B36 B41:B45 B38 B18:B28">
    <cfRule type="duplicateValues" dxfId="69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CCEB1-D082-419C-86B0-28347F95412D}">
  <sheetPr codeName="Sheet3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67</v>
      </c>
    </row>
    <row r="4" spans="1:5">
      <c r="A4" s="83" t="s">
        <v>341</v>
      </c>
      <c r="B4" s="84"/>
      <c r="C4" s="2" t="s">
        <v>120</v>
      </c>
      <c r="D4" s="85" t="s">
        <v>342</v>
      </c>
      <c r="E4" s="85"/>
    </row>
    <row r="5" spans="1:5">
      <c r="A5" s="72" t="s">
        <v>7</v>
      </c>
      <c r="B5" s="73"/>
      <c r="C5" s="3" t="s">
        <v>83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19.6 @ -29°C,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404</v>
      </c>
      <c r="D38" s="61"/>
      <c r="E38" s="61"/>
    </row>
    <row r="39" spans="1:5">
      <c r="A39" s="61" t="s">
        <v>405</v>
      </c>
      <c r="B39" s="61"/>
      <c r="C39" s="3" t="s">
        <v>406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96" priority="1"/>
  </conditionalFormatting>
  <conditionalFormatting sqref="B29">
    <cfRule type="duplicateValues" dxfId="695" priority="6"/>
  </conditionalFormatting>
  <conditionalFormatting sqref="B30">
    <cfRule type="duplicateValues" dxfId="694" priority="2"/>
  </conditionalFormatting>
  <conditionalFormatting sqref="B37">
    <cfRule type="duplicateValues" dxfId="693" priority="3"/>
  </conditionalFormatting>
  <conditionalFormatting sqref="B39">
    <cfRule type="duplicateValues" dxfId="692" priority="5"/>
  </conditionalFormatting>
  <conditionalFormatting sqref="B40">
    <cfRule type="duplicateValues" dxfId="691" priority="4"/>
  </conditionalFormatting>
  <conditionalFormatting sqref="B54:B1048576 B12:B16 B4:B10 B31:B36 B41:B45 B38 B18:B28">
    <cfRule type="duplicateValues" dxfId="690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B488-9CD5-428B-AD84-FF1A1A9BABEE}">
  <sheetPr codeName="Sheet37">
    <tabColor rgb="FFFFFF00"/>
    <pageSetUpPr fitToPage="1"/>
  </sheetPr>
  <dimension ref="A1:E53"/>
  <sheetViews>
    <sheetView topLeftCell="A24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68</v>
      </c>
    </row>
    <row r="4" spans="1:5">
      <c r="A4" s="83" t="s">
        <v>341</v>
      </c>
      <c r="B4" s="84"/>
      <c r="C4" s="2" t="s">
        <v>122</v>
      </c>
      <c r="D4" s="85" t="s">
        <v>342</v>
      </c>
      <c r="E4" s="85"/>
    </row>
    <row r="5" spans="1:5">
      <c r="A5" s="72" t="s">
        <v>7</v>
      </c>
      <c r="B5" s="73"/>
      <c r="C5" s="3" t="s">
        <v>83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19.6 @ -29°C,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404</v>
      </c>
      <c r="D38" s="61"/>
      <c r="E38" s="61"/>
    </row>
    <row r="39" spans="1:5">
      <c r="A39" s="61" t="s">
        <v>405</v>
      </c>
      <c r="B39" s="61"/>
      <c r="C39" s="3" t="s">
        <v>406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89" priority="1"/>
  </conditionalFormatting>
  <conditionalFormatting sqref="B29">
    <cfRule type="duplicateValues" dxfId="688" priority="6"/>
  </conditionalFormatting>
  <conditionalFormatting sqref="B30">
    <cfRule type="duplicateValues" dxfId="687" priority="2"/>
  </conditionalFormatting>
  <conditionalFormatting sqref="B37">
    <cfRule type="duplicateValues" dxfId="686" priority="3"/>
  </conditionalFormatting>
  <conditionalFormatting sqref="B39">
    <cfRule type="duplicateValues" dxfId="685" priority="5"/>
  </conditionalFormatting>
  <conditionalFormatting sqref="B40">
    <cfRule type="duplicateValues" dxfId="684" priority="4"/>
  </conditionalFormatting>
  <conditionalFormatting sqref="B54:B1048576 B12:B16 B4:B10 B31:B36 B41:B45 B38 B18:B28">
    <cfRule type="duplicateValues" dxfId="683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48B44-F0CF-4089-8C62-44F829846A5F}">
  <sheetPr codeName="Sheet3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69</v>
      </c>
    </row>
    <row r="4" spans="1:5">
      <c r="A4" s="83" t="s">
        <v>341</v>
      </c>
      <c r="B4" s="84"/>
      <c r="C4" s="2" t="s">
        <v>124</v>
      </c>
      <c r="D4" s="85" t="s">
        <v>342</v>
      </c>
      <c r="E4" s="85"/>
    </row>
    <row r="5" spans="1:5">
      <c r="A5" s="72" t="s">
        <v>7</v>
      </c>
      <c r="B5" s="73"/>
      <c r="C5" s="3" t="s">
        <v>86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51.1 @ -29°C, 43.8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427</v>
      </c>
      <c r="D38" s="61"/>
      <c r="E38" s="61"/>
    </row>
    <row r="39" spans="1:5">
      <c r="A39" s="61" t="s">
        <v>405</v>
      </c>
      <c r="B39" s="61"/>
      <c r="C39" s="3" t="s">
        <v>428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82" priority="1"/>
  </conditionalFormatting>
  <conditionalFormatting sqref="B29">
    <cfRule type="duplicateValues" dxfId="681" priority="6"/>
  </conditionalFormatting>
  <conditionalFormatting sqref="B30">
    <cfRule type="duplicateValues" dxfId="680" priority="2"/>
  </conditionalFormatting>
  <conditionalFormatting sqref="B37">
    <cfRule type="duplicateValues" dxfId="679" priority="3"/>
  </conditionalFormatting>
  <conditionalFormatting sqref="B39">
    <cfRule type="duplicateValues" dxfId="678" priority="5"/>
  </conditionalFormatting>
  <conditionalFormatting sqref="B40">
    <cfRule type="duplicateValues" dxfId="677" priority="4"/>
  </conditionalFormatting>
  <conditionalFormatting sqref="B54:B1048576 B12:B16 B4:B10 B31:B36 B41:B45 B38 B18:B28">
    <cfRule type="duplicateValues" dxfId="676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BDBFF-DCB9-44D4-BB36-1AAB9D753FCE}">
  <sheetPr codeName="Sheet39">
    <tabColor rgb="FFFFFF00"/>
    <pageSetUpPr fitToPage="1"/>
  </sheetPr>
  <dimension ref="A1:E53"/>
  <sheetViews>
    <sheetView topLeftCell="A2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70</v>
      </c>
    </row>
    <row r="4" spans="1:5">
      <c r="A4" s="83" t="s">
        <v>341</v>
      </c>
      <c r="B4" s="84"/>
      <c r="C4" s="2" t="s">
        <v>126</v>
      </c>
      <c r="D4" s="85" t="s">
        <v>342</v>
      </c>
      <c r="E4" s="85"/>
    </row>
    <row r="5" spans="1:5">
      <c r="A5" s="72" t="s">
        <v>7</v>
      </c>
      <c r="B5" s="73"/>
      <c r="C5" s="3" t="s">
        <v>86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51.1 @ -29°C, 43.8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427</v>
      </c>
      <c r="D38" s="61"/>
      <c r="E38" s="61"/>
    </row>
    <row r="39" spans="1:5">
      <c r="A39" s="61" t="s">
        <v>405</v>
      </c>
      <c r="B39" s="61"/>
      <c r="C39" s="3" t="s">
        <v>428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75" priority="1"/>
  </conditionalFormatting>
  <conditionalFormatting sqref="B29">
    <cfRule type="duplicateValues" dxfId="674" priority="6"/>
  </conditionalFormatting>
  <conditionalFormatting sqref="B30">
    <cfRule type="duplicateValues" dxfId="673" priority="2"/>
  </conditionalFormatting>
  <conditionalFormatting sqref="B37">
    <cfRule type="duplicateValues" dxfId="672" priority="3"/>
  </conditionalFormatting>
  <conditionalFormatting sqref="B39">
    <cfRule type="duplicateValues" dxfId="671" priority="5"/>
  </conditionalFormatting>
  <conditionalFormatting sqref="B40">
    <cfRule type="duplicateValues" dxfId="670" priority="4"/>
  </conditionalFormatting>
  <conditionalFormatting sqref="B54:B1048576 B12:B16 B4:B10 B31:B36 B41:B45 B38 B18:B28">
    <cfRule type="duplicateValues" dxfId="669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BF95-73FA-4F03-8EAE-43A0CD671E66}">
  <sheetPr codeName="Sheet4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71</v>
      </c>
    </row>
    <row r="4" spans="1:5">
      <c r="A4" s="83" t="s">
        <v>341</v>
      </c>
      <c r="B4" s="84"/>
      <c r="C4" s="2" t="s">
        <v>128</v>
      </c>
      <c r="D4" s="85" t="s">
        <v>342</v>
      </c>
      <c r="E4" s="85"/>
    </row>
    <row r="5" spans="1:5">
      <c r="A5" s="72" t="s">
        <v>7</v>
      </c>
      <c r="B5" s="73"/>
      <c r="C5" s="3" t="s">
        <v>88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102.1 @ -29°C, 87.6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434</v>
      </c>
      <c r="D38" s="61"/>
      <c r="E38" s="61"/>
    </row>
    <row r="39" spans="1:5">
      <c r="A39" s="61" t="s">
        <v>405</v>
      </c>
      <c r="B39" s="61"/>
      <c r="C39" s="3" t="s">
        <v>435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68" priority="1"/>
  </conditionalFormatting>
  <conditionalFormatting sqref="B29">
    <cfRule type="duplicateValues" dxfId="667" priority="6"/>
  </conditionalFormatting>
  <conditionalFormatting sqref="B30">
    <cfRule type="duplicateValues" dxfId="666" priority="2"/>
  </conditionalFormatting>
  <conditionalFormatting sqref="B37">
    <cfRule type="duplicateValues" dxfId="665" priority="3"/>
  </conditionalFormatting>
  <conditionalFormatting sqref="B39">
    <cfRule type="duplicateValues" dxfId="664" priority="5"/>
  </conditionalFormatting>
  <conditionalFormatting sqref="B40">
    <cfRule type="duplicateValues" dxfId="663" priority="4"/>
  </conditionalFormatting>
  <conditionalFormatting sqref="B54:B1048576 B12:B16 B4:B10 B31:B36 B41:B45 B38 B18:B28">
    <cfRule type="duplicateValues" dxfId="662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F24D6-5E39-404F-BD9C-A2FEB638FF71}">
  <sheetPr codeName="Sheet4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72</v>
      </c>
    </row>
    <row r="4" spans="1:5">
      <c r="A4" s="83" t="s">
        <v>341</v>
      </c>
      <c r="B4" s="84"/>
      <c r="C4" s="2" t="s">
        <v>134</v>
      </c>
      <c r="D4" s="85" t="s">
        <v>342</v>
      </c>
      <c r="E4" s="85"/>
    </row>
    <row r="5" spans="1:5">
      <c r="A5" s="72" t="s">
        <v>7</v>
      </c>
      <c r="B5" s="73"/>
      <c r="C5" s="3" t="s">
        <v>88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102.1 @ -29°C, 87.6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390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434</v>
      </c>
      <c r="D38" s="61"/>
      <c r="E38" s="61"/>
    </row>
    <row r="39" spans="1:5">
      <c r="A39" s="61" t="s">
        <v>405</v>
      </c>
      <c r="B39" s="61"/>
      <c r="C39" s="3" t="s">
        <v>435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61" priority="1"/>
  </conditionalFormatting>
  <conditionalFormatting sqref="B29">
    <cfRule type="duplicateValues" dxfId="660" priority="6"/>
  </conditionalFormatting>
  <conditionalFormatting sqref="B30">
    <cfRule type="duplicateValues" dxfId="659" priority="2"/>
  </conditionalFormatting>
  <conditionalFormatting sqref="B37">
    <cfRule type="duplicateValues" dxfId="658" priority="3"/>
  </conditionalFormatting>
  <conditionalFormatting sqref="B39">
    <cfRule type="duplicateValues" dxfId="657" priority="5"/>
  </conditionalFormatting>
  <conditionalFormatting sqref="B40">
    <cfRule type="duplicateValues" dxfId="656" priority="4"/>
  </conditionalFormatting>
  <conditionalFormatting sqref="B54:B1048576 B12:B16 B4:B10 B31:B36 B41:B45 B38 B18:B28">
    <cfRule type="duplicateValues" dxfId="655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33587-F151-48EE-8992-03454714876F}">
  <sheetPr codeName="Sheet4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73</v>
      </c>
    </row>
    <row r="4" spans="1:5">
      <c r="A4" s="83" t="s">
        <v>341</v>
      </c>
      <c r="B4" s="84"/>
      <c r="C4" s="2" t="s">
        <v>138</v>
      </c>
      <c r="D4" s="85" t="s">
        <v>342</v>
      </c>
      <c r="E4" s="85"/>
    </row>
    <row r="5" spans="1:5">
      <c r="A5" s="72" t="s">
        <v>7</v>
      </c>
      <c r="B5" s="73"/>
      <c r="C5" s="3" t="s">
        <v>90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153.2 @ -29°C, 131.4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442</v>
      </c>
      <c r="D38" s="61"/>
      <c r="E38" s="61"/>
    </row>
    <row r="39" spans="1:5">
      <c r="A39" s="61" t="s">
        <v>405</v>
      </c>
      <c r="B39" s="61"/>
      <c r="C39" s="3" t="s">
        <v>443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54" priority="1"/>
  </conditionalFormatting>
  <conditionalFormatting sqref="B29">
    <cfRule type="duplicateValues" dxfId="653" priority="6"/>
  </conditionalFormatting>
  <conditionalFormatting sqref="B30">
    <cfRule type="duplicateValues" dxfId="652" priority="2"/>
  </conditionalFormatting>
  <conditionalFormatting sqref="B37">
    <cfRule type="duplicateValues" dxfId="651" priority="3"/>
  </conditionalFormatting>
  <conditionalFormatting sqref="B39">
    <cfRule type="duplicateValues" dxfId="650" priority="5"/>
  </conditionalFormatting>
  <conditionalFormatting sqref="B40">
    <cfRule type="duplicateValues" dxfId="649" priority="4"/>
  </conditionalFormatting>
  <conditionalFormatting sqref="B54:B1048576 B12:B16 B4:B10 B31:B36 B41:B45 B38 B18:B28">
    <cfRule type="duplicateValues" dxfId="64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32173-9531-4886-9757-0ABF2E4D0E5E}">
  <sheetPr codeName="Sheet4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74</v>
      </c>
    </row>
    <row r="4" spans="1:5">
      <c r="A4" s="83" t="s">
        <v>341</v>
      </c>
      <c r="B4" s="84"/>
      <c r="C4" s="2" t="s">
        <v>140</v>
      </c>
      <c r="D4" s="85" t="s">
        <v>342</v>
      </c>
      <c r="E4" s="85"/>
    </row>
    <row r="5" spans="1:5">
      <c r="A5" s="72" t="s">
        <v>7</v>
      </c>
      <c r="B5" s="73"/>
      <c r="C5" s="3" t="s">
        <v>90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153.2 @ -29°C, 131.4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442</v>
      </c>
      <c r="D38" s="61"/>
      <c r="E38" s="61"/>
    </row>
    <row r="39" spans="1:5">
      <c r="A39" s="61" t="s">
        <v>405</v>
      </c>
      <c r="B39" s="61"/>
      <c r="C39" s="3" t="s">
        <v>443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47" priority="1"/>
  </conditionalFormatting>
  <conditionalFormatting sqref="B29">
    <cfRule type="duplicateValues" dxfId="646" priority="6"/>
  </conditionalFormatting>
  <conditionalFormatting sqref="B30">
    <cfRule type="duplicateValues" dxfId="645" priority="2"/>
  </conditionalFormatting>
  <conditionalFormatting sqref="B37">
    <cfRule type="duplicateValues" dxfId="644" priority="3"/>
  </conditionalFormatting>
  <conditionalFormatting sqref="B39">
    <cfRule type="duplicateValues" dxfId="643" priority="5"/>
  </conditionalFormatting>
  <conditionalFormatting sqref="B40">
    <cfRule type="duplicateValues" dxfId="642" priority="4"/>
  </conditionalFormatting>
  <conditionalFormatting sqref="B54:B1048576 B12:B16 B4:B10 B31:B36 B41:B45 B38 B18:B28">
    <cfRule type="duplicateValues" dxfId="641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3CC31-E613-4D38-8691-D4689BEF5F3D}">
  <sheetPr codeName="Sheet44">
    <tabColor rgb="FFFFFF00"/>
    <pageSetUpPr fitToPage="1"/>
  </sheetPr>
  <dimension ref="A1:E53"/>
  <sheetViews>
    <sheetView topLeftCell="A2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75</v>
      </c>
    </row>
    <row r="4" spans="1:5">
      <c r="A4" s="83" t="s">
        <v>341</v>
      </c>
      <c r="B4" s="84"/>
      <c r="C4" s="2" t="s">
        <v>142</v>
      </c>
      <c r="D4" s="85" t="s">
        <v>342</v>
      </c>
      <c r="E4" s="85"/>
    </row>
    <row r="5" spans="1:5">
      <c r="A5" s="72" t="s">
        <v>7</v>
      </c>
      <c r="B5" s="73"/>
      <c r="C5" s="3" t="s">
        <v>92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255.3 @ -29°C, 219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446</v>
      </c>
      <c r="D38" s="61"/>
      <c r="E38" s="61"/>
    </row>
    <row r="39" spans="1:5">
      <c r="A39" s="61" t="s">
        <v>405</v>
      </c>
      <c r="B39" s="61"/>
      <c r="C39" s="3" t="s">
        <v>447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40" priority="1"/>
  </conditionalFormatting>
  <conditionalFormatting sqref="B29">
    <cfRule type="duplicateValues" dxfId="639" priority="6"/>
  </conditionalFormatting>
  <conditionalFormatting sqref="B30">
    <cfRule type="duplicateValues" dxfId="638" priority="2"/>
  </conditionalFormatting>
  <conditionalFormatting sqref="B37">
    <cfRule type="duplicateValues" dxfId="637" priority="3"/>
  </conditionalFormatting>
  <conditionalFormatting sqref="B39">
    <cfRule type="duplicateValues" dxfId="636" priority="5"/>
  </conditionalFormatting>
  <conditionalFormatting sqref="B40">
    <cfRule type="duplicateValues" dxfId="635" priority="4"/>
  </conditionalFormatting>
  <conditionalFormatting sqref="B54:B1048576 B12:B16 B4:B10 B31:B36 B41:B45 B38 B18:B28">
    <cfRule type="duplicateValues" dxfId="634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8D22E-5B05-4BFD-9C4B-72DD023A4E73}">
  <sheetPr codeName="Sheet4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76</v>
      </c>
    </row>
    <row r="4" spans="1:5">
      <c r="A4" s="83" t="s">
        <v>341</v>
      </c>
      <c r="B4" s="84"/>
      <c r="C4" s="2" t="s">
        <v>146</v>
      </c>
      <c r="D4" s="85" t="s">
        <v>342</v>
      </c>
      <c r="E4" s="85"/>
    </row>
    <row r="5" spans="1:5">
      <c r="A5" s="72" t="s">
        <v>7</v>
      </c>
      <c r="B5" s="73"/>
      <c r="C5" s="3" t="s">
        <v>92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255.3 @ -29°C, 219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446</v>
      </c>
      <c r="D38" s="61"/>
      <c r="E38" s="61"/>
    </row>
    <row r="39" spans="1:5">
      <c r="A39" s="61" t="s">
        <v>405</v>
      </c>
      <c r="B39" s="61"/>
      <c r="C39" s="3" t="s">
        <v>447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33" priority="1"/>
  </conditionalFormatting>
  <conditionalFormatting sqref="B29">
    <cfRule type="duplicateValues" dxfId="632" priority="6"/>
  </conditionalFormatting>
  <conditionalFormatting sqref="B30">
    <cfRule type="duplicateValues" dxfId="631" priority="2"/>
  </conditionalFormatting>
  <conditionalFormatting sqref="B37">
    <cfRule type="duplicateValues" dxfId="630" priority="3"/>
  </conditionalFormatting>
  <conditionalFormatting sqref="B39">
    <cfRule type="duplicateValues" dxfId="629" priority="5"/>
  </conditionalFormatting>
  <conditionalFormatting sqref="B40">
    <cfRule type="duplicateValues" dxfId="628" priority="4"/>
  </conditionalFormatting>
  <conditionalFormatting sqref="B54:B1048576 B12:B16 B4:B10 B31:B36 B41:B45 B38 B18:B28">
    <cfRule type="duplicateValues" dxfId="627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2DD4B-9E4E-4518-8D28-245128D58134}">
  <sheetPr codeName="Sheet4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77</v>
      </c>
    </row>
    <row r="4" spans="1:5">
      <c r="A4" s="83" t="s">
        <v>341</v>
      </c>
      <c r="B4" s="84"/>
      <c r="C4" s="2" t="s">
        <v>150</v>
      </c>
      <c r="D4" s="85" t="s">
        <v>342</v>
      </c>
      <c r="E4" s="85"/>
    </row>
    <row r="5" spans="1:5">
      <c r="A5" s="72" t="s">
        <v>7</v>
      </c>
      <c r="B5" s="73"/>
      <c r="C5" s="3" t="s">
        <v>94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26" priority="1"/>
  </conditionalFormatting>
  <conditionalFormatting sqref="B29">
    <cfRule type="duplicateValues" dxfId="625" priority="6"/>
  </conditionalFormatting>
  <conditionalFormatting sqref="B30">
    <cfRule type="duplicateValues" dxfId="624" priority="2"/>
  </conditionalFormatting>
  <conditionalFormatting sqref="B37">
    <cfRule type="duplicateValues" dxfId="623" priority="3"/>
  </conditionalFormatting>
  <conditionalFormatting sqref="B39">
    <cfRule type="duplicateValues" dxfId="622" priority="5"/>
  </conditionalFormatting>
  <conditionalFormatting sqref="B40">
    <cfRule type="duplicateValues" dxfId="621" priority="4"/>
  </conditionalFormatting>
  <conditionalFormatting sqref="B54:B1048576 B12:B16 B4:B10 B31:B36 B41:B45 B38 B18:B28">
    <cfRule type="duplicateValues" dxfId="620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74F62-6BF2-4B55-846A-B2E6AD066857}">
  <sheetPr codeName="Sheet4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78</v>
      </c>
    </row>
    <row r="4" spans="1:5">
      <c r="A4" s="83" t="s">
        <v>341</v>
      </c>
      <c r="B4" s="84"/>
      <c r="C4" s="2" t="s">
        <v>157</v>
      </c>
      <c r="D4" s="85" t="s">
        <v>342</v>
      </c>
      <c r="E4" s="85"/>
    </row>
    <row r="5" spans="1:5">
      <c r="A5" s="72" t="s">
        <v>7</v>
      </c>
      <c r="B5" s="73"/>
      <c r="C5" s="3" t="s">
        <v>94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453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382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441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19" priority="1"/>
  </conditionalFormatting>
  <conditionalFormatting sqref="B29">
    <cfRule type="duplicateValues" dxfId="618" priority="6"/>
  </conditionalFormatting>
  <conditionalFormatting sqref="B30">
    <cfRule type="duplicateValues" dxfId="617" priority="2"/>
  </conditionalFormatting>
  <conditionalFormatting sqref="B37">
    <cfRule type="duplicateValues" dxfId="616" priority="3"/>
  </conditionalFormatting>
  <conditionalFormatting sqref="B39">
    <cfRule type="duplicateValues" dxfId="615" priority="5"/>
  </conditionalFormatting>
  <conditionalFormatting sqref="B40">
    <cfRule type="duplicateValues" dxfId="614" priority="4"/>
  </conditionalFormatting>
  <conditionalFormatting sqref="B54:B1048576 B12:B16 B4:B10 B31:B36 B41:B45 B38 B18:B28">
    <cfRule type="duplicateValues" dxfId="613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A932B-EF2A-4B7B-A85C-5578C0B2ADED}">
  <sheetPr codeName="Sheet4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79</v>
      </c>
    </row>
    <row r="4" spans="1:5">
      <c r="A4" s="83" t="s">
        <v>341</v>
      </c>
      <c r="B4" s="84"/>
      <c r="C4" s="2" t="s">
        <v>162</v>
      </c>
      <c r="D4" s="85" t="s">
        <v>342</v>
      </c>
      <c r="E4" s="85"/>
    </row>
    <row r="5" spans="1:5">
      <c r="A5" s="72" t="s">
        <v>7</v>
      </c>
      <c r="B5" s="73"/>
      <c r="C5" s="3" t="s">
        <v>96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98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19.6 @ -45°C,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404</v>
      </c>
      <c r="D38" s="61"/>
      <c r="E38" s="61"/>
    </row>
    <row r="39" spans="1:5">
      <c r="A39" s="61" t="s">
        <v>405</v>
      </c>
      <c r="B39" s="61"/>
      <c r="C39" s="3" t="s">
        <v>406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12" priority="1"/>
  </conditionalFormatting>
  <conditionalFormatting sqref="B29">
    <cfRule type="duplicateValues" dxfId="611" priority="6"/>
  </conditionalFormatting>
  <conditionalFormatting sqref="B30">
    <cfRule type="duplicateValues" dxfId="610" priority="2"/>
  </conditionalFormatting>
  <conditionalFormatting sqref="B37">
    <cfRule type="duplicateValues" dxfId="609" priority="3"/>
  </conditionalFormatting>
  <conditionalFormatting sqref="B39">
    <cfRule type="duplicateValues" dxfId="608" priority="5"/>
  </conditionalFormatting>
  <conditionalFormatting sqref="B40">
    <cfRule type="duplicateValues" dxfId="607" priority="4"/>
  </conditionalFormatting>
  <conditionalFormatting sqref="B54:B1048576 B12:B16 B4:B10 B31:B36 B41:B45 B38 B18:B28">
    <cfRule type="duplicateValues" dxfId="606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F1ABB-60ED-4929-99F0-2FCF5DC7F4B6}">
  <sheetPr codeName="Sheet49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80</v>
      </c>
    </row>
    <row r="4" spans="1:5">
      <c r="A4" s="83" t="s">
        <v>341</v>
      </c>
      <c r="B4" s="84"/>
      <c r="C4" s="2" t="s">
        <v>167</v>
      </c>
      <c r="D4" s="85" t="s">
        <v>342</v>
      </c>
      <c r="E4" s="85"/>
    </row>
    <row r="5" spans="1:5">
      <c r="A5" s="72" t="s">
        <v>7</v>
      </c>
      <c r="B5" s="73"/>
      <c r="C5" s="3" t="s">
        <v>96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98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19.6 @ -45°C,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404</v>
      </c>
      <c r="D38" s="61"/>
      <c r="E38" s="61"/>
    </row>
    <row r="39" spans="1:5">
      <c r="A39" s="61" t="s">
        <v>405</v>
      </c>
      <c r="B39" s="61"/>
      <c r="C39" s="3" t="s">
        <v>406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05" priority="1"/>
  </conditionalFormatting>
  <conditionalFormatting sqref="B29">
    <cfRule type="duplicateValues" dxfId="604" priority="6"/>
  </conditionalFormatting>
  <conditionalFormatting sqref="B30">
    <cfRule type="duplicateValues" dxfId="603" priority="2"/>
  </conditionalFormatting>
  <conditionalFormatting sqref="B37">
    <cfRule type="duplicateValues" dxfId="602" priority="3"/>
  </conditionalFormatting>
  <conditionalFormatting sqref="B39">
    <cfRule type="duplicateValues" dxfId="601" priority="5"/>
  </conditionalFormatting>
  <conditionalFormatting sqref="B40">
    <cfRule type="duplicateValues" dxfId="600" priority="4"/>
  </conditionalFormatting>
  <conditionalFormatting sqref="B54:B1048576 B12:B16 B4:B10 B31:B36 B41:B45 B38 B18:B28">
    <cfRule type="duplicateValues" dxfId="599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1B5AD-FD75-4243-B52E-A2ACFBA13984}">
  <sheetPr codeName="Sheet5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81</v>
      </c>
    </row>
    <row r="4" spans="1:5">
      <c r="A4" s="83" t="s">
        <v>341</v>
      </c>
      <c r="B4" s="84"/>
      <c r="C4" s="2" t="s">
        <v>171</v>
      </c>
      <c r="D4" s="85" t="s">
        <v>342</v>
      </c>
      <c r="E4" s="85"/>
    </row>
    <row r="5" spans="1:5">
      <c r="A5" s="72" t="s">
        <v>7</v>
      </c>
      <c r="B5" s="73"/>
      <c r="C5" s="3" t="s">
        <v>101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98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51.1 @ -45°C, 43.8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427</v>
      </c>
      <c r="D38" s="61"/>
      <c r="E38" s="61"/>
    </row>
    <row r="39" spans="1:5">
      <c r="A39" s="61" t="s">
        <v>405</v>
      </c>
      <c r="B39" s="61"/>
      <c r="C39" s="3" t="s">
        <v>428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98" priority="1"/>
  </conditionalFormatting>
  <conditionalFormatting sqref="B29">
    <cfRule type="duplicateValues" dxfId="597" priority="6"/>
  </conditionalFormatting>
  <conditionalFormatting sqref="B30">
    <cfRule type="duplicateValues" dxfId="596" priority="2"/>
  </conditionalFormatting>
  <conditionalFormatting sqref="B37">
    <cfRule type="duplicateValues" dxfId="595" priority="3"/>
  </conditionalFormatting>
  <conditionalFormatting sqref="B39">
    <cfRule type="duplicateValues" dxfId="594" priority="5"/>
  </conditionalFormatting>
  <conditionalFormatting sqref="B40">
    <cfRule type="duplicateValues" dxfId="593" priority="4"/>
  </conditionalFormatting>
  <conditionalFormatting sqref="B54:B1048576 B12:B16 B4:B10 B31:B36 B41:B45 B38 B18:B28">
    <cfRule type="duplicateValues" dxfId="592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5BC5D-78E3-49D3-A0BD-932ACE51558E}">
  <sheetPr codeName="Sheet5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82</v>
      </c>
    </row>
    <row r="4" spans="1:5">
      <c r="A4" s="83" t="s">
        <v>341</v>
      </c>
      <c r="B4" s="84"/>
      <c r="C4" s="2" t="s">
        <v>175</v>
      </c>
      <c r="D4" s="85" t="s">
        <v>342</v>
      </c>
      <c r="E4" s="85"/>
    </row>
    <row r="5" spans="1:5">
      <c r="A5" s="72" t="s">
        <v>7</v>
      </c>
      <c r="B5" s="73"/>
      <c r="C5" s="3" t="s">
        <v>101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98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51.1 @ -45°C, 43.8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427</v>
      </c>
      <c r="D38" s="61"/>
      <c r="E38" s="61"/>
    </row>
    <row r="39" spans="1:5">
      <c r="A39" s="61" t="s">
        <v>405</v>
      </c>
      <c r="B39" s="61"/>
      <c r="C39" s="3" t="s">
        <v>428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91" priority="1"/>
  </conditionalFormatting>
  <conditionalFormatting sqref="B29">
    <cfRule type="duplicateValues" dxfId="590" priority="6"/>
  </conditionalFormatting>
  <conditionalFormatting sqref="B30">
    <cfRule type="duplicateValues" dxfId="589" priority="2"/>
  </conditionalFormatting>
  <conditionalFormatting sqref="B37">
    <cfRule type="duplicateValues" dxfId="588" priority="3"/>
  </conditionalFormatting>
  <conditionalFormatting sqref="B39">
    <cfRule type="duplicateValues" dxfId="587" priority="5"/>
  </conditionalFormatting>
  <conditionalFormatting sqref="B40">
    <cfRule type="duplicateValues" dxfId="586" priority="4"/>
  </conditionalFormatting>
  <conditionalFormatting sqref="B54:B1048576 B12:B16 B4:B10 B31:B36 B41:B45 B38 B18:B28">
    <cfRule type="duplicateValues" dxfId="585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AA89D-77B5-490F-B681-9E42DAFCC284}">
  <sheetPr codeName="Sheet5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83</v>
      </c>
    </row>
    <row r="4" spans="1:5">
      <c r="A4" s="83" t="s">
        <v>341</v>
      </c>
      <c r="B4" s="84"/>
      <c r="C4" s="2" t="s">
        <v>179</v>
      </c>
      <c r="D4" s="85" t="s">
        <v>342</v>
      </c>
      <c r="E4" s="85"/>
    </row>
    <row r="5" spans="1:5">
      <c r="A5" s="72" t="s">
        <v>7</v>
      </c>
      <c r="B5" s="73"/>
      <c r="C5" s="3" t="s">
        <v>104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102.1 @ -45°C, 87.6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434</v>
      </c>
      <c r="D38" s="61"/>
      <c r="E38" s="61"/>
    </row>
    <row r="39" spans="1:5">
      <c r="A39" s="61" t="s">
        <v>405</v>
      </c>
      <c r="B39" s="61"/>
      <c r="C39" s="3" t="s">
        <v>435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84" priority="1"/>
  </conditionalFormatting>
  <conditionalFormatting sqref="B29">
    <cfRule type="duplicateValues" dxfId="583" priority="6"/>
  </conditionalFormatting>
  <conditionalFormatting sqref="B30">
    <cfRule type="duplicateValues" dxfId="582" priority="2"/>
  </conditionalFormatting>
  <conditionalFormatting sqref="B37">
    <cfRule type="duplicateValues" dxfId="581" priority="3"/>
  </conditionalFormatting>
  <conditionalFormatting sqref="B39">
    <cfRule type="duplicateValues" dxfId="580" priority="5"/>
  </conditionalFormatting>
  <conditionalFormatting sqref="B40">
    <cfRule type="duplicateValues" dxfId="579" priority="4"/>
  </conditionalFormatting>
  <conditionalFormatting sqref="B54:B1048576 B12:B16 B4:B10 B31:B36 B41:B45 B38 B18:B28">
    <cfRule type="duplicateValues" dxfId="578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A3960-63FE-4366-A483-705724266B9E}">
  <sheetPr codeName="Sheet5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84</v>
      </c>
    </row>
    <row r="4" spans="1:5">
      <c r="A4" s="83" t="s">
        <v>341</v>
      </c>
      <c r="B4" s="84"/>
      <c r="C4" s="2" t="s">
        <v>183</v>
      </c>
      <c r="D4" s="85" t="s">
        <v>342</v>
      </c>
      <c r="E4" s="85"/>
    </row>
    <row r="5" spans="1:5">
      <c r="A5" s="72" t="s">
        <v>7</v>
      </c>
      <c r="B5" s="73"/>
      <c r="C5" s="3" t="s">
        <v>104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102.1 @ -45°C, 87.6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434</v>
      </c>
      <c r="D38" s="61"/>
      <c r="E38" s="61"/>
    </row>
    <row r="39" spans="1:5">
      <c r="A39" s="61" t="s">
        <v>405</v>
      </c>
      <c r="B39" s="61"/>
      <c r="C39" s="3" t="s">
        <v>435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77" priority="1"/>
  </conditionalFormatting>
  <conditionalFormatting sqref="B29">
    <cfRule type="duplicateValues" dxfId="576" priority="6"/>
  </conditionalFormatting>
  <conditionalFormatting sqref="B30">
    <cfRule type="duplicateValues" dxfId="575" priority="2"/>
  </conditionalFormatting>
  <conditionalFormatting sqref="B37">
    <cfRule type="duplicateValues" dxfId="574" priority="3"/>
  </conditionalFormatting>
  <conditionalFormatting sqref="B39">
    <cfRule type="duplicateValues" dxfId="573" priority="5"/>
  </conditionalFormatting>
  <conditionalFormatting sqref="B40">
    <cfRule type="duplicateValues" dxfId="572" priority="4"/>
  </conditionalFormatting>
  <conditionalFormatting sqref="B54:B1048576 B12:B16 B4:B10 B31:B36 B41:B45 B38 B18:B28">
    <cfRule type="duplicateValues" dxfId="571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76ADC-6757-42E9-978D-B96F9EF2D909}">
  <sheetPr codeName="Sheet54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85</v>
      </c>
    </row>
    <row r="4" spans="1:5">
      <c r="A4" s="83" t="s">
        <v>341</v>
      </c>
      <c r="B4" s="84"/>
      <c r="C4" s="2" t="s">
        <v>185</v>
      </c>
      <c r="D4" s="85" t="s">
        <v>342</v>
      </c>
      <c r="E4" s="85"/>
    </row>
    <row r="5" spans="1:5">
      <c r="A5" s="72" t="s">
        <v>7</v>
      </c>
      <c r="B5" s="73"/>
      <c r="C5" s="3" t="s">
        <v>108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153.2 @ -45°C, 131.4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442</v>
      </c>
      <c r="D38" s="61"/>
      <c r="E38" s="61"/>
    </row>
    <row r="39" spans="1:5">
      <c r="A39" s="61" t="s">
        <v>405</v>
      </c>
      <c r="B39" s="61"/>
      <c r="C39" s="3" t="s">
        <v>443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70" priority="1"/>
  </conditionalFormatting>
  <conditionalFormatting sqref="B29">
    <cfRule type="duplicateValues" dxfId="569" priority="6"/>
  </conditionalFormatting>
  <conditionalFormatting sqref="B30">
    <cfRule type="duplicateValues" dxfId="568" priority="2"/>
  </conditionalFormatting>
  <conditionalFormatting sqref="B37">
    <cfRule type="duplicateValues" dxfId="567" priority="3"/>
  </conditionalFormatting>
  <conditionalFormatting sqref="B39">
    <cfRule type="duplicateValues" dxfId="566" priority="5"/>
  </conditionalFormatting>
  <conditionalFormatting sqref="B40">
    <cfRule type="duplicateValues" dxfId="565" priority="4"/>
  </conditionalFormatting>
  <conditionalFormatting sqref="B54:B1048576 B12:B16 B4:B10 B31:B36 B41:B45 B38 B18:B28">
    <cfRule type="duplicateValues" dxfId="56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DEF1-27E2-43AF-B3D6-FF12B717081D}">
  <sheetPr codeName="Sheet5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86</v>
      </c>
    </row>
    <row r="4" spans="1:5">
      <c r="A4" s="83" t="s">
        <v>341</v>
      </c>
      <c r="B4" s="84"/>
      <c r="C4" s="2" t="s">
        <v>187</v>
      </c>
      <c r="D4" s="85" t="s">
        <v>342</v>
      </c>
      <c r="E4" s="85"/>
    </row>
    <row r="5" spans="1:5">
      <c r="A5" s="72" t="s">
        <v>7</v>
      </c>
      <c r="B5" s="73"/>
      <c r="C5" s="3" t="s">
        <v>108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153.2 @ -45°C, 131.4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442</v>
      </c>
      <c r="D38" s="61"/>
      <c r="E38" s="61"/>
    </row>
    <row r="39" spans="1:5">
      <c r="A39" s="61" t="s">
        <v>405</v>
      </c>
      <c r="B39" s="61"/>
      <c r="C39" s="3" t="s">
        <v>443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63" priority="1"/>
  </conditionalFormatting>
  <conditionalFormatting sqref="B29">
    <cfRule type="duplicateValues" dxfId="562" priority="6"/>
  </conditionalFormatting>
  <conditionalFormatting sqref="B30">
    <cfRule type="duplicateValues" dxfId="561" priority="2"/>
  </conditionalFormatting>
  <conditionalFormatting sqref="B37">
    <cfRule type="duplicateValues" dxfId="560" priority="3"/>
  </conditionalFormatting>
  <conditionalFormatting sqref="B39">
    <cfRule type="duplicateValues" dxfId="559" priority="5"/>
  </conditionalFormatting>
  <conditionalFormatting sqref="B40">
    <cfRule type="duplicateValues" dxfId="558" priority="4"/>
  </conditionalFormatting>
  <conditionalFormatting sqref="B54:B1048576 B12:B16 B4:B10 B31:B36 B41:B45 B38 B18:B28">
    <cfRule type="duplicateValues" dxfId="55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4BCC0-250C-4708-B46B-C156F24C5F6E}">
  <sheetPr codeName="Sheet5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87</v>
      </c>
    </row>
    <row r="4" spans="1:5">
      <c r="A4" s="83" t="s">
        <v>341</v>
      </c>
      <c r="B4" s="84"/>
      <c r="C4" s="2" t="s">
        <v>189</v>
      </c>
      <c r="D4" s="85" t="s">
        <v>342</v>
      </c>
      <c r="E4" s="85"/>
    </row>
    <row r="5" spans="1:5">
      <c r="A5" s="72" t="s">
        <v>7</v>
      </c>
      <c r="B5" s="73"/>
      <c r="C5" s="3" t="s">
        <v>111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255.3 @ -45°C, 219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446</v>
      </c>
      <c r="D38" s="61"/>
      <c r="E38" s="61"/>
    </row>
    <row r="39" spans="1:5">
      <c r="A39" s="61" t="s">
        <v>405</v>
      </c>
      <c r="B39" s="61"/>
      <c r="C39" s="3" t="s">
        <v>447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56" priority="1"/>
  </conditionalFormatting>
  <conditionalFormatting sqref="B29">
    <cfRule type="duplicateValues" dxfId="555" priority="6"/>
  </conditionalFormatting>
  <conditionalFormatting sqref="B30">
    <cfRule type="duplicateValues" dxfId="554" priority="2"/>
  </conditionalFormatting>
  <conditionalFormatting sqref="B37">
    <cfRule type="duplicateValues" dxfId="553" priority="3"/>
  </conditionalFormatting>
  <conditionalFormatting sqref="B39">
    <cfRule type="duplicateValues" dxfId="552" priority="5"/>
  </conditionalFormatting>
  <conditionalFormatting sqref="B40">
    <cfRule type="duplicateValues" dxfId="551" priority="4"/>
  </conditionalFormatting>
  <conditionalFormatting sqref="B54:B1048576 B12:B16 B4:B10 B31:B36 B41:B45 B38 B18:B28">
    <cfRule type="duplicateValues" dxfId="550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52AC-F7AF-49FD-A6E3-523076ACE6B7}">
  <sheetPr codeName="Sheet5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88</v>
      </c>
    </row>
    <row r="4" spans="1:5">
      <c r="A4" s="83" t="s">
        <v>341</v>
      </c>
      <c r="B4" s="84"/>
      <c r="C4" s="2" t="s">
        <v>191</v>
      </c>
      <c r="D4" s="85" t="s">
        <v>342</v>
      </c>
      <c r="E4" s="85"/>
    </row>
    <row r="5" spans="1:5">
      <c r="A5" s="72" t="s">
        <v>7</v>
      </c>
      <c r="B5" s="73"/>
      <c r="C5" s="3" t="s">
        <v>111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255.3 @ -45°C, 219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446</v>
      </c>
      <c r="D38" s="61"/>
      <c r="E38" s="61"/>
    </row>
    <row r="39" spans="1:5">
      <c r="A39" s="61" t="s">
        <v>405</v>
      </c>
      <c r="B39" s="61"/>
      <c r="C39" s="3" t="s">
        <v>447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49" priority="1"/>
  </conditionalFormatting>
  <conditionalFormatting sqref="B29">
    <cfRule type="duplicateValues" dxfId="548" priority="6"/>
  </conditionalFormatting>
  <conditionalFormatting sqref="B30">
    <cfRule type="duplicateValues" dxfId="547" priority="2"/>
  </conditionalFormatting>
  <conditionalFormatting sqref="B37">
    <cfRule type="duplicateValues" dxfId="546" priority="3"/>
  </conditionalFormatting>
  <conditionalFormatting sqref="B39">
    <cfRule type="duplicateValues" dxfId="545" priority="5"/>
  </conditionalFormatting>
  <conditionalFormatting sqref="B40">
    <cfRule type="duplicateValues" dxfId="544" priority="4"/>
  </conditionalFormatting>
  <conditionalFormatting sqref="B54:B1048576 B12:B16 B4:B10 B31:B36 B41:B45 B38 B18:B28">
    <cfRule type="duplicateValues" dxfId="54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EE2A3-1FF9-47FA-A442-C1618D4F155C}">
  <sheetPr codeName="Sheet58">
    <tabColor rgb="FFFFFF00"/>
    <pageSetUpPr fitToPage="1"/>
  </sheetPr>
  <dimension ref="A1:E53"/>
  <sheetViews>
    <sheetView topLeftCell="A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89</v>
      </c>
    </row>
    <row r="4" spans="1:5">
      <c r="A4" s="83" t="s">
        <v>341</v>
      </c>
      <c r="B4" s="84"/>
      <c r="C4" s="2" t="s">
        <v>193</v>
      </c>
      <c r="D4" s="85" t="s">
        <v>342</v>
      </c>
      <c r="E4" s="85"/>
    </row>
    <row r="5" spans="1:5">
      <c r="A5" s="72" t="s">
        <v>7</v>
      </c>
      <c r="B5" s="73"/>
      <c r="C5" s="3" t="s">
        <v>114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115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42" priority="1"/>
  </conditionalFormatting>
  <conditionalFormatting sqref="B29">
    <cfRule type="duplicateValues" dxfId="541" priority="6"/>
  </conditionalFormatting>
  <conditionalFormatting sqref="B30">
    <cfRule type="duplicateValues" dxfId="540" priority="2"/>
  </conditionalFormatting>
  <conditionalFormatting sqref="B37">
    <cfRule type="duplicateValues" dxfId="539" priority="3"/>
  </conditionalFormatting>
  <conditionalFormatting sqref="B39">
    <cfRule type="duplicateValues" dxfId="538" priority="5"/>
  </conditionalFormatting>
  <conditionalFormatting sqref="B40">
    <cfRule type="duplicateValues" dxfId="537" priority="4"/>
  </conditionalFormatting>
  <conditionalFormatting sqref="B54:B1048576 B12:B16 B4:B10 B31:B36 B41:B45 B38 B18:B28">
    <cfRule type="duplicateValues" dxfId="536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EEA59-7503-4BB3-9C1D-15C2550398F9}">
  <sheetPr codeName="Sheet59">
    <tabColor rgb="FFFFFF00"/>
    <pageSetUpPr fitToPage="1"/>
  </sheetPr>
  <dimension ref="A1:E53"/>
  <sheetViews>
    <sheetView topLeftCell="A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90</v>
      </c>
    </row>
    <row r="4" spans="1:5">
      <c r="A4" s="83" t="s">
        <v>341</v>
      </c>
      <c r="B4" s="84"/>
      <c r="C4" s="2" t="s">
        <v>197</v>
      </c>
      <c r="D4" s="85" t="s">
        <v>342</v>
      </c>
      <c r="E4" s="85"/>
    </row>
    <row r="5" spans="1:5">
      <c r="A5" s="72" t="s">
        <v>7</v>
      </c>
      <c r="B5" s="73"/>
      <c r="C5" s="3" t="s">
        <v>114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115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432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35" priority="1"/>
  </conditionalFormatting>
  <conditionalFormatting sqref="B29">
    <cfRule type="duplicateValues" dxfId="534" priority="6"/>
  </conditionalFormatting>
  <conditionalFormatting sqref="B30">
    <cfRule type="duplicateValues" dxfId="533" priority="2"/>
  </conditionalFormatting>
  <conditionalFormatting sqref="B37">
    <cfRule type="duplicateValues" dxfId="532" priority="3"/>
  </conditionalFormatting>
  <conditionalFormatting sqref="B39">
    <cfRule type="duplicateValues" dxfId="531" priority="5"/>
  </conditionalFormatting>
  <conditionalFormatting sqref="B40">
    <cfRule type="duplicateValues" dxfId="530" priority="4"/>
  </conditionalFormatting>
  <conditionalFormatting sqref="B54:B1048576 B12:B16 B4:B10 B31:B36 B41:B45 B38 B18:B28">
    <cfRule type="duplicateValues" dxfId="529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82AF9-597C-4580-8976-B3B48FAFCAF1}">
  <sheetPr codeName="Sheet131">
    <tabColor rgb="FFFFFF00"/>
    <pageSetUpPr fitToPage="1"/>
  </sheetPr>
  <dimension ref="A1:E53"/>
  <sheetViews>
    <sheetView topLeftCell="A4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91</v>
      </c>
    </row>
    <row r="4" spans="1:5">
      <c r="A4" s="83" t="s">
        <v>341</v>
      </c>
      <c r="B4" s="84"/>
      <c r="C4" s="2" t="s">
        <v>201</v>
      </c>
      <c r="D4" s="85" t="s">
        <v>342</v>
      </c>
      <c r="E4" s="85"/>
    </row>
    <row r="5" spans="1:5">
      <c r="A5" s="72" t="s">
        <v>7</v>
      </c>
      <c r="B5" s="73"/>
      <c r="C5" s="3" t="s">
        <v>114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115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461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 ht="36">
      <c r="A23" s="61"/>
      <c r="B23" s="4" t="s">
        <v>373</v>
      </c>
      <c r="C23" s="3" t="s">
        <v>462</v>
      </c>
      <c r="D23" s="61"/>
      <c r="E23" s="61"/>
    </row>
    <row r="24" spans="1:5">
      <c r="A24" s="61"/>
      <c r="B24" s="4" t="s">
        <v>375</v>
      </c>
      <c r="C24" s="3" t="s">
        <v>463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28" priority="1"/>
  </conditionalFormatting>
  <conditionalFormatting sqref="B29">
    <cfRule type="duplicateValues" dxfId="527" priority="6"/>
  </conditionalFormatting>
  <conditionalFormatting sqref="B30">
    <cfRule type="duplicateValues" dxfId="526" priority="2"/>
  </conditionalFormatting>
  <conditionalFormatting sqref="B37">
    <cfRule type="duplicateValues" dxfId="525" priority="3"/>
  </conditionalFormatting>
  <conditionalFormatting sqref="B39">
    <cfRule type="duplicateValues" dxfId="524" priority="5"/>
  </conditionalFormatting>
  <conditionalFormatting sqref="B40">
    <cfRule type="duplicateValues" dxfId="523" priority="4"/>
  </conditionalFormatting>
  <conditionalFormatting sqref="B54:B1048576 B12:B16 B4:B10 B31:B36 B41:B45 B38 B18:B28">
    <cfRule type="duplicateValues" dxfId="522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B74D8-7714-47D7-BAB2-7F7CFE9B9C45}">
  <sheetPr codeName="Sheet12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92</v>
      </c>
    </row>
    <row r="4" spans="1:5">
      <c r="A4" s="83" t="s">
        <v>341</v>
      </c>
      <c r="B4" s="84"/>
      <c r="C4" s="2" t="s">
        <v>205</v>
      </c>
      <c r="D4" s="85" t="s">
        <v>342</v>
      </c>
      <c r="E4" s="85"/>
    </row>
    <row r="5" spans="1:5">
      <c r="A5" s="72" t="s">
        <v>7</v>
      </c>
      <c r="B5" s="73"/>
      <c r="C5" s="3" t="s">
        <v>114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115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3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461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 ht="36">
      <c r="A23" s="61"/>
      <c r="B23" s="4" t="s">
        <v>373</v>
      </c>
      <c r="C23" s="3" t="s">
        <v>462</v>
      </c>
      <c r="D23" s="61"/>
      <c r="E23" s="61"/>
    </row>
    <row r="24" spans="1:5">
      <c r="A24" s="61"/>
      <c r="B24" s="4" t="s">
        <v>375</v>
      </c>
      <c r="C24" s="3" t="s">
        <v>463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21" priority="1"/>
  </conditionalFormatting>
  <conditionalFormatting sqref="B29">
    <cfRule type="duplicateValues" dxfId="520" priority="6"/>
  </conditionalFormatting>
  <conditionalFormatting sqref="B30">
    <cfRule type="duplicateValues" dxfId="519" priority="2"/>
  </conditionalFormatting>
  <conditionalFormatting sqref="B37">
    <cfRule type="duplicateValues" dxfId="518" priority="3"/>
  </conditionalFormatting>
  <conditionalFormatting sqref="B39">
    <cfRule type="duplicateValues" dxfId="517" priority="5"/>
  </conditionalFormatting>
  <conditionalFormatting sqref="B40">
    <cfRule type="duplicateValues" dxfId="516" priority="4"/>
  </conditionalFormatting>
  <conditionalFormatting sqref="B54:B1048576 B12:B16 B4:B10 B31:B36 B41:B45 B38 B18:B28">
    <cfRule type="duplicateValues" dxfId="515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610B6-5D51-4F79-AD59-8FA71048513F}">
  <sheetPr codeName="Sheet6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93</v>
      </c>
    </row>
    <row r="4" spans="1:5">
      <c r="A4" s="83" t="s">
        <v>341</v>
      </c>
      <c r="B4" s="84"/>
      <c r="C4" s="2" t="s">
        <v>209</v>
      </c>
      <c r="D4" s="85" t="s">
        <v>342</v>
      </c>
      <c r="E4" s="85"/>
    </row>
    <row r="5" spans="1:5">
      <c r="A5" s="72" t="s">
        <v>7</v>
      </c>
      <c r="B5" s="73"/>
      <c r="C5" s="3" t="s">
        <v>117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19.6 @ -45°C,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404</v>
      </c>
      <c r="D38" s="61"/>
      <c r="E38" s="61"/>
    </row>
    <row r="39" spans="1:5">
      <c r="A39" s="61" t="s">
        <v>405</v>
      </c>
      <c r="B39" s="61"/>
      <c r="C39" s="3" t="s">
        <v>406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14" priority="1"/>
  </conditionalFormatting>
  <conditionalFormatting sqref="B29">
    <cfRule type="duplicateValues" dxfId="513" priority="6"/>
  </conditionalFormatting>
  <conditionalFormatting sqref="B30">
    <cfRule type="duplicateValues" dxfId="512" priority="2"/>
  </conditionalFormatting>
  <conditionalFormatting sqref="B37">
    <cfRule type="duplicateValues" dxfId="511" priority="3"/>
  </conditionalFormatting>
  <conditionalFormatting sqref="B39">
    <cfRule type="duplicateValues" dxfId="510" priority="5"/>
  </conditionalFormatting>
  <conditionalFormatting sqref="B40">
    <cfRule type="duplicateValues" dxfId="509" priority="4"/>
  </conditionalFormatting>
  <conditionalFormatting sqref="B54:B1048576 B12:B16 B4:B10 B31:B36 B41:B45 B38 B18:B28">
    <cfRule type="duplicateValues" dxfId="508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AD924-5C0E-41EC-8D41-A5EDE25EE135}">
  <sheetPr codeName="Sheet6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94</v>
      </c>
    </row>
    <row r="4" spans="1:5">
      <c r="A4" s="83" t="s">
        <v>341</v>
      </c>
      <c r="B4" s="84"/>
      <c r="C4" s="2" t="s">
        <v>213</v>
      </c>
      <c r="D4" s="85" t="s">
        <v>342</v>
      </c>
      <c r="E4" s="85"/>
    </row>
    <row r="5" spans="1:5">
      <c r="A5" s="72" t="s">
        <v>7</v>
      </c>
      <c r="B5" s="73"/>
      <c r="C5" s="3" t="s">
        <v>117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19.6 @ -45°C,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404</v>
      </c>
      <c r="D38" s="61"/>
      <c r="E38" s="61"/>
    </row>
    <row r="39" spans="1:5">
      <c r="A39" s="61" t="s">
        <v>405</v>
      </c>
      <c r="B39" s="61"/>
      <c r="C39" s="3" t="s">
        <v>406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07" priority="1"/>
  </conditionalFormatting>
  <conditionalFormatting sqref="B29">
    <cfRule type="duplicateValues" dxfId="506" priority="6"/>
  </conditionalFormatting>
  <conditionalFormatting sqref="B30">
    <cfRule type="duplicateValues" dxfId="505" priority="2"/>
  </conditionalFormatting>
  <conditionalFormatting sqref="B37">
    <cfRule type="duplicateValues" dxfId="504" priority="3"/>
  </conditionalFormatting>
  <conditionalFormatting sqref="B39">
    <cfRule type="duplicateValues" dxfId="503" priority="5"/>
  </conditionalFormatting>
  <conditionalFormatting sqref="B40">
    <cfRule type="duplicateValues" dxfId="502" priority="4"/>
  </conditionalFormatting>
  <conditionalFormatting sqref="B54:B1048576 B12:B16 B4:B10 B31:B36 B41:B45 B38 B18:B28">
    <cfRule type="duplicateValues" dxfId="501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E14B-D288-4996-9058-00A412D8A873}">
  <sheetPr codeName="Sheet6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95</v>
      </c>
    </row>
    <row r="4" spans="1:5">
      <c r="A4" s="83" t="s">
        <v>341</v>
      </c>
      <c r="B4" s="84"/>
      <c r="C4" s="2" t="s">
        <v>217</v>
      </c>
      <c r="D4" s="85" t="s">
        <v>342</v>
      </c>
      <c r="E4" s="85"/>
    </row>
    <row r="5" spans="1:5">
      <c r="A5" s="72" t="s">
        <v>7</v>
      </c>
      <c r="B5" s="73"/>
      <c r="C5" s="3" t="s">
        <v>119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51.1 @ -45°C, 43.8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427</v>
      </c>
      <c r="D38" s="61"/>
      <c r="E38" s="61"/>
    </row>
    <row r="39" spans="1:5">
      <c r="A39" s="61" t="s">
        <v>405</v>
      </c>
      <c r="B39" s="61"/>
      <c r="C39" s="3" t="s">
        <v>428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00" priority="1"/>
  </conditionalFormatting>
  <conditionalFormatting sqref="B29">
    <cfRule type="duplicateValues" dxfId="499" priority="6"/>
  </conditionalFormatting>
  <conditionalFormatting sqref="B30">
    <cfRule type="duplicateValues" dxfId="498" priority="2"/>
  </conditionalFormatting>
  <conditionalFormatting sqref="B37">
    <cfRule type="duplicateValues" dxfId="497" priority="3"/>
  </conditionalFormatting>
  <conditionalFormatting sqref="B39">
    <cfRule type="duplicateValues" dxfId="496" priority="5"/>
  </conditionalFormatting>
  <conditionalFormatting sqref="B40">
    <cfRule type="duplicateValues" dxfId="495" priority="4"/>
  </conditionalFormatting>
  <conditionalFormatting sqref="B54:B1048576 B12:B16 B4:B10 B31:B36 B41:B45 B38 B18:B28">
    <cfRule type="duplicateValues" dxfId="494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6FE8C-5DB7-445C-B3F4-F1D18C243339}">
  <sheetPr codeName="Sheet6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96</v>
      </c>
    </row>
    <row r="4" spans="1:5">
      <c r="A4" s="83" t="s">
        <v>341</v>
      </c>
      <c r="B4" s="84"/>
      <c r="C4" s="2" t="s">
        <v>221</v>
      </c>
      <c r="D4" s="85" t="s">
        <v>342</v>
      </c>
      <c r="E4" s="85"/>
    </row>
    <row r="5" spans="1:5">
      <c r="A5" s="72" t="s">
        <v>7</v>
      </c>
      <c r="B5" s="73"/>
      <c r="C5" s="3" t="s">
        <v>119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51.1 @ -45°C, 43.8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427</v>
      </c>
      <c r="D38" s="61"/>
      <c r="E38" s="61"/>
    </row>
    <row r="39" spans="1:5">
      <c r="A39" s="61" t="s">
        <v>405</v>
      </c>
      <c r="B39" s="61"/>
      <c r="C39" s="3" t="s">
        <v>428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93" priority="1"/>
  </conditionalFormatting>
  <conditionalFormatting sqref="B29">
    <cfRule type="duplicateValues" dxfId="492" priority="6"/>
  </conditionalFormatting>
  <conditionalFormatting sqref="B30">
    <cfRule type="duplicateValues" dxfId="491" priority="2"/>
  </conditionalFormatting>
  <conditionalFormatting sqref="B37">
    <cfRule type="duplicateValues" dxfId="490" priority="3"/>
  </conditionalFormatting>
  <conditionalFormatting sqref="B39">
    <cfRule type="duplicateValues" dxfId="489" priority="5"/>
  </conditionalFormatting>
  <conditionalFormatting sqref="B40">
    <cfRule type="duplicateValues" dxfId="488" priority="4"/>
  </conditionalFormatting>
  <conditionalFormatting sqref="B54:B1048576 B12:B16 B4:B10 B31:B36 B41:B45 B38 B18:B28">
    <cfRule type="duplicateValues" dxfId="487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A504F-B474-4BE2-BD64-5E47F638EEC9}">
  <sheetPr codeName="Sheet6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97</v>
      </c>
    </row>
    <row r="4" spans="1:5">
      <c r="A4" s="83" t="s">
        <v>341</v>
      </c>
      <c r="B4" s="84"/>
      <c r="C4" s="2" t="s">
        <v>224</v>
      </c>
      <c r="D4" s="85" t="s">
        <v>342</v>
      </c>
      <c r="E4" s="85"/>
    </row>
    <row r="5" spans="1:5">
      <c r="A5" s="72" t="s">
        <v>7</v>
      </c>
      <c r="B5" s="73"/>
      <c r="C5" s="3" t="s">
        <v>121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102.1 @ -45°C, 87.6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434</v>
      </c>
      <c r="D38" s="61"/>
      <c r="E38" s="61"/>
    </row>
    <row r="39" spans="1:5">
      <c r="A39" s="61" t="s">
        <v>405</v>
      </c>
      <c r="B39" s="61"/>
      <c r="C39" s="3" t="s">
        <v>435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86" priority="1"/>
  </conditionalFormatting>
  <conditionalFormatting sqref="B29">
    <cfRule type="duplicateValues" dxfId="485" priority="6"/>
  </conditionalFormatting>
  <conditionalFormatting sqref="B30">
    <cfRule type="duplicateValues" dxfId="484" priority="2"/>
  </conditionalFormatting>
  <conditionalFormatting sqref="B37">
    <cfRule type="duplicateValues" dxfId="483" priority="3"/>
  </conditionalFormatting>
  <conditionalFormatting sqref="B39">
    <cfRule type="duplicateValues" dxfId="482" priority="5"/>
  </conditionalFormatting>
  <conditionalFormatting sqref="B40">
    <cfRule type="duplicateValues" dxfId="481" priority="4"/>
  </conditionalFormatting>
  <conditionalFormatting sqref="B54:B1048576 B12:B16 B4:B10 B31:B36 B41:B45 B38 B18:B28">
    <cfRule type="duplicateValues" dxfId="480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6CA2A-487C-40F0-9261-1F1F1C397575}">
  <sheetPr codeName="Sheet65">
    <tabColor rgb="FFFFFF00"/>
    <pageSetUpPr fitToPage="1"/>
  </sheetPr>
  <dimension ref="A1:E53"/>
  <sheetViews>
    <sheetView topLeftCell="A21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98</v>
      </c>
    </row>
    <row r="4" spans="1:5">
      <c r="A4" s="83" t="s">
        <v>341</v>
      </c>
      <c r="B4" s="84"/>
      <c r="C4" s="2" t="s">
        <v>227</v>
      </c>
      <c r="D4" s="85" t="s">
        <v>342</v>
      </c>
      <c r="E4" s="85"/>
    </row>
    <row r="5" spans="1:5">
      <c r="A5" s="72" t="s">
        <v>7</v>
      </c>
      <c r="B5" s="73"/>
      <c r="C5" s="3" t="s">
        <v>121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102.1 @ -45°C, 87.6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465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434</v>
      </c>
      <c r="D38" s="61"/>
      <c r="E38" s="61"/>
    </row>
    <row r="39" spans="1:5">
      <c r="A39" s="61" t="s">
        <v>405</v>
      </c>
      <c r="B39" s="61"/>
      <c r="C39" s="3" t="s">
        <v>435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79" priority="1"/>
  </conditionalFormatting>
  <conditionalFormatting sqref="B29">
    <cfRule type="duplicateValues" dxfId="478" priority="6"/>
  </conditionalFormatting>
  <conditionalFormatting sqref="B30">
    <cfRule type="duplicateValues" dxfId="477" priority="2"/>
  </conditionalFormatting>
  <conditionalFormatting sqref="B37">
    <cfRule type="duplicateValues" dxfId="476" priority="3"/>
  </conditionalFormatting>
  <conditionalFormatting sqref="B39">
    <cfRule type="duplicateValues" dxfId="475" priority="5"/>
  </conditionalFormatting>
  <conditionalFormatting sqref="B40">
    <cfRule type="duplicateValues" dxfId="474" priority="4"/>
  </conditionalFormatting>
  <conditionalFormatting sqref="B54:B1048576 B12:B16 B4:B10 B31:B36 B41:B45 B38 B18:B28">
    <cfRule type="duplicateValues" dxfId="473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7DC84-E63B-4B78-85AE-7C109311D7CE}">
  <sheetPr codeName="Sheet6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99</v>
      </c>
    </row>
    <row r="4" spans="1:5">
      <c r="A4" s="83" t="s">
        <v>341</v>
      </c>
      <c r="B4" s="84"/>
      <c r="C4" s="2" t="s">
        <v>229</v>
      </c>
      <c r="D4" s="85" t="s">
        <v>342</v>
      </c>
      <c r="E4" s="85"/>
    </row>
    <row r="5" spans="1:5">
      <c r="A5" s="72" t="s">
        <v>7</v>
      </c>
      <c r="B5" s="73"/>
      <c r="C5" s="3" t="s">
        <v>123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153.2 @ -45°C, 131.4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442</v>
      </c>
      <c r="D38" s="61"/>
      <c r="E38" s="61"/>
    </row>
    <row r="39" spans="1:5">
      <c r="A39" s="61" t="s">
        <v>405</v>
      </c>
      <c r="B39" s="61"/>
      <c r="C39" s="3" t="s">
        <v>443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72" priority="1"/>
  </conditionalFormatting>
  <conditionalFormatting sqref="B29">
    <cfRule type="duplicateValues" dxfId="471" priority="6"/>
  </conditionalFormatting>
  <conditionalFormatting sqref="B30">
    <cfRule type="duplicateValues" dxfId="470" priority="2"/>
  </conditionalFormatting>
  <conditionalFormatting sqref="B37">
    <cfRule type="duplicateValues" dxfId="469" priority="3"/>
  </conditionalFormatting>
  <conditionalFormatting sqref="B39">
    <cfRule type="duplicateValues" dxfId="468" priority="5"/>
  </conditionalFormatting>
  <conditionalFormatting sqref="B40">
    <cfRule type="duplicateValues" dxfId="467" priority="4"/>
  </conditionalFormatting>
  <conditionalFormatting sqref="B54:B1048576 B12:B16 B4:B10 B31:B36 B41:B45 B38 B18:B28">
    <cfRule type="duplicateValues" dxfId="466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19BF-CA6A-4D44-9489-0CA59833C24C}">
  <sheetPr codeName="Sheet6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100</v>
      </c>
    </row>
    <row r="4" spans="1:5">
      <c r="A4" s="83" t="s">
        <v>341</v>
      </c>
      <c r="B4" s="84"/>
      <c r="C4" s="2" t="s">
        <v>231</v>
      </c>
      <c r="D4" s="85" t="s">
        <v>342</v>
      </c>
      <c r="E4" s="85"/>
    </row>
    <row r="5" spans="1:5">
      <c r="A5" s="72" t="s">
        <v>7</v>
      </c>
      <c r="B5" s="73"/>
      <c r="C5" s="3" t="s">
        <v>123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153.2 @ -45°C, 131.4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442</v>
      </c>
      <c r="D38" s="61"/>
      <c r="E38" s="61"/>
    </row>
    <row r="39" spans="1:5">
      <c r="A39" s="61" t="s">
        <v>405</v>
      </c>
      <c r="B39" s="61"/>
      <c r="C39" s="3" t="s">
        <v>443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65" priority="1"/>
  </conditionalFormatting>
  <conditionalFormatting sqref="B29">
    <cfRule type="duplicateValues" dxfId="464" priority="6"/>
  </conditionalFormatting>
  <conditionalFormatting sqref="B30">
    <cfRule type="duplicateValues" dxfId="463" priority="2"/>
  </conditionalFormatting>
  <conditionalFormatting sqref="B37">
    <cfRule type="duplicateValues" dxfId="462" priority="3"/>
  </conditionalFormatting>
  <conditionalFormatting sqref="B39">
    <cfRule type="duplicateValues" dxfId="461" priority="5"/>
  </conditionalFormatting>
  <conditionalFormatting sqref="B40">
    <cfRule type="duplicateValues" dxfId="460" priority="4"/>
  </conditionalFormatting>
  <conditionalFormatting sqref="B54:B1048576 B12:B16 B4:B10 B31:B36 B41:B45 B38 B18:B28">
    <cfRule type="duplicateValues" dxfId="459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C77FC-2FBC-44DA-8B97-7532D78A09A7}">
  <sheetPr codeName="Sheet68">
    <tabColor rgb="FFFFFF00"/>
    <pageSetUpPr fitToPage="1"/>
  </sheetPr>
  <dimension ref="A1:E53"/>
  <sheetViews>
    <sheetView topLeftCell="A16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101</v>
      </c>
    </row>
    <row r="4" spans="1:5">
      <c r="A4" s="83" t="s">
        <v>341</v>
      </c>
      <c r="B4" s="84"/>
      <c r="C4" s="2" t="s">
        <v>233</v>
      </c>
      <c r="D4" s="85" t="s">
        <v>342</v>
      </c>
      <c r="E4" s="85"/>
    </row>
    <row r="5" spans="1:5">
      <c r="A5" s="72" t="s">
        <v>7</v>
      </c>
      <c r="B5" s="73"/>
      <c r="C5" s="3" t="s">
        <v>125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255.3 @ -45°C, 219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446</v>
      </c>
      <c r="D38" s="61"/>
      <c r="E38" s="61"/>
    </row>
    <row r="39" spans="1:5">
      <c r="A39" s="61" t="s">
        <v>405</v>
      </c>
      <c r="B39" s="61"/>
      <c r="C39" s="3" t="s">
        <v>447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58" priority="1"/>
  </conditionalFormatting>
  <conditionalFormatting sqref="B29">
    <cfRule type="duplicateValues" dxfId="457" priority="6"/>
  </conditionalFormatting>
  <conditionalFormatting sqref="B30">
    <cfRule type="duplicateValues" dxfId="456" priority="2"/>
  </conditionalFormatting>
  <conditionalFormatting sqref="B37">
    <cfRule type="duplicateValues" dxfId="455" priority="3"/>
  </conditionalFormatting>
  <conditionalFormatting sqref="B39">
    <cfRule type="duplicateValues" dxfId="454" priority="5"/>
  </conditionalFormatting>
  <conditionalFormatting sqref="B40">
    <cfRule type="duplicateValues" dxfId="453" priority="4"/>
  </conditionalFormatting>
  <conditionalFormatting sqref="B54:B1048576 B12:B16 B4:B10 B31:B36 B41:B45 B38 B18:B28">
    <cfRule type="duplicateValues" dxfId="452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38494-10DC-44A2-82F0-9007EC935A5C}">
  <sheetPr codeName="Sheet6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102</v>
      </c>
    </row>
    <row r="4" spans="1:5">
      <c r="A4" s="83" t="s">
        <v>341</v>
      </c>
      <c r="B4" s="84"/>
      <c r="C4" s="2" t="s">
        <v>235</v>
      </c>
      <c r="D4" s="85" t="s">
        <v>342</v>
      </c>
      <c r="E4" s="85"/>
    </row>
    <row r="5" spans="1:5">
      <c r="A5" s="72" t="s">
        <v>7</v>
      </c>
      <c r="B5" s="73"/>
      <c r="C5" s="3" t="s">
        <v>125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255.3 @ -45°C, 219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446</v>
      </c>
      <c r="D38" s="61"/>
      <c r="E38" s="61"/>
    </row>
    <row r="39" spans="1:5">
      <c r="A39" s="61" t="s">
        <v>405</v>
      </c>
      <c r="B39" s="61"/>
      <c r="C39" s="3" t="s">
        <v>447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51" priority="1"/>
  </conditionalFormatting>
  <conditionalFormatting sqref="B29">
    <cfRule type="duplicateValues" dxfId="450" priority="6"/>
  </conditionalFormatting>
  <conditionalFormatting sqref="B30">
    <cfRule type="duplicateValues" dxfId="449" priority="2"/>
  </conditionalFormatting>
  <conditionalFormatting sqref="B37">
    <cfRule type="duplicateValues" dxfId="448" priority="3"/>
  </conditionalFormatting>
  <conditionalFormatting sqref="B39">
    <cfRule type="duplicateValues" dxfId="447" priority="5"/>
  </conditionalFormatting>
  <conditionalFormatting sqref="B40">
    <cfRule type="duplicateValues" dxfId="446" priority="4"/>
  </conditionalFormatting>
  <conditionalFormatting sqref="B54:B1048576 B12:B16 B4:B10 B31:B36 B41:B45 B38 B18:B28">
    <cfRule type="duplicateValues" dxfId="445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26D0-9BD6-486E-B0A4-E29E0E11FA24}">
  <sheetPr codeName="Sheet7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103</v>
      </c>
    </row>
    <row r="4" spans="1:5">
      <c r="A4" s="83" t="s">
        <v>341</v>
      </c>
      <c r="B4" s="84"/>
      <c r="C4" s="2" t="s">
        <v>237</v>
      </c>
      <c r="D4" s="85" t="s">
        <v>342</v>
      </c>
      <c r="E4" s="85"/>
    </row>
    <row r="5" spans="1:5">
      <c r="A5" s="72" t="s">
        <v>7</v>
      </c>
      <c r="B5" s="73"/>
      <c r="C5" s="3" t="s">
        <v>127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44" priority="1"/>
  </conditionalFormatting>
  <conditionalFormatting sqref="B29">
    <cfRule type="duplicateValues" dxfId="443" priority="6"/>
  </conditionalFormatting>
  <conditionalFormatting sqref="B30">
    <cfRule type="duplicateValues" dxfId="442" priority="2"/>
  </conditionalFormatting>
  <conditionalFormatting sqref="B37">
    <cfRule type="duplicateValues" dxfId="441" priority="3"/>
  </conditionalFormatting>
  <conditionalFormatting sqref="B39">
    <cfRule type="duplicateValues" dxfId="440" priority="5"/>
  </conditionalFormatting>
  <conditionalFormatting sqref="B40">
    <cfRule type="duplicateValues" dxfId="439" priority="4"/>
  </conditionalFormatting>
  <conditionalFormatting sqref="B54:B1048576 B12:B16 B4:B10 B31:B36 B41:B45 B38 B18:B28">
    <cfRule type="duplicateValues" dxfId="43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F455B-211C-4D8A-A154-8CAA8D3F81F0}">
  <sheetPr codeName="Sheet7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104</v>
      </c>
    </row>
    <row r="4" spans="1:5">
      <c r="A4" s="83" t="s">
        <v>341</v>
      </c>
      <c r="B4" s="84"/>
      <c r="C4" s="2" t="s">
        <v>245</v>
      </c>
      <c r="D4" s="85" t="s">
        <v>342</v>
      </c>
      <c r="E4" s="85"/>
    </row>
    <row r="5" spans="1:5">
      <c r="A5" s="72" t="s">
        <v>7</v>
      </c>
      <c r="B5" s="73"/>
      <c r="C5" s="3" t="s">
        <v>127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105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399.8 @ -29°C, 342.9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6 mm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470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466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471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450</v>
      </c>
      <c r="D38" s="61"/>
      <c r="E38" s="61"/>
    </row>
    <row r="39" spans="1:5">
      <c r="A39" s="61" t="s">
        <v>405</v>
      </c>
      <c r="B39" s="61"/>
      <c r="C39" s="3" t="s">
        <v>451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37" priority="1"/>
  </conditionalFormatting>
  <conditionalFormatting sqref="B29">
    <cfRule type="duplicateValues" dxfId="436" priority="6"/>
  </conditionalFormatting>
  <conditionalFormatting sqref="B30">
    <cfRule type="duplicateValues" dxfId="435" priority="2"/>
  </conditionalFormatting>
  <conditionalFormatting sqref="B37">
    <cfRule type="duplicateValues" dxfId="434" priority="3"/>
  </conditionalFormatting>
  <conditionalFormatting sqref="B39">
    <cfRule type="duplicateValues" dxfId="433" priority="5"/>
  </conditionalFormatting>
  <conditionalFormatting sqref="B40">
    <cfRule type="duplicateValues" dxfId="432" priority="4"/>
  </conditionalFormatting>
  <conditionalFormatting sqref="B54:B1048576 B12:B16 B4:B10 B31:B36 B41:B45 B38 B18:B28">
    <cfRule type="duplicateValues" dxfId="431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B4EE2-EDB3-4210-8E77-0BF80A663D0D}">
  <sheetPr codeName="Sheet72">
    <tabColor rgb="FFFFFF00"/>
    <pageSetUpPr fitToPage="1"/>
  </sheetPr>
  <dimension ref="A1:E53"/>
  <sheetViews>
    <sheetView topLeftCell="A2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105</v>
      </c>
    </row>
    <row r="4" spans="1:5">
      <c r="A4" s="83" t="s">
        <v>341</v>
      </c>
      <c r="B4" s="84"/>
      <c r="C4" s="2" t="s">
        <v>249</v>
      </c>
      <c r="D4" s="85" t="s">
        <v>342</v>
      </c>
      <c r="E4" s="85"/>
    </row>
    <row r="5" spans="1:5">
      <c r="A5" s="72" t="s">
        <v>7</v>
      </c>
      <c r="B5" s="73"/>
      <c r="C5" s="3" t="s">
        <v>151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472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15.9 @ -100°C, 11.2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475</v>
      </c>
      <c r="D38" s="61"/>
      <c r="E38" s="61"/>
    </row>
    <row r="39" spans="1:5">
      <c r="A39" s="61" t="s">
        <v>405</v>
      </c>
      <c r="B39" s="61"/>
      <c r="C39" s="3" t="s">
        <v>476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30" priority="1"/>
  </conditionalFormatting>
  <conditionalFormatting sqref="B29">
    <cfRule type="duplicateValues" dxfId="429" priority="6"/>
  </conditionalFormatting>
  <conditionalFormatting sqref="B30">
    <cfRule type="duplicateValues" dxfId="428" priority="2"/>
  </conditionalFormatting>
  <conditionalFormatting sqref="B37">
    <cfRule type="duplicateValues" dxfId="427" priority="3"/>
  </conditionalFormatting>
  <conditionalFormatting sqref="B39">
    <cfRule type="duplicateValues" dxfId="426" priority="5"/>
  </conditionalFormatting>
  <conditionalFormatting sqref="B40">
    <cfRule type="duplicateValues" dxfId="425" priority="4"/>
  </conditionalFormatting>
  <conditionalFormatting sqref="B54:B1048576 B12:B16 B4:B10 B31:B36 B41:B45 B38 B18:B28">
    <cfRule type="duplicateValues" dxfId="42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FFBD-2E07-44B7-9315-2EF4DD54F338}">
  <sheetPr codeName="Sheet7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106</v>
      </c>
    </row>
    <row r="4" spans="1:5">
      <c r="A4" s="83" t="s">
        <v>341</v>
      </c>
      <c r="B4" s="84"/>
      <c r="C4" s="2" t="s">
        <v>254</v>
      </c>
      <c r="D4" s="85" t="s">
        <v>342</v>
      </c>
      <c r="E4" s="85"/>
    </row>
    <row r="5" spans="1:5">
      <c r="A5" s="72" t="s">
        <v>7</v>
      </c>
      <c r="B5" s="73"/>
      <c r="C5" s="3" t="s">
        <v>151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472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15.9 @ -100°C, 11.2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475</v>
      </c>
      <c r="D38" s="61"/>
      <c r="E38" s="61"/>
    </row>
    <row r="39" spans="1:5">
      <c r="A39" s="61" t="s">
        <v>405</v>
      </c>
      <c r="B39" s="61"/>
      <c r="C39" s="3" t="s">
        <v>476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23" priority="1"/>
  </conditionalFormatting>
  <conditionalFormatting sqref="B29">
    <cfRule type="duplicateValues" dxfId="422" priority="6"/>
  </conditionalFormatting>
  <conditionalFormatting sqref="B30">
    <cfRule type="duplicateValues" dxfId="421" priority="2"/>
  </conditionalFormatting>
  <conditionalFormatting sqref="B37">
    <cfRule type="duplicateValues" dxfId="420" priority="3"/>
  </conditionalFormatting>
  <conditionalFormatting sqref="B39">
    <cfRule type="duplicateValues" dxfId="419" priority="5"/>
  </conditionalFormatting>
  <conditionalFormatting sqref="B40">
    <cfRule type="duplicateValues" dxfId="418" priority="4"/>
  </conditionalFormatting>
  <conditionalFormatting sqref="B54:B1048576 B12:B16 B4:B10 B31:B36 B41:B45 B38 B18:B28">
    <cfRule type="duplicateValues" dxfId="41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553AF-DF8C-4118-8EDF-7D50D6F9D13E}">
  <sheetPr codeName="Sheet7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107</v>
      </c>
    </row>
    <row r="4" spans="1:5">
      <c r="A4" s="83" t="s">
        <v>341</v>
      </c>
      <c r="B4" s="84"/>
      <c r="C4" s="2" t="s">
        <v>259</v>
      </c>
      <c r="D4" s="85" t="s">
        <v>342</v>
      </c>
      <c r="E4" s="85"/>
    </row>
    <row r="5" spans="1:5">
      <c r="A5" s="72" t="s">
        <v>7</v>
      </c>
      <c r="B5" s="73"/>
      <c r="C5" s="3" t="s">
        <v>158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41.4 @ -100°C, 29.2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478</v>
      </c>
      <c r="D38" s="61"/>
      <c r="E38" s="61"/>
    </row>
    <row r="39" spans="1:5">
      <c r="A39" s="61" t="s">
        <v>405</v>
      </c>
      <c r="B39" s="61"/>
      <c r="C39" s="3" t="s">
        <v>479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16" priority="1"/>
  </conditionalFormatting>
  <conditionalFormatting sqref="B29">
    <cfRule type="duplicateValues" dxfId="415" priority="6"/>
  </conditionalFormatting>
  <conditionalFormatting sqref="B30">
    <cfRule type="duplicateValues" dxfId="414" priority="2"/>
  </conditionalFormatting>
  <conditionalFormatting sqref="B37">
    <cfRule type="duplicateValues" dxfId="413" priority="3"/>
  </conditionalFormatting>
  <conditionalFormatting sqref="B39">
    <cfRule type="duplicateValues" dxfId="412" priority="5"/>
  </conditionalFormatting>
  <conditionalFormatting sqref="B40">
    <cfRule type="duplicateValues" dxfId="411" priority="4"/>
  </conditionalFormatting>
  <conditionalFormatting sqref="B54:B1048576 B12:B16 B4:B10 B31:B36 B41:B45 B38 B18:B28">
    <cfRule type="duplicateValues" dxfId="410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00F65-E897-4BAA-92D6-9B310ECE3A1E}">
  <sheetPr codeName="Sheet7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108</v>
      </c>
    </row>
    <row r="4" spans="1:5">
      <c r="A4" s="83" t="s">
        <v>341</v>
      </c>
      <c r="B4" s="84"/>
      <c r="C4" s="2" t="s">
        <v>263</v>
      </c>
      <c r="D4" s="85" t="s">
        <v>342</v>
      </c>
      <c r="E4" s="85"/>
    </row>
    <row r="5" spans="1:5">
      <c r="A5" s="72" t="s">
        <v>7</v>
      </c>
      <c r="B5" s="73"/>
      <c r="C5" s="3" t="s">
        <v>158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41.4 @ -100°C, 29.2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478</v>
      </c>
      <c r="D38" s="61"/>
      <c r="E38" s="61"/>
    </row>
    <row r="39" spans="1:5">
      <c r="A39" s="61" t="s">
        <v>405</v>
      </c>
      <c r="B39" s="61"/>
      <c r="C39" s="3" t="s">
        <v>479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09" priority="1"/>
  </conditionalFormatting>
  <conditionalFormatting sqref="B29">
    <cfRule type="duplicateValues" dxfId="408" priority="6"/>
  </conditionalFormatting>
  <conditionalFormatting sqref="B30">
    <cfRule type="duplicateValues" dxfId="407" priority="2"/>
  </conditionalFormatting>
  <conditionalFormatting sqref="B37">
    <cfRule type="duplicateValues" dxfId="406" priority="3"/>
  </conditionalFormatting>
  <conditionalFormatting sqref="B39">
    <cfRule type="duplicateValues" dxfId="405" priority="5"/>
  </conditionalFormatting>
  <conditionalFormatting sqref="B40">
    <cfRule type="duplicateValues" dxfId="404" priority="4"/>
  </conditionalFormatting>
  <conditionalFormatting sqref="B54:B1048576 B12:B16 B4:B10 B31:B36 B41:B45 B38 B18:B28">
    <cfRule type="duplicateValues" dxfId="40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06AA0-EFC7-405D-836F-0D5C0DB59DD7}">
  <sheetPr codeName="Sheet7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109</v>
      </c>
    </row>
    <row r="4" spans="1:5">
      <c r="A4" s="83" t="s">
        <v>341</v>
      </c>
      <c r="B4" s="84"/>
      <c r="C4" s="2" t="s">
        <v>269</v>
      </c>
      <c r="D4" s="85" t="s">
        <v>342</v>
      </c>
      <c r="E4" s="85"/>
    </row>
    <row r="5" spans="1:5">
      <c r="A5" s="72" t="s">
        <v>7</v>
      </c>
      <c r="B5" s="73"/>
      <c r="C5" s="3" t="s">
        <v>163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82.7 @ -100°C, 58.3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480</v>
      </c>
      <c r="D38" s="61"/>
      <c r="E38" s="61"/>
    </row>
    <row r="39" spans="1:5">
      <c r="A39" s="61" t="s">
        <v>405</v>
      </c>
      <c r="B39" s="61"/>
      <c r="C39" s="3" t="s">
        <v>481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02" priority="1"/>
  </conditionalFormatting>
  <conditionalFormatting sqref="B29">
    <cfRule type="duplicateValues" dxfId="401" priority="6"/>
  </conditionalFormatting>
  <conditionalFormatting sqref="B30">
    <cfRule type="duplicateValues" dxfId="400" priority="2"/>
  </conditionalFormatting>
  <conditionalFormatting sqref="B37">
    <cfRule type="duplicateValues" dxfId="399" priority="3"/>
  </conditionalFormatting>
  <conditionalFormatting sqref="B39">
    <cfRule type="duplicateValues" dxfId="398" priority="5"/>
  </conditionalFormatting>
  <conditionalFormatting sqref="B40">
    <cfRule type="duplicateValues" dxfId="397" priority="4"/>
  </conditionalFormatting>
  <conditionalFormatting sqref="B54:B1048576 B12:B16 B4:B10 B31:B36 B41:B45 B38 B18:B28">
    <cfRule type="duplicateValues" dxfId="396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C071-1F4B-4C1C-BF8F-940B94C1881E}">
  <sheetPr codeName="Sheet7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110</v>
      </c>
    </row>
    <row r="4" spans="1:5">
      <c r="A4" s="83" t="s">
        <v>341</v>
      </c>
      <c r="B4" s="84"/>
      <c r="C4" s="2" t="s">
        <v>273</v>
      </c>
      <c r="D4" s="85" t="s">
        <v>342</v>
      </c>
      <c r="E4" s="85"/>
    </row>
    <row r="5" spans="1:5">
      <c r="A5" s="72" t="s">
        <v>7</v>
      </c>
      <c r="B5" s="73"/>
      <c r="C5" s="3" t="s">
        <v>163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82.7 @ -100°C, 58.3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480</v>
      </c>
      <c r="D38" s="61"/>
      <c r="E38" s="61"/>
    </row>
    <row r="39" spans="1:5">
      <c r="A39" s="61" t="s">
        <v>405</v>
      </c>
      <c r="B39" s="61"/>
      <c r="C39" s="3" t="s">
        <v>481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95" priority="1"/>
  </conditionalFormatting>
  <conditionalFormatting sqref="B29">
    <cfRule type="duplicateValues" dxfId="394" priority="6"/>
  </conditionalFormatting>
  <conditionalFormatting sqref="B30">
    <cfRule type="duplicateValues" dxfId="393" priority="2"/>
  </conditionalFormatting>
  <conditionalFormatting sqref="B37">
    <cfRule type="duplicateValues" dxfId="392" priority="3"/>
  </conditionalFormatting>
  <conditionalFormatting sqref="B39">
    <cfRule type="duplicateValues" dxfId="391" priority="5"/>
  </conditionalFormatting>
  <conditionalFormatting sqref="B40">
    <cfRule type="duplicateValues" dxfId="390" priority="4"/>
  </conditionalFormatting>
  <conditionalFormatting sqref="B54:B1048576 B12:B16 B4:B10 B31:B36 B41:B45 B38 B18:B28">
    <cfRule type="duplicateValues" dxfId="389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5D12C-30A1-4211-8E46-FBDE76EC9F9E}">
  <sheetPr codeName="Sheet7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111</v>
      </c>
    </row>
    <row r="4" spans="1:5">
      <c r="A4" s="83" t="s">
        <v>341</v>
      </c>
      <c r="B4" s="84"/>
      <c r="C4" s="2" t="s">
        <v>277</v>
      </c>
      <c r="D4" s="85" t="s">
        <v>342</v>
      </c>
      <c r="E4" s="85"/>
    </row>
    <row r="5" spans="1:5">
      <c r="A5" s="72" t="s">
        <v>7</v>
      </c>
      <c r="B5" s="73"/>
      <c r="C5" s="3" t="s">
        <v>168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124.1 @ -100°C, 87.5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484</v>
      </c>
      <c r="D38" s="61"/>
      <c r="E38" s="61"/>
    </row>
    <row r="39" spans="1:5">
      <c r="A39" s="61" t="s">
        <v>405</v>
      </c>
      <c r="B39" s="61"/>
      <c r="C39" s="3" t="s">
        <v>485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88" priority="1"/>
  </conditionalFormatting>
  <conditionalFormatting sqref="B29">
    <cfRule type="duplicateValues" dxfId="387" priority="6"/>
  </conditionalFormatting>
  <conditionalFormatting sqref="B30">
    <cfRule type="duplicateValues" dxfId="386" priority="2"/>
  </conditionalFormatting>
  <conditionalFormatting sqref="B37">
    <cfRule type="duplicateValues" dxfId="385" priority="3"/>
  </conditionalFormatting>
  <conditionalFormatting sqref="B39">
    <cfRule type="duplicateValues" dxfId="384" priority="5"/>
  </conditionalFormatting>
  <conditionalFormatting sqref="B40">
    <cfRule type="duplicateValues" dxfId="383" priority="4"/>
  </conditionalFormatting>
  <conditionalFormatting sqref="B54:B1048576 B12:B16 B4:B10 B31:B36 B41:B45 B38 B18:B28">
    <cfRule type="duplicateValues" dxfId="382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39165-55A0-4FD2-9D5F-E77710417EF8}">
  <sheetPr codeName="Sheet79">
    <tabColor rgb="FFFFFF00"/>
    <pageSetUpPr fitToPage="1"/>
  </sheetPr>
  <dimension ref="A1:E53"/>
  <sheetViews>
    <sheetView topLeftCell="A18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112</v>
      </c>
    </row>
    <row r="4" spans="1:5">
      <c r="A4" s="83" t="s">
        <v>341</v>
      </c>
      <c r="B4" s="84"/>
      <c r="C4" s="2" t="s">
        <v>280</v>
      </c>
      <c r="D4" s="85" t="s">
        <v>342</v>
      </c>
      <c r="E4" s="85"/>
    </row>
    <row r="5" spans="1:5">
      <c r="A5" s="72" t="s">
        <v>7</v>
      </c>
      <c r="B5" s="73"/>
      <c r="C5" s="3" t="s">
        <v>168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124.1 @ -100°C, 87.5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484</v>
      </c>
      <c r="D38" s="61"/>
      <c r="E38" s="61"/>
    </row>
    <row r="39" spans="1:5">
      <c r="A39" s="61" t="s">
        <v>405</v>
      </c>
      <c r="B39" s="61"/>
      <c r="C39" s="3" t="s">
        <v>485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81" priority="1"/>
  </conditionalFormatting>
  <conditionalFormatting sqref="B29">
    <cfRule type="duplicateValues" dxfId="380" priority="6"/>
  </conditionalFormatting>
  <conditionalFormatting sqref="B30">
    <cfRule type="duplicateValues" dxfId="379" priority="2"/>
  </conditionalFormatting>
  <conditionalFormatting sqref="B37">
    <cfRule type="duplicateValues" dxfId="378" priority="3"/>
  </conditionalFormatting>
  <conditionalFormatting sqref="B39">
    <cfRule type="duplicateValues" dxfId="377" priority="5"/>
  </conditionalFormatting>
  <conditionalFormatting sqref="B40">
    <cfRule type="duplicateValues" dxfId="376" priority="4"/>
  </conditionalFormatting>
  <conditionalFormatting sqref="B54:B1048576 B12:B16 B4:B10 B31:B36 B41:B45 B38 B18:B28">
    <cfRule type="duplicateValues" dxfId="375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5867-B892-4858-A29D-7CDF6DAF268C}">
  <sheetPr codeName="Sheet8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113</v>
      </c>
    </row>
    <row r="4" spans="1:5">
      <c r="A4" s="83" t="s">
        <v>341</v>
      </c>
      <c r="B4" s="84"/>
      <c r="C4" s="2" t="s">
        <v>282</v>
      </c>
      <c r="D4" s="85" t="s">
        <v>342</v>
      </c>
      <c r="E4" s="85"/>
    </row>
    <row r="5" spans="1:5">
      <c r="A5" s="72" t="s">
        <v>7</v>
      </c>
      <c r="B5" s="73"/>
      <c r="C5" s="3" t="s">
        <v>172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206.8 @ -100°C, 145.8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486</v>
      </c>
      <c r="D38" s="61"/>
      <c r="E38" s="61"/>
    </row>
    <row r="39" spans="1:5">
      <c r="A39" s="61" t="s">
        <v>405</v>
      </c>
      <c r="B39" s="61"/>
      <c r="C39" s="3" t="s">
        <v>487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74" priority="1"/>
  </conditionalFormatting>
  <conditionalFormatting sqref="B29">
    <cfRule type="duplicateValues" dxfId="373" priority="6"/>
  </conditionalFormatting>
  <conditionalFormatting sqref="B30">
    <cfRule type="duplicateValues" dxfId="372" priority="2"/>
  </conditionalFormatting>
  <conditionalFormatting sqref="B37">
    <cfRule type="duplicateValues" dxfId="371" priority="3"/>
  </conditionalFormatting>
  <conditionalFormatting sqref="B39">
    <cfRule type="duplicateValues" dxfId="370" priority="5"/>
  </conditionalFormatting>
  <conditionalFormatting sqref="B40">
    <cfRule type="duplicateValues" dxfId="369" priority="4"/>
  </conditionalFormatting>
  <conditionalFormatting sqref="B54:B1048576 B12:B16 B4:B10 B31:B36 B41:B45 B38 B18:B28">
    <cfRule type="duplicateValues" dxfId="36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7D089-7298-426A-89C9-629F54052C6F}">
  <sheetPr codeName="Sheet8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114</v>
      </c>
    </row>
    <row r="4" spans="1:5">
      <c r="A4" s="83" t="s">
        <v>341</v>
      </c>
      <c r="B4" s="84"/>
      <c r="C4" s="2" t="s">
        <v>284</v>
      </c>
      <c r="D4" s="85" t="s">
        <v>342</v>
      </c>
      <c r="E4" s="85"/>
    </row>
    <row r="5" spans="1:5">
      <c r="A5" s="72" t="s">
        <v>7</v>
      </c>
      <c r="B5" s="73"/>
      <c r="C5" s="3" t="s">
        <v>172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206.8 @ -100°C, 145.8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486</v>
      </c>
      <c r="D38" s="61"/>
      <c r="E38" s="61"/>
    </row>
    <row r="39" spans="1:5">
      <c r="A39" s="61" t="s">
        <v>405</v>
      </c>
      <c r="B39" s="61"/>
      <c r="C39" s="3" t="s">
        <v>487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67" priority="1"/>
  </conditionalFormatting>
  <conditionalFormatting sqref="B29">
    <cfRule type="duplicateValues" dxfId="366" priority="6"/>
  </conditionalFormatting>
  <conditionalFormatting sqref="B30">
    <cfRule type="duplicateValues" dxfId="365" priority="2"/>
  </conditionalFormatting>
  <conditionalFormatting sqref="B37">
    <cfRule type="duplicateValues" dxfId="364" priority="3"/>
  </conditionalFormatting>
  <conditionalFormatting sqref="B39">
    <cfRule type="duplicateValues" dxfId="363" priority="5"/>
  </conditionalFormatting>
  <conditionalFormatting sqref="B40">
    <cfRule type="duplicateValues" dxfId="362" priority="4"/>
  </conditionalFormatting>
  <conditionalFormatting sqref="B54:B1048576 B12:B16 B4:B10 B31:B36 B41:B45 B38 B18:B28">
    <cfRule type="duplicateValues" dxfId="361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35FD3-5D57-476D-8D43-6F3751EC86B0}">
  <sheetPr codeName="Sheet8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115</v>
      </c>
    </row>
    <row r="4" spans="1:5">
      <c r="A4" s="83" t="s">
        <v>341</v>
      </c>
      <c r="B4" s="84"/>
      <c r="C4" s="2" t="s">
        <v>285</v>
      </c>
      <c r="D4" s="85" t="s">
        <v>342</v>
      </c>
      <c r="E4" s="85"/>
    </row>
    <row r="5" spans="1:5">
      <c r="A5" s="72" t="s">
        <v>7</v>
      </c>
      <c r="B5" s="73"/>
      <c r="C5" s="3" t="s">
        <v>176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344.7 @ -100°C, 243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488</v>
      </c>
      <c r="D38" s="61"/>
      <c r="E38" s="61"/>
    </row>
    <row r="39" spans="1:5">
      <c r="A39" s="61" t="s">
        <v>405</v>
      </c>
      <c r="B39" s="61"/>
      <c r="C39" s="3" t="s">
        <v>489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60" priority="1"/>
  </conditionalFormatting>
  <conditionalFormatting sqref="B29">
    <cfRule type="duplicateValues" dxfId="359" priority="6"/>
  </conditionalFormatting>
  <conditionalFormatting sqref="B30">
    <cfRule type="duplicateValues" dxfId="358" priority="2"/>
  </conditionalFormatting>
  <conditionalFormatting sqref="B37">
    <cfRule type="duplicateValues" dxfId="357" priority="3"/>
  </conditionalFormatting>
  <conditionalFormatting sqref="B39">
    <cfRule type="duplicateValues" dxfId="356" priority="5"/>
  </conditionalFormatting>
  <conditionalFormatting sqref="B40">
    <cfRule type="duplicateValues" dxfId="355" priority="4"/>
  </conditionalFormatting>
  <conditionalFormatting sqref="B54:B1048576 B12:B16 B4:B10 B31:B36 B41:B45 B38 B18:B28">
    <cfRule type="duplicateValues" dxfId="35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128CD-542C-4821-A298-4DAF31D8770D}">
  <sheetPr codeName="Sheet83">
    <tabColor rgb="FFFFFF00"/>
    <pageSetUpPr fitToPage="1"/>
  </sheetPr>
  <dimension ref="A1:E53"/>
  <sheetViews>
    <sheetView topLeftCell="A23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116</v>
      </c>
    </row>
    <row r="4" spans="1:5">
      <c r="A4" s="83" t="s">
        <v>341</v>
      </c>
      <c r="B4" s="84"/>
      <c r="C4" s="2" t="s">
        <v>286</v>
      </c>
      <c r="D4" s="85" t="s">
        <v>342</v>
      </c>
      <c r="E4" s="85"/>
    </row>
    <row r="5" spans="1:5">
      <c r="A5" s="72" t="s">
        <v>7</v>
      </c>
      <c r="B5" s="73"/>
      <c r="C5" s="3" t="s">
        <v>176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344.7 @ -100°C, 243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488</v>
      </c>
      <c r="D38" s="61"/>
      <c r="E38" s="61"/>
    </row>
    <row r="39" spans="1:5">
      <c r="A39" s="61" t="s">
        <v>405</v>
      </c>
      <c r="B39" s="61"/>
      <c r="C39" s="3" t="s">
        <v>489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53" priority="1"/>
  </conditionalFormatting>
  <conditionalFormatting sqref="B29">
    <cfRule type="duplicateValues" dxfId="352" priority="6"/>
  </conditionalFormatting>
  <conditionalFormatting sqref="B30">
    <cfRule type="duplicateValues" dxfId="351" priority="2"/>
  </conditionalFormatting>
  <conditionalFormatting sqref="B37">
    <cfRule type="duplicateValues" dxfId="350" priority="3"/>
  </conditionalFormatting>
  <conditionalFormatting sqref="B39">
    <cfRule type="duplicateValues" dxfId="349" priority="5"/>
  </conditionalFormatting>
  <conditionalFormatting sqref="B40">
    <cfRule type="duplicateValues" dxfId="348" priority="4"/>
  </conditionalFormatting>
  <conditionalFormatting sqref="B54:B1048576 B12:B16 B4:B10 B31:B36 B41:B45 B38 B18:B28">
    <cfRule type="duplicateValues" dxfId="34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8F3ED-8ACC-47E6-9169-37F6C07AFB4A}">
  <sheetPr codeName="Sheet8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117</v>
      </c>
    </row>
    <row r="4" spans="1:5">
      <c r="A4" s="83" t="s">
        <v>341</v>
      </c>
      <c r="B4" s="84"/>
      <c r="C4" s="2" t="s">
        <v>287</v>
      </c>
      <c r="D4" s="85" t="s">
        <v>342</v>
      </c>
      <c r="E4" s="85"/>
    </row>
    <row r="5" spans="1:5">
      <c r="A5" s="72" t="s">
        <v>7</v>
      </c>
      <c r="B5" s="73"/>
      <c r="C5" s="3" t="s">
        <v>180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15.9 @ -100°C, 11.2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475</v>
      </c>
      <c r="D38" s="61"/>
      <c r="E38" s="61"/>
    </row>
    <row r="39" spans="1:5">
      <c r="A39" s="61" t="s">
        <v>405</v>
      </c>
      <c r="B39" s="61"/>
      <c r="C39" s="3" t="s">
        <v>476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46" priority="1"/>
  </conditionalFormatting>
  <conditionalFormatting sqref="B29">
    <cfRule type="duplicateValues" dxfId="345" priority="6"/>
  </conditionalFormatting>
  <conditionalFormatting sqref="B30">
    <cfRule type="duplicateValues" dxfId="344" priority="2"/>
  </conditionalFormatting>
  <conditionalFormatting sqref="B37">
    <cfRule type="duplicateValues" dxfId="343" priority="3"/>
  </conditionalFormatting>
  <conditionalFormatting sqref="B39">
    <cfRule type="duplicateValues" dxfId="342" priority="5"/>
  </conditionalFormatting>
  <conditionalFormatting sqref="B40">
    <cfRule type="duplicateValues" dxfId="341" priority="4"/>
  </conditionalFormatting>
  <conditionalFormatting sqref="B54:B1048576 B12:B16 B4:B10 B31:B36 B41:B45 B38 B18:B28">
    <cfRule type="duplicateValues" dxfId="340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2421-978A-4DA6-BAC0-D2FC32228B5C}">
  <sheetPr codeName="Sheet8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118</v>
      </c>
    </row>
    <row r="4" spans="1:5">
      <c r="A4" s="83" t="s">
        <v>341</v>
      </c>
      <c r="B4" s="84"/>
      <c r="C4" s="2" t="s">
        <v>288</v>
      </c>
      <c r="D4" s="85" t="s">
        <v>342</v>
      </c>
      <c r="E4" s="85"/>
    </row>
    <row r="5" spans="1:5">
      <c r="A5" s="72" t="s">
        <v>7</v>
      </c>
      <c r="B5" s="73"/>
      <c r="C5" s="3" t="s">
        <v>180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15.9 @ -100°C, 11.2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475</v>
      </c>
      <c r="D38" s="61"/>
      <c r="E38" s="61"/>
    </row>
    <row r="39" spans="1:5">
      <c r="A39" s="61" t="s">
        <v>405</v>
      </c>
      <c r="B39" s="61"/>
      <c r="C39" s="3" t="s">
        <v>476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39" priority="1"/>
  </conditionalFormatting>
  <conditionalFormatting sqref="B29">
    <cfRule type="duplicateValues" dxfId="338" priority="6"/>
  </conditionalFormatting>
  <conditionalFormatting sqref="B30">
    <cfRule type="duplicateValues" dxfId="337" priority="2"/>
  </conditionalFormatting>
  <conditionalFormatting sqref="B37">
    <cfRule type="duplicateValues" dxfId="336" priority="3"/>
  </conditionalFormatting>
  <conditionalFormatting sqref="B39">
    <cfRule type="duplicateValues" dxfId="335" priority="5"/>
  </conditionalFormatting>
  <conditionalFormatting sqref="B40">
    <cfRule type="duplicateValues" dxfId="334" priority="4"/>
  </conditionalFormatting>
  <conditionalFormatting sqref="B54:B1048576 B12:B16 B4:B10 B31:B36 B41:B45 B38 B18:B28">
    <cfRule type="duplicateValues" dxfId="333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2222F-D7ED-4813-9C33-3E196F9AF381}">
  <sheetPr codeName="Sheet8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119</v>
      </c>
    </row>
    <row r="4" spans="1:5">
      <c r="A4" s="83" t="s">
        <v>341</v>
      </c>
      <c r="B4" s="84"/>
      <c r="C4" s="2" t="s">
        <v>289</v>
      </c>
      <c r="D4" s="85" t="s">
        <v>342</v>
      </c>
      <c r="E4" s="85"/>
    </row>
    <row r="5" spans="1:5">
      <c r="A5" s="72" t="s">
        <v>7</v>
      </c>
      <c r="B5" s="73"/>
      <c r="C5" s="3" t="s">
        <v>184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41.4 @ -100°C, 29.2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478</v>
      </c>
      <c r="D38" s="61"/>
      <c r="E38" s="61"/>
    </row>
    <row r="39" spans="1:5">
      <c r="A39" s="61" t="s">
        <v>405</v>
      </c>
      <c r="B39" s="61"/>
      <c r="C39" s="3" t="s">
        <v>479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32" priority="1"/>
  </conditionalFormatting>
  <conditionalFormatting sqref="B29">
    <cfRule type="duplicateValues" dxfId="331" priority="6"/>
  </conditionalFormatting>
  <conditionalFormatting sqref="B30">
    <cfRule type="duplicateValues" dxfId="330" priority="2"/>
  </conditionalFormatting>
  <conditionalFormatting sqref="B37">
    <cfRule type="duplicateValues" dxfId="329" priority="3"/>
  </conditionalFormatting>
  <conditionalFormatting sqref="B39">
    <cfRule type="duplicateValues" dxfId="328" priority="5"/>
  </conditionalFormatting>
  <conditionalFormatting sqref="B40">
    <cfRule type="duplicateValues" dxfId="327" priority="4"/>
  </conditionalFormatting>
  <conditionalFormatting sqref="B54:B1048576 B12:B16 B4:B10 B31:B36 B41:B45 B38 B18:B28">
    <cfRule type="duplicateValues" dxfId="326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95FA-D4F4-48E7-95EF-732FA23DFDB4}">
  <sheetPr codeName="Sheet8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120</v>
      </c>
    </row>
    <row r="4" spans="1:5">
      <c r="A4" s="83" t="s">
        <v>341</v>
      </c>
      <c r="B4" s="84"/>
      <c r="C4" s="2" t="s">
        <v>290</v>
      </c>
      <c r="D4" s="85" t="s">
        <v>342</v>
      </c>
      <c r="E4" s="85"/>
    </row>
    <row r="5" spans="1:5">
      <c r="A5" s="72" t="s">
        <v>7</v>
      </c>
      <c r="B5" s="73"/>
      <c r="C5" s="3" t="s">
        <v>184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41.4 @ -100°C, 29.2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376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478</v>
      </c>
      <c r="D38" s="61"/>
      <c r="E38" s="61"/>
    </row>
    <row r="39" spans="1:5">
      <c r="A39" s="61" t="s">
        <v>405</v>
      </c>
      <c r="B39" s="61"/>
      <c r="C39" s="3" t="s">
        <v>479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25" priority="1"/>
  </conditionalFormatting>
  <conditionalFormatting sqref="B29">
    <cfRule type="duplicateValues" dxfId="324" priority="6"/>
  </conditionalFormatting>
  <conditionalFormatting sqref="B30">
    <cfRule type="duplicateValues" dxfId="323" priority="2"/>
  </conditionalFormatting>
  <conditionalFormatting sqref="B37">
    <cfRule type="duplicateValues" dxfId="322" priority="3"/>
  </conditionalFormatting>
  <conditionalFormatting sqref="B39">
    <cfRule type="duplicateValues" dxfId="321" priority="5"/>
  </conditionalFormatting>
  <conditionalFormatting sqref="B40">
    <cfRule type="duplicateValues" dxfId="320" priority="4"/>
  </conditionalFormatting>
  <conditionalFormatting sqref="B54:B1048576 B12:B16 B4:B10 B31:B36 B41:B45 B38 B18:B28">
    <cfRule type="duplicateValues" dxfId="319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69D5B-51A6-490F-9BE0-101324C3D2C1}">
  <sheetPr codeName="Sheet8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121</v>
      </c>
    </row>
    <row r="4" spans="1:5">
      <c r="A4" s="83" t="s">
        <v>341</v>
      </c>
      <c r="B4" s="84"/>
      <c r="C4" s="2" t="s">
        <v>291</v>
      </c>
      <c r="D4" s="85" t="s">
        <v>342</v>
      </c>
      <c r="E4" s="85"/>
    </row>
    <row r="5" spans="1:5">
      <c r="A5" s="72" t="s">
        <v>7</v>
      </c>
      <c r="B5" s="73"/>
      <c r="C5" s="3" t="s">
        <v>186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82.7 @ -100°C, 58.3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480</v>
      </c>
      <c r="D38" s="61"/>
      <c r="E38" s="61"/>
    </row>
    <row r="39" spans="1:5">
      <c r="A39" s="61" t="s">
        <v>405</v>
      </c>
      <c r="B39" s="61"/>
      <c r="C39" s="3" t="s">
        <v>481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18" priority="1"/>
  </conditionalFormatting>
  <conditionalFormatting sqref="B29">
    <cfRule type="duplicateValues" dxfId="317" priority="6"/>
  </conditionalFormatting>
  <conditionalFormatting sqref="B30">
    <cfRule type="duplicateValues" dxfId="316" priority="2"/>
  </conditionalFormatting>
  <conditionalFormatting sqref="B37">
    <cfRule type="duplicateValues" dxfId="315" priority="3"/>
  </conditionalFormatting>
  <conditionalFormatting sqref="B39">
    <cfRule type="duplicateValues" dxfId="314" priority="5"/>
  </conditionalFormatting>
  <conditionalFormatting sqref="B40">
    <cfRule type="duplicateValues" dxfId="313" priority="4"/>
  </conditionalFormatting>
  <conditionalFormatting sqref="B54:B1048576 B12:B16 B4:B10 B31:B36 B41:B45 B38 B18:B28">
    <cfRule type="duplicateValues" dxfId="312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4B257-602B-44CC-BD71-051929968552}">
  <sheetPr codeName="Sheet8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122</v>
      </c>
    </row>
    <row r="4" spans="1:5">
      <c r="A4" s="83" t="s">
        <v>341</v>
      </c>
      <c r="B4" s="84"/>
      <c r="C4" s="2" t="s">
        <v>292</v>
      </c>
      <c r="D4" s="85" t="s">
        <v>342</v>
      </c>
      <c r="E4" s="85"/>
    </row>
    <row r="5" spans="1:5">
      <c r="A5" s="72" t="s">
        <v>7</v>
      </c>
      <c r="B5" s="73"/>
      <c r="C5" s="3" t="s">
        <v>186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82.7 @ -100°C, 58.3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24">
      <c r="A22" s="61" t="s">
        <v>370</v>
      </c>
      <c r="B22" s="4" t="s">
        <v>371</v>
      </c>
      <c r="C22" s="3" t="s">
        <v>473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467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480</v>
      </c>
      <c r="D38" s="61"/>
      <c r="E38" s="61"/>
    </row>
    <row r="39" spans="1:5">
      <c r="A39" s="61" t="s">
        <v>405</v>
      </c>
      <c r="B39" s="61"/>
      <c r="C39" s="3" t="s">
        <v>481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11" priority="1"/>
  </conditionalFormatting>
  <conditionalFormatting sqref="B29">
    <cfRule type="duplicateValues" dxfId="310" priority="6"/>
  </conditionalFormatting>
  <conditionalFormatting sqref="B30">
    <cfRule type="duplicateValues" dxfId="309" priority="2"/>
  </conditionalFormatting>
  <conditionalFormatting sqref="B37">
    <cfRule type="duplicateValues" dxfId="308" priority="3"/>
  </conditionalFormatting>
  <conditionalFormatting sqref="B39">
    <cfRule type="duplicateValues" dxfId="307" priority="5"/>
  </conditionalFormatting>
  <conditionalFormatting sqref="B40">
    <cfRule type="duplicateValues" dxfId="306" priority="4"/>
  </conditionalFormatting>
  <conditionalFormatting sqref="B54:B1048576 B12:B16 B4:B10 B31:B36 B41:B45 B38 B18:B28">
    <cfRule type="duplicateValues" dxfId="305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B70E-CE9B-419C-A3C7-EA3B6F823E85}">
  <sheetPr codeName="Sheet9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123</v>
      </c>
    </row>
    <row r="4" spans="1:5">
      <c r="A4" s="83" t="s">
        <v>341</v>
      </c>
      <c r="B4" s="84"/>
      <c r="C4" s="2" t="s">
        <v>293</v>
      </c>
      <c r="D4" s="85" t="s">
        <v>342</v>
      </c>
      <c r="E4" s="85"/>
    </row>
    <row r="5" spans="1:5">
      <c r="A5" s="72" t="s">
        <v>7</v>
      </c>
      <c r="B5" s="73"/>
      <c r="C5" s="3" t="s">
        <v>188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124.1 @ -100°C, 87.5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484</v>
      </c>
      <c r="D38" s="61"/>
      <c r="E38" s="61"/>
    </row>
    <row r="39" spans="1:5">
      <c r="A39" s="61" t="s">
        <v>405</v>
      </c>
      <c r="B39" s="61"/>
      <c r="C39" s="3" t="s">
        <v>485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304" priority="1"/>
  </conditionalFormatting>
  <conditionalFormatting sqref="B29">
    <cfRule type="duplicateValues" dxfId="303" priority="6"/>
  </conditionalFormatting>
  <conditionalFormatting sqref="B30">
    <cfRule type="duplicateValues" dxfId="302" priority="2"/>
  </conditionalFormatting>
  <conditionalFormatting sqref="B37">
    <cfRule type="duplicateValues" dxfId="301" priority="3"/>
  </conditionalFormatting>
  <conditionalFormatting sqref="B39">
    <cfRule type="duplicateValues" dxfId="300" priority="5"/>
  </conditionalFormatting>
  <conditionalFormatting sqref="B40">
    <cfRule type="duplicateValues" dxfId="299" priority="4"/>
  </conditionalFormatting>
  <conditionalFormatting sqref="B54:B1048576 B12:B16 B4:B10 B31:B36 B41:B45 B38 B18:B28">
    <cfRule type="duplicateValues" dxfId="29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316A2-2290-4843-8A4D-976A154FC7D4}">
  <sheetPr codeName="Sheet9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124</v>
      </c>
    </row>
    <row r="4" spans="1:5">
      <c r="A4" s="83" t="s">
        <v>341</v>
      </c>
      <c r="B4" s="84"/>
      <c r="C4" s="2" t="s">
        <v>294</v>
      </c>
      <c r="D4" s="85" t="s">
        <v>342</v>
      </c>
      <c r="E4" s="85"/>
    </row>
    <row r="5" spans="1:5">
      <c r="A5" s="72" t="s">
        <v>7</v>
      </c>
      <c r="B5" s="73"/>
      <c r="C5" s="3" t="s">
        <v>188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124.1 @ -100°C, 87.5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484</v>
      </c>
      <c r="D38" s="61"/>
      <c r="E38" s="61"/>
    </row>
    <row r="39" spans="1:5">
      <c r="A39" s="61" t="s">
        <v>405</v>
      </c>
      <c r="B39" s="61"/>
      <c r="C39" s="3" t="s">
        <v>485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97" priority="1"/>
  </conditionalFormatting>
  <conditionalFormatting sqref="B29">
    <cfRule type="duplicateValues" dxfId="296" priority="6"/>
  </conditionalFormatting>
  <conditionalFormatting sqref="B30">
    <cfRule type="duplicateValues" dxfId="295" priority="2"/>
  </conditionalFormatting>
  <conditionalFormatting sqref="B37">
    <cfRule type="duplicateValues" dxfId="294" priority="3"/>
  </conditionalFormatting>
  <conditionalFormatting sqref="B39">
    <cfRule type="duplicateValues" dxfId="293" priority="5"/>
  </conditionalFormatting>
  <conditionalFormatting sqref="B40">
    <cfRule type="duplicateValues" dxfId="292" priority="4"/>
  </conditionalFormatting>
  <conditionalFormatting sqref="B54:B1048576 B12:B16 B4:B10 B31:B36 B41:B45 B38 B18:B28">
    <cfRule type="duplicateValues" dxfId="291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F990D-11F4-4158-B09F-FC34D24964CC}">
  <sheetPr codeName="Sheet92">
    <tabColor rgb="FFFFFF00"/>
    <pageSetUpPr fitToPage="1"/>
  </sheetPr>
  <dimension ref="A1:E53"/>
  <sheetViews>
    <sheetView topLeftCell="A28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125</v>
      </c>
    </row>
    <row r="4" spans="1:5">
      <c r="A4" s="83" t="s">
        <v>341</v>
      </c>
      <c r="B4" s="84"/>
      <c r="C4" s="2" t="s">
        <v>295</v>
      </c>
      <c r="D4" s="85" t="s">
        <v>342</v>
      </c>
      <c r="E4" s="85"/>
    </row>
    <row r="5" spans="1:5">
      <c r="A5" s="72" t="s">
        <v>7</v>
      </c>
      <c r="B5" s="73"/>
      <c r="C5" s="3" t="s">
        <v>190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206.8 @ -100°C, 145.8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486</v>
      </c>
      <c r="D38" s="61"/>
      <c r="E38" s="61"/>
    </row>
    <row r="39" spans="1:5">
      <c r="A39" s="61" t="s">
        <v>405</v>
      </c>
      <c r="B39" s="61"/>
      <c r="C39" s="3" t="s">
        <v>487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90" priority="1"/>
  </conditionalFormatting>
  <conditionalFormatting sqref="B29">
    <cfRule type="duplicateValues" dxfId="289" priority="6"/>
  </conditionalFormatting>
  <conditionalFormatting sqref="B30">
    <cfRule type="duplicateValues" dxfId="288" priority="2"/>
  </conditionalFormatting>
  <conditionalFormatting sqref="B37">
    <cfRule type="duplicateValues" dxfId="287" priority="3"/>
  </conditionalFormatting>
  <conditionalFormatting sqref="B39">
    <cfRule type="duplicateValues" dxfId="286" priority="5"/>
  </conditionalFormatting>
  <conditionalFormatting sqref="B40">
    <cfRule type="duplicateValues" dxfId="285" priority="4"/>
  </conditionalFormatting>
  <conditionalFormatting sqref="B54:B1048576 B12:B16 B4:B10 B31:B36 B41:B45 B38 B18:B28">
    <cfRule type="duplicateValues" dxfId="28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0B0A5-3B65-4DCE-8B8E-7EF9B56DF4E3}">
  <sheetPr codeName="Sheet9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126</v>
      </c>
    </row>
    <row r="4" spans="1:5">
      <c r="A4" s="83" t="s">
        <v>341</v>
      </c>
      <c r="B4" s="84"/>
      <c r="C4" s="2" t="s">
        <v>296</v>
      </c>
      <c r="D4" s="85" t="s">
        <v>342</v>
      </c>
      <c r="E4" s="85"/>
    </row>
    <row r="5" spans="1:5">
      <c r="A5" s="72" t="s">
        <v>7</v>
      </c>
      <c r="B5" s="73"/>
      <c r="C5" s="3" t="s">
        <v>190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206.8 @ -100°C, 145.8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486</v>
      </c>
      <c r="D38" s="61"/>
      <c r="E38" s="61"/>
    </row>
    <row r="39" spans="1:5">
      <c r="A39" s="61" t="s">
        <v>405</v>
      </c>
      <c r="B39" s="61"/>
      <c r="C39" s="3" t="s">
        <v>487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83" priority="1"/>
  </conditionalFormatting>
  <conditionalFormatting sqref="B29">
    <cfRule type="duplicateValues" dxfId="282" priority="6"/>
  </conditionalFormatting>
  <conditionalFormatting sqref="B30">
    <cfRule type="duplicateValues" dxfId="281" priority="2"/>
  </conditionalFormatting>
  <conditionalFormatting sqref="B37">
    <cfRule type="duplicateValues" dxfId="280" priority="3"/>
  </conditionalFormatting>
  <conditionalFormatting sqref="B39">
    <cfRule type="duplicateValues" dxfId="279" priority="5"/>
  </conditionalFormatting>
  <conditionalFormatting sqref="B40">
    <cfRule type="duplicateValues" dxfId="278" priority="4"/>
  </conditionalFormatting>
  <conditionalFormatting sqref="B54:B1048576 B12:B16 B4:B10 B31:B36 B41:B45 B38 B18:B28">
    <cfRule type="duplicateValues" dxfId="277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BE1FE-995F-4073-92B6-C700DF7F975D}">
  <sheetPr codeName="Sheet9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127</v>
      </c>
    </row>
    <row r="4" spans="1:5">
      <c r="A4" s="83" t="s">
        <v>341</v>
      </c>
      <c r="B4" s="84"/>
      <c r="C4" s="2" t="s">
        <v>297</v>
      </c>
      <c r="D4" s="85" t="s">
        <v>342</v>
      </c>
      <c r="E4" s="85"/>
    </row>
    <row r="5" spans="1:5">
      <c r="A5" s="72" t="s">
        <v>7</v>
      </c>
      <c r="B5" s="73"/>
      <c r="C5" s="3" t="s">
        <v>192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344.7 @ -100°C, 243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488</v>
      </c>
      <c r="D38" s="61"/>
      <c r="E38" s="61"/>
    </row>
    <row r="39" spans="1:5">
      <c r="A39" s="61" t="s">
        <v>405</v>
      </c>
      <c r="B39" s="61"/>
      <c r="C39" s="3" t="s">
        <v>489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76" priority="1"/>
  </conditionalFormatting>
  <conditionalFormatting sqref="B29">
    <cfRule type="duplicateValues" dxfId="275" priority="6"/>
  </conditionalFormatting>
  <conditionalFormatting sqref="B30">
    <cfRule type="duplicateValues" dxfId="274" priority="2"/>
  </conditionalFormatting>
  <conditionalFormatting sqref="B37">
    <cfRule type="duplicateValues" dxfId="273" priority="3"/>
  </conditionalFormatting>
  <conditionalFormatting sqref="B39">
    <cfRule type="duplicateValues" dxfId="272" priority="5"/>
  </conditionalFormatting>
  <conditionalFormatting sqref="B40">
    <cfRule type="duplicateValues" dxfId="271" priority="4"/>
  </conditionalFormatting>
  <conditionalFormatting sqref="B54:B1048576 B12:B16 B4:B10 B31:B36 B41:B45 B38 B18:B28">
    <cfRule type="duplicateValues" dxfId="270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9B30-6B71-4D1C-9D1A-C20E87F431CB}">
  <sheetPr codeName="Sheet9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128</v>
      </c>
    </row>
    <row r="4" spans="1:5">
      <c r="A4" s="83" t="s">
        <v>341</v>
      </c>
      <c r="B4" s="84"/>
      <c r="C4" s="2" t="s">
        <v>298</v>
      </c>
      <c r="D4" s="85" t="s">
        <v>342</v>
      </c>
      <c r="E4" s="85"/>
    </row>
    <row r="5" spans="1:5">
      <c r="A5" s="72" t="s">
        <v>7</v>
      </c>
      <c r="B5" s="73"/>
      <c r="C5" s="3" t="s">
        <v>192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182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344.7 @ -100°C, 243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488</v>
      </c>
      <c r="D38" s="61"/>
      <c r="E38" s="61"/>
    </row>
    <row r="39" spans="1:5">
      <c r="A39" s="61" t="s">
        <v>405</v>
      </c>
      <c r="B39" s="61"/>
      <c r="C39" s="3" t="s">
        <v>489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69" priority="1"/>
  </conditionalFormatting>
  <conditionalFormatting sqref="B29">
    <cfRule type="duplicateValues" dxfId="268" priority="6"/>
  </conditionalFormatting>
  <conditionalFormatting sqref="B30">
    <cfRule type="duplicateValues" dxfId="267" priority="2"/>
  </conditionalFormatting>
  <conditionalFormatting sqref="B37">
    <cfRule type="duplicateValues" dxfId="266" priority="3"/>
  </conditionalFormatting>
  <conditionalFormatting sqref="B39">
    <cfRule type="duplicateValues" dxfId="265" priority="5"/>
  </conditionalFormatting>
  <conditionalFormatting sqref="B40">
    <cfRule type="duplicateValues" dxfId="264" priority="4"/>
  </conditionalFormatting>
  <conditionalFormatting sqref="B54:B1048576 B12:B16 B4:B10 B31:B36 B41:B45 B38 B18:B28">
    <cfRule type="duplicateValues" dxfId="26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4987F-B07E-46CA-97DB-1689E5C1AD29}">
  <sheetPr codeName="Sheet9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129</v>
      </c>
    </row>
    <row r="4" spans="1:5">
      <c r="A4" s="83" t="s">
        <v>341</v>
      </c>
      <c r="B4" s="84"/>
      <c r="C4" s="2" t="s">
        <v>299</v>
      </c>
      <c r="D4" s="85" t="s">
        <v>342</v>
      </c>
      <c r="E4" s="85"/>
    </row>
    <row r="5" spans="1:5">
      <c r="A5" s="72" t="s">
        <v>7</v>
      </c>
      <c r="B5" s="73"/>
      <c r="C5" s="3" t="s">
        <v>194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 @ -46°C,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492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494</v>
      </c>
      <c r="D38" s="61"/>
      <c r="E38" s="61"/>
    </row>
    <row r="39" spans="1:5">
      <c r="A39" s="61" t="s">
        <v>405</v>
      </c>
      <c r="B39" s="61"/>
      <c r="C39" s="3" t="s">
        <v>495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62" priority="1"/>
  </conditionalFormatting>
  <conditionalFormatting sqref="B29">
    <cfRule type="duplicateValues" dxfId="261" priority="6"/>
  </conditionalFormatting>
  <conditionalFormatting sqref="B30">
    <cfRule type="duplicateValues" dxfId="260" priority="2"/>
  </conditionalFormatting>
  <conditionalFormatting sqref="B37">
    <cfRule type="duplicateValues" dxfId="259" priority="3"/>
  </conditionalFormatting>
  <conditionalFormatting sqref="B39">
    <cfRule type="duplicateValues" dxfId="258" priority="5"/>
  </conditionalFormatting>
  <conditionalFormatting sqref="B40">
    <cfRule type="duplicateValues" dxfId="257" priority="4"/>
  </conditionalFormatting>
  <conditionalFormatting sqref="B54:B1048576 B12:B16 B4:B10 B31:B36 B41:B45 B38 B18:B28">
    <cfRule type="duplicateValues" dxfId="256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61F5-11CF-40E7-86F8-F3E2497E8843}">
  <sheetPr codeName="Sheet9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130</v>
      </c>
    </row>
    <row r="4" spans="1:5">
      <c r="A4" s="83" t="s">
        <v>341</v>
      </c>
      <c r="B4" s="84"/>
      <c r="C4" s="2" t="s">
        <v>300</v>
      </c>
      <c r="D4" s="85" t="s">
        <v>342</v>
      </c>
      <c r="E4" s="85"/>
    </row>
    <row r="5" spans="1:5">
      <c r="A5" s="72" t="s">
        <v>7</v>
      </c>
      <c r="B5" s="73"/>
      <c r="C5" s="3" t="s">
        <v>194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 @ -46°C,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492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494</v>
      </c>
      <c r="D38" s="61"/>
      <c r="E38" s="61"/>
    </row>
    <row r="39" spans="1:5">
      <c r="A39" s="61" t="s">
        <v>405</v>
      </c>
      <c r="B39" s="61"/>
      <c r="C39" s="3" t="s">
        <v>495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55" priority="1"/>
  </conditionalFormatting>
  <conditionalFormatting sqref="B29">
    <cfRule type="duplicateValues" dxfId="254" priority="6"/>
  </conditionalFormatting>
  <conditionalFormatting sqref="B30">
    <cfRule type="duplicateValues" dxfId="253" priority="2"/>
  </conditionalFormatting>
  <conditionalFormatting sqref="B37">
    <cfRule type="duplicateValues" dxfId="252" priority="3"/>
  </conditionalFormatting>
  <conditionalFormatting sqref="B39">
    <cfRule type="duplicateValues" dxfId="251" priority="5"/>
  </conditionalFormatting>
  <conditionalFormatting sqref="B40">
    <cfRule type="duplicateValues" dxfId="250" priority="4"/>
  </conditionalFormatting>
  <conditionalFormatting sqref="B54:B1048576 B12:B16 B4:B10 B31:B36 B41:B45 B38 B18:B28">
    <cfRule type="duplicateValues" dxfId="249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C1D6-BE99-4C11-B1B1-38549F8C3826}">
  <sheetPr codeName="Sheet9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131</v>
      </c>
    </row>
    <row r="4" spans="1:5">
      <c r="A4" s="83" t="s">
        <v>341</v>
      </c>
      <c r="B4" s="84"/>
      <c r="C4" s="2" t="s">
        <v>301</v>
      </c>
      <c r="D4" s="85" t="s">
        <v>342</v>
      </c>
      <c r="E4" s="85"/>
    </row>
    <row r="5" spans="1:5">
      <c r="A5" s="72" t="s">
        <v>7</v>
      </c>
      <c r="B5" s="73"/>
      <c r="C5" s="3" t="s">
        <v>198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51.7 @ -46°C, 42.7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492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496</v>
      </c>
      <c r="D38" s="61"/>
      <c r="E38" s="61"/>
    </row>
    <row r="39" spans="1:5">
      <c r="A39" s="61" t="s">
        <v>405</v>
      </c>
      <c r="B39" s="61"/>
      <c r="C39" s="3" t="s">
        <v>497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48" priority="1"/>
  </conditionalFormatting>
  <conditionalFormatting sqref="B29">
    <cfRule type="duplicateValues" dxfId="247" priority="6"/>
  </conditionalFormatting>
  <conditionalFormatting sqref="B30">
    <cfRule type="duplicateValues" dxfId="246" priority="2"/>
  </conditionalFormatting>
  <conditionalFormatting sqref="B37">
    <cfRule type="duplicateValues" dxfId="245" priority="3"/>
  </conditionalFormatting>
  <conditionalFormatting sqref="B39">
    <cfRule type="duplicateValues" dxfId="244" priority="5"/>
  </conditionalFormatting>
  <conditionalFormatting sqref="B40">
    <cfRule type="duplicateValues" dxfId="243" priority="4"/>
  </conditionalFormatting>
  <conditionalFormatting sqref="B54:B1048576 B12:B16 B4:B10 B31:B36 B41:B45 B38 B18:B28">
    <cfRule type="duplicateValues" dxfId="242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1908-CF9E-4256-89DE-781C78060714}">
  <sheetPr codeName="Sheet9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132</v>
      </c>
    </row>
    <row r="4" spans="1:5">
      <c r="A4" s="83" t="s">
        <v>341</v>
      </c>
      <c r="B4" s="84"/>
      <c r="C4" s="2" t="s">
        <v>302</v>
      </c>
      <c r="D4" s="85" t="s">
        <v>342</v>
      </c>
      <c r="E4" s="85"/>
    </row>
    <row r="5" spans="1:5">
      <c r="A5" s="72" t="s">
        <v>7</v>
      </c>
      <c r="B5" s="73"/>
      <c r="C5" s="3" t="s">
        <v>198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51.7 @ -46°C, 42.7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492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496</v>
      </c>
      <c r="D38" s="61"/>
      <c r="E38" s="61"/>
    </row>
    <row r="39" spans="1:5">
      <c r="A39" s="61" t="s">
        <v>405</v>
      </c>
      <c r="B39" s="61"/>
      <c r="C39" s="3" t="s">
        <v>497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41" priority="1"/>
  </conditionalFormatting>
  <conditionalFormatting sqref="B29">
    <cfRule type="duplicateValues" dxfId="240" priority="6"/>
  </conditionalFormatting>
  <conditionalFormatting sqref="B30">
    <cfRule type="duplicateValues" dxfId="239" priority="2"/>
  </conditionalFormatting>
  <conditionalFormatting sqref="B37">
    <cfRule type="duplicateValues" dxfId="238" priority="3"/>
  </conditionalFormatting>
  <conditionalFormatting sqref="B39">
    <cfRule type="duplicateValues" dxfId="237" priority="5"/>
  </conditionalFormatting>
  <conditionalFormatting sqref="B40">
    <cfRule type="duplicateValues" dxfId="236" priority="4"/>
  </conditionalFormatting>
  <conditionalFormatting sqref="B54:B1048576 B12:B16 B4:B10 B31:B36 B41:B45 B38 B18:B28">
    <cfRule type="duplicateValues" dxfId="235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6828C-3C62-4350-A157-63D9B14D2DAB}">
  <sheetPr codeName="Sheet10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133</v>
      </c>
    </row>
    <row r="4" spans="1:5">
      <c r="A4" s="83" t="s">
        <v>341</v>
      </c>
      <c r="B4" s="84"/>
      <c r="C4" s="2" t="s">
        <v>303</v>
      </c>
      <c r="D4" s="85" t="s">
        <v>342</v>
      </c>
      <c r="E4" s="85"/>
    </row>
    <row r="5" spans="1:5">
      <c r="A5" s="72" t="s">
        <v>7</v>
      </c>
      <c r="B5" s="73"/>
      <c r="C5" s="3" t="s">
        <v>202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103.4 @ -46°C, 85.3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492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498</v>
      </c>
      <c r="D38" s="61"/>
      <c r="E38" s="61"/>
    </row>
    <row r="39" spans="1:5">
      <c r="A39" s="61" t="s">
        <v>405</v>
      </c>
      <c r="B39" s="61"/>
      <c r="C39" s="3" t="s">
        <v>499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34" priority="1"/>
  </conditionalFormatting>
  <conditionalFormatting sqref="B29">
    <cfRule type="duplicateValues" dxfId="233" priority="6"/>
  </conditionalFormatting>
  <conditionalFormatting sqref="B30">
    <cfRule type="duplicateValues" dxfId="232" priority="2"/>
  </conditionalFormatting>
  <conditionalFormatting sqref="B37">
    <cfRule type="duplicateValues" dxfId="231" priority="3"/>
  </conditionalFormatting>
  <conditionalFormatting sqref="B39">
    <cfRule type="duplicateValues" dxfId="230" priority="5"/>
  </conditionalFormatting>
  <conditionalFormatting sqref="B40">
    <cfRule type="duplicateValues" dxfId="229" priority="4"/>
  </conditionalFormatting>
  <conditionalFormatting sqref="B54:B1048576 B12:B16 B4:B10 B31:B36 B41:B45 B38 B18:B28">
    <cfRule type="duplicateValues" dxfId="228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8C9F9-2403-4529-9590-46D7721EBFA5}">
  <sheetPr codeName="Sheet10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134</v>
      </c>
    </row>
    <row r="4" spans="1:5">
      <c r="A4" s="83" t="s">
        <v>341</v>
      </c>
      <c r="B4" s="84"/>
      <c r="C4" s="2" t="s">
        <v>304</v>
      </c>
      <c r="D4" s="85" t="s">
        <v>342</v>
      </c>
      <c r="E4" s="85"/>
    </row>
    <row r="5" spans="1:5">
      <c r="A5" s="72" t="s">
        <v>7</v>
      </c>
      <c r="B5" s="73"/>
      <c r="C5" s="3" t="s">
        <v>202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103.4 @ -46°C, 85.3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492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498</v>
      </c>
      <c r="D38" s="61"/>
      <c r="E38" s="61"/>
    </row>
    <row r="39" spans="1:5">
      <c r="A39" s="61" t="s">
        <v>405</v>
      </c>
      <c r="B39" s="61"/>
      <c r="C39" s="3" t="s">
        <v>499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27" priority="1"/>
  </conditionalFormatting>
  <conditionalFormatting sqref="B29">
    <cfRule type="duplicateValues" dxfId="226" priority="6"/>
  </conditionalFormatting>
  <conditionalFormatting sqref="B30">
    <cfRule type="duplicateValues" dxfId="225" priority="2"/>
  </conditionalFormatting>
  <conditionalFormatting sqref="B37">
    <cfRule type="duplicateValues" dxfId="224" priority="3"/>
  </conditionalFormatting>
  <conditionalFormatting sqref="B39">
    <cfRule type="duplicateValues" dxfId="223" priority="5"/>
  </conditionalFormatting>
  <conditionalFormatting sqref="B40">
    <cfRule type="duplicateValues" dxfId="222" priority="4"/>
  </conditionalFormatting>
  <conditionalFormatting sqref="B54:B1048576 B12:B16 B4:B10 B31:B36 B41:B45 B38 B18:B28">
    <cfRule type="duplicateValues" dxfId="221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44098-4C97-4CE1-B877-753190D2B726}">
  <sheetPr codeName="Sheet10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135</v>
      </c>
    </row>
    <row r="4" spans="1:5">
      <c r="A4" s="83" t="s">
        <v>341</v>
      </c>
      <c r="B4" s="84"/>
      <c r="C4" s="2" t="s">
        <v>305</v>
      </c>
      <c r="D4" s="85" t="s">
        <v>342</v>
      </c>
      <c r="E4" s="85"/>
    </row>
    <row r="5" spans="1:5">
      <c r="A5" s="72" t="s">
        <v>7</v>
      </c>
      <c r="B5" s="73"/>
      <c r="C5" s="3" t="s">
        <v>206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155.1 @ -46°C, 128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500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501</v>
      </c>
      <c r="D38" s="61"/>
      <c r="E38" s="61"/>
    </row>
    <row r="39" spans="1:5">
      <c r="A39" s="61" t="s">
        <v>405</v>
      </c>
      <c r="B39" s="61"/>
      <c r="C39" s="3" t="s">
        <v>502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20" priority="1"/>
  </conditionalFormatting>
  <conditionalFormatting sqref="B29">
    <cfRule type="duplicateValues" dxfId="219" priority="6"/>
  </conditionalFormatting>
  <conditionalFormatting sqref="B30">
    <cfRule type="duplicateValues" dxfId="218" priority="2"/>
  </conditionalFormatting>
  <conditionalFormatting sqref="B37">
    <cfRule type="duplicateValues" dxfId="217" priority="3"/>
  </conditionalFormatting>
  <conditionalFormatting sqref="B39">
    <cfRule type="duplicateValues" dxfId="216" priority="5"/>
  </conditionalFormatting>
  <conditionalFormatting sqref="B40">
    <cfRule type="duplicateValues" dxfId="215" priority="4"/>
  </conditionalFormatting>
  <conditionalFormatting sqref="B54:B1048576 B12:B16 B4:B10 B31:B36 B41:B45 B38 B18:B28">
    <cfRule type="duplicateValues" dxfId="214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0007-9620-46AA-9FA0-4C6EF4ADF1E2}">
  <sheetPr codeName="Sheet10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136</v>
      </c>
    </row>
    <row r="4" spans="1:5">
      <c r="A4" s="83" t="s">
        <v>341</v>
      </c>
      <c r="B4" s="84"/>
      <c r="C4" s="2" t="s">
        <v>306</v>
      </c>
      <c r="D4" s="85" t="s">
        <v>342</v>
      </c>
      <c r="E4" s="85"/>
    </row>
    <row r="5" spans="1:5">
      <c r="A5" s="72" t="s">
        <v>7</v>
      </c>
      <c r="B5" s="73"/>
      <c r="C5" s="3" t="s">
        <v>206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155.1 @ -46°C, 128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500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501</v>
      </c>
      <c r="D38" s="61"/>
      <c r="E38" s="61"/>
    </row>
    <row r="39" spans="1:5">
      <c r="A39" s="61" t="s">
        <v>405</v>
      </c>
      <c r="B39" s="61"/>
      <c r="C39" s="3" t="s">
        <v>502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13" priority="1"/>
  </conditionalFormatting>
  <conditionalFormatting sqref="B29">
    <cfRule type="duplicateValues" dxfId="212" priority="6"/>
  </conditionalFormatting>
  <conditionalFormatting sqref="B30">
    <cfRule type="duplicateValues" dxfId="211" priority="2"/>
  </conditionalFormatting>
  <conditionalFormatting sqref="B37">
    <cfRule type="duplicateValues" dxfId="210" priority="3"/>
  </conditionalFormatting>
  <conditionalFormatting sqref="B39">
    <cfRule type="duplicateValues" dxfId="209" priority="5"/>
  </conditionalFormatting>
  <conditionalFormatting sqref="B40">
    <cfRule type="duplicateValues" dxfId="208" priority="4"/>
  </conditionalFormatting>
  <conditionalFormatting sqref="B54:B1048576 B12:B16 B4:B10 B31:B36 B41:B45 B38 B18:B28">
    <cfRule type="duplicateValues" dxfId="207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1875-C8C6-4D71-B7D4-3AADA12107E6}">
  <sheetPr codeName="Sheet10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137</v>
      </c>
    </row>
    <row r="4" spans="1:5">
      <c r="A4" s="83" t="s">
        <v>341</v>
      </c>
      <c r="B4" s="84"/>
      <c r="C4" s="2" t="s">
        <v>307</v>
      </c>
      <c r="D4" s="85" t="s">
        <v>342</v>
      </c>
      <c r="E4" s="85"/>
    </row>
    <row r="5" spans="1:5">
      <c r="A5" s="72" t="s">
        <v>7</v>
      </c>
      <c r="B5" s="73"/>
      <c r="C5" s="3" t="s">
        <v>210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258.6 @ -46°C, 213.3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500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503</v>
      </c>
      <c r="D38" s="61"/>
      <c r="E38" s="61"/>
    </row>
    <row r="39" spans="1:5">
      <c r="A39" s="61" t="s">
        <v>405</v>
      </c>
      <c r="B39" s="61"/>
      <c r="C39" s="3" t="s">
        <v>504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06" priority="1"/>
  </conditionalFormatting>
  <conditionalFormatting sqref="B29">
    <cfRule type="duplicateValues" dxfId="205" priority="6"/>
  </conditionalFormatting>
  <conditionalFormatting sqref="B30">
    <cfRule type="duplicateValues" dxfId="204" priority="2"/>
  </conditionalFormatting>
  <conditionalFormatting sqref="B37">
    <cfRule type="duplicateValues" dxfId="203" priority="3"/>
  </conditionalFormatting>
  <conditionalFormatting sqref="B39">
    <cfRule type="duplicateValues" dxfId="202" priority="5"/>
  </conditionalFormatting>
  <conditionalFormatting sqref="B40">
    <cfRule type="duplicateValues" dxfId="201" priority="4"/>
  </conditionalFormatting>
  <conditionalFormatting sqref="B54:B1048576 B12:B16 B4:B10 B31:B36 B41:B45 B38 B18:B28">
    <cfRule type="duplicateValues" dxfId="200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4E5F7-889C-44EF-9E97-8E23C9220F50}">
  <sheetPr codeName="Sheet105">
    <tabColor rgb="FFFFFF00"/>
    <pageSetUpPr fitToPage="1"/>
  </sheetPr>
  <dimension ref="A1:E53"/>
  <sheetViews>
    <sheetView topLeftCell="A19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138</v>
      </c>
    </row>
    <row r="4" spans="1:5">
      <c r="A4" s="83" t="s">
        <v>341</v>
      </c>
      <c r="B4" s="84"/>
      <c r="C4" s="2" t="s">
        <v>308</v>
      </c>
      <c r="D4" s="85" t="s">
        <v>342</v>
      </c>
      <c r="E4" s="85"/>
    </row>
    <row r="5" spans="1:5">
      <c r="A5" s="72" t="s">
        <v>7</v>
      </c>
      <c r="B5" s="73"/>
      <c r="C5" s="3" t="s">
        <v>210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258.6 @ -46°C, 213.3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500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503</v>
      </c>
      <c r="D38" s="61"/>
      <c r="E38" s="61"/>
    </row>
    <row r="39" spans="1:5">
      <c r="A39" s="61" t="s">
        <v>405</v>
      </c>
      <c r="B39" s="61"/>
      <c r="C39" s="3" t="s">
        <v>504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99" priority="1"/>
  </conditionalFormatting>
  <conditionalFormatting sqref="B29">
    <cfRule type="duplicateValues" dxfId="198" priority="6"/>
  </conditionalFormatting>
  <conditionalFormatting sqref="B30">
    <cfRule type="duplicateValues" dxfId="197" priority="2"/>
  </conditionalFormatting>
  <conditionalFormatting sqref="B37">
    <cfRule type="duplicateValues" dxfId="196" priority="3"/>
  </conditionalFormatting>
  <conditionalFormatting sqref="B39">
    <cfRule type="duplicateValues" dxfId="195" priority="5"/>
  </conditionalFormatting>
  <conditionalFormatting sqref="B40">
    <cfRule type="duplicateValues" dxfId="194" priority="4"/>
  </conditionalFormatting>
  <conditionalFormatting sqref="B54:B1048576 B12:B16 B4:B10 B31:B36 B41:B45 B38 B18:B28">
    <cfRule type="duplicateValues" dxfId="193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8592-6ECB-46DC-A58F-48B085D61BC8}">
  <sheetPr codeName="Sheet10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139</v>
      </c>
    </row>
    <row r="4" spans="1:5">
      <c r="A4" s="83" t="s">
        <v>341</v>
      </c>
      <c r="B4" s="84"/>
      <c r="C4" s="2" t="s">
        <v>309</v>
      </c>
      <c r="D4" s="85" t="s">
        <v>342</v>
      </c>
      <c r="E4" s="85"/>
    </row>
    <row r="5" spans="1:5">
      <c r="A5" s="72" t="s">
        <v>7</v>
      </c>
      <c r="B5" s="73"/>
      <c r="C5" s="3" t="s">
        <v>214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430.9 @ -46°C, 355.4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500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505</v>
      </c>
      <c r="D38" s="61"/>
      <c r="E38" s="61"/>
    </row>
    <row r="39" spans="1:5">
      <c r="A39" s="61" t="s">
        <v>405</v>
      </c>
      <c r="B39" s="61"/>
      <c r="C39" s="3" t="s">
        <v>506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92" priority="1"/>
  </conditionalFormatting>
  <conditionalFormatting sqref="B29">
    <cfRule type="duplicateValues" dxfId="191" priority="6"/>
  </conditionalFormatting>
  <conditionalFormatting sqref="B30">
    <cfRule type="duplicateValues" dxfId="190" priority="2"/>
  </conditionalFormatting>
  <conditionalFormatting sqref="B37">
    <cfRule type="duplicateValues" dxfId="189" priority="3"/>
  </conditionalFormatting>
  <conditionalFormatting sqref="B39">
    <cfRule type="duplicateValues" dxfId="188" priority="5"/>
  </conditionalFormatting>
  <conditionalFormatting sqref="B40">
    <cfRule type="duplicateValues" dxfId="187" priority="4"/>
  </conditionalFormatting>
  <conditionalFormatting sqref="B54:B1048576 B12:B16 B4:B10 B31:B36 B41:B45 B38 B18:B28">
    <cfRule type="duplicateValues" dxfId="186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7407A-7108-4C67-95AF-BECA6EBF3CBD}">
  <sheetPr codeName="Sheet10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140</v>
      </c>
    </row>
    <row r="4" spans="1:5">
      <c r="A4" s="83" t="s">
        <v>341</v>
      </c>
      <c r="B4" s="84"/>
      <c r="C4" s="2" t="s">
        <v>310</v>
      </c>
      <c r="D4" s="85" t="s">
        <v>342</v>
      </c>
      <c r="E4" s="85"/>
    </row>
    <row r="5" spans="1:5">
      <c r="A5" s="72" t="s">
        <v>7</v>
      </c>
      <c r="B5" s="73"/>
      <c r="C5" s="3" t="s">
        <v>214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430.9 @ -46°C, 355.4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>
      <c r="A23" s="61"/>
      <c r="B23" s="4" t="s">
        <v>373</v>
      </c>
      <c r="C23" s="3" t="s">
        <v>491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500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505</v>
      </c>
      <c r="D38" s="61"/>
      <c r="E38" s="61"/>
    </row>
    <row r="39" spans="1:5">
      <c r="A39" s="61" t="s">
        <v>405</v>
      </c>
      <c r="B39" s="61"/>
      <c r="C39" s="3" t="s">
        <v>506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85" priority="1"/>
  </conditionalFormatting>
  <conditionalFormatting sqref="B29">
    <cfRule type="duplicateValues" dxfId="184" priority="6"/>
  </conditionalFormatting>
  <conditionalFormatting sqref="B30">
    <cfRule type="duplicateValues" dxfId="183" priority="2"/>
  </conditionalFormatting>
  <conditionalFormatting sqref="B37">
    <cfRule type="duplicateValues" dxfId="182" priority="3"/>
  </conditionalFormatting>
  <conditionalFormatting sqref="B39">
    <cfRule type="duplicateValues" dxfId="181" priority="5"/>
  </conditionalFormatting>
  <conditionalFormatting sqref="B40">
    <cfRule type="duplicateValues" dxfId="180" priority="4"/>
  </conditionalFormatting>
  <conditionalFormatting sqref="B54:B1048576 B12:B16 B4:B10 B31:B36 B41:B45 B38 B18:B28">
    <cfRule type="duplicateValues" dxfId="179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64E2-7950-482E-BC2D-D592489198B7}">
  <sheetPr codeName="Sheet12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141</v>
      </c>
    </row>
    <row r="4" spans="1:5">
      <c r="A4" s="83" t="s">
        <v>341</v>
      </c>
      <c r="B4" s="84"/>
      <c r="C4" s="2" t="s">
        <v>311</v>
      </c>
      <c r="D4" s="85" t="s">
        <v>342</v>
      </c>
      <c r="E4" s="85"/>
    </row>
    <row r="5" spans="1:5">
      <c r="A5" s="72" t="s">
        <v>7</v>
      </c>
      <c r="B5" s="73"/>
      <c r="C5" s="3" t="s">
        <v>214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430.9 @ -46°C, 355.4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461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 ht="36">
      <c r="A23" s="61"/>
      <c r="B23" s="4" t="s">
        <v>373</v>
      </c>
      <c r="C23" s="3" t="s">
        <v>507</v>
      </c>
      <c r="D23" s="61"/>
      <c r="E23" s="61"/>
    </row>
    <row r="24" spans="1:5">
      <c r="A24" s="61"/>
      <c r="B24" s="4" t="s">
        <v>375</v>
      </c>
      <c r="C24" s="3" t="s">
        <v>463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500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505</v>
      </c>
      <c r="D38" s="61"/>
      <c r="E38" s="61"/>
    </row>
    <row r="39" spans="1:5">
      <c r="A39" s="61" t="s">
        <v>405</v>
      </c>
      <c r="B39" s="61"/>
      <c r="C39" s="3" t="s">
        <v>506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78" priority="1"/>
  </conditionalFormatting>
  <conditionalFormatting sqref="B29">
    <cfRule type="duplicateValues" dxfId="177" priority="6"/>
  </conditionalFormatting>
  <conditionalFormatting sqref="B30">
    <cfRule type="duplicateValues" dxfId="176" priority="2"/>
  </conditionalFormatting>
  <conditionalFormatting sqref="B37">
    <cfRule type="duplicateValues" dxfId="175" priority="3"/>
  </conditionalFormatting>
  <conditionalFormatting sqref="B39">
    <cfRule type="duplicateValues" dxfId="174" priority="5"/>
  </conditionalFormatting>
  <conditionalFormatting sqref="B40">
    <cfRule type="duplicateValues" dxfId="173" priority="4"/>
  </conditionalFormatting>
  <conditionalFormatting sqref="B54:B1048576 B12:B16 B4:B10 B31:B36 B41:B45 B38 B18:B28">
    <cfRule type="duplicateValues" dxfId="172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71982-EBB4-45AC-900F-2C9DA88E4CFF}">
  <sheetPr codeName="Sheet129">
    <tabColor rgb="FFFFFF00"/>
    <pageSetUpPr fitToPage="1"/>
  </sheetPr>
  <dimension ref="A1:E53"/>
  <sheetViews>
    <sheetView topLeftCell="A2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142</v>
      </c>
    </row>
    <row r="4" spans="1:5">
      <c r="A4" s="83" t="s">
        <v>341</v>
      </c>
      <c r="B4" s="84"/>
      <c r="C4" s="2" t="s">
        <v>312</v>
      </c>
      <c r="D4" s="85" t="s">
        <v>342</v>
      </c>
      <c r="E4" s="85"/>
    </row>
    <row r="5" spans="1:5">
      <c r="A5" s="72" t="s">
        <v>7</v>
      </c>
      <c r="B5" s="73"/>
      <c r="C5" s="3" t="s">
        <v>214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430.9 @ -46°C, 355.4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461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440</v>
      </c>
      <c r="D21" s="61"/>
      <c r="E21" s="61"/>
    </row>
    <row r="22" spans="1:5" ht="36">
      <c r="A22" s="61" t="s">
        <v>370</v>
      </c>
      <c r="B22" s="4" t="s">
        <v>371</v>
      </c>
      <c r="C22" s="3" t="s">
        <v>490</v>
      </c>
      <c r="D22" s="61"/>
      <c r="E22" s="61"/>
    </row>
    <row r="23" spans="1:5" ht="36">
      <c r="A23" s="61"/>
      <c r="B23" s="4" t="s">
        <v>373</v>
      </c>
      <c r="C23" s="3" t="s">
        <v>507</v>
      </c>
      <c r="D23" s="61"/>
      <c r="E23" s="61"/>
    </row>
    <row r="24" spans="1:5">
      <c r="A24" s="61"/>
      <c r="B24" s="4" t="s">
        <v>375</v>
      </c>
      <c r="C24" s="3" t="s">
        <v>463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491</v>
      </c>
      <c r="D26" s="61"/>
      <c r="E26" s="61"/>
    </row>
    <row r="27" spans="1:5" ht="24">
      <c r="A27" s="61"/>
      <c r="B27" s="4" t="s">
        <v>381</v>
      </c>
      <c r="C27" s="3" t="s">
        <v>491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500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505</v>
      </c>
      <c r="D38" s="61"/>
      <c r="E38" s="61"/>
    </row>
    <row r="39" spans="1:5">
      <c r="A39" s="61" t="s">
        <v>405</v>
      </c>
      <c r="B39" s="61"/>
      <c r="C39" s="3" t="s">
        <v>506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71" priority="1"/>
  </conditionalFormatting>
  <conditionalFormatting sqref="B29">
    <cfRule type="duplicateValues" dxfId="170" priority="6"/>
  </conditionalFormatting>
  <conditionalFormatting sqref="B30">
    <cfRule type="duplicateValues" dxfId="169" priority="2"/>
  </conditionalFormatting>
  <conditionalFormatting sqref="B37">
    <cfRule type="duplicateValues" dxfId="168" priority="3"/>
  </conditionalFormatting>
  <conditionalFormatting sqref="B39">
    <cfRule type="duplicateValues" dxfId="167" priority="5"/>
  </conditionalFormatting>
  <conditionalFormatting sqref="B40">
    <cfRule type="duplicateValues" dxfId="166" priority="4"/>
  </conditionalFormatting>
  <conditionalFormatting sqref="B54:B1048576 B12:B16 B4:B10 B31:B36 B41:B45 B38 B18:B28">
    <cfRule type="duplicateValues" dxfId="165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9F58B-E70F-4896-BEF6-EDF3C1F2D42F}">
  <sheetPr codeName="Sheet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143</v>
      </c>
    </row>
    <row r="4" spans="1:5">
      <c r="A4" s="83" t="s">
        <v>341</v>
      </c>
      <c r="B4" s="84"/>
      <c r="C4" s="2" t="s">
        <v>313</v>
      </c>
      <c r="D4" s="85" t="s">
        <v>342</v>
      </c>
      <c r="E4" s="85"/>
    </row>
    <row r="5" spans="1:5">
      <c r="A5" s="72" t="s">
        <v>7</v>
      </c>
      <c r="B5" s="73"/>
      <c r="C5" s="3" t="s">
        <v>218</v>
      </c>
      <c r="D5" s="61"/>
      <c r="E5" s="61"/>
    </row>
    <row r="6" spans="1:5">
      <c r="A6" s="72" t="s">
        <v>2</v>
      </c>
      <c r="B6" s="73"/>
      <c r="C6" s="3" t="s">
        <v>508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509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 @ -46°C,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494</v>
      </c>
      <c r="D38" s="61"/>
      <c r="E38" s="61"/>
    </row>
    <row r="39" spans="1:5">
      <c r="A39" s="61" t="s">
        <v>405</v>
      </c>
      <c r="B39" s="61"/>
      <c r="C39" s="3" t="s">
        <v>495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64" priority="1"/>
  </conditionalFormatting>
  <conditionalFormatting sqref="B29">
    <cfRule type="duplicateValues" dxfId="163" priority="6"/>
  </conditionalFormatting>
  <conditionalFormatting sqref="B30">
    <cfRule type="duplicateValues" dxfId="162" priority="2"/>
  </conditionalFormatting>
  <conditionalFormatting sqref="B37">
    <cfRule type="duplicateValues" dxfId="161" priority="3"/>
  </conditionalFormatting>
  <conditionalFormatting sqref="B39">
    <cfRule type="duplicateValues" dxfId="160" priority="5"/>
  </conditionalFormatting>
  <conditionalFormatting sqref="B40">
    <cfRule type="duplicateValues" dxfId="159" priority="4"/>
  </conditionalFormatting>
  <conditionalFormatting sqref="B54:B1048576 B12:B16 B4:B10 B31:B36 B41:B45 B38 B18:B28">
    <cfRule type="duplicateValues" dxfId="158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0DF94-5F26-4398-8129-092DEAC3941F}">
  <sheetPr codeName="Sheet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144</v>
      </c>
    </row>
    <row r="4" spans="1:5">
      <c r="A4" s="83" t="s">
        <v>341</v>
      </c>
      <c r="B4" s="84"/>
      <c r="C4" s="2" t="s">
        <v>314</v>
      </c>
      <c r="D4" s="85" t="s">
        <v>342</v>
      </c>
      <c r="E4" s="85"/>
    </row>
    <row r="5" spans="1:5">
      <c r="A5" s="72" t="s">
        <v>7</v>
      </c>
      <c r="B5" s="73"/>
      <c r="C5" s="3" t="s">
        <v>218</v>
      </c>
      <c r="D5" s="61"/>
      <c r="E5" s="61"/>
    </row>
    <row r="6" spans="1:5">
      <c r="A6" s="72" t="s">
        <v>2</v>
      </c>
      <c r="B6" s="73"/>
      <c r="C6" s="3" t="s">
        <v>508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509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 @ -46°C,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494</v>
      </c>
      <c r="D38" s="61"/>
      <c r="E38" s="61"/>
    </row>
    <row r="39" spans="1:5">
      <c r="A39" s="61" t="s">
        <v>405</v>
      </c>
      <c r="B39" s="61"/>
      <c r="C39" s="3" t="s">
        <v>495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57" priority="1"/>
  </conditionalFormatting>
  <conditionalFormatting sqref="B29">
    <cfRule type="duplicateValues" dxfId="156" priority="6"/>
  </conditionalFormatting>
  <conditionalFormatting sqref="B30">
    <cfRule type="duplicateValues" dxfId="155" priority="2"/>
  </conditionalFormatting>
  <conditionalFormatting sqref="B37">
    <cfRule type="duplicateValues" dxfId="154" priority="3"/>
  </conditionalFormatting>
  <conditionalFormatting sqref="B39">
    <cfRule type="duplicateValues" dxfId="153" priority="5"/>
  </conditionalFormatting>
  <conditionalFormatting sqref="B40">
    <cfRule type="duplicateValues" dxfId="152" priority="4"/>
  </conditionalFormatting>
  <conditionalFormatting sqref="B54:B1048576 B12:B16 B4:B10 B31:B36 B41:B45 B38 B18:B28">
    <cfRule type="duplicateValues" dxfId="151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A78C4-5818-4EF7-912A-4CBBF40534FD}">
  <sheetPr codeName="Sheet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6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7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8"/>
      <c r="D3" s="13" t="s">
        <v>340</v>
      </c>
      <c r="E3" s="15">
        <f>VLOOKUP(C4,Index!B:I,8,FALSE)</f>
        <v>145</v>
      </c>
    </row>
    <row r="4" spans="1:5">
      <c r="A4" s="83" t="s">
        <v>341</v>
      </c>
      <c r="B4" s="84"/>
      <c r="C4" s="2" t="s">
        <v>315</v>
      </c>
      <c r="D4" s="85" t="s">
        <v>342</v>
      </c>
      <c r="E4" s="85"/>
    </row>
    <row r="5" spans="1:5">
      <c r="A5" s="72" t="s">
        <v>7</v>
      </c>
      <c r="B5" s="73"/>
      <c r="C5" s="3" t="s">
        <v>222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223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430.9 @ -46°C, 355.4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513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505</v>
      </c>
      <c r="D38" s="61"/>
      <c r="E38" s="61"/>
    </row>
    <row r="39" spans="1:5">
      <c r="A39" s="61" t="s">
        <v>405</v>
      </c>
      <c r="B39" s="61"/>
      <c r="C39" s="3" t="s">
        <v>506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50" priority="1"/>
  </conditionalFormatting>
  <conditionalFormatting sqref="B29">
    <cfRule type="duplicateValues" dxfId="149" priority="6"/>
  </conditionalFormatting>
  <conditionalFormatting sqref="B30">
    <cfRule type="duplicateValues" dxfId="148" priority="2"/>
  </conditionalFormatting>
  <conditionalFormatting sqref="B37">
    <cfRule type="duplicateValues" dxfId="147" priority="3"/>
  </conditionalFormatting>
  <conditionalFormatting sqref="B39">
    <cfRule type="duplicateValues" dxfId="146" priority="5"/>
  </conditionalFormatting>
  <conditionalFormatting sqref="B40">
    <cfRule type="duplicateValues" dxfId="145" priority="4"/>
  </conditionalFormatting>
  <conditionalFormatting sqref="B54:B1048576 B12:B16 B4:B10 B31:B36 B41:B45 B38 B18:B28">
    <cfRule type="duplicateValues" dxfId="144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17E8B-395A-4B31-AF3B-7F749766E744}">
  <sheetPr codeName="Sheet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6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7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8"/>
      <c r="D3" s="13" t="s">
        <v>340</v>
      </c>
      <c r="E3" s="15">
        <f>VLOOKUP(C4,Index!B:I,8,FALSE)</f>
        <v>146</v>
      </c>
    </row>
    <row r="4" spans="1:5">
      <c r="A4" s="83" t="s">
        <v>341</v>
      </c>
      <c r="B4" s="84"/>
      <c r="C4" s="2" t="s">
        <v>316</v>
      </c>
      <c r="D4" s="85" t="s">
        <v>342</v>
      </c>
      <c r="E4" s="85"/>
    </row>
    <row r="5" spans="1:5">
      <c r="A5" s="72" t="s">
        <v>7</v>
      </c>
      <c r="B5" s="73"/>
      <c r="C5" s="3" t="s">
        <v>222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223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430.9 @ -46°C, 355.4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513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505</v>
      </c>
      <c r="D38" s="61"/>
      <c r="E38" s="61"/>
    </row>
    <row r="39" spans="1:5">
      <c r="A39" s="61" t="s">
        <v>405</v>
      </c>
      <c r="B39" s="61"/>
      <c r="C39" s="3" t="s">
        <v>506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43" priority="1"/>
  </conditionalFormatting>
  <conditionalFormatting sqref="B29">
    <cfRule type="duplicateValues" dxfId="142" priority="6"/>
  </conditionalFormatting>
  <conditionalFormatting sqref="B30">
    <cfRule type="duplicateValues" dxfId="141" priority="2"/>
  </conditionalFormatting>
  <conditionalFormatting sqref="B37">
    <cfRule type="duplicateValues" dxfId="140" priority="3"/>
  </conditionalFormatting>
  <conditionalFormatting sqref="B39">
    <cfRule type="duplicateValues" dxfId="139" priority="5"/>
  </conditionalFormatting>
  <conditionalFormatting sqref="B40">
    <cfRule type="duplicateValues" dxfId="138" priority="4"/>
  </conditionalFormatting>
  <conditionalFormatting sqref="B54:B1048576 B12:B16 B4:B10 B31:B36 B41:B45 B38 B18:B28">
    <cfRule type="duplicateValues" dxfId="13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9DF9B-124F-4DEA-8E4A-D3EC3AB6A1F5}">
  <sheetPr codeName="Sheet10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147</v>
      </c>
    </row>
    <row r="4" spans="1:5">
      <c r="A4" s="83" t="s">
        <v>341</v>
      </c>
      <c r="B4" s="84"/>
      <c r="C4" s="2" t="s">
        <v>317</v>
      </c>
      <c r="D4" s="85" t="s">
        <v>342</v>
      </c>
      <c r="E4" s="85"/>
    </row>
    <row r="5" spans="1:5">
      <c r="A5" s="72" t="s">
        <v>7</v>
      </c>
      <c r="B5" s="73"/>
      <c r="C5" s="3" t="s">
        <v>225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 @ -46°C,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494</v>
      </c>
      <c r="D38" s="61"/>
      <c r="E38" s="61"/>
    </row>
    <row r="39" spans="1:5">
      <c r="A39" s="61" t="s">
        <v>405</v>
      </c>
      <c r="B39" s="61"/>
      <c r="C39" s="3" t="s">
        <v>495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36" priority="1"/>
  </conditionalFormatting>
  <conditionalFormatting sqref="B29">
    <cfRule type="duplicateValues" dxfId="135" priority="6"/>
  </conditionalFormatting>
  <conditionalFormatting sqref="B30">
    <cfRule type="duplicateValues" dxfId="134" priority="2"/>
  </conditionalFormatting>
  <conditionalFormatting sqref="B37">
    <cfRule type="duplicateValues" dxfId="133" priority="3"/>
  </conditionalFormatting>
  <conditionalFormatting sqref="B39">
    <cfRule type="duplicateValues" dxfId="132" priority="5"/>
  </conditionalFormatting>
  <conditionalFormatting sqref="B40">
    <cfRule type="duplicateValues" dxfId="131" priority="4"/>
  </conditionalFormatting>
  <conditionalFormatting sqref="B54:B1048576 B12:B16 B4:B10 B31:B36 B41:B45 B38 B18:B28">
    <cfRule type="duplicateValues" dxfId="130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AD1D-5297-4950-92EC-F7CBC0A738AB}">
  <sheetPr codeName="Sheet10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148</v>
      </c>
    </row>
    <row r="4" spans="1:5">
      <c r="A4" s="83" t="s">
        <v>341</v>
      </c>
      <c r="B4" s="84"/>
      <c r="C4" s="2" t="s">
        <v>318</v>
      </c>
      <c r="D4" s="85" t="s">
        <v>342</v>
      </c>
      <c r="E4" s="85"/>
    </row>
    <row r="5" spans="1:5">
      <c r="A5" s="72" t="s">
        <v>7</v>
      </c>
      <c r="B5" s="73"/>
      <c r="C5" s="3" t="s">
        <v>225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350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 @ -46°C, 13.8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494</v>
      </c>
      <c r="D38" s="61"/>
      <c r="E38" s="61"/>
    </row>
    <row r="39" spans="1:5">
      <c r="A39" s="61" t="s">
        <v>405</v>
      </c>
      <c r="B39" s="61"/>
      <c r="C39" s="3" t="s">
        <v>495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29" priority="1"/>
  </conditionalFormatting>
  <conditionalFormatting sqref="B29">
    <cfRule type="duplicateValues" dxfId="128" priority="6"/>
  </conditionalFormatting>
  <conditionalFormatting sqref="B30">
    <cfRule type="duplicateValues" dxfId="127" priority="2"/>
  </conditionalFormatting>
  <conditionalFormatting sqref="B37">
    <cfRule type="duplicateValues" dxfId="126" priority="3"/>
  </conditionalFormatting>
  <conditionalFormatting sqref="B39">
    <cfRule type="duplicateValues" dxfId="125" priority="5"/>
  </conditionalFormatting>
  <conditionalFormatting sqref="B40">
    <cfRule type="duplicateValues" dxfId="124" priority="4"/>
  </conditionalFormatting>
  <conditionalFormatting sqref="B54:B1048576 B12:B16 B4:B10 B31:B36 B41:B45 B38 B18:B28">
    <cfRule type="duplicateValues" dxfId="12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A3D1-F9DA-4941-88D7-AD14A9103DC3}">
  <sheetPr codeName="Sheet110">
    <tabColor rgb="FFFFFF00"/>
    <pageSetUpPr fitToPage="1"/>
  </sheetPr>
  <dimension ref="A1:I53"/>
  <sheetViews>
    <sheetView zoomScale="115" zoomScaleNormal="115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9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9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9" s="16" customFormat="1" ht="30" customHeight="1">
      <c r="A3" s="78"/>
      <c r="B3" s="79"/>
      <c r="C3" s="82"/>
      <c r="D3" s="13" t="s">
        <v>340</v>
      </c>
      <c r="E3" s="15">
        <f>VLOOKUP(C4,Index!B:I,8,FALSE)</f>
        <v>149</v>
      </c>
    </row>
    <row r="4" spans="1:9">
      <c r="A4" s="83" t="s">
        <v>341</v>
      </c>
      <c r="B4" s="84"/>
      <c r="C4" s="2" t="s">
        <v>319</v>
      </c>
      <c r="D4" s="85" t="s">
        <v>342</v>
      </c>
      <c r="E4" s="85"/>
    </row>
    <row r="5" spans="1:9">
      <c r="A5" s="72" t="s">
        <v>7</v>
      </c>
      <c r="B5" s="73"/>
      <c r="C5" s="3" t="s">
        <v>228</v>
      </c>
      <c r="D5" s="61"/>
      <c r="E5" s="61"/>
    </row>
    <row r="6" spans="1:9">
      <c r="A6" s="72" t="s">
        <v>2</v>
      </c>
      <c r="B6" s="73"/>
      <c r="C6" s="3" t="s">
        <v>343</v>
      </c>
      <c r="D6" s="61"/>
      <c r="E6" s="61"/>
    </row>
    <row r="7" spans="1:9">
      <c r="A7" s="72" t="s">
        <v>3</v>
      </c>
      <c r="B7" s="73"/>
      <c r="C7" s="3" t="s">
        <v>344</v>
      </c>
      <c r="D7" s="61"/>
      <c r="E7" s="61"/>
    </row>
    <row r="8" spans="1:9">
      <c r="A8" s="72" t="s">
        <v>345</v>
      </c>
      <c r="B8" s="73"/>
      <c r="C8" s="3" t="s">
        <v>84</v>
      </c>
      <c r="D8" s="61"/>
      <c r="E8" s="61"/>
    </row>
    <row r="9" spans="1:9">
      <c r="A9" s="61" t="s">
        <v>347</v>
      </c>
      <c r="B9" s="61"/>
      <c r="C9" s="3" t="s">
        <v>348</v>
      </c>
      <c r="D9" s="61"/>
      <c r="E9" s="61"/>
    </row>
    <row r="10" spans="1:9" ht="18">
      <c r="A10" s="61" t="s">
        <v>349</v>
      </c>
      <c r="B10" s="61"/>
      <c r="C10" s="3" t="s">
        <v>424</v>
      </c>
      <c r="D10" s="61"/>
      <c r="E10" s="61"/>
      <c r="I10" s="17"/>
    </row>
    <row r="11" spans="1:9">
      <c r="A11" s="68" t="s">
        <v>351</v>
      </c>
      <c r="B11" s="69"/>
      <c r="C11" s="3" t="str">
        <f>VLOOKUP(C5,Index!M:V,10,FALSE)</f>
        <v>51.7 @ -46°C, 42.7 @ 200°C</v>
      </c>
      <c r="D11" s="70"/>
      <c r="E11" s="71"/>
    </row>
    <row r="12" spans="1:9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9" ht="24">
      <c r="A13" s="61" t="s">
        <v>353</v>
      </c>
      <c r="B13" s="61"/>
      <c r="C13" s="3" t="s">
        <v>452</v>
      </c>
      <c r="D13" s="61"/>
      <c r="E13" s="61"/>
    </row>
    <row r="14" spans="1:9">
      <c r="A14" s="61" t="s">
        <v>4</v>
      </c>
      <c r="B14" s="61"/>
      <c r="C14" s="3" t="s">
        <v>354</v>
      </c>
      <c r="D14" s="61"/>
      <c r="E14" s="61"/>
    </row>
    <row r="15" spans="1:9">
      <c r="A15" s="61" t="s">
        <v>355</v>
      </c>
      <c r="B15" s="61"/>
      <c r="C15" s="3" t="s">
        <v>356</v>
      </c>
      <c r="D15" s="61"/>
      <c r="E15" s="61"/>
    </row>
    <row r="16" spans="1:9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496</v>
      </c>
      <c r="D38" s="61"/>
      <c r="E38" s="61"/>
    </row>
    <row r="39" spans="1:5">
      <c r="A39" s="61" t="s">
        <v>405</v>
      </c>
      <c r="B39" s="61"/>
      <c r="C39" s="3" t="s">
        <v>497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22" priority="1"/>
  </conditionalFormatting>
  <conditionalFormatting sqref="B29">
    <cfRule type="duplicateValues" dxfId="121" priority="6"/>
  </conditionalFormatting>
  <conditionalFormatting sqref="B30">
    <cfRule type="duplicateValues" dxfId="120" priority="2"/>
  </conditionalFormatting>
  <conditionalFormatting sqref="B37">
    <cfRule type="duplicateValues" dxfId="119" priority="3"/>
  </conditionalFormatting>
  <conditionalFormatting sqref="B39">
    <cfRule type="duplicateValues" dxfId="118" priority="5"/>
  </conditionalFormatting>
  <conditionalFormatting sqref="B40">
    <cfRule type="duplicateValues" dxfId="117" priority="4"/>
  </conditionalFormatting>
  <conditionalFormatting sqref="B54:B1048576 B12:B16 B4:B10 B31:B36 B41:B45 B38 B18:B28">
    <cfRule type="duplicateValues" dxfId="116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E71C9-20D0-44EE-9976-B1E987F354E2}">
  <sheetPr codeName="Sheet11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150</v>
      </c>
    </row>
    <row r="4" spans="1:5">
      <c r="A4" s="83" t="s">
        <v>341</v>
      </c>
      <c r="B4" s="84"/>
      <c r="C4" s="2" t="s">
        <v>320</v>
      </c>
      <c r="D4" s="85" t="s">
        <v>342</v>
      </c>
      <c r="E4" s="85"/>
    </row>
    <row r="5" spans="1:5">
      <c r="A5" s="72" t="s">
        <v>7</v>
      </c>
      <c r="B5" s="73"/>
      <c r="C5" s="3" t="s">
        <v>228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51.7 @ -46°C, 42.7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426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496</v>
      </c>
      <c r="D38" s="61"/>
      <c r="E38" s="61"/>
    </row>
    <row r="39" spans="1:5">
      <c r="A39" s="61" t="s">
        <v>405</v>
      </c>
      <c r="B39" s="61"/>
      <c r="C39" s="3" t="s">
        <v>497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15" priority="1"/>
  </conditionalFormatting>
  <conditionalFormatting sqref="B29">
    <cfRule type="duplicateValues" dxfId="114" priority="6"/>
  </conditionalFormatting>
  <conditionalFormatting sqref="B30">
    <cfRule type="duplicateValues" dxfId="113" priority="2"/>
  </conditionalFormatting>
  <conditionalFormatting sqref="B37">
    <cfRule type="duplicateValues" dxfId="112" priority="3"/>
  </conditionalFormatting>
  <conditionalFormatting sqref="B39">
    <cfRule type="duplicateValues" dxfId="111" priority="5"/>
  </conditionalFormatting>
  <conditionalFormatting sqref="B40">
    <cfRule type="duplicateValues" dxfId="110" priority="4"/>
  </conditionalFormatting>
  <conditionalFormatting sqref="B54:B1048576 B12:B16 B4:B10 B31:B36 B41:B45 B38 B18:B28">
    <cfRule type="duplicateValues" dxfId="109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21BC8-60B4-4103-B68E-D91E91FD1A2F}">
  <sheetPr codeName="Sheet11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151</v>
      </c>
    </row>
    <row r="4" spans="1:5">
      <c r="A4" s="83" t="s">
        <v>341</v>
      </c>
      <c r="B4" s="84"/>
      <c r="C4" s="2" t="s">
        <v>321</v>
      </c>
      <c r="D4" s="85" t="s">
        <v>342</v>
      </c>
      <c r="E4" s="85"/>
    </row>
    <row r="5" spans="1:5">
      <c r="A5" s="72" t="s">
        <v>7</v>
      </c>
      <c r="B5" s="73"/>
      <c r="C5" s="3" t="s">
        <v>230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103.4 @ -46°C, 85.3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498</v>
      </c>
      <c r="D38" s="61"/>
      <c r="E38" s="61"/>
    </row>
    <row r="39" spans="1:5">
      <c r="A39" s="61" t="s">
        <v>405</v>
      </c>
      <c r="B39" s="61"/>
      <c r="C39" s="3" t="s">
        <v>499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08" priority="1"/>
  </conditionalFormatting>
  <conditionalFormatting sqref="B29">
    <cfRule type="duplicateValues" dxfId="107" priority="6"/>
  </conditionalFormatting>
  <conditionalFormatting sqref="B30">
    <cfRule type="duplicateValues" dxfId="106" priority="2"/>
  </conditionalFormatting>
  <conditionalFormatting sqref="B37">
    <cfRule type="duplicateValues" dxfId="105" priority="3"/>
  </conditionalFormatting>
  <conditionalFormatting sqref="B39">
    <cfRule type="duplicateValues" dxfId="104" priority="5"/>
  </conditionalFormatting>
  <conditionalFormatting sqref="B40">
    <cfRule type="duplicateValues" dxfId="103" priority="4"/>
  </conditionalFormatting>
  <conditionalFormatting sqref="B54:B1048576 B12:B16 B4:B10 B31:B36 B41:B45 B38 B18:B28">
    <cfRule type="duplicateValues" dxfId="102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ADF81-DB7B-4A01-8DCE-6A6CCD8CD894}">
  <sheetPr codeName="Sheet11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152</v>
      </c>
    </row>
    <row r="4" spans="1:5">
      <c r="A4" s="83" t="s">
        <v>341</v>
      </c>
      <c r="B4" s="84"/>
      <c r="C4" s="2" t="s">
        <v>322</v>
      </c>
      <c r="D4" s="85" t="s">
        <v>342</v>
      </c>
      <c r="E4" s="85"/>
    </row>
    <row r="5" spans="1:5">
      <c r="A5" s="72" t="s">
        <v>7</v>
      </c>
      <c r="B5" s="73"/>
      <c r="C5" s="3" t="s">
        <v>230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429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103.4 @ -46°C, 85.3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354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512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498</v>
      </c>
      <c r="D38" s="61"/>
      <c r="E38" s="61"/>
    </row>
    <row r="39" spans="1:5">
      <c r="A39" s="61" t="s">
        <v>405</v>
      </c>
      <c r="B39" s="61"/>
      <c r="C39" s="3" t="s">
        <v>499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01" priority="1"/>
  </conditionalFormatting>
  <conditionalFormatting sqref="B29">
    <cfRule type="duplicateValues" dxfId="100" priority="6"/>
  </conditionalFormatting>
  <conditionalFormatting sqref="B30">
    <cfRule type="duplicateValues" dxfId="99" priority="2"/>
  </conditionalFormatting>
  <conditionalFormatting sqref="B37">
    <cfRule type="duplicateValues" dxfId="98" priority="3"/>
  </conditionalFormatting>
  <conditionalFormatting sqref="B39">
    <cfRule type="duplicateValues" dxfId="97" priority="5"/>
  </conditionalFormatting>
  <conditionalFormatting sqref="B40">
    <cfRule type="duplicateValues" dxfId="96" priority="4"/>
  </conditionalFormatting>
  <conditionalFormatting sqref="B54:B1048576 B12:B16 B4:B10 B31:B36 B41:B45 B38 B18:B28">
    <cfRule type="duplicateValues" dxfId="95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A41EB-91B4-46F9-B173-373E040161AD}">
  <sheetPr codeName="Sheet11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153</v>
      </c>
    </row>
    <row r="4" spans="1:5">
      <c r="A4" s="83" t="s">
        <v>341</v>
      </c>
      <c r="B4" s="84"/>
      <c r="C4" s="2" t="s">
        <v>323</v>
      </c>
      <c r="D4" s="85" t="s">
        <v>342</v>
      </c>
      <c r="E4" s="85"/>
    </row>
    <row r="5" spans="1:5">
      <c r="A5" s="72" t="s">
        <v>7</v>
      </c>
      <c r="B5" s="73"/>
      <c r="C5" s="3" t="s">
        <v>232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155.1 @ -46°C, 128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513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501</v>
      </c>
      <c r="D38" s="61"/>
      <c r="E38" s="61"/>
    </row>
    <row r="39" spans="1:5">
      <c r="A39" s="61" t="s">
        <v>405</v>
      </c>
      <c r="B39" s="61"/>
      <c r="C39" s="3" t="s">
        <v>502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94" priority="1"/>
  </conditionalFormatting>
  <conditionalFormatting sqref="B29">
    <cfRule type="duplicateValues" dxfId="93" priority="6"/>
  </conditionalFormatting>
  <conditionalFormatting sqref="B30">
    <cfRule type="duplicateValues" dxfId="92" priority="2"/>
  </conditionalFormatting>
  <conditionalFormatting sqref="B37">
    <cfRule type="duplicateValues" dxfId="91" priority="3"/>
  </conditionalFormatting>
  <conditionalFormatting sqref="B39">
    <cfRule type="duplicateValues" dxfId="90" priority="5"/>
  </conditionalFormatting>
  <conditionalFormatting sqref="B40">
    <cfRule type="duplicateValues" dxfId="89" priority="4"/>
  </conditionalFormatting>
  <conditionalFormatting sqref="B54:B1048576 B12:B16 B4:B10 B31:B36 B41:B45 B38 B18:B28">
    <cfRule type="duplicateValues" dxfId="88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BDCB5-B7D6-4152-94A5-F53DB2D33CE2}">
  <sheetPr codeName="Sheet11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154</v>
      </c>
    </row>
    <row r="4" spans="1:5">
      <c r="A4" s="83" t="s">
        <v>341</v>
      </c>
      <c r="B4" s="84"/>
      <c r="C4" s="2" t="s">
        <v>324</v>
      </c>
      <c r="D4" s="85" t="s">
        <v>342</v>
      </c>
      <c r="E4" s="85"/>
    </row>
    <row r="5" spans="1:5">
      <c r="A5" s="72" t="s">
        <v>7</v>
      </c>
      <c r="B5" s="73"/>
      <c r="C5" s="3" t="s">
        <v>232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437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155.1 @ -46°C, 128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>
      <c r="A14" s="61" t="s">
        <v>4</v>
      </c>
      <c r="B14" s="61"/>
      <c r="C14" s="3" t="s">
        <v>438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513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501</v>
      </c>
      <c r="D38" s="61"/>
      <c r="E38" s="61"/>
    </row>
    <row r="39" spans="1:5">
      <c r="A39" s="61" t="s">
        <v>405</v>
      </c>
      <c r="B39" s="61"/>
      <c r="C39" s="3" t="s">
        <v>502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7" priority="1"/>
  </conditionalFormatting>
  <conditionalFormatting sqref="B29">
    <cfRule type="duplicateValues" dxfId="86" priority="6"/>
  </conditionalFormatting>
  <conditionalFormatting sqref="B30">
    <cfRule type="duplicateValues" dxfId="85" priority="2"/>
  </conditionalFormatting>
  <conditionalFormatting sqref="B37">
    <cfRule type="duplicateValues" dxfId="84" priority="3"/>
  </conditionalFormatting>
  <conditionalFormatting sqref="B39">
    <cfRule type="duplicateValues" dxfId="83" priority="5"/>
  </conditionalFormatting>
  <conditionalFormatting sqref="B40">
    <cfRule type="duplicateValues" dxfId="82" priority="4"/>
  </conditionalFormatting>
  <conditionalFormatting sqref="B54:B1048576 B12:B16 B4:B10 B31:B36 B41:B45 B38 B18:B28">
    <cfRule type="duplicateValues" dxfId="81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4AC8E-D392-4AC9-BD89-EB6819E4B853}">
  <sheetPr codeName="Sheet11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155</v>
      </c>
    </row>
    <row r="4" spans="1:5">
      <c r="A4" s="83" t="s">
        <v>341</v>
      </c>
      <c r="B4" s="84"/>
      <c r="C4" s="2" t="s">
        <v>325</v>
      </c>
      <c r="D4" s="85" t="s">
        <v>342</v>
      </c>
      <c r="E4" s="85"/>
    </row>
    <row r="5" spans="1:5">
      <c r="A5" s="72" t="s">
        <v>7</v>
      </c>
      <c r="B5" s="73"/>
      <c r="C5" s="3" t="s">
        <v>234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258.6 @ -46°C, 213.3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513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503</v>
      </c>
      <c r="D38" s="61"/>
      <c r="E38" s="61"/>
    </row>
    <row r="39" spans="1:5">
      <c r="A39" s="61" t="s">
        <v>405</v>
      </c>
      <c r="B39" s="61"/>
      <c r="C39" s="3" t="s">
        <v>504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80" priority="1"/>
  </conditionalFormatting>
  <conditionalFormatting sqref="B29">
    <cfRule type="duplicateValues" dxfId="79" priority="6"/>
  </conditionalFormatting>
  <conditionalFormatting sqref="B30">
    <cfRule type="duplicateValues" dxfId="78" priority="2"/>
  </conditionalFormatting>
  <conditionalFormatting sqref="B37">
    <cfRule type="duplicateValues" dxfId="77" priority="3"/>
  </conditionalFormatting>
  <conditionalFormatting sqref="B39">
    <cfRule type="duplicateValues" dxfId="76" priority="5"/>
  </conditionalFormatting>
  <conditionalFormatting sqref="B40">
    <cfRule type="duplicateValues" dxfId="75" priority="4"/>
  </conditionalFormatting>
  <conditionalFormatting sqref="B54:B1048576 B12:B16 B4:B10 B31:B36 B41:B45 B38 B18:B28">
    <cfRule type="duplicateValues" dxfId="74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C51E1-5B0C-4B95-A7D4-BAC3E18545D4}">
  <sheetPr codeName="Sheet11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156</v>
      </c>
    </row>
    <row r="4" spans="1:5">
      <c r="A4" s="83" t="s">
        <v>341</v>
      </c>
      <c r="B4" s="84"/>
      <c r="C4" s="2" t="s">
        <v>326</v>
      </c>
      <c r="D4" s="85" t="s">
        <v>342</v>
      </c>
      <c r="E4" s="85"/>
    </row>
    <row r="5" spans="1:5">
      <c r="A5" s="72" t="s">
        <v>7</v>
      </c>
      <c r="B5" s="73"/>
      <c r="C5" s="3" t="s">
        <v>234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444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258.6 @ -46°C, 213.3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513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503</v>
      </c>
      <c r="D38" s="61"/>
      <c r="E38" s="61"/>
    </row>
    <row r="39" spans="1:5">
      <c r="A39" s="61" t="s">
        <v>405</v>
      </c>
      <c r="B39" s="61"/>
      <c r="C39" s="3" t="s">
        <v>504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73" priority="1"/>
  </conditionalFormatting>
  <conditionalFormatting sqref="B29">
    <cfRule type="duplicateValues" dxfId="72" priority="6"/>
  </conditionalFormatting>
  <conditionalFormatting sqref="B30">
    <cfRule type="duplicateValues" dxfId="71" priority="2"/>
  </conditionalFormatting>
  <conditionalFormatting sqref="B37">
    <cfRule type="duplicateValues" dxfId="70" priority="3"/>
  </conditionalFormatting>
  <conditionalFormatting sqref="B39">
    <cfRule type="duplicateValues" dxfId="69" priority="5"/>
  </conditionalFormatting>
  <conditionalFormatting sqref="B40">
    <cfRule type="duplicateValues" dxfId="68" priority="4"/>
  </conditionalFormatting>
  <conditionalFormatting sqref="B54:B1048576 B12:B16 B4:B10 B31:B36 B41:B45 B38 B18:B28">
    <cfRule type="duplicateValues" dxfId="67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27E9A-BD06-49CE-ACAA-BBFE19643178}">
  <sheetPr codeName="Sheet11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6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7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8"/>
      <c r="D3" s="13" t="s">
        <v>340</v>
      </c>
      <c r="E3" s="15">
        <f>VLOOKUP(C4,Index!B:I,8,FALSE)</f>
        <v>157</v>
      </c>
    </row>
    <row r="4" spans="1:5">
      <c r="A4" s="83" t="s">
        <v>341</v>
      </c>
      <c r="B4" s="84"/>
      <c r="C4" s="2" t="s">
        <v>327</v>
      </c>
      <c r="D4" s="85" t="s">
        <v>342</v>
      </c>
      <c r="E4" s="85"/>
    </row>
    <row r="5" spans="1:5">
      <c r="A5" s="72" t="s">
        <v>7</v>
      </c>
      <c r="B5" s="73"/>
      <c r="C5" s="3" t="s">
        <v>236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430.9 @ -46°C, 355.4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513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505</v>
      </c>
      <c r="D38" s="61"/>
      <c r="E38" s="61"/>
    </row>
    <row r="39" spans="1:5">
      <c r="A39" s="61" t="s">
        <v>405</v>
      </c>
      <c r="B39" s="61"/>
      <c r="C39" s="3" t="s">
        <v>506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6" priority="1"/>
  </conditionalFormatting>
  <conditionalFormatting sqref="B29">
    <cfRule type="duplicateValues" dxfId="65" priority="6"/>
  </conditionalFormatting>
  <conditionalFormatting sqref="B30">
    <cfRule type="duplicateValues" dxfId="64" priority="2"/>
  </conditionalFormatting>
  <conditionalFormatting sqref="B37">
    <cfRule type="duplicateValues" dxfId="63" priority="3"/>
  </conditionalFormatting>
  <conditionalFormatting sqref="B39">
    <cfRule type="duplicateValues" dxfId="62" priority="5"/>
  </conditionalFormatting>
  <conditionalFormatting sqref="B40">
    <cfRule type="duplicateValues" dxfId="61" priority="4"/>
  </conditionalFormatting>
  <conditionalFormatting sqref="B54:B1048576 B12:B16 B4:B10 B31:B36 B41:B45 B38 B18:B28">
    <cfRule type="duplicateValues" dxfId="60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5B918-332E-40E3-93E9-45A26E8F7B58}">
  <sheetPr codeName="Sheet11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6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7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8"/>
      <c r="D3" s="13" t="s">
        <v>340</v>
      </c>
      <c r="E3" s="15">
        <f>VLOOKUP(C4,Index!B:I,8,FALSE)</f>
        <v>158</v>
      </c>
    </row>
    <row r="4" spans="1:5">
      <c r="A4" s="83" t="s">
        <v>341</v>
      </c>
      <c r="B4" s="84"/>
      <c r="C4" s="2" t="s">
        <v>328</v>
      </c>
      <c r="D4" s="85" t="s">
        <v>342</v>
      </c>
      <c r="E4" s="85"/>
    </row>
    <row r="5" spans="1:5">
      <c r="A5" s="72" t="s">
        <v>7</v>
      </c>
      <c r="B5" s="73"/>
      <c r="C5" s="3" t="s">
        <v>236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84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449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430.9 @ -46°C, 355.4 @ 200°C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24">
      <c r="A13" s="61" t="s">
        <v>353</v>
      </c>
      <c r="B13" s="61"/>
      <c r="C13" s="3" t="s">
        <v>452</v>
      </c>
      <c r="D13" s="61"/>
      <c r="E13" s="61"/>
    </row>
    <row r="14" spans="1:5" ht="24">
      <c r="A14" s="61" t="s">
        <v>4</v>
      </c>
      <c r="B14" s="61"/>
      <c r="C14" s="3" t="s">
        <v>445</v>
      </c>
      <c r="D14" s="61"/>
      <c r="E14" s="61"/>
    </row>
    <row r="15" spans="1:5">
      <c r="A15" s="61" t="s">
        <v>355</v>
      </c>
      <c r="B15" s="61"/>
      <c r="C15" s="3" t="s">
        <v>356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430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431</v>
      </c>
      <c r="D21" s="61"/>
      <c r="E21" s="61"/>
    </row>
    <row r="22" spans="1:5" ht="36">
      <c r="A22" s="61" t="s">
        <v>370</v>
      </c>
      <c r="B22" s="4" t="s">
        <v>371</v>
      </c>
      <c r="C22" s="3" t="s">
        <v>510</v>
      </c>
      <c r="D22" s="61"/>
      <c r="E22" s="61"/>
    </row>
    <row r="23" spans="1:5">
      <c r="A23" s="61"/>
      <c r="B23" s="4" t="s">
        <v>373</v>
      </c>
      <c r="C23" s="3" t="s">
        <v>511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511</v>
      </c>
      <c r="D26" s="61"/>
      <c r="E26" s="61"/>
    </row>
    <row r="27" spans="1:5" ht="24">
      <c r="A27" s="61"/>
      <c r="B27" s="4" t="s">
        <v>381</v>
      </c>
      <c r="C27" s="3" t="s">
        <v>511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513</v>
      </c>
      <c r="D31" s="61"/>
      <c r="E31" s="61"/>
    </row>
    <row r="32" spans="1:5">
      <c r="A32" s="61"/>
      <c r="B32" s="4" t="s">
        <v>391</v>
      </c>
      <c r="C32" s="3" t="s">
        <v>493</v>
      </c>
      <c r="D32" s="61"/>
      <c r="E32" s="61"/>
    </row>
    <row r="33" spans="1:5">
      <c r="A33" s="61"/>
      <c r="B33" s="4" t="s">
        <v>393</v>
      </c>
      <c r="C33" s="3" t="s">
        <v>493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505</v>
      </c>
      <c r="D38" s="61"/>
      <c r="E38" s="61"/>
    </row>
    <row r="39" spans="1:5">
      <c r="A39" s="61" t="s">
        <v>405</v>
      </c>
      <c r="B39" s="61"/>
      <c r="C39" s="3" t="s">
        <v>506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456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9" priority="1"/>
  </conditionalFormatting>
  <conditionalFormatting sqref="B29">
    <cfRule type="duplicateValues" dxfId="58" priority="6"/>
  </conditionalFormatting>
  <conditionalFormatting sqref="B30">
    <cfRule type="duplicateValues" dxfId="57" priority="2"/>
  </conditionalFormatting>
  <conditionalFormatting sqref="B37">
    <cfRule type="duplicateValues" dxfId="56" priority="3"/>
  </conditionalFormatting>
  <conditionalFormatting sqref="B39">
    <cfRule type="duplicateValues" dxfId="55" priority="5"/>
  </conditionalFormatting>
  <conditionalFormatting sqref="B40">
    <cfRule type="duplicateValues" dxfId="54" priority="4"/>
  </conditionalFormatting>
  <conditionalFormatting sqref="B54:B1048576 B12:B16 B4:B10 B31:B36 B41:B45 B38 B18:B28">
    <cfRule type="duplicateValues" dxfId="53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B39BA-7F29-43C4-9948-8D310B758FDD}">
  <sheetPr codeName="Sheet12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159</v>
      </c>
    </row>
    <row r="4" spans="1:5">
      <c r="A4" s="83" t="s">
        <v>341</v>
      </c>
      <c r="B4" s="84"/>
      <c r="C4" s="2" t="s">
        <v>329</v>
      </c>
      <c r="D4" s="85" t="s">
        <v>342</v>
      </c>
      <c r="E4" s="85"/>
    </row>
    <row r="5" spans="1:5">
      <c r="A5" s="72" t="s">
        <v>7</v>
      </c>
      <c r="B5" s="73"/>
      <c r="C5" s="3" t="s">
        <v>238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514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515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 @ 0°C, 17.3 @ 100°C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516</v>
      </c>
      <c r="D14" s="61"/>
      <c r="E14" s="61"/>
    </row>
    <row r="15" spans="1:5">
      <c r="A15" s="61" t="s">
        <v>355</v>
      </c>
      <c r="B15" s="61"/>
      <c r="C15" s="3" t="s">
        <v>517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>
      <c r="A22" s="61" t="s">
        <v>370</v>
      </c>
      <c r="B22" s="4" t="s">
        <v>371</v>
      </c>
      <c r="C22" s="3" t="s">
        <v>518</v>
      </c>
      <c r="D22" s="61"/>
      <c r="E22" s="61"/>
    </row>
    <row r="23" spans="1:5">
      <c r="A23" s="61"/>
      <c r="B23" s="4" t="s">
        <v>373</v>
      </c>
      <c r="C23" s="3" t="s">
        <v>519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519</v>
      </c>
      <c r="D26" s="61"/>
      <c r="E26" s="61"/>
    </row>
    <row r="27" spans="1:5" ht="24">
      <c r="A27" s="61"/>
      <c r="B27" s="4" t="s">
        <v>381</v>
      </c>
      <c r="C27" s="3" t="s">
        <v>519</v>
      </c>
      <c r="D27" s="61"/>
      <c r="E27" s="61"/>
    </row>
    <row r="28" spans="1:5" ht="24">
      <c r="A28" s="61"/>
      <c r="B28" s="6" t="s">
        <v>383</v>
      </c>
      <c r="C28" s="3" t="s">
        <v>520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36">
      <c r="A31" s="61"/>
      <c r="B31" s="4" t="s">
        <v>389</v>
      </c>
      <c r="C31" s="3" t="s">
        <v>521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494</v>
      </c>
      <c r="D38" s="61"/>
      <c r="E38" s="61"/>
    </row>
    <row r="39" spans="1:5">
      <c r="A39" s="61" t="s">
        <v>405</v>
      </c>
      <c r="B39" s="61"/>
      <c r="C39" s="3" t="s">
        <v>495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>
      <c r="A42" s="61" t="s">
        <v>411</v>
      </c>
      <c r="B42" s="61"/>
      <c r="C42" s="3" t="s">
        <v>240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52" priority="1"/>
  </conditionalFormatting>
  <conditionalFormatting sqref="B29">
    <cfRule type="duplicateValues" dxfId="51" priority="6"/>
  </conditionalFormatting>
  <conditionalFormatting sqref="B30">
    <cfRule type="duplicateValues" dxfId="50" priority="2"/>
  </conditionalFormatting>
  <conditionalFormatting sqref="B37">
    <cfRule type="duplicateValues" dxfId="49" priority="3"/>
  </conditionalFormatting>
  <conditionalFormatting sqref="B39">
    <cfRule type="duplicateValues" dxfId="48" priority="5"/>
  </conditionalFormatting>
  <conditionalFormatting sqref="B40">
    <cfRule type="duplicateValues" dxfId="47" priority="4"/>
  </conditionalFormatting>
  <conditionalFormatting sqref="B54:B1048576 B12:B16 B4:B10 B31:B36 B41:B45 B38 B18:B28">
    <cfRule type="duplicateValues" dxfId="46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46231-DAFC-4AF3-BE9F-989E05342655}">
  <sheetPr codeName="Sheet12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ht="30" customHeight="1">
      <c r="A3" s="78"/>
      <c r="B3" s="79"/>
      <c r="C3" s="82"/>
      <c r="D3" s="13" t="s">
        <v>340</v>
      </c>
      <c r="E3" s="15">
        <f>VLOOKUP(C4,Index!B:I,8,FALSE)</f>
        <v>160</v>
      </c>
    </row>
    <row r="4" spans="1:5">
      <c r="A4" s="83" t="s">
        <v>341</v>
      </c>
      <c r="B4" s="84"/>
      <c r="C4" s="2" t="s">
        <v>330</v>
      </c>
      <c r="D4" s="85" t="s">
        <v>342</v>
      </c>
      <c r="E4" s="85"/>
    </row>
    <row r="5" spans="1:5">
      <c r="A5" s="72" t="s">
        <v>7</v>
      </c>
      <c r="B5" s="73"/>
      <c r="C5" s="3" t="s">
        <v>238</v>
      </c>
      <c r="D5" s="61"/>
      <c r="E5" s="61"/>
    </row>
    <row r="6" spans="1:5">
      <c r="A6" s="72" t="s">
        <v>2</v>
      </c>
      <c r="B6" s="73"/>
      <c r="C6" s="3" t="s">
        <v>343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514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515</v>
      </c>
      <c r="D10" s="61"/>
      <c r="E10" s="61"/>
    </row>
    <row r="11" spans="1:5">
      <c r="A11" s="68" t="s">
        <v>351</v>
      </c>
      <c r="B11" s="69"/>
      <c r="C11" s="3" t="str">
        <f>VLOOKUP(C5,Index!M:V,10,FALSE)</f>
        <v>20 @ 0°C, 17.3 @ 100°C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516</v>
      </c>
      <c r="D14" s="61"/>
      <c r="E14" s="61"/>
    </row>
    <row r="15" spans="1:5">
      <c r="A15" s="61" t="s">
        <v>355</v>
      </c>
      <c r="B15" s="61"/>
      <c r="C15" s="3" t="s">
        <v>517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361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>
      <c r="A22" s="61" t="s">
        <v>370</v>
      </c>
      <c r="B22" s="4" t="s">
        <v>371</v>
      </c>
      <c r="C22" s="3" t="s">
        <v>518</v>
      </c>
      <c r="D22" s="61"/>
      <c r="E22" s="61"/>
    </row>
    <row r="23" spans="1:5">
      <c r="A23" s="61"/>
      <c r="B23" s="4" t="s">
        <v>373</v>
      </c>
      <c r="C23" s="3" t="s">
        <v>519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519</v>
      </c>
      <c r="D26" s="61"/>
      <c r="E26" s="61"/>
    </row>
    <row r="27" spans="1:5" ht="24">
      <c r="A27" s="61"/>
      <c r="B27" s="4" t="s">
        <v>381</v>
      </c>
      <c r="C27" s="3" t="s">
        <v>519</v>
      </c>
      <c r="D27" s="61"/>
      <c r="E27" s="61"/>
    </row>
    <row r="28" spans="1:5" ht="24">
      <c r="A28" s="61"/>
      <c r="B28" s="6" t="s">
        <v>383</v>
      </c>
      <c r="C28" s="3" t="s">
        <v>520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36">
      <c r="A31" s="61"/>
      <c r="B31" s="4" t="s">
        <v>389</v>
      </c>
      <c r="C31" s="3" t="s">
        <v>521</v>
      </c>
      <c r="D31" s="61"/>
      <c r="E31" s="61"/>
    </row>
    <row r="32" spans="1:5" ht="36">
      <c r="A32" s="61"/>
      <c r="B32" s="4" t="s">
        <v>391</v>
      </c>
      <c r="C32" s="3" t="s">
        <v>392</v>
      </c>
      <c r="D32" s="61"/>
      <c r="E32" s="61"/>
    </row>
    <row r="33" spans="1:5" ht="36">
      <c r="A33" s="61"/>
      <c r="B33" s="4" t="s">
        <v>393</v>
      </c>
      <c r="C33" s="3" t="s">
        <v>394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494</v>
      </c>
      <c r="D38" s="61"/>
      <c r="E38" s="61"/>
    </row>
    <row r="39" spans="1:5">
      <c r="A39" s="61" t="s">
        <v>405</v>
      </c>
      <c r="B39" s="61"/>
      <c r="C39" s="3" t="s">
        <v>495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>
      <c r="A42" s="61" t="s">
        <v>411</v>
      </c>
      <c r="B42" s="61"/>
      <c r="C42" s="3" t="s">
        <v>240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45" priority="1"/>
  </conditionalFormatting>
  <conditionalFormatting sqref="B29">
    <cfRule type="duplicateValues" dxfId="44" priority="6"/>
  </conditionalFormatting>
  <conditionalFormatting sqref="B30">
    <cfRule type="duplicateValues" dxfId="43" priority="2"/>
  </conditionalFormatting>
  <conditionalFormatting sqref="B37">
    <cfRule type="duplicateValues" dxfId="42" priority="3"/>
  </conditionalFormatting>
  <conditionalFormatting sqref="B39">
    <cfRule type="duplicateValues" dxfId="41" priority="5"/>
  </conditionalFormatting>
  <conditionalFormatting sqref="B40">
    <cfRule type="duplicateValues" dxfId="40" priority="4"/>
  </conditionalFormatting>
  <conditionalFormatting sqref="B54:B1048576 B12:B16 B4:B10 B31:B36 B41:B45 B38 B18:B28">
    <cfRule type="duplicateValues" dxfId="39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586D-F73C-470F-93B5-5D5319CFABC3}">
  <sheetPr codeName="Sheet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ht="30" customHeight="1">
      <c r="A3" s="78"/>
      <c r="B3" s="79"/>
      <c r="C3" s="82"/>
      <c r="D3" s="13" t="s">
        <v>340</v>
      </c>
      <c r="E3" s="15">
        <f>VLOOKUP(C4,Index!B:I,8,FALSE)</f>
        <v>161</v>
      </c>
    </row>
    <row r="4" spans="1:5">
      <c r="A4" s="83" t="s">
        <v>341</v>
      </c>
      <c r="B4" s="84"/>
      <c r="C4" s="2" t="s">
        <v>331</v>
      </c>
      <c r="D4" s="85" t="s">
        <v>342</v>
      </c>
      <c r="E4" s="85"/>
    </row>
    <row r="5" spans="1:5">
      <c r="A5" s="72" t="s">
        <v>7</v>
      </c>
      <c r="B5" s="73"/>
      <c r="C5" s="3" t="s">
        <v>246</v>
      </c>
      <c r="D5" s="61"/>
      <c r="E5" s="61"/>
    </row>
    <row r="6" spans="1:5">
      <c r="A6" s="72" t="s">
        <v>2</v>
      </c>
      <c r="B6" s="73"/>
      <c r="C6" s="3" t="s">
        <v>522</v>
      </c>
      <c r="D6" s="61"/>
      <c r="E6" s="61"/>
    </row>
    <row r="7" spans="1:5">
      <c r="A7" s="72" t="s">
        <v>3</v>
      </c>
      <c r="B7" s="73"/>
      <c r="C7" s="3" t="s">
        <v>422</v>
      </c>
      <c r="D7" s="61"/>
      <c r="E7" s="61"/>
    </row>
    <row r="8" spans="1:5">
      <c r="A8" s="72" t="s">
        <v>345</v>
      </c>
      <c r="B8" s="73"/>
      <c r="C8" s="3" t="s">
        <v>523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515</v>
      </c>
      <c r="D10" s="61"/>
      <c r="E10" s="61"/>
    </row>
    <row r="11" spans="1:5" ht="11.45" customHeight="1">
      <c r="A11" s="68" t="s">
        <v>351</v>
      </c>
      <c r="B11" s="69"/>
      <c r="C11" s="3" t="str">
        <f>VLOOKUP(C5,Index!M:V,10,FALSE)</f>
        <v>20 @ 0°C, 17.3 @ 100°C</v>
      </c>
      <c r="D11" s="70"/>
      <c r="E11" s="71"/>
    </row>
    <row r="12" spans="1:5" ht="11.45" customHeight="1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11.45" customHeight="1">
      <c r="A13" s="61" t="s">
        <v>353</v>
      </c>
      <c r="B13" s="61"/>
      <c r="C13" s="3" t="s">
        <v>240</v>
      </c>
      <c r="D13" s="61"/>
      <c r="E13" s="61"/>
    </row>
    <row r="14" spans="1:5" ht="36">
      <c r="A14" s="61" t="s">
        <v>4</v>
      </c>
      <c r="B14" s="61"/>
      <c r="C14" s="3" t="s">
        <v>524</v>
      </c>
      <c r="D14" s="61"/>
      <c r="E14" s="61"/>
    </row>
    <row r="15" spans="1:5" ht="11.45" customHeight="1">
      <c r="A15" s="61" t="s">
        <v>355</v>
      </c>
      <c r="B15" s="61"/>
      <c r="C15" s="3" t="s">
        <v>517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>
      <c r="A17" s="61"/>
      <c r="B17" s="4" t="s">
        <v>360</v>
      </c>
      <c r="C17" s="3" t="s">
        <v>525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>
      <c r="A19" s="61"/>
      <c r="B19" s="4" t="s">
        <v>364</v>
      </c>
      <c r="C19" s="3" t="s">
        <v>526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>
      <c r="A22" s="61" t="s">
        <v>370</v>
      </c>
      <c r="B22" s="4" t="s">
        <v>371</v>
      </c>
      <c r="C22" s="3" t="s">
        <v>527</v>
      </c>
      <c r="D22" s="61"/>
      <c r="E22" s="61"/>
    </row>
    <row r="23" spans="1:5">
      <c r="A23" s="61"/>
      <c r="B23" s="4" t="s">
        <v>373</v>
      </c>
      <c r="C23" s="3" t="s">
        <v>528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528</v>
      </c>
      <c r="D26" s="61"/>
      <c r="E26" s="61"/>
    </row>
    <row r="27" spans="1:5" ht="24">
      <c r="A27" s="61"/>
      <c r="B27" s="4" t="s">
        <v>381</v>
      </c>
      <c r="C27" s="3" t="s">
        <v>528</v>
      </c>
      <c r="D27" s="61"/>
      <c r="E27" s="61"/>
    </row>
    <row r="28" spans="1:5" ht="24">
      <c r="A28" s="61"/>
      <c r="B28" s="6" t="s">
        <v>383</v>
      </c>
      <c r="C28" s="3" t="s">
        <v>520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>
      <c r="A31" s="61"/>
      <c r="B31" s="4" t="s">
        <v>389</v>
      </c>
      <c r="C31" s="3" t="s">
        <v>517</v>
      </c>
      <c r="D31" s="61"/>
      <c r="E31" s="61"/>
    </row>
    <row r="32" spans="1:5">
      <c r="A32" s="61"/>
      <c r="B32" s="4" t="s">
        <v>391</v>
      </c>
      <c r="C32" s="3" t="s">
        <v>517</v>
      </c>
      <c r="D32" s="61"/>
      <c r="E32" s="61"/>
    </row>
    <row r="33" spans="1:5">
      <c r="A33" s="61"/>
      <c r="B33" s="4" t="s">
        <v>393</v>
      </c>
      <c r="C33" s="3" t="s">
        <v>517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 ht="11.45" customHeight="1">
      <c r="A35" s="61" t="s">
        <v>397</v>
      </c>
      <c r="B35" s="61"/>
      <c r="C35" s="3" t="s">
        <v>398</v>
      </c>
      <c r="D35" s="61"/>
      <c r="E35" s="61"/>
    </row>
    <row r="36" spans="1:5" ht="11.45" customHeight="1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 ht="11.45" customHeight="1">
      <c r="A38" s="61" t="s">
        <v>403</v>
      </c>
      <c r="B38" s="61"/>
      <c r="C38" s="3" t="s">
        <v>529</v>
      </c>
      <c r="D38" s="61"/>
      <c r="E38" s="61"/>
    </row>
    <row r="39" spans="1:5" ht="11.45" customHeight="1">
      <c r="A39" s="61" t="s">
        <v>405</v>
      </c>
      <c r="B39" s="61"/>
      <c r="C39" s="3" t="s">
        <v>530</v>
      </c>
      <c r="D39" s="61"/>
      <c r="E39" s="61"/>
    </row>
    <row r="40" spans="1:5" ht="11.45" customHeight="1">
      <c r="A40" s="61" t="s">
        <v>407</v>
      </c>
      <c r="B40" s="61"/>
      <c r="C40" s="3" t="s">
        <v>531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>
      <c r="A42" s="61" t="s">
        <v>411</v>
      </c>
      <c r="B42" s="61"/>
      <c r="C42" s="3" t="s">
        <v>240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6">
    <cfRule type="duplicateValues" dxfId="38" priority="15"/>
  </conditionalFormatting>
  <conditionalFormatting sqref="B12:B16 B7:B10 B31:B36 B41 B38 B18:B28">
    <cfRule type="duplicateValues" dxfId="37" priority="7"/>
  </conditionalFormatting>
  <conditionalFormatting sqref="B17">
    <cfRule type="duplicateValues" dxfId="36" priority="1"/>
  </conditionalFormatting>
  <conditionalFormatting sqref="B29">
    <cfRule type="duplicateValues" dxfId="35" priority="6"/>
  </conditionalFormatting>
  <conditionalFormatting sqref="B30">
    <cfRule type="duplicateValues" dxfId="34" priority="2"/>
  </conditionalFormatting>
  <conditionalFormatting sqref="B37">
    <cfRule type="duplicateValues" dxfId="33" priority="3"/>
  </conditionalFormatting>
  <conditionalFormatting sqref="B39">
    <cfRule type="duplicateValues" dxfId="32" priority="5"/>
  </conditionalFormatting>
  <conditionalFormatting sqref="B40">
    <cfRule type="duplicateValues" dxfId="31" priority="4"/>
  </conditionalFormatting>
  <conditionalFormatting sqref="B54:B1048576 B4:B5 B42:B45">
    <cfRule type="duplicateValues" dxfId="30" priority="22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69333-D64D-4AAD-9E3F-8AF8BD8174A4}">
  <sheetPr codeName="Sheet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ht="30" customHeight="1">
      <c r="A3" s="78"/>
      <c r="B3" s="79"/>
      <c r="C3" s="82"/>
      <c r="D3" s="13" t="s">
        <v>340</v>
      </c>
      <c r="E3" s="15">
        <f>VLOOKUP(C4,Index!B:I,8,FALSE)</f>
        <v>162</v>
      </c>
    </row>
    <row r="4" spans="1:5">
      <c r="A4" s="83" t="s">
        <v>341</v>
      </c>
      <c r="B4" s="84"/>
      <c r="C4" s="2" t="s">
        <v>332</v>
      </c>
      <c r="D4" s="85" t="s">
        <v>342</v>
      </c>
      <c r="E4" s="85"/>
    </row>
    <row r="5" spans="1:5">
      <c r="A5" s="72" t="s">
        <v>7</v>
      </c>
      <c r="B5" s="73"/>
      <c r="C5" s="3" t="s">
        <v>246</v>
      </c>
      <c r="D5" s="61"/>
      <c r="E5" s="61"/>
    </row>
    <row r="6" spans="1:5">
      <c r="A6" s="72" t="s">
        <v>2</v>
      </c>
      <c r="B6" s="73"/>
      <c r="C6" s="3" t="s">
        <v>522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523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 t="s">
        <v>515</v>
      </c>
      <c r="D10" s="61"/>
      <c r="E10" s="61"/>
    </row>
    <row r="11" spans="1:5" ht="11.45" customHeight="1">
      <c r="A11" s="68" t="s">
        <v>351</v>
      </c>
      <c r="B11" s="69"/>
      <c r="C11" s="3" t="str">
        <f>VLOOKUP(C5,Index!M:V,10,FALSE)</f>
        <v>20 @ 0°C, 17.3 @ 100°C</v>
      </c>
      <c r="D11" s="70"/>
      <c r="E11" s="71"/>
    </row>
    <row r="12" spans="1:5" ht="11.45" customHeight="1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 ht="11.45" customHeight="1">
      <c r="A13" s="61" t="s">
        <v>353</v>
      </c>
      <c r="B13" s="61"/>
      <c r="C13" s="3" t="s">
        <v>240</v>
      </c>
      <c r="D13" s="61"/>
      <c r="E13" s="61"/>
    </row>
    <row r="14" spans="1:5" ht="36">
      <c r="A14" s="61" t="s">
        <v>4</v>
      </c>
      <c r="B14" s="61"/>
      <c r="C14" s="3" t="s">
        <v>524</v>
      </c>
      <c r="D14" s="61"/>
      <c r="E14" s="61"/>
    </row>
    <row r="15" spans="1:5" ht="11.45" customHeight="1">
      <c r="A15" s="61" t="s">
        <v>355</v>
      </c>
      <c r="B15" s="61"/>
      <c r="C15" s="3" t="s">
        <v>517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>
      <c r="A17" s="61"/>
      <c r="B17" s="4" t="s">
        <v>360</v>
      </c>
      <c r="C17" s="3" t="s">
        <v>525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>
      <c r="A19" s="61"/>
      <c r="B19" s="4" t="s">
        <v>364</v>
      </c>
      <c r="C19" s="3" t="s">
        <v>526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36">
      <c r="A21" s="61" t="s">
        <v>368</v>
      </c>
      <c r="B21" s="61"/>
      <c r="C21" s="3" t="s">
        <v>369</v>
      </c>
      <c r="D21" s="61"/>
      <c r="E21" s="61"/>
    </row>
    <row r="22" spans="1:5">
      <c r="A22" s="61" t="s">
        <v>370</v>
      </c>
      <c r="B22" s="4" t="s">
        <v>371</v>
      </c>
      <c r="C22" s="3" t="s">
        <v>527</v>
      </c>
      <c r="D22" s="61"/>
      <c r="E22" s="61"/>
    </row>
    <row r="23" spans="1:5">
      <c r="A23" s="61"/>
      <c r="B23" s="4" t="s">
        <v>373</v>
      </c>
      <c r="C23" s="3" t="s">
        <v>528</v>
      </c>
      <c r="D23" s="61"/>
      <c r="E23" s="61"/>
    </row>
    <row r="24" spans="1:5">
      <c r="A24" s="61"/>
      <c r="B24" s="4" t="s">
        <v>375</v>
      </c>
      <c r="C24" s="3" t="s">
        <v>474</v>
      </c>
      <c r="D24" s="61"/>
      <c r="E24" s="61"/>
    </row>
    <row r="25" spans="1:5">
      <c r="A25" s="61"/>
      <c r="B25" s="4" t="s">
        <v>377</v>
      </c>
      <c r="C25" s="3" t="s">
        <v>378</v>
      </c>
      <c r="D25" s="61"/>
      <c r="E25" s="61"/>
    </row>
    <row r="26" spans="1:5">
      <c r="A26" s="61"/>
      <c r="B26" s="4" t="s">
        <v>379</v>
      </c>
      <c r="C26" s="3" t="s">
        <v>528</v>
      </c>
      <c r="D26" s="61"/>
      <c r="E26" s="61"/>
    </row>
    <row r="27" spans="1:5" ht="24">
      <c r="A27" s="61"/>
      <c r="B27" s="4" t="s">
        <v>381</v>
      </c>
      <c r="C27" s="3" t="s">
        <v>528</v>
      </c>
      <c r="D27" s="61"/>
      <c r="E27" s="61"/>
    </row>
    <row r="28" spans="1:5" ht="24">
      <c r="A28" s="61"/>
      <c r="B28" s="6" t="s">
        <v>383</v>
      </c>
      <c r="C28" s="3" t="s">
        <v>520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>
      <c r="A31" s="61"/>
      <c r="B31" s="4" t="s">
        <v>389</v>
      </c>
      <c r="C31" s="3" t="s">
        <v>517</v>
      </c>
      <c r="D31" s="61"/>
      <c r="E31" s="61"/>
    </row>
    <row r="32" spans="1:5">
      <c r="A32" s="61"/>
      <c r="B32" s="4" t="s">
        <v>391</v>
      </c>
      <c r="C32" s="3" t="s">
        <v>517</v>
      </c>
      <c r="D32" s="61"/>
      <c r="E32" s="61"/>
    </row>
    <row r="33" spans="1:5">
      <c r="A33" s="61"/>
      <c r="B33" s="4" t="s">
        <v>393</v>
      </c>
      <c r="C33" s="3" t="s">
        <v>517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 ht="11.45" customHeight="1">
      <c r="A35" s="61" t="s">
        <v>397</v>
      </c>
      <c r="B35" s="61"/>
      <c r="C35" s="3" t="s">
        <v>398</v>
      </c>
      <c r="D35" s="61"/>
      <c r="E35" s="61"/>
    </row>
    <row r="36" spans="1:5" ht="11.45" customHeight="1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 ht="11.45" customHeight="1">
      <c r="A38" s="61" t="s">
        <v>403</v>
      </c>
      <c r="B38" s="61"/>
      <c r="C38" s="3" t="s">
        <v>529</v>
      </c>
      <c r="D38" s="61"/>
      <c r="E38" s="61"/>
    </row>
    <row r="39" spans="1:5" ht="11.45" customHeight="1">
      <c r="A39" s="61" t="s">
        <v>405</v>
      </c>
      <c r="B39" s="61"/>
      <c r="C39" s="3" t="s">
        <v>530</v>
      </c>
      <c r="D39" s="61"/>
      <c r="E39" s="61"/>
    </row>
    <row r="40" spans="1:5" ht="11.45" customHeight="1">
      <c r="A40" s="61" t="s">
        <v>407</v>
      </c>
      <c r="B40" s="61"/>
      <c r="C40" s="3" t="s">
        <v>531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>
      <c r="A42" s="61" t="s">
        <v>411</v>
      </c>
      <c r="B42" s="61"/>
      <c r="C42" s="3" t="s">
        <v>240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2:B16 B6:B10 B18:B20">
    <cfRule type="duplicateValues" dxfId="29" priority="8"/>
  </conditionalFormatting>
  <conditionalFormatting sqref="B17">
    <cfRule type="duplicateValues" dxfId="28" priority="7"/>
  </conditionalFormatting>
  <conditionalFormatting sqref="B29">
    <cfRule type="duplicateValues" dxfId="27" priority="5"/>
  </conditionalFormatting>
  <conditionalFormatting sqref="B30">
    <cfRule type="duplicateValues" dxfId="26" priority="1"/>
  </conditionalFormatting>
  <conditionalFormatting sqref="B31:B36 B41 B38 B21:B28">
    <cfRule type="duplicateValues" dxfId="25" priority="6"/>
  </conditionalFormatting>
  <conditionalFormatting sqref="B37">
    <cfRule type="duplicateValues" dxfId="24" priority="2"/>
  </conditionalFormatting>
  <conditionalFormatting sqref="B39">
    <cfRule type="duplicateValues" dxfId="23" priority="4"/>
  </conditionalFormatting>
  <conditionalFormatting sqref="B40">
    <cfRule type="duplicateValues" dxfId="22" priority="3"/>
  </conditionalFormatting>
  <conditionalFormatting sqref="B54:B1048576 B4:B5 B42:B45">
    <cfRule type="duplicateValues" dxfId="21" priority="9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B815A-87E4-4EAB-9005-6DF8238F5DF9}">
  <sheetPr codeName="Sheet12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163</v>
      </c>
    </row>
    <row r="4" spans="1:5">
      <c r="A4" s="83" t="s">
        <v>341</v>
      </c>
      <c r="B4" s="84"/>
      <c r="C4" s="2" t="s">
        <v>333</v>
      </c>
      <c r="D4" s="85" t="s">
        <v>342</v>
      </c>
      <c r="E4" s="85"/>
    </row>
    <row r="5" spans="1:5">
      <c r="A5" s="72" t="s">
        <v>7</v>
      </c>
      <c r="B5" s="73"/>
      <c r="C5" s="3" t="s">
        <v>264</v>
      </c>
      <c r="D5" s="61"/>
      <c r="E5" s="61"/>
    </row>
    <row r="6" spans="1:5">
      <c r="A6" s="72" t="s">
        <v>2</v>
      </c>
      <c r="B6" s="73"/>
      <c r="C6" s="3" t="s">
        <v>532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/>
      <c r="D10" s="61"/>
      <c r="E10" s="61"/>
    </row>
    <row r="11" spans="1:5">
      <c r="A11" s="68" t="s">
        <v>351</v>
      </c>
      <c r="B11" s="69"/>
      <c r="C11" s="3" t="str">
        <f>VLOOKUP(C5,Index!M:V,10,FALSE)</f>
        <v>125 @ 0°C, 116 @ 60°C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533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24">
      <c r="A21" s="61" t="s">
        <v>368</v>
      </c>
      <c r="B21" s="61"/>
      <c r="C21" s="3" t="s">
        <v>534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484</v>
      </c>
      <c r="D38" s="61"/>
      <c r="E38" s="61"/>
    </row>
    <row r="39" spans="1:5">
      <c r="A39" s="61" t="s">
        <v>405</v>
      </c>
      <c r="B39" s="61"/>
      <c r="C39" s="3" t="s">
        <v>485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20" priority="1"/>
  </conditionalFormatting>
  <conditionalFormatting sqref="B29">
    <cfRule type="duplicateValues" dxfId="19" priority="6"/>
  </conditionalFormatting>
  <conditionalFormatting sqref="B30">
    <cfRule type="duplicateValues" dxfId="18" priority="2"/>
  </conditionalFormatting>
  <conditionalFormatting sqref="B37">
    <cfRule type="duplicateValues" dxfId="17" priority="3"/>
  </conditionalFormatting>
  <conditionalFormatting sqref="B39">
    <cfRule type="duplicateValues" dxfId="16" priority="5"/>
  </conditionalFormatting>
  <conditionalFormatting sqref="B40">
    <cfRule type="duplicateValues" dxfId="15" priority="4"/>
  </conditionalFormatting>
  <conditionalFormatting sqref="B54:B1048576 B12:B16 B4:B10 B31:B36 B41:B45 B38 B18:B28">
    <cfRule type="duplicateValues" dxfId="14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137AF-C66B-4372-B8FC-A0966A5AA3B9}">
  <sheetPr codeName="Sheet12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164</v>
      </c>
    </row>
    <row r="4" spans="1:5">
      <c r="A4" s="83" t="s">
        <v>341</v>
      </c>
      <c r="B4" s="84"/>
      <c r="C4" s="2" t="s">
        <v>334</v>
      </c>
      <c r="D4" s="85" t="s">
        <v>342</v>
      </c>
      <c r="E4" s="85"/>
    </row>
    <row r="5" spans="1:5">
      <c r="A5" s="72" t="s">
        <v>7</v>
      </c>
      <c r="B5" s="73"/>
      <c r="C5" s="3" t="s">
        <v>270</v>
      </c>
      <c r="D5" s="61"/>
      <c r="E5" s="61"/>
    </row>
    <row r="6" spans="1:5">
      <c r="A6" s="72" t="s">
        <v>2</v>
      </c>
      <c r="B6" s="73"/>
      <c r="C6" s="3" t="s">
        <v>532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/>
      <c r="D10" s="61"/>
      <c r="E10" s="61"/>
    </row>
    <row r="11" spans="1:5">
      <c r="A11" s="68" t="s">
        <v>351</v>
      </c>
      <c r="B11" s="69"/>
      <c r="C11" s="3" t="str">
        <f>VLOOKUP(C5,Index!M:V,10,FALSE)</f>
        <v>206 @ 0°C, 200 @ 60°C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533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24">
      <c r="A21" s="61" t="s">
        <v>368</v>
      </c>
      <c r="B21" s="61"/>
      <c r="C21" s="3" t="s">
        <v>534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486</v>
      </c>
      <c r="D38" s="61"/>
      <c r="E38" s="61"/>
    </row>
    <row r="39" spans="1:5">
      <c r="A39" s="61" t="s">
        <v>405</v>
      </c>
      <c r="B39" s="61"/>
      <c r="C39" s="3" t="s">
        <v>487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13" priority="1"/>
  </conditionalFormatting>
  <conditionalFormatting sqref="B29">
    <cfRule type="duplicateValues" dxfId="12" priority="6"/>
  </conditionalFormatting>
  <conditionalFormatting sqref="B30">
    <cfRule type="duplicateValues" dxfId="11" priority="2"/>
  </conditionalFormatting>
  <conditionalFormatting sqref="B37">
    <cfRule type="duplicateValues" dxfId="10" priority="3"/>
  </conditionalFormatting>
  <conditionalFormatting sqref="B39">
    <cfRule type="duplicateValues" dxfId="9" priority="5"/>
  </conditionalFormatting>
  <conditionalFormatting sqref="B40">
    <cfRule type="duplicateValues" dxfId="8" priority="4"/>
  </conditionalFormatting>
  <conditionalFormatting sqref="B54:B1048576 B12:B16 B4:B10 B31:B36 B41:B45 B38 B18:B28">
    <cfRule type="duplicateValues" dxfId="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C709-9B58-431D-B25C-DD3336BE4E80}">
  <sheetPr codeName="Sheet12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74" t="e" vm="1">
        <v>#VALUE!</v>
      </c>
      <c r="B1" s="75"/>
      <c r="C1" s="80" t="s">
        <v>336</v>
      </c>
      <c r="D1" s="12" t="s">
        <v>337</v>
      </c>
      <c r="E1" s="12" t="s">
        <v>338</v>
      </c>
    </row>
    <row r="2" spans="1:5" s="16" customFormat="1" ht="30" customHeight="1">
      <c r="A2" s="76"/>
      <c r="B2" s="77"/>
      <c r="C2" s="81"/>
      <c r="D2" s="13" t="s">
        <v>339</v>
      </c>
      <c r="E2" s="14" t="str">
        <f>VLOOKUP(C4,Index!B:J,9,FALSE)</f>
        <v>C0</v>
      </c>
    </row>
    <row r="3" spans="1:5" s="16" customFormat="1" ht="30" customHeight="1">
      <c r="A3" s="78"/>
      <c r="B3" s="79"/>
      <c r="C3" s="82"/>
      <c r="D3" s="13" t="s">
        <v>340</v>
      </c>
      <c r="E3" s="15">
        <f>VLOOKUP(C4,Index!B:I,8,FALSE)</f>
        <v>165</v>
      </c>
    </row>
    <row r="4" spans="1:5">
      <c r="A4" s="83" t="s">
        <v>341</v>
      </c>
      <c r="B4" s="84"/>
      <c r="C4" s="2" t="s">
        <v>335</v>
      </c>
      <c r="D4" s="85" t="s">
        <v>342</v>
      </c>
      <c r="E4" s="85"/>
    </row>
    <row r="5" spans="1:5">
      <c r="A5" s="72" t="s">
        <v>7</v>
      </c>
      <c r="B5" s="73"/>
      <c r="C5" s="3" t="s">
        <v>274</v>
      </c>
      <c r="D5" s="61"/>
      <c r="E5" s="61"/>
    </row>
    <row r="6" spans="1:5">
      <c r="A6" s="72" t="s">
        <v>2</v>
      </c>
      <c r="B6" s="73"/>
      <c r="C6" s="3" t="s">
        <v>532</v>
      </c>
      <c r="D6" s="61"/>
      <c r="E6" s="61"/>
    </row>
    <row r="7" spans="1:5">
      <c r="A7" s="72" t="s">
        <v>3</v>
      </c>
      <c r="B7" s="73"/>
      <c r="C7" s="3" t="s">
        <v>344</v>
      </c>
      <c r="D7" s="61"/>
      <c r="E7" s="61"/>
    </row>
    <row r="8" spans="1:5">
      <c r="A8" s="72" t="s">
        <v>345</v>
      </c>
      <c r="B8" s="73"/>
      <c r="C8" s="3" t="s">
        <v>477</v>
      </c>
      <c r="D8" s="61"/>
      <c r="E8" s="61"/>
    </row>
    <row r="9" spans="1:5">
      <c r="A9" s="61" t="s">
        <v>347</v>
      </c>
      <c r="B9" s="61"/>
      <c r="C9" s="3" t="s">
        <v>348</v>
      </c>
      <c r="D9" s="61"/>
      <c r="E9" s="61"/>
    </row>
    <row r="10" spans="1:5">
      <c r="A10" s="61" t="s">
        <v>349</v>
      </c>
      <c r="B10" s="61"/>
      <c r="C10" s="3"/>
      <c r="D10" s="61"/>
      <c r="E10" s="61"/>
    </row>
    <row r="11" spans="1:5">
      <c r="A11" s="68" t="s">
        <v>351</v>
      </c>
      <c r="B11" s="69"/>
      <c r="C11" s="3" t="str">
        <f>VLOOKUP(C5,Index!M:V,10,FALSE)</f>
        <v>325 @ 0°C, 325 @ 60°C</v>
      </c>
      <c r="D11" s="70"/>
      <c r="E11" s="71"/>
    </row>
    <row r="12" spans="1:5">
      <c r="A12" s="61" t="s">
        <v>352</v>
      </c>
      <c r="B12" s="61"/>
      <c r="C12" s="3" t="str">
        <f>VLOOKUP(C5,Index!M:V,5,FALSE)</f>
        <v>NIL</v>
      </c>
      <c r="D12" s="61"/>
      <c r="E12" s="61"/>
    </row>
    <row r="13" spans="1:5">
      <c r="A13" s="61" t="s">
        <v>353</v>
      </c>
      <c r="B13" s="61"/>
      <c r="C13" s="3" t="s">
        <v>240</v>
      </c>
      <c r="D13" s="61"/>
      <c r="E13" s="61"/>
    </row>
    <row r="14" spans="1:5">
      <c r="A14" s="61" t="s">
        <v>4</v>
      </c>
      <c r="B14" s="61"/>
      <c r="C14" s="3" t="s">
        <v>533</v>
      </c>
      <c r="D14" s="61"/>
      <c r="E14" s="61"/>
    </row>
    <row r="15" spans="1:5">
      <c r="A15" s="61" t="s">
        <v>355</v>
      </c>
      <c r="B15" s="61"/>
      <c r="C15" s="3" t="s">
        <v>425</v>
      </c>
      <c r="D15" s="61"/>
      <c r="E15" s="61"/>
    </row>
    <row r="16" spans="1:5" ht="60">
      <c r="A16" s="61" t="s">
        <v>357</v>
      </c>
      <c r="B16" s="4" t="s">
        <v>358</v>
      </c>
      <c r="C16" s="3" t="s">
        <v>359</v>
      </c>
      <c r="D16" s="61"/>
      <c r="E16" s="61"/>
    </row>
    <row r="17" spans="1:5" ht="24">
      <c r="A17" s="61"/>
      <c r="B17" s="4" t="s">
        <v>360</v>
      </c>
      <c r="C17" s="3" t="s">
        <v>439</v>
      </c>
      <c r="D17" s="61"/>
      <c r="E17" s="61"/>
    </row>
    <row r="18" spans="1:5">
      <c r="A18" s="61"/>
      <c r="B18" s="4" t="s">
        <v>362</v>
      </c>
      <c r="C18" s="3" t="s">
        <v>363</v>
      </c>
      <c r="D18" s="61"/>
      <c r="E18" s="61"/>
    </row>
    <row r="19" spans="1:5" ht="24">
      <c r="A19" s="61"/>
      <c r="B19" s="4" t="s">
        <v>364</v>
      </c>
      <c r="C19" s="3" t="s">
        <v>365</v>
      </c>
      <c r="D19" s="61"/>
      <c r="E19" s="61"/>
    </row>
    <row r="20" spans="1:5" ht="24">
      <c r="A20" s="61"/>
      <c r="B20" s="4" t="s">
        <v>366</v>
      </c>
      <c r="C20" s="3" t="s">
        <v>367</v>
      </c>
      <c r="D20" s="61"/>
      <c r="E20" s="61"/>
    </row>
    <row r="21" spans="1:5" ht="24">
      <c r="A21" s="61" t="s">
        <v>368</v>
      </c>
      <c r="B21" s="61"/>
      <c r="C21" s="3" t="s">
        <v>534</v>
      </c>
      <c r="D21" s="61"/>
      <c r="E21" s="61"/>
    </row>
    <row r="22" spans="1:5">
      <c r="A22" s="61" t="s">
        <v>370</v>
      </c>
      <c r="B22" s="4" t="s">
        <v>371</v>
      </c>
      <c r="C22" s="3" t="s">
        <v>482</v>
      </c>
      <c r="D22" s="61"/>
      <c r="E22" s="61"/>
    </row>
    <row r="23" spans="1:5">
      <c r="A23" s="61"/>
      <c r="B23" s="4" t="s">
        <v>373</v>
      </c>
      <c r="C23" s="3" t="s">
        <v>454</v>
      </c>
      <c r="D23" s="61"/>
      <c r="E23" s="61"/>
    </row>
    <row r="24" spans="1:5">
      <c r="A24" s="61"/>
      <c r="B24" s="4" t="s">
        <v>375</v>
      </c>
      <c r="C24" s="3" t="s">
        <v>459</v>
      </c>
      <c r="D24" s="61"/>
      <c r="E24" s="61"/>
    </row>
    <row r="25" spans="1:5">
      <c r="A25" s="61"/>
      <c r="B25" s="4" t="s">
        <v>377</v>
      </c>
      <c r="C25" s="3" t="s">
        <v>433</v>
      </c>
      <c r="D25" s="61"/>
      <c r="E25" s="61"/>
    </row>
    <row r="26" spans="1:5">
      <c r="A26" s="61"/>
      <c r="B26" s="4" t="s">
        <v>379</v>
      </c>
      <c r="C26" s="3" t="s">
        <v>455</v>
      </c>
      <c r="D26" s="61"/>
      <c r="E26" s="61"/>
    </row>
    <row r="27" spans="1:5" ht="24">
      <c r="A27" s="61"/>
      <c r="B27" s="4" t="s">
        <v>381</v>
      </c>
      <c r="C27" s="3" t="s">
        <v>455</v>
      </c>
      <c r="D27" s="61"/>
      <c r="E27" s="61"/>
    </row>
    <row r="28" spans="1:5" ht="36">
      <c r="A28" s="61"/>
      <c r="B28" s="6" t="s">
        <v>383</v>
      </c>
      <c r="C28" s="3" t="s">
        <v>384</v>
      </c>
      <c r="D28" s="61"/>
      <c r="E28" s="61"/>
    </row>
    <row r="29" spans="1:5" ht="24">
      <c r="A29" s="61"/>
      <c r="B29" s="5" t="s">
        <v>385</v>
      </c>
      <c r="C29" s="3" t="s">
        <v>386</v>
      </c>
      <c r="D29" s="61"/>
      <c r="E29" s="61"/>
    </row>
    <row r="30" spans="1:5">
      <c r="A30" s="61"/>
      <c r="B30" s="4" t="s">
        <v>387</v>
      </c>
      <c r="C30" s="3" t="s">
        <v>388</v>
      </c>
      <c r="D30" s="61"/>
      <c r="E30" s="61"/>
    </row>
    <row r="31" spans="1:5" ht="24">
      <c r="A31" s="61"/>
      <c r="B31" s="4" t="s">
        <v>389</v>
      </c>
      <c r="C31" s="3" t="s">
        <v>483</v>
      </c>
      <c r="D31" s="61"/>
      <c r="E31" s="61"/>
    </row>
    <row r="32" spans="1:5" ht="36">
      <c r="A32" s="61"/>
      <c r="B32" s="4" t="s">
        <v>391</v>
      </c>
      <c r="C32" s="3" t="s">
        <v>468</v>
      </c>
      <c r="D32" s="61"/>
      <c r="E32" s="61"/>
    </row>
    <row r="33" spans="1:5" ht="36">
      <c r="A33" s="61"/>
      <c r="B33" s="4" t="s">
        <v>393</v>
      </c>
      <c r="C33" s="3" t="s">
        <v>469</v>
      </c>
      <c r="D33" s="61"/>
      <c r="E33" s="61"/>
    </row>
    <row r="34" spans="1:5" ht="36">
      <c r="A34" s="61" t="s">
        <v>395</v>
      </c>
      <c r="B34" s="61"/>
      <c r="C34" s="3" t="s">
        <v>396</v>
      </c>
      <c r="D34" s="61"/>
      <c r="E34" s="61"/>
    </row>
    <row r="35" spans="1:5">
      <c r="A35" s="61" t="s">
        <v>397</v>
      </c>
      <c r="B35" s="61"/>
      <c r="C35" s="3" t="s">
        <v>398</v>
      </c>
      <c r="D35" s="61"/>
      <c r="E35" s="61"/>
    </row>
    <row r="36" spans="1:5">
      <c r="A36" s="61" t="s">
        <v>399</v>
      </c>
      <c r="B36" s="61"/>
      <c r="C36" s="3" t="s">
        <v>400</v>
      </c>
      <c r="D36" s="61"/>
      <c r="E36" s="61"/>
    </row>
    <row r="37" spans="1:5">
      <c r="A37" s="61" t="s">
        <v>401</v>
      </c>
      <c r="B37" s="61"/>
      <c r="C37" s="3" t="s">
        <v>402</v>
      </c>
      <c r="D37" s="61"/>
      <c r="E37" s="61"/>
    </row>
    <row r="38" spans="1:5">
      <c r="A38" s="61" t="s">
        <v>403</v>
      </c>
      <c r="B38" s="61"/>
      <c r="C38" s="3" t="s">
        <v>488</v>
      </c>
      <c r="D38" s="61"/>
      <c r="E38" s="61"/>
    </row>
    <row r="39" spans="1:5">
      <c r="A39" s="61" t="s">
        <v>405</v>
      </c>
      <c r="B39" s="61"/>
      <c r="C39" s="3" t="s">
        <v>489</v>
      </c>
      <c r="D39" s="61"/>
      <c r="E39" s="61"/>
    </row>
    <row r="40" spans="1:5">
      <c r="A40" s="61" t="s">
        <v>407</v>
      </c>
      <c r="B40" s="61"/>
      <c r="C40" s="3" t="s">
        <v>408</v>
      </c>
      <c r="D40" s="61"/>
      <c r="E40" s="61"/>
    </row>
    <row r="41" spans="1:5" ht="24">
      <c r="A41" s="61" t="s">
        <v>409</v>
      </c>
      <c r="B41" s="61"/>
      <c r="C41" s="3" t="s">
        <v>410</v>
      </c>
      <c r="D41" s="61"/>
      <c r="E41" s="61"/>
    </row>
    <row r="42" spans="1:5" ht="24">
      <c r="A42" s="61" t="s">
        <v>411</v>
      </c>
      <c r="B42" s="61"/>
      <c r="C42" s="3" t="s">
        <v>412</v>
      </c>
      <c r="D42" s="61"/>
      <c r="E42" s="61"/>
    </row>
    <row r="43" spans="1:5" ht="24">
      <c r="A43" s="61" t="s">
        <v>413</v>
      </c>
      <c r="B43" s="61"/>
      <c r="C43" s="3" t="s">
        <v>414</v>
      </c>
      <c r="D43" s="61"/>
      <c r="E43" s="61"/>
    </row>
    <row r="44" spans="1:5">
      <c r="A44" s="7"/>
      <c r="B44" s="8"/>
      <c r="C44" s="8"/>
      <c r="D44" s="8"/>
      <c r="E44" s="9"/>
    </row>
    <row r="45" spans="1:5">
      <c r="A45" s="10" t="s">
        <v>415</v>
      </c>
      <c r="E45" s="11"/>
    </row>
    <row r="46" spans="1:5">
      <c r="A46" s="65" t="s">
        <v>416</v>
      </c>
      <c r="B46" s="66"/>
      <c r="C46" s="66"/>
      <c r="D46" s="66"/>
      <c r="E46" s="67"/>
    </row>
    <row r="47" spans="1:5">
      <c r="A47" s="65"/>
      <c r="B47" s="66"/>
      <c r="C47" s="66"/>
      <c r="D47" s="66"/>
      <c r="E47" s="67"/>
    </row>
    <row r="48" spans="1:5">
      <c r="A48" s="65" t="s">
        <v>417</v>
      </c>
      <c r="B48" s="66"/>
      <c r="C48" s="66"/>
      <c r="D48" s="66"/>
      <c r="E48" s="67"/>
    </row>
    <row r="49" spans="1:5" ht="11.45" customHeight="1">
      <c r="A49" s="65" t="s">
        <v>418</v>
      </c>
      <c r="B49" s="66"/>
      <c r="C49" s="66"/>
      <c r="D49" s="66"/>
      <c r="E49" s="67"/>
    </row>
    <row r="50" spans="1:5">
      <c r="A50" s="65"/>
      <c r="B50" s="66"/>
      <c r="C50" s="66"/>
      <c r="D50" s="66"/>
      <c r="E50" s="67"/>
    </row>
    <row r="51" spans="1:5" ht="11.45" customHeight="1">
      <c r="A51" s="65" t="s">
        <v>419</v>
      </c>
      <c r="B51" s="66"/>
      <c r="C51" s="66"/>
      <c r="D51" s="66"/>
      <c r="E51" s="67"/>
    </row>
    <row r="52" spans="1:5" ht="11.45" customHeight="1">
      <c r="A52" s="65" t="s">
        <v>420</v>
      </c>
      <c r="B52" s="66"/>
      <c r="C52" s="66"/>
      <c r="D52" s="66"/>
      <c r="E52" s="67"/>
    </row>
    <row r="53" spans="1:5">
      <c r="A53" s="62" t="s">
        <v>421</v>
      </c>
      <c r="B53" s="63"/>
      <c r="C53" s="63"/>
      <c r="D53" s="63"/>
      <c r="E53" s="64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4:B34"/>
    <mergeCell ref="D34:E34"/>
    <mergeCell ref="A37:B37"/>
    <mergeCell ref="D37:E37"/>
    <mergeCell ref="A38:B38"/>
    <mergeCell ref="D38:E38"/>
    <mergeCell ref="A39:B39"/>
    <mergeCell ref="D39:E39"/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</mergeCells>
  <conditionalFormatting sqref="B17">
    <cfRule type="duplicateValues" dxfId="6" priority="1"/>
  </conditionalFormatting>
  <conditionalFormatting sqref="B29">
    <cfRule type="duplicateValues" dxfId="5" priority="6"/>
  </conditionalFormatting>
  <conditionalFormatting sqref="B30">
    <cfRule type="duplicateValues" dxfId="4" priority="2"/>
  </conditionalFormatting>
  <conditionalFormatting sqref="B37">
    <cfRule type="duplicateValues" dxfId="3" priority="3"/>
  </conditionalFormatting>
  <conditionalFormatting sqref="B39">
    <cfRule type="duplicateValues" dxfId="2" priority="5"/>
  </conditionalFormatting>
  <conditionalFormatting sqref="B40">
    <cfRule type="duplicateValues" dxfId="1" priority="4"/>
  </conditionalFormatting>
  <conditionalFormatting sqref="B54:B1048576 B12:B16 B4:B10 B31:B36 B41:B45 B38 B18:B28">
    <cfRule type="duplicateValues" dxfId="0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Feroz Ahmad</dc:creator>
  <cp:keywords/>
  <dc:description/>
  <cp:lastModifiedBy>Aditi Tomar</cp:lastModifiedBy>
  <cp:revision/>
  <dcterms:created xsi:type="dcterms:W3CDTF">2015-06-05T18:17:20Z</dcterms:created>
  <dcterms:modified xsi:type="dcterms:W3CDTF">2026-01-27T12:58:07Z</dcterms:modified>
  <cp:category/>
  <cp:contentStatus/>
</cp:coreProperties>
</file>