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N:\Piping\Sonangol UM 6-7 FPSO\07. Piping Spec\03. Valve Material Specification\IFR\Native\"/>
    </mc:Choice>
  </mc:AlternateContent>
  <xr:revisionPtr revIDLastSave="0" documentId="13_ncr:1_{B307F3AE-C252-4BA3-9526-3849EDC154F8}" xr6:coauthVersionLast="47" xr6:coauthVersionMax="47" xr10:uidLastSave="{00000000-0000-0000-0000-000000000000}"/>
  <bookViews>
    <workbookView xWindow="-28920" yWindow="-120" windowWidth="29040" windowHeight="15720" tabRatio="714" xr2:uid="{00000000-000D-0000-FFFF-FFFF00000000}"/>
  </bookViews>
  <sheets>
    <sheet name="Index" sheetId="90" r:id="rId1"/>
    <sheet name="DSRE1JT" sheetId="29" r:id="rId2"/>
    <sheet name="DSRE1J" sheetId="30" r:id="rId3"/>
    <sheet name="DSRF1JT" sheetId="31" r:id="rId4"/>
    <sheet name="DSRF1J" sheetId="32" r:id="rId5"/>
    <sheet name="DSRG1JT" sheetId="33" r:id="rId6"/>
    <sheet name="DSRG1J" sheetId="34" r:id="rId7"/>
    <sheet name="DSRE1NJT" sheetId="35" r:id="rId8"/>
    <sheet name="DSRE1NJ" sheetId="36" r:id="rId9"/>
    <sheet name="DSRF1NJT" sheetId="37" r:id="rId10"/>
    <sheet name="DSRF1NJ" sheetId="38" r:id="rId11"/>
    <sheet name="DSRG1NJT" sheetId="39" r:id="rId12"/>
    <sheet name="DSRG1NJ" sheetId="40" r:id="rId13"/>
    <sheet name="DSRMG1NJ" sheetId="87" r:id="rId14"/>
    <sheet name="DSRE2NJT" sheetId="41" r:id="rId15"/>
    <sheet name="DSRE2NJ" sheetId="42" r:id="rId16"/>
    <sheet name="DSRF2NJT" sheetId="43" r:id="rId17"/>
    <sheet name="DSRF2NJ" sheetId="44" r:id="rId18"/>
    <sheet name="DSRG2NJT" sheetId="45" r:id="rId19"/>
    <sheet name="DSRG2NJ" sheetId="46" r:id="rId20"/>
    <sheet name="DSRE1LNJT" sheetId="47" r:id="rId21"/>
    <sheet name="DSRE1LNJ" sheetId="48" r:id="rId22"/>
    <sheet name="DSRF1LNJT" sheetId="49" r:id="rId23"/>
    <sheet name="DSRF1LNJ" sheetId="50" r:id="rId24"/>
    <sheet name="DSRG1LNJT" sheetId="51" r:id="rId25"/>
    <sheet name="DSRG1LNJ" sheetId="52" r:id="rId26"/>
    <sheet name="DSRMG1LNJ" sheetId="88" r:id="rId27"/>
    <sheet name="DSRE2LNJT" sheetId="53" r:id="rId28"/>
    <sheet name="DSRE2LNJ" sheetId="54" r:id="rId29"/>
    <sheet name="DSRF2LNJT" sheetId="55" r:id="rId30"/>
    <sheet name="DSRF2LNJ" sheetId="56" r:id="rId31"/>
    <sheet name="DSRG2LNJT" sheetId="57" r:id="rId32"/>
    <sheet name="DSRG2LNJ" sheetId="58" r:id="rId33"/>
    <sheet name="DSRE10JT" sheetId="59" r:id="rId34"/>
    <sheet name="DSRE10J" sheetId="60" r:id="rId35"/>
    <sheet name="DSRF10JT" sheetId="61" r:id="rId36"/>
    <sheet name="DSRF10J" sheetId="62" r:id="rId37"/>
    <sheet name="DSRG10JT" sheetId="63" r:id="rId38"/>
    <sheet name="DSRG10J" sheetId="64" r:id="rId39"/>
    <sheet name="DSRE10NJT" sheetId="65" r:id="rId40"/>
    <sheet name="DSRE10NJ" sheetId="66" r:id="rId41"/>
    <sheet name="DSRF10NJT" sheetId="67" r:id="rId42"/>
    <sheet name="DSRF10NJ" sheetId="68" r:id="rId43"/>
    <sheet name="DSRG10NJT" sheetId="69" r:id="rId44"/>
    <sheet name="DSRG10NJ" sheetId="70" r:id="rId45"/>
    <sheet name="DSRE20NJT" sheetId="71" r:id="rId46"/>
    <sheet name="DSRE20NJ" sheetId="72" r:id="rId47"/>
    <sheet name="DSRF20NJT" sheetId="73" r:id="rId48"/>
    <sheet name="DSRF20NJ" sheetId="74" r:id="rId49"/>
    <sheet name="DSRG20NJT" sheetId="75" r:id="rId50"/>
    <sheet name="DSRG20NJ" sheetId="76" r:id="rId51"/>
    <sheet name="DSRMG20NJ" sheetId="89" r:id="rId52"/>
    <sheet name="DSRE25NJT" sheetId="77" r:id="rId53"/>
    <sheet name="DSRE25NJ" sheetId="78" r:id="rId54"/>
    <sheet name="DSRF25NJT" sheetId="79" r:id="rId55"/>
    <sheet name="DSRF25NJ" sheetId="80" r:id="rId56"/>
    <sheet name="DSRG25NJT" sheetId="81" r:id="rId57"/>
    <sheet name="DSRG25NJ" sheetId="82" r:id="rId58"/>
    <sheet name="DSFT50AJT" sheetId="84" r:id="rId59"/>
    <sheet name="DSFT50BJT" sheetId="85" r:id="rId60"/>
    <sheet name="DSFT50CJT" sheetId="86" r:id="rId61"/>
  </sheets>
  <definedNames>
    <definedName name="_xlnm.Print_Area" localSheetId="0">Index!$A$1:$I$63</definedName>
    <definedName name="_xlnm.Print_Titles" localSheetId="0">Index!$1:$3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30" l="1"/>
  <c r="E2" i="31"/>
  <c r="E2" i="32"/>
  <c r="E2" i="33"/>
  <c r="E2" i="34"/>
  <c r="E2" i="35"/>
  <c r="E2" i="36"/>
  <c r="E2" i="37"/>
  <c r="E2" i="38"/>
  <c r="E2" i="39"/>
  <c r="E2" i="40"/>
  <c r="E2" i="87"/>
  <c r="E2" i="41"/>
  <c r="E2" i="42"/>
  <c r="E2" i="43"/>
  <c r="E2" i="44"/>
  <c r="E2" i="45"/>
  <c r="E2" i="46"/>
  <c r="E2" i="47"/>
  <c r="E2" i="48"/>
  <c r="E2" i="49"/>
  <c r="E2" i="50"/>
  <c r="E2" i="51"/>
  <c r="E2" i="52"/>
  <c r="E2" i="88"/>
  <c r="E2" i="53"/>
  <c r="E2" i="54"/>
  <c r="E2" i="55"/>
  <c r="E2" i="56"/>
  <c r="E2" i="57"/>
  <c r="E2" i="58"/>
  <c r="E2" i="59"/>
  <c r="E2" i="60"/>
  <c r="E2" i="61"/>
  <c r="E2" i="62"/>
  <c r="E2" i="63"/>
  <c r="E2" i="64"/>
  <c r="E2" i="65"/>
  <c r="E2" i="66"/>
  <c r="E2" i="67"/>
  <c r="E2" i="68"/>
  <c r="E2" i="69"/>
  <c r="E2" i="70"/>
  <c r="E2" i="71"/>
  <c r="E2" i="72"/>
  <c r="E2" i="73"/>
  <c r="E2" i="74"/>
  <c r="E2" i="75"/>
  <c r="E2" i="76"/>
  <c r="E2" i="89"/>
  <c r="E2" i="77"/>
  <c r="E2" i="78"/>
  <c r="E2" i="79"/>
  <c r="E2" i="80"/>
  <c r="E2" i="81"/>
  <c r="E2" i="82"/>
  <c r="E2" i="84"/>
  <c r="E2" i="85"/>
  <c r="E2" i="86"/>
  <c r="E2" i="29"/>
  <c r="C12" i="30"/>
  <c r="C12" i="31"/>
  <c r="C12" i="32"/>
  <c r="C12" i="33"/>
  <c r="C12" i="34"/>
  <c r="C12" i="35"/>
  <c r="C12" i="36"/>
  <c r="C12" i="37"/>
  <c r="C12" i="38"/>
  <c r="C12" i="39"/>
  <c r="C12" i="40"/>
  <c r="C12" i="87"/>
  <c r="C12" i="41"/>
  <c r="C12" i="42"/>
  <c r="C12" i="43"/>
  <c r="C12" i="44"/>
  <c r="C12" i="45"/>
  <c r="C12" i="46"/>
  <c r="C12" i="47"/>
  <c r="C12" i="48"/>
  <c r="C12" i="49"/>
  <c r="C12" i="50"/>
  <c r="C12" i="51"/>
  <c r="C12" i="52"/>
  <c r="C12" i="88"/>
  <c r="C12" i="53"/>
  <c r="C12" i="54"/>
  <c r="C12" i="55"/>
  <c r="C12" i="56"/>
  <c r="C12" i="57"/>
  <c r="C12" i="58"/>
  <c r="C12" i="59"/>
  <c r="C12" i="60"/>
  <c r="C12" i="61"/>
  <c r="C12" i="62"/>
  <c r="C12" i="63"/>
  <c r="C12" i="64"/>
  <c r="C12" i="65"/>
  <c r="C12" i="66"/>
  <c r="C12" i="67"/>
  <c r="C12" i="68"/>
  <c r="C12" i="69"/>
  <c r="C12" i="70"/>
  <c r="C12" i="71"/>
  <c r="C12" i="72"/>
  <c r="C12" i="73"/>
  <c r="C12" i="74"/>
  <c r="C12" i="75"/>
  <c r="C12" i="76"/>
  <c r="C12" i="89"/>
  <c r="C12" i="77"/>
  <c r="C12" i="78"/>
  <c r="C12" i="79"/>
  <c r="C12" i="80"/>
  <c r="C12" i="81"/>
  <c r="C12" i="82"/>
  <c r="C12" i="84"/>
  <c r="C12" i="85"/>
  <c r="C12" i="86"/>
  <c r="C12" i="29"/>
  <c r="C11" i="30"/>
  <c r="C11" i="31"/>
  <c r="C11" i="32"/>
  <c r="C11" i="33"/>
  <c r="C11" i="34"/>
  <c r="C11" i="35"/>
  <c r="C11" i="36"/>
  <c r="C11" i="37"/>
  <c r="C11" i="38"/>
  <c r="C11" i="39"/>
  <c r="C11" i="40"/>
  <c r="C11" i="87"/>
  <c r="C11" i="41"/>
  <c r="C11" i="42"/>
  <c r="C11" i="43"/>
  <c r="C11" i="44"/>
  <c r="C11" i="45"/>
  <c r="C11" i="46"/>
  <c r="C11" i="47"/>
  <c r="C11" i="48"/>
  <c r="C11" i="49"/>
  <c r="C11" i="50"/>
  <c r="C11" i="51"/>
  <c r="C11" i="52"/>
  <c r="C11" i="88"/>
  <c r="C11" i="53"/>
  <c r="C11" i="54"/>
  <c r="C11" i="55"/>
  <c r="C11" i="56"/>
  <c r="C11" i="57"/>
  <c r="C11" i="58"/>
  <c r="C11" i="59"/>
  <c r="C11" i="60"/>
  <c r="C11" i="61"/>
  <c r="C11" i="62"/>
  <c r="C11" i="63"/>
  <c r="C11" i="64"/>
  <c r="C11" i="65"/>
  <c r="C11" i="66"/>
  <c r="C11" i="67"/>
  <c r="C11" i="68"/>
  <c r="C11" i="69"/>
  <c r="C11" i="70"/>
  <c r="C11" i="71"/>
  <c r="C11" i="72"/>
  <c r="C11" i="73"/>
  <c r="C11" i="74"/>
  <c r="C11" i="75"/>
  <c r="C11" i="76"/>
  <c r="C11" i="89"/>
  <c r="C11" i="77"/>
  <c r="C11" i="78"/>
  <c r="C11" i="79"/>
  <c r="C11" i="80"/>
  <c r="C11" i="81"/>
  <c r="C11" i="82"/>
  <c r="C11" i="84"/>
  <c r="C11" i="85"/>
  <c r="C11" i="86"/>
  <c r="C11" i="29"/>
  <c r="C8" i="30"/>
  <c r="C8" i="31"/>
  <c r="C8" i="32"/>
  <c r="C8" i="33"/>
  <c r="C8" i="34"/>
  <c r="C8" i="35"/>
  <c r="C8" i="36"/>
  <c r="C8" i="37"/>
  <c r="C8" i="38"/>
  <c r="C8" i="39"/>
  <c r="C8" i="40"/>
  <c r="C8" i="87"/>
  <c r="C8" i="41"/>
  <c r="C8" i="42"/>
  <c r="C8" i="43"/>
  <c r="C8" i="44"/>
  <c r="C8" i="45"/>
  <c r="C8" i="46"/>
  <c r="C8" i="47"/>
  <c r="C8" i="48"/>
  <c r="C8" i="49"/>
  <c r="C8" i="50"/>
  <c r="C8" i="51"/>
  <c r="C8" i="52"/>
  <c r="C8" i="88"/>
  <c r="C8" i="53"/>
  <c r="C8" i="54"/>
  <c r="C8" i="55"/>
  <c r="C8" i="56"/>
  <c r="C8" i="57"/>
  <c r="C8" i="58"/>
  <c r="C8" i="59"/>
  <c r="C8" i="60"/>
  <c r="C8" i="61"/>
  <c r="C8" i="62"/>
  <c r="C8" i="63"/>
  <c r="C8" i="64"/>
  <c r="C8" i="65"/>
  <c r="C8" i="66"/>
  <c r="C8" i="67"/>
  <c r="C8" i="68"/>
  <c r="C8" i="69"/>
  <c r="C8" i="70"/>
  <c r="C8" i="71"/>
  <c r="C8" i="72"/>
  <c r="C8" i="73"/>
  <c r="C8" i="74"/>
  <c r="C8" i="75"/>
  <c r="C8" i="76"/>
  <c r="C8" i="89"/>
  <c r="C8" i="77"/>
  <c r="C8" i="78"/>
  <c r="C8" i="79"/>
  <c r="C8" i="80"/>
  <c r="C8" i="81"/>
  <c r="C8" i="82"/>
  <c r="C8" i="84"/>
  <c r="C8" i="85"/>
  <c r="C8" i="86"/>
  <c r="C8" i="29"/>
  <c r="E3" i="30"/>
  <c r="E3" i="31"/>
  <c r="E3" i="32"/>
  <c r="E3" i="33"/>
  <c r="E3" i="34"/>
  <c r="E3" i="35"/>
  <c r="E3" i="36"/>
  <c r="E3" i="37"/>
  <c r="E3" i="38"/>
  <c r="E3" i="39"/>
  <c r="E3" i="40"/>
  <c r="E3" i="87"/>
  <c r="E3" i="41"/>
  <c r="E3" i="42"/>
  <c r="E3" i="43"/>
  <c r="E3" i="44"/>
  <c r="E3" i="45"/>
  <c r="E3" i="46"/>
  <c r="E3" i="47"/>
  <c r="E3" i="48"/>
  <c r="E3" i="49"/>
  <c r="E3" i="50"/>
  <c r="E3" i="51"/>
  <c r="E3" i="52"/>
  <c r="E3" i="88"/>
  <c r="E3" i="53"/>
  <c r="E3" i="54"/>
  <c r="E3" i="55"/>
  <c r="E3" i="56"/>
  <c r="E3" i="57"/>
  <c r="E3" i="58"/>
  <c r="E3" i="59"/>
  <c r="E3" i="60"/>
  <c r="E3" i="61"/>
  <c r="E3" i="62"/>
  <c r="E3" i="63"/>
  <c r="E3" i="64"/>
  <c r="E3" i="65"/>
  <c r="E3" i="66"/>
  <c r="E3" i="67"/>
  <c r="E3" i="68"/>
  <c r="E3" i="69"/>
  <c r="E3" i="70"/>
  <c r="E3" i="71"/>
  <c r="E3" i="72"/>
  <c r="E3" i="73"/>
  <c r="E3" i="74"/>
  <c r="E3" i="75"/>
  <c r="E3" i="76"/>
  <c r="E3" i="89"/>
  <c r="E3" i="77"/>
  <c r="E3" i="78"/>
  <c r="E3" i="79"/>
  <c r="E3" i="80"/>
  <c r="E3" i="81"/>
  <c r="E3" i="82"/>
  <c r="E3" i="84"/>
  <c r="E3" i="85"/>
  <c r="E3" i="86"/>
  <c r="E3" i="29"/>
  <c r="W76" i="90"/>
  <c r="W75" i="90"/>
  <c r="W74" i="90"/>
  <c r="W73" i="90"/>
  <c r="W72" i="90"/>
  <c r="W71" i="90"/>
  <c r="W70" i="90"/>
  <c r="W69" i="90"/>
  <c r="W68" i="90"/>
  <c r="W67" i="90"/>
  <c r="W66" i="90"/>
  <c r="W65" i="90"/>
  <c r="W64" i="90"/>
  <c r="W63" i="90"/>
  <c r="W62" i="90"/>
  <c r="W61" i="90"/>
  <c r="W60" i="90"/>
  <c r="W59" i="90"/>
  <c r="W58" i="90"/>
  <c r="W57" i="90"/>
  <c r="W56" i="90"/>
  <c r="W55" i="90"/>
  <c r="W54" i="90"/>
  <c r="W53" i="90"/>
  <c r="W52" i="90"/>
  <c r="W51" i="90"/>
  <c r="W50" i="90"/>
  <c r="W49" i="90"/>
  <c r="W48" i="90"/>
  <c r="W47" i="90"/>
  <c r="W46" i="90"/>
  <c r="W45" i="90"/>
  <c r="W44" i="90"/>
  <c r="W43" i="90"/>
  <c r="W42" i="90"/>
  <c r="W41" i="90"/>
  <c r="W40" i="90"/>
  <c r="W39" i="90"/>
  <c r="W38" i="90"/>
  <c r="W37" i="90"/>
  <c r="W36" i="90"/>
  <c r="W35" i="90"/>
  <c r="W34" i="90"/>
  <c r="W33" i="90"/>
  <c r="W32" i="90"/>
  <c r="W31" i="90"/>
  <c r="W30" i="90"/>
  <c r="W29" i="90"/>
  <c r="W28" i="90"/>
  <c r="W27" i="90"/>
  <c r="W26" i="90"/>
  <c r="W25" i="90"/>
  <c r="W24" i="90"/>
  <c r="W23" i="90"/>
  <c r="W22" i="90"/>
  <c r="W21" i="90"/>
  <c r="W20" i="90"/>
  <c r="W19" i="90"/>
  <c r="W18" i="90"/>
  <c r="W17" i="90"/>
  <c r="W16" i="90"/>
  <c r="W15" i="90"/>
  <c r="W14" i="90"/>
  <c r="W13" i="90"/>
  <c r="W12" i="90"/>
  <c r="W11" i="90"/>
  <c r="W10" i="90"/>
  <c r="W9" i="90"/>
  <c r="W8" i="90"/>
  <c r="W7" i="90"/>
  <c r="W6" i="90"/>
  <c r="W5" i="90"/>
  <c r="W4" i="90"/>
  <c r="W3" i="90"/>
  <c r="E31" i="90"/>
  <c r="F63" i="90"/>
  <c r="E61" i="90"/>
  <c r="H12" i="90"/>
  <c r="H43" i="90"/>
  <c r="D51" i="90"/>
  <c r="G40" i="90"/>
  <c r="C22" i="90"/>
  <c r="G4" i="90"/>
  <c r="D49" i="90"/>
  <c r="G12" i="90"/>
  <c r="D58" i="90"/>
  <c r="E21" i="90"/>
  <c r="H45" i="90"/>
  <c r="H23" i="90"/>
  <c r="G31" i="90"/>
  <c r="D15" i="90"/>
  <c r="D42" i="90"/>
  <c r="H15" i="90"/>
  <c r="G52" i="90"/>
  <c r="F25" i="90"/>
  <c r="E44" i="90"/>
  <c r="F50" i="90"/>
  <c r="C29" i="90"/>
  <c r="E55" i="90"/>
  <c r="F15" i="90"/>
  <c r="E59" i="90"/>
  <c r="F10" i="90"/>
  <c r="D18" i="90"/>
  <c r="G22" i="90"/>
  <c r="H36" i="90"/>
  <c r="C21" i="90"/>
  <c r="D57" i="90"/>
  <c r="H50" i="90"/>
  <c r="H51" i="90"/>
  <c r="D24" i="90"/>
  <c r="G54" i="90"/>
  <c r="E6" i="90"/>
  <c r="D19" i="90"/>
  <c r="G6" i="90"/>
  <c r="D47" i="90"/>
  <c r="D26" i="90"/>
  <c r="D63" i="90"/>
  <c r="E27" i="90"/>
  <c r="H31" i="90"/>
  <c r="F47" i="90"/>
  <c r="F36" i="90"/>
  <c r="G27" i="90"/>
  <c r="F59" i="90"/>
  <c r="G44" i="90"/>
  <c r="G21" i="90"/>
  <c r="H14" i="90"/>
  <c r="D28" i="90"/>
  <c r="D52" i="90"/>
  <c r="G13" i="90"/>
  <c r="G33" i="90"/>
  <c r="F27" i="90"/>
  <c r="E29" i="90"/>
  <c r="E36" i="90"/>
  <c r="H46" i="90"/>
  <c r="F31" i="90"/>
  <c r="D34" i="90"/>
  <c r="C28" i="90"/>
  <c r="H47" i="90"/>
  <c r="H40" i="90"/>
  <c r="G9" i="90"/>
  <c r="F62" i="90"/>
  <c r="H20" i="90"/>
  <c r="D11" i="90"/>
  <c r="E22" i="90"/>
  <c r="G41" i="90"/>
  <c r="G24" i="90"/>
  <c r="G63" i="90"/>
  <c r="F53" i="90"/>
  <c r="F58" i="90"/>
  <c r="D7" i="90"/>
  <c r="F56" i="90"/>
  <c r="G48" i="90"/>
  <c r="F49" i="90"/>
  <c r="G45" i="90"/>
  <c r="D36" i="90"/>
  <c r="E51" i="90"/>
  <c r="E17" i="90"/>
  <c r="E43" i="90"/>
  <c r="D5" i="90"/>
  <c r="H30" i="90"/>
  <c r="G39" i="90"/>
  <c r="H19" i="90"/>
  <c r="C49" i="90"/>
  <c r="C11" i="90"/>
  <c r="C45" i="90"/>
  <c r="D17" i="90"/>
  <c r="C58" i="90"/>
  <c r="D44" i="90"/>
  <c r="E48" i="90"/>
  <c r="C19" i="90"/>
  <c r="C16" i="90"/>
  <c r="H26" i="90"/>
  <c r="H28" i="90"/>
  <c r="C4" i="90"/>
  <c r="G26" i="90"/>
  <c r="D59" i="90"/>
  <c r="D38" i="90"/>
  <c r="E20" i="90"/>
  <c r="G10" i="90"/>
  <c r="E24" i="90"/>
  <c r="G35" i="90"/>
  <c r="D14" i="90"/>
  <c r="E11" i="90"/>
  <c r="E60" i="90"/>
  <c r="C27" i="90"/>
  <c r="C52" i="90"/>
  <c r="E56" i="90"/>
  <c r="C57" i="90"/>
  <c r="D46" i="90"/>
  <c r="E42" i="90"/>
  <c r="F38" i="90"/>
  <c r="D6" i="90"/>
  <c r="D33" i="90"/>
  <c r="F8" i="90"/>
  <c r="D9" i="90"/>
  <c r="E33" i="90"/>
  <c r="F30" i="90"/>
  <c r="D31" i="90"/>
  <c r="C53" i="90"/>
  <c r="H32" i="90"/>
  <c r="H56" i="90"/>
  <c r="G55" i="90"/>
  <c r="C38" i="90"/>
  <c r="F23" i="90"/>
  <c r="D37" i="90"/>
  <c r="H21" i="90"/>
  <c r="H25" i="90"/>
  <c r="H22" i="90"/>
  <c r="F32" i="90"/>
  <c r="G62" i="90"/>
  <c r="G18" i="90"/>
  <c r="F17" i="90"/>
  <c r="E25" i="90"/>
  <c r="G15" i="90"/>
  <c r="E30" i="90"/>
  <c r="G16" i="90"/>
  <c r="D41" i="90"/>
  <c r="C34" i="90"/>
  <c r="D12" i="90"/>
  <c r="D13" i="90"/>
  <c r="E40" i="90"/>
  <c r="H44" i="90"/>
  <c r="G7" i="90"/>
  <c r="C5" i="90"/>
  <c r="F55" i="90"/>
  <c r="H29" i="90"/>
  <c r="G23" i="90"/>
  <c r="E4" i="90"/>
  <c r="F40" i="90"/>
  <c r="G28" i="90"/>
  <c r="C18" i="90"/>
  <c r="H60" i="90"/>
  <c r="F7" i="90"/>
  <c r="G50" i="90"/>
  <c r="G51" i="90"/>
  <c r="F51" i="90"/>
  <c r="H18" i="90"/>
  <c r="C12" i="90"/>
  <c r="G37" i="90"/>
  <c r="D10" i="90"/>
  <c r="C56" i="90"/>
  <c r="H7" i="90"/>
  <c r="C26" i="90"/>
  <c r="G60" i="90"/>
  <c r="C20" i="90"/>
  <c r="E57" i="90"/>
  <c r="H33" i="90"/>
  <c r="C41" i="90"/>
  <c r="E45" i="90"/>
  <c r="F6" i="90"/>
  <c r="C15" i="90"/>
  <c r="F22" i="90"/>
  <c r="C59" i="90"/>
  <c r="G38" i="90"/>
  <c r="G58" i="90"/>
  <c r="H58" i="90"/>
  <c r="D16" i="90"/>
  <c r="F13" i="90"/>
  <c r="G57" i="90"/>
  <c r="E38" i="90"/>
  <c r="D54" i="90"/>
  <c r="C62" i="90"/>
  <c r="D27" i="90"/>
  <c r="F33" i="90"/>
  <c r="H11" i="90"/>
  <c r="D30" i="90"/>
  <c r="H34" i="90"/>
  <c r="E63" i="90"/>
  <c r="E12" i="90"/>
  <c r="C6" i="90"/>
  <c r="C10" i="90"/>
  <c r="H9" i="90"/>
  <c r="C25" i="90"/>
  <c r="F37" i="90"/>
  <c r="F52" i="90"/>
  <c r="F24" i="90"/>
  <c r="C35" i="90"/>
  <c r="H49" i="90"/>
  <c r="C54" i="90"/>
  <c r="F39" i="90"/>
  <c r="H13" i="90"/>
  <c r="C42" i="90"/>
  <c r="F34" i="90"/>
  <c r="D39" i="90"/>
  <c r="E54" i="90"/>
  <c r="C33" i="90"/>
  <c r="C13" i="90"/>
  <c r="H48" i="90"/>
  <c r="E34" i="90"/>
  <c r="E28" i="90"/>
  <c r="F26" i="90"/>
  <c r="F12" i="90"/>
  <c r="C50" i="90"/>
  <c r="C48" i="90"/>
  <c r="D20" i="90"/>
  <c r="H53" i="90"/>
  <c r="G11" i="90"/>
  <c r="E7" i="90"/>
  <c r="F54" i="90"/>
  <c r="F60" i="90"/>
  <c r="H55" i="90"/>
  <c r="C46" i="90"/>
  <c r="C44" i="90"/>
  <c r="D48" i="90"/>
  <c r="H24" i="90"/>
  <c r="E16" i="90"/>
  <c r="C63" i="90"/>
  <c r="H37" i="90"/>
  <c r="C23" i="90"/>
  <c r="D23" i="90"/>
  <c r="F43" i="90"/>
  <c r="F44" i="90"/>
  <c r="H17" i="90"/>
  <c r="C8" i="90"/>
  <c r="E62" i="90"/>
  <c r="E53" i="90"/>
  <c r="C61" i="90"/>
  <c r="G42" i="90"/>
  <c r="E14" i="90"/>
  <c r="F29" i="90"/>
  <c r="H63" i="90"/>
  <c r="G5" i="90"/>
  <c r="F57" i="90"/>
  <c r="E10" i="90"/>
  <c r="F18" i="90"/>
  <c r="F21" i="90"/>
  <c r="E49" i="90"/>
  <c r="F4" i="90"/>
  <c r="D45" i="90"/>
  <c r="H54" i="90"/>
  <c r="H52" i="90"/>
  <c r="D50" i="90"/>
  <c r="D62" i="90"/>
  <c r="H41" i="90"/>
  <c r="E15" i="90"/>
  <c r="C60" i="90"/>
  <c r="G34" i="90"/>
  <c r="G49" i="90"/>
  <c r="D43" i="90"/>
  <c r="F48" i="90"/>
  <c r="F35" i="90"/>
  <c r="G32" i="90"/>
  <c r="C40" i="90"/>
  <c r="D29" i="90"/>
  <c r="F20" i="90"/>
  <c r="H6" i="90"/>
  <c r="G8" i="90"/>
  <c r="F28" i="90"/>
  <c r="F45" i="90"/>
  <c r="E26" i="90"/>
  <c r="E5" i="90"/>
  <c r="D61" i="90"/>
  <c r="E52" i="90"/>
  <c r="H62" i="90"/>
  <c r="C37" i="90"/>
  <c r="H4" i="90"/>
  <c r="H5" i="90"/>
  <c r="H38" i="90"/>
  <c r="D8" i="90"/>
  <c r="C7" i="90"/>
  <c r="F61" i="90"/>
  <c r="G19" i="90"/>
  <c r="F9" i="90"/>
  <c r="C51" i="90"/>
  <c r="D55" i="90"/>
  <c r="G47" i="90"/>
  <c r="H10" i="90"/>
  <c r="F5" i="90"/>
  <c r="G53" i="90"/>
  <c r="G25" i="90"/>
  <c r="C55" i="90"/>
  <c r="H27" i="90"/>
  <c r="E23" i="90"/>
  <c r="F14" i="90"/>
  <c r="H16" i="90"/>
  <c r="E18" i="90"/>
  <c r="H59" i="90"/>
  <c r="G14" i="90"/>
  <c r="E37" i="90"/>
  <c r="E41" i="90"/>
  <c r="G46" i="90"/>
  <c r="C31" i="90"/>
  <c r="F11" i="90"/>
  <c r="F41" i="90"/>
  <c r="E46" i="90"/>
  <c r="G61" i="90"/>
  <c r="E50" i="90"/>
  <c r="D60" i="90"/>
  <c r="E39" i="90"/>
  <c r="D35" i="90"/>
  <c r="D25" i="90"/>
  <c r="G43" i="90"/>
  <c r="G29" i="90"/>
  <c r="G36" i="90"/>
  <c r="C17" i="90"/>
  <c r="D22" i="90"/>
  <c r="E47" i="90"/>
  <c r="G17" i="90"/>
  <c r="G20" i="90"/>
  <c r="D53" i="90"/>
  <c r="E35" i="90"/>
  <c r="G30" i="90"/>
  <c r="E32" i="90"/>
  <c r="C47" i="90"/>
  <c r="F42" i="90"/>
  <c r="C30" i="90"/>
  <c r="C24" i="90"/>
  <c r="H57" i="90"/>
  <c r="E58" i="90"/>
  <c r="C32" i="90"/>
  <c r="D4" i="90"/>
  <c r="C39" i="90"/>
  <c r="E13" i="90"/>
  <c r="C14" i="90"/>
  <c r="E8" i="90"/>
  <c r="G56" i="90"/>
  <c r="C36" i="90"/>
  <c r="E9" i="90"/>
  <c r="G59" i="90"/>
  <c r="H61" i="90"/>
  <c r="F46" i="90"/>
  <c r="D32" i="90"/>
  <c r="F16" i="90"/>
  <c r="D40" i="90"/>
  <c r="H42" i="90"/>
  <c r="D56" i="90"/>
  <c r="F19" i="90"/>
  <c r="C9" i="90"/>
  <c r="C43" i="90"/>
  <c r="H39" i="90"/>
  <c r="D21" i="90"/>
  <c r="H35" i="90"/>
  <c r="E19" i="90"/>
  <c r="H8" i="90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<sst xmlns="http://schemas.openxmlformats.org/spreadsheetml/2006/main" count="6368" uniqueCount="410">
  <si>
    <t>ASTM A351 CF3M</t>
  </si>
  <si>
    <t>ASTM A182 F316L</t>
  </si>
  <si>
    <t>E1N</t>
  </si>
  <si>
    <t>F1N</t>
  </si>
  <si>
    <t>G1N</t>
  </si>
  <si>
    <t>E1</t>
  </si>
  <si>
    <t>E10</t>
  </si>
  <si>
    <t>E1LN</t>
  </si>
  <si>
    <t>F10</t>
  </si>
  <si>
    <t>F1LN</t>
  </si>
  <si>
    <t>G10</t>
  </si>
  <si>
    <t>G1LN</t>
  </si>
  <si>
    <t>F1</t>
  </si>
  <si>
    <t>Piping Class</t>
  </si>
  <si>
    <t>Size Range</t>
  </si>
  <si>
    <t>Valve type</t>
  </si>
  <si>
    <t>Service</t>
  </si>
  <si>
    <t>Valve Standard</t>
  </si>
  <si>
    <t>Pressure Class</t>
  </si>
  <si>
    <t>Corrosion Allowance</t>
  </si>
  <si>
    <t>Sour Service Requirements</t>
  </si>
  <si>
    <t>-</t>
  </si>
  <si>
    <t>End Connections</t>
  </si>
  <si>
    <t>Face to Face Dimension</t>
  </si>
  <si>
    <t>Construction</t>
  </si>
  <si>
    <t>Body</t>
  </si>
  <si>
    <t>Stem</t>
  </si>
  <si>
    <t>Anti-static, Anti blowout proof type</t>
  </si>
  <si>
    <t>Ball</t>
  </si>
  <si>
    <t>Locks</t>
  </si>
  <si>
    <t>Operation</t>
  </si>
  <si>
    <t xml:space="preserve">Material </t>
  </si>
  <si>
    <t>Gland Packing</t>
  </si>
  <si>
    <t>Inconel 750</t>
  </si>
  <si>
    <t>Gaskets</t>
  </si>
  <si>
    <t>Bolts</t>
  </si>
  <si>
    <t>Nuts</t>
  </si>
  <si>
    <t>Marking - Purchaser’s Specification</t>
  </si>
  <si>
    <t>Hard marked with Valve Type on a stainless steel label, attached using tamper resistant stainless steel fastener, and with Unique Valve Tag Number</t>
  </si>
  <si>
    <t>Marking – Manufacturer</t>
  </si>
  <si>
    <t>MSS-SP-25</t>
  </si>
  <si>
    <t>ASME B16.34, API 598</t>
  </si>
  <si>
    <t>Material Certification</t>
  </si>
  <si>
    <t>Pressure Retaining Parts EN 10204 3.2, Other parts EN 10204 3.1</t>
  </si>
  <si>
    <t>Fire Rating</t>
  </si>
  <si>
    <t>Finish</t>
  </si>
  <si>
    <t>Vendor Offer</t>
  </si>
  <si>
    <t>PEEK</t>
  </si>
  <si>
    <t>Note.</t>
  </si>
  <si>
    <t>ASME B16.34 Class 900</t>
  </si>
  <si>
    <t>ASME B16.34 Class 1500</t>
  </si>
  <si>
    <t>ASME B16.34 Class 2500</t>
  </si>
  <si>
    <t>Manufacturer Standard</t>
  </si>
  <si>
    <t>Seat</t>
  </si>
  <si>
    <t>1. This data sheet shall be completed and returned with the quotation. Failure to return the completed data sheet will deem the offer technically not acceptable.</t>
  </si>
  <si>
    <t>Spring</t>
  </si>
  <si>
    <t>ASTM A350 LF2</t>
  </si>
  <si>
    <t>2" - 24"</t>
  </si>
  <si>
    <t>Forged - ASTM A182 F53</t>
  </si>
  <si>
    <t xml:space="preserve">ASTM A352 LCC </t>
  </si>
  <si>
    <t>ASTM A105N</t>
  </si>
  <si>
    <t>VDS No</t>
  </si>
  <si>
    <t>Flanged ASME B16.5 RTJ X 1/2” NPT Female with plug (Bleed connection Size - ½”NPTF with plug)</t>
  </si>
  <si>
    <t>Flanged both ends, ASME B16.5 RTJ (Bleed connection ½”NPTF with plug)</t>
  </si>
  <si>
    <t>Trunnion mounted, Solid type, Reduced Bore</t>
  </si>
  <si>
    <t>1/2" - 2"</t>
  </si>
  <si>
    <t>ASME B16.34 / EEMUA 182</t>
  </si>
  <si>
    <t>3 mm</t>
  </si>
  <si>
    <t>6 mm</t>
  </si>
  <si>
    <t>NIL</t>
  </si>
  <si>
    <t>Soft Seated, Self-energised, Self-relieving, Emergency sealant injection system</t>
  </si>
  <si>
    <t>Valve lockable using padlock - Full Open, Fully Closed</t>
  </si>
  <si>
    <t>Integral one piece body (Non-cartridge style)</t>
  </si>
  <si>
    <t>ASTM A105N (1.5” and below), ASTM A216 WCB (2” &amp; Above)</t>
  </si>
  <si>
    <t>ASTM A 193 GR B7M, XYLAR 2 + XYLAN 1070</t>
  </si>
  <si>
    <t>ASTM A 194 GR 2HM, XYLAR 2 + XYLAN 1070</t>
  </si>
  <si>
    <r>
      <t>Body</t>
    </r>
    <r>
      <rPr>
        <sz val="9"/>
        <color theme="0"/>
        <rFont val="Arial"/>
        <family val="2"/>
      </rPr>
      <t xml:space="preserve"> Material</t>
    </r>
  </si>
  <si>
    <r>
      <t xml:space="preserve">Stem </t>
    </r>
    <r>
      <rPr>
        <sz val="9"/>
        <color theme="0"/>
        <rFont val="Arial"/>
        <family val="2"/>
      </rPr>
      <t>Material</t>
    </r>
  </si>
  <si>
    <r>
      <t xml:space="preserve">Trim </t>
    </r>
    <r>
      <rPr>
        <sz val="9"/>
        <color theme="0"/>
        <rFont val="Arial"/>
        <family val="2"/>
      </rPr>
      <t>Material</t>
    </r>
  </si>
  <si>
    <r>
      <t xml:space="preserve">Seat </t>
    </r>
    <r>
      <rPr>
        <sz val="9"/>
        <color theme="0"/>
        <rFont val="Arial"/>
        <family val="2"/>
      </rPr>
      <t>Material</t>
    </r>
  </si>
  <si>
    <r>
      <t xml:space="preserve">Gland </t>
    </r>
    <r>
      <rPr>
        <sz val="9"/>
        <color theme="0"/>
        <rFont val="Arial"/>
        <family val="2"/>
      </rPr>
      <t>Material</t>
    </r>
  </si>
  <si>
    <r>
      <t>Ball</t>
    </r>
    <r>
      <rPr>
        <sz val="9"/>
        <color theme="0"/>
        <rFont val="Arial"/>
        <family val="2"/>
      </rPr>
      <t xml:space="preserve"> Material</t>
    </r>
  </si>
  <si>
    <t>3. Hydrostatic shell test pressure shall be 1.5 times of Max. design pressure, and hydraulic seat test shall be 1.1 times of Max. design pressure for seats.</t>
  </si>
  <si>
    <t>NACE MR0175 /ISO 15156-1/2/3, SSC Region 3, Non-exposed, internal only</t>
  </si>
  <si>
    <t>Lever / Handwheel</t>
  </si>
  <si>
    <t>Solid ASTM A47 HDG/ ASTM A220 HDG/ SS316</t>
  </si>
  <si>
    <r>
      <t>Needle</t>
    </r>
    <r>
      <rPr>
        <sz val="9"/>
        <color theme="0"/>
        <rFont val="Arial"/>
        <family val="2"/>
      </rPr>
      <t xml:space="preserve"> Material</t>
    </r>
  </si>
  <si>
    <t>Forged - ASTM A182 F60</t>
  </si>
  <si>
    <t>Forged - ASTM A182-F316</t>
  </si>
  <si>
    <t>Forged - ASTM A182-F316L</t>
  </si>
  <si>
    <t>Forged - ASTM A182 F316L</t>
  </si>
  <si>
    <t>Forged - ASTM A182 F316</t>
  </si>
  <si>
    <t>6. Valve shall be in accordance with NACE MR0175 /ISO 15156-1/2/3.</t>
  </si>
  <si>
    <t xml:space="preserve">  </t>
  </si>
  <si>
    <t>SDSS - UNS S32750, Forged - ASTM A182 F53 (1.5” and below), Cast - ASTM A995 5A UNS J93404 (2” and above)</t>
  </si>
  <si>
    <t xml:space="preserve">Rev No : </t>
  </si>
  <si>
    <t xml:space="preserve">Doc. No : </t>
  </si>
  <si>
    <t>Page No.:</t>
  </si>
  <si>
    <t>DOUBLE BLOCK AND BLEED VALVE DATASHEET</t>
  </si>
  <si>
    <t>E2N</t>
  </si>
  <si>
    <t>F2N</t>
  </si>
  <si>
    <t>G2N</t>
  </si>
  <si>
    <t>DSS - UNS S32205,  Forged - ASTM A182 F60 (1.5” and below), Cast - A995 4A UNS J92205 (2” &amp; Above)</t>
  </si>
  <si>
    <t>Design Pressure</t>
  </si>
  <si>
    <t>Hydrotest Shell Test Pressure</t>
  </si>
  <si>
    <t>Hydrotest Closure Test Pressure</t>
  </si>
  <si>
    <t>Pneumatic LP Test Pressure</t>
  </si>
  <si>
    <t>As per API 598</t>
  </si>
  <si>
    <t>Leakage Rate</t>
  </si>
  <si>
    <t>Inspection – Testing</t>
  </si>
  <si>
    <t>Forged - ASTM A182 F6A CL 2</t>
  </si>
  <si>
    <t>Flexible graphite with Braided (Non asbestos, yarn reinforced with Inconel, corrosion inhibitor), Renewable</t>
  </si>
  <si>
    <t>Bi-Directional, Three piece bolted body</t>
  </si>
  <si>
    <t>API 607 / ISO 10497 (For Floating Ball Valve), API 6FA (For Trunnion Ball Valve)</t>
  </si>
  <si>
    <t>Double Block and Bleed Valve, Modular (Ball, Needle, Ball)</t>
  </si>
  <si>
    <t>4. Ball, Stem and Gland material shall be forged, Castings are not acceptable.</t>
  </si>
  <si>
    <t>5. All stud bolts and nuts shall be XYLAR 2 + XYLAN 1070 coated with minimum combined thickness of 50μm.</t>
  </si>
  <si>
    <t>Lever (Ball)/ T-Bar (Needle), with Position Indicator</t>
  </si>
  <si>
    <t>Lever for Ball (2”)/ T-Bar (Needle); Gear Operated for 3” and above, with Position Indicator</t>
  </si>
  <si>
    <t>Forged - ASTM A182 F316, Stellite Hard Tip</t>
  </si>
  <si>
    <t>Forged - ASTM A182 F316L, Stellite Hard Tip</t>
  </si>
  <si>
    <t>Forged - ASTM A182 F60, Stellite Hard Tip</t>
  </si>
  <si>
    <t>Forged - ASTM A182 F53, Stellite Hard Tip</t>
  </si>
  <si>
    <t>G1</t>
  </si>
  <si>
    <t>Glycol, FG, HC service</t>
  </si>
  <si>
    <t>Corrosive HC service</t>
  </si>
  <si>
    <t>Corrosive HC service (Low Temp)</t>
  </si>
  <si>
    <t>Gas Lift, Corrosive HC service (Low Temp)</t>
  </si>
  <si>
    <t>E2LN</t>
  </si>
  <si>
    <t>F2LN</t>
  </si>
  <si>
    <t>G2LN</t>
  </si>
  <si>
    <t>Glycol, Corrosive HC service</t>
  </si>
  <si>
    <t>E10N</t>
  </si>
  <si>
    <t>F10N</t>
  </si>
  <si>
    <t>G10N</t>
  </si>
  <si>
    <t>E20N</t>
  </si>
  <si>
    <t>F20N</t>
  </si>
  <si>
    <t>G20N</t>
  </si>
  <si>
    <t>E25N</t>
  </si>
  <si>
    <t>F25N</t>
  </si>
  <si>
    <t>G25N</t>
  </si>
  <si>
    <t>ASTM A 194 Gr. 2HM, XYLAR 2 + XYLAN 1070 coated with minimum combined thickness of 50μm</t>
  </si>
  <si>
    <t>ASME B 16.20, OCT ring of Soft Iron with Max. Hardness of 90 BHN, HDG</t>
  </si>
  <si>
    <t>ASTM A 194 Gr. 7ML, XYLAR 2 + XYLAN 1070 coated with minimum combined thickness of 50μm</t>
  </si>
  <si>
    <t>ASME B 16.20, OCT Ring of Soft Iron with Max. Hardness 90 BHN</t>
  </si>
  <si>
    <t>ASME B 16.20, OCT ring of SS316L with Max. Hardness of 160 BHN</t>
  </si>
  <si>
    <t>ASME B 16.20, OCT ring of UNS S 31803 with Max. Hardness of 22 HRC</t>
  </si>
  <si>
    <t>ASME B 16.20, OCT ring of UNS S 332750 with Max. Hardness of 22 HRC</t>
  </si>
  <si>
    <t>ASTM A 193 Gr. B7M, XYLAR 2 + XYLAN 1070 coated with minimum combined thickness of 50μm</t>
  </si>
  <si>
    <t>ASTM A 320 Gr. L7M, XYLAR 2 + XYLAN 1070 coated with minimum combined thickness of 50μm</t>
  </si>
  <si>
    <t>5.5 barg</t>
  </si>
  <si>
    <t>ASTM A105N (1.5” and below), ASTM A105N/ASTM A216 WCB (2” &amp; Above)</t>
  </si>
  <si>
    <t>DSRE1JT</t>
  </si>
  <si>
    <t>DSRE1J</t>
  </si>
  <si>
    <t>DSRF1JT</t>
  </si>
  <si>
    <t>DSRF1J</t>
  </si>
  <si>
    <t>DSRG1JT</t>
  </si>
  <si>
    <t>DSRG1J</t>
  </si>
  <si>
    <t>DSRE1NJT</t>
  </si>
  <si>
    <t>DSRE1NJ</t>
  </si>
  <si>
    <t>DSRF1NJT</t>
  </si>
  <si>
    <t>DSRF1NJ</t>
  </si>
  <si>
    <t>DSRG1NJT</t>
  </si>
  <si>
    <t>DSRG1NJ</t>
  </si>
  <si>
    <t>DSRE2NJT</t>
  </si>
  <si>
    <t>DSRE2NJ</t>
  </si>
  <si>
    <t>DSRF2NJT</t>
  </si>
  <si>
    <t>DSRF2NJ</t>
  </si>
  <si>
    <t>DSRG2NJT</t>
  </si>
  <si>
    <t>DSRG2NJ</t>
  </si>
  <si>
    <t>DSRE1LNJT</t>
  </si>
  <si>
    <t>DSRE1LNJ</t>
  </si>
  <si>
    <t>DSRF1LNJT</t>
  </si>
  <si>
    <t>DSRF1LNJ</t>
  </si>
  <si>
    <t>DSRG1LNJT</t>
  </si>
  <si>
    <t>DSRG1LNJ</t>
  </si>
  <si>
    <t>DSRE2LNJT</t>
  </si>
  <si>
    <t>DSRE2LNJ</t>
  </si>
  <si>
    <t>DSRF2LNJT</t>
  </si>
  <si>
    <t>DSRF2LNJ</t>
  </si>
  <si>
    <t>DSRG2LNJT</t>
  </si>
  <si>
    <t>DSRG2LNJ</t>
  </si>
  <si>
    <t>DSRE10JT</t>
  </si>
  <si>
    <t>DSRE10J</t>
  </si>
  <si>
    <t>DSRF10JT</t>
  </si>
  <si>
    <t>DSRF10J</t>
  </si>
  <si>
    <t>DSRG10JT</t>
  </si>
  <si>
    <t>DSRG10J</t>
  </si>
  <si>
    <t>DSRE10NJT</t>
  </si>
  <si>
    <t>DSRE10NJ</t>
  </si>
  <si>
    <t>DSRF10NJT</t>
  </si>
  <si>
    <t>DSRF10NJ</t>
  </si>
  <si>
    <t>DSRG10NJT</t>
  </si>
  <si>
    <t>DSRG10NJ</t>
  </si>
  <si>
    <t>DSRE20NJT</t>
  </si>
  <si>
    <t>DSRE20NJ</t>
  </si>
  <si>
    <t>DSRF20NJT</t>
  </si>
  <si>
    <t>DSRF20NJ</t>
  </si>
  <si>
    <t>DSRG20NJT</t>
  </si>
  <si>
    <t>DSRG20NJ</t>
  </si>
  <si>
    <t>DSRE25NJT</t>
  </si>
  <si>
    <t>DSRE25NJ</t>
  </si>
  <si>
    <t>DSRF25NJT</t>
  </si>
  <si>
    <t>DSRF25NJ</t>
  </si>
  <si>
    <t>DSRG25NJT</t>
  </si>
  <si>
    <t>DSRG25NJ</t>
  </si>
  <si>
    <t>646.35 barg</t>
  </si>
  <si>
    <t>473.99 barg</t>
  </si>
  <si>
    <t>387.9 barg</t>
  </si>
  <si>
    <t>284.46 barg</t>
  </si>
  <si>
    <t>232.65 barg</t>
  </si>
  <si>
    <t>170.61 barg</t>
  </si>
  <si>
    <t>517.05 barg</t>
  </si>
  <si>
    <t>379.17 barg</t>
  </si>
  <si>
    <t>310.2 barg</t>
  </si>
  <si>
    <t>227.48 barg</t>
  </si>
  <si>
    <t>186.15 barg</t>
  </si>
  <si>
    <t>136.51 barg</t>
  </si>
  <si>
    <t>638.25 barg</t>
  </si>
  <si>
    <t>468.05 barg</t>
  </si>
  <si>
    <t>382.95 barg</t>
  </si>
  <si>
    <t>280.83 barg</t>
  </si>
  <si>
    <t>229.8 barg</t>
  </si>
  <si>
    <t>168.52 barg</t>
  </si>
  <si>
    <t>ASTM A 453 Gr. 660</t>
  </si>
  <si>
    <t>Flanged ASME B16.5 RTJ/ Compact Flange / Hub Connector (As per PMS) X 1/2” NPT Female with plug (Bleed connection Size - ½”NPTF with plug)</t>
  </si>
  <si>
    <t>Flanged both ends, Flanged ASME B16.5 RTJ/ Compact Flange / Hub Connector (As per PMS) (Bleed connection ½”NPTF with plug)</t>
  </si>
  <si>
    <t>Sheet Index</t>
  </si>
  <si>
    <t>S. No</t>
  </si>
  <si>
    <t>VDS</t>
  </si>
  <si>
    <t>Trim Material</t>
  </si>
  <si>
    <t>Seat Material</t>
  </si>
  <si>
    <t>Page No</t>
  </si>
  <si>
    <t>DBB VALVE</t>
  </si>
  <si>
    <t>SL No.</t>
  </si>
  <si>
    <t>SPEC</t>
  </si>
  <si>
    <t>RATING</t>
  </si>
  <si>
    <t>ASME MATERIAL GROUP</t>
  </si>
  <si>
    <t>PIPE MATERIAL</t>
  </si>
  <si>
    <t>CORROSION ALLOWANCE</t>
  </si>
  <si>
    <t>SERVICE</t>
  </si>
  <si>
    <t>MaxPressure @ Min Temp (barg)</t>
  </si>
  <si>
    <t>MaxPressure @ Max Temp (barg)</t>
  </si>
  <si>
    <t>Sheet No.</t>
  </si>
  <si>
    <t>A1</t>
  </si>
  <si>
    <t>150#</t>
  </si>
  <si>
    <t>CS</t>
  </si>
  <si>
    <r>
      <t>Cooling Water, Diesel, Steam, WI, HC with low CO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and 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S, Fresh Water, Hydraulic, Nitrogen, Exhaust, Fuel Oil, Tank Air Vent</t>
    </r>
  </si>
  <si>
    <t>19.6 @ -29°C</t>
  </si>
  <si>
    <t>13.8 @ 200°C</t>
  </si>
  <si>
    <t>B1</t>
  </si>
  <si>
    <t>300#</t>
  </si>
  <si>
    <r>
      <t>Cooling Water, Diesel, WI, HC with low CO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and 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S, Steam, Hydraulic</t>
    </r>
  </si>
  <si>
    <t>51.1 @ -29°C</t>
  </si>
  <si>
    <t>43.8 @ 200°C</t>
  </si>
  <si>
    <t>D1</t>
  </si>
  <si>
    <t>600#</t>
  </si>
  <si>
    <t>102.1 @ -29°C</t>
  </si>
  <si>
    <t>87.6 @ 200°C</t>
  </si>
  <si>
    <t>900#</t>
  </si>
  <si>
    <r>
      <t>Diesel, WI, HC with low CO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and 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S, Steam, Hydraulic</t>
    </r>
  </si>
  <si>
    <t>153.2 @ -29°C</t>
  </si>
  <si>
    <t>131.4 @ 200°C</t>
  </si>
  <si>
    <t>1500#</t>
  </si>
  <si>
    <t>255.3 @ -29°C</t>
  </si>
  <si>
    <t>219 @ 200°C</t>
  </si>
  <si>
    <t>2500#</t>
  </si>
  <si>
    <t>HC with low CO2 and H2S, Steam, Hydraulic</t>
  </si>
  <si>
    <t>399.8 @ -29°C</t>
  </si>
  <si>
    <t>342.9 @ 200°C</t>
  </si>
  <si>
    <t>A1N</t>
  </si>
  <si>
    <t>CS NACE</t>
  </si>
  <si>
    <t>13.8 @ 250°C</t>
  </si>
  <si>
    <t>B1N</t>
  </si>
  <si>
    <t>43.8 @ 250°C</t>
  </si>
  <si>
    <t>D1N</t>
  </si>
  <si>
    <t>87.6 @ 250°C</t>
  </si>
  <si>
    <t>131.4 @ 250°C</t>
  </si>
  <si>
    <t>A2</t>
  </si>
  <si>
    <t>Crude Oil</t>
  </si>
  <si>
    <t>A2N</t>
  </si>
  <si>
    <t>B2N</t>
  </si>
  <si>
    <t>D2N</t>
  </si>
  <si>
    <t>A1LN</t>
  </si>
  <si>
    <t>LTCS NACE</t>
  </si>
  <si>
    <t>Flare, Corrosive HC service (Low Temp)</t>
  </si>
  <si>
    <t>19.6 @ -45°C</t>
  </si>
  <si>
    <t>B1LN</t>
  </si>
  <si>
    <t>51.1 @ -45°C</t>
  </si>
  <si>
    <t>D1LN</t>
  </si>
  <si>
    <t>102.1 @ -45°C</t>
  </si>
  <si>
    <t>153.2 @ -45°C</t>
  </si>
  <si>
    <t>255.3 @ -45°C</t>
  </si>
  <si>
    <t>A2LN</t>
  </si>
  <si>
    <t>B2LN</t>
  </si>
  <si>
    <t>D2LN</t>
  </si>
  <si>
    <t>A3</t>
  </si>
  <si>
    <t>CS GALV (Valve: SS)</t>
  </si>
  <si>
    <t>Utility Water</t>
  </si>
  <si>
    <t>19 @ -29°C</t>
  </si>
  <si>
    <t xml:space="preserve"> 16.2 @ 100°C</t>
  </si>
  <si>
    <t>A4</t>
  </si>
  <si>
    <t>1.5 mm</t>
  </si>
  <si>
    <t>Bilge, drain, sewage, produced water, C02 Gas</t>
  </si>
  <si>
    <t>B4</t>
  </si>
  <si>
    <t>D4</t>
  </si>
  <si>
    <t>A5</t>
  </si>
  <si>
    <t>CS GALV</t>
  </si>
  <si>
    <t>Chemical (penetration), Firewater (penetration), Seawater (penetration), Ballast, Inert Gas, COW/Tank Cleaning, Slop, Stripping, Seawater</t>
  </si>
  <si>
    <t>A6</t>
  </si>
  <si>
    <t>CS - Epoxy Lined</t>
  </si>
  <si>
    <t>Ballast, Inert Gas, COW/Tank Cleaning, Slop, Seawater, Firewater</t>
  </si>
  <si>
    <t>A3, A4, A5, A6, A10</t>
  </si>
  <si>
    <t>SS316L</t>
  </si>
  <si>
    <t>Air, Nitrogen, Lube oil, Chemical, Foam, hydraulic, IA, Diesel Fuel, UW, Bilge, Drain, Sewage, PW, CO2 Gas, Ballast, IG, COW/Tank Cleaning, Slop, Fire Water</t>
  </si>
  <si>
    <t>15.9 @ -100°C</t>
  </si>
  <si>
    <t>11.2 @ 200°C</t>
  </si>
  <si>
    <t>B10</t>
  </si>
  <si>
    <t>Air, Nitrogen, Lube oil, Chemical, Foam, Hydraulic, Instrument Air, Diesel Fuel</t>
  </si>
  <si>
    <t>41.4 @ -100°C</t>
  </si>
  <si>
    <t>29.2 @ 200°C</t>
  </si>
  <si>
    <t>D10</t>
  </si>
  <si>
    <t>Air, Nitrogen, Lube oil, Chemical, Hydraulic</t>
  </si>
  <si>
    <t>82.7 @ -100°C</t>
  </si>
  <si>
    <t>58.3 @ 200°C</t>
  </si>
  <si>
    <t>124.1 @ -100°C</t>
  </si>
  <si>
    <t>87.5 @ 200°C</t>
  </si>
  <si>
    <t>206.8 @ -100°C</t>
  </si>
  <si>
    <t>145.8 @ 200°C</t>
  </si>
  <si>
    <t>344.7 @ -100°C</t>
  </si>
  <si>
    <t>243 @ 200°C</t>
  </si>
  <si>
    <t>A10N</t>
  </si>
  <si>
    <t>SS316L NACE</t>
  </si>
  <si>
    <t>B10N</t>
  </si>
  <si>
    <t>D10N</t>
  </si>
  <si>
    <t>A20N</t>
  </si>
  <si>
    <t>DSS NACE</t>
  </si>
  <si>
    <t>20 @ -46°C</t>
  </si>
  <si>
    <t>B20N</t>
  </si>
  <si>
    <t>51.7 @ -46°C</t>
  </si>
  <si>
    <t>42.7 @ 200°C</t>
  </si>
  <si>
    <t>D20N</t>
  </si>
  <si>
    <t>103.4 @ -46°C</t>
  </si>
  <si>
    <t>85.3 @ 200°C</t>
  </si>
  <si>
    <t>155.1 @ -46°C</t>
  </si>
  <si>
    <t>128 @ 200°C</t>
  </si>
  <si>
    <t>258.6 @ -46°C</t>
  </si>
  <si>
    <t>213.3 @ 200°C</t>
  </si>
  <si>
    <t>430.9 @ -46°C</t>
  </si>
  <si>
    <t>355.4 @ 200°C</t>
  </si>
  <si>
    <t>A25</t>
  </si>
  <si>
    <t>SDSS</t>
  </si>
  <si>
    <t>Firewater, Raw Seawater and Topsides Seawater</t>
  </si>
  <si>
    <t>G25</t>
  </si>
  <si>
    <t>Topside Seawater and Water Injection</t>
  </si>
  <si>
    <t>A25N</t>
  </si>
  <si>
    <t>SDSS NACE</t>
  </si>
  <si>
    <t>B25N</t>
  </si>
  <si>
    <t>D25N</t>
  </si>
  <si>
    <t>A30, A40, A41, A42</t>
  </si>
  <si>
    <t>EEMUA 20 bar</t>
  </si>
  <si>
    <t>CuNi (Valve: NAB)</t>
  </si>
  <si>
    <t>Raw Sea Water, Fire Water, Hypochlorite, Sewage</t>
  </si>
  <si>
    <t>20 @ 0°C</t>
  </si>
  <si>
    <t>17.3 @ 100°C</t>
  </si>
  <si>
    <t>A31</t>
  </si>
  <si>
    <t>Copper</t>
  </si>
  <si>
    <t>Potable Water</t>
  </si>
  <si>
    <t>A40</t>
  </si>
  <si>
    <t>GRE (Valve: NAB)</t>
  </si>
  <si>
    <t>Raw Sea Water</t>
  </si>
  <si>
    <t>20 @ 90°C</t>
  </si>
  <si>
    <t>A41</t>
  </si>
  <si>
    <t>Hypochlorite</t>
  </si>
  <si>
    <t>16.32 @ 0°C</t>
  </si>
  <si>
    <t>16.32 @ 82°C</t>
  </si>
  <si>
    <t>A42</t>
  </si>
  <si>
    <t>CPVC (Valve: NAB)</t>
  </si>
  <si>
    <t>Sewage, Hypochlorite</t>
  </si>
  <si>
    <t>OD Tube Connection or NPT Female (Bleed connection Size - ½”NPTF with plug)</t>
  </si>
  <si>
    <t>DSFT50AJT</t>
  </si>
  <si>
    <t>Trunnion mounted, Solid type, Full Bore</t>
  </si>
  <si>
    <t>DSFT50BJT</t>
  </si>
  <si>
    <t>DSFT50CJT</t>
  </si>
  <si>
    <t>1/2" - 1 1/2"</t>
  </si>
  <si>
    <t>T50A, T60A</t>
  </si>
  <si>
    <t>SS 316 / 316L (Tubing)</t>
  </si>
  <si>
    <t>Chemical Injection (Except Hypochlorite)</t>
  </si>
  <si>
    <t>125 @ 0°C</t>
  </si>
  <si>
    <t>116 @ 60°C</t>
  </si>
  <si>
    <t>206 @ 0°C</t>
  </si>
  <si>
    <t>200 @ 60°C</t>
  </si>
  <si>
    <t>325 @ 0°C</t>
  </si>
  <si>
    <t>325 @ 60°C</t>
  </si>
  <si>
    <t>T60A</t>
  </si>
  <si>
    <t>6 MO Tubing</t>
  </si>
  <si>
    <t>T60B</t>
  </si>
  <si>
    <t>T60C</t>
  </si>
  <si>
    <t>T50B, T60B</t>
  </si>
  <si>
    <t>T50C, T60C</t>
  </si>
  <si>
    <t>DSRMG1NJ</t>
  </si>
  <si>
    <t>Metal Seated, Self-energised, Self-relieving, Emergency sealant injection system</t>
  </si>
  <si>
    <t>Metal seated, hard faced, Renewable</t>
  </si>
  <si>
    <t>DSRMG1LNJ</t>
  </si>
  <si>
    <t>DSRMG20NJ</t>
  </si>
  <si>
    <t>Rev</t>
  </si>
  <si>
    <t>50502-SPE-80000-PP-SP-0002</t>
  </si>
  <si>
    <t>General Specification for Paint and Protective Coating doc : 50502-SPE-80000-ME-SP-XXXX</t>
  </si>
  <si>
    <t>2. Data sheet shall be read in conjunction with Piping Material Specification, Doc No. 50502-SPE-80000-PP-SP-0001.</t>
  </si>
  <si>
    <t>C0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</si>
</sst>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9"/>
      <color theme="0"/>
      <name val="Arial"/>
      <family val="2"/>
    </font>
    <font>
      <sz val="10"/>
      <name val="Arial"/>
      <family val="2"/>
    </font>
    <font>
      <b/>
      <sz val="14"/>
      <color indexed="8"/>
      <name val="Arial"/>
      <family val="2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u/>
      <sz val="11"/>
      <name val="Calibri"/>
      <family val="2"/>
      <scheme val="minor"/>
    </font>
    <font>
      <b/>
      <sz val="16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7" fillId="0" borderId="0"/>
    <xf numFmtId="0" fontId="9" fillId="0" borderId="0" applyNumberFormat="0" applyFill="0" applyBorder="0" applyAlignment="0" applyProtection="0"/>
  </cellStyleXfs>
  <cellXfs count="85">
    <xf numFmtId="0" fontId="0" fillId="0" borderId="0" xfId="0"/>
    <xf numFmtId="0" fontId="4" fillId="0" borderId="0" xfId="0" applyFont="1"/>
    <xf numFmtId="0" fontId="2" fillId="0" borderId="1" xfId="0" applyFont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left" vertical="center" wrapText="1" indent="1"/>
      <protection locked="0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3" fillId="0" borderId="1" xfId="0" applyFont="1" applyBorder="1" applyAlignment="1" applyProtection="1">
      <alignment horizontal="left" vertical="top" wrapText="1" indent="1"/>
      <protection locked="0"/>
    </xf>
    <xf numFmtId="0" fontId="5" fillId="0" borderId="1" xfId="0" applyFont="1" applyBorder="1" applyAlignment="1" applyProtection="1">
      <alignment horizontal="left" vertical="top" wrapText="1"/>
      <protection locked="0"/>
    </xf>
    <xf numFmtId="0" fontId="4" fillId="0" borderId="2" xfId="0" applyFont="1" applyBorder="1"/>
    <xf numFmtId="0" fontId="4" fillId="0" borderId="14" xfId="0" applyFont="1" applyBorder="1"/>
    <xf numFmtId="0" fontId="4" fillId="0" borderId="3" xfId="0" applyFont="1" applyBorder="1"/>
    <xf numFmtId="0" fontId="4" fillId="0" borderId="11" xfId="0" applyFont="1" applyBorder="1"/>
    <xf numFmtId="0" fontId="4" fillId="0" borderId="12" xfId="0" applyFont="1" applyBorder="1"/>
    <xf numFmtId="0" fontId="3" fillId="0" borderId="6" xfId="0" applyFont="1" applyBorder="1" applyAlignment="1" applyProtection="1">
      <alignment horizontal="left" vertical="top" wrapText="1" indent="1"/>
      <protection locked="0"/>
    </xf>
    <xf numFmtId="0" fontId="3" fillId="0" borderId="1" xfId="0" applyFont="1" applyBorder="1" applyAlignment="1" applyProtection="1">
      <alignment horizontal="left" vertical="top" wrapText="1"/>
      <protection locked="0"/>
    </xf>
    <xf numFmtId="0" fontId="1" fillId="0" borderId="1" xfId="0" applyFont="1" applyBorder="1" applyAlignment="1">
      <alignment horizontal="left" vertical="center" wrapText="1"/>
    </xf>
    <xf numFmtId="0" fontId="4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" xfId="0" quotePrefix="1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 wrapText="1"/>
    </xf>
    <xf numFmtId="0" fontId="11" fillId="0" borderId="18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1" fillId="0" borderId="19" xfId="0" applyFont="1" applyBorder="1" applyAlignment="1">
      <alignment horizontal="center" vertical="center"/>
    </xf>
    <xf numFmtId="0" fontId="13" fillId="0" borderId="18" xfId="2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3" fillId="0" borderId="24" xfId="2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/>
    </xf>
    <xf numFmtId="0" fontId="14" fillId="0" borderId="15" xfId="0" applyFont="1" applyBorder="1" applyAlignment="1">
      <alignment vertical="center"/>
    </xf>
    <xf numFmtId="0" fontId="14" fillId="0" borderId="16" xfId="0" applyFont="1" applyBorder="1" applyAlignment="1">
      <alignment vertical="center"/>
    </xf>
    <xf numFmtId="0" fontId="14" fillId="0" borderId="17" xfId="0" applyFont="1" applyBorder="1" applyAlignment="1">
      <alignment vertical="center"/>
    </xf>
    <xf numFmtId="0" fontId="10" fillId="0" borderId="29" xfId="0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shrinkToFit="1"/>
    </xf>
    <xf numFmtId="0" fontId="11" fillId="0" borderId="1" xfId="0" quotePrefix="1" applyFont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26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1" fillId="0" borderId="27" xfId="0" applyFont="1" applyBorder="1" applyAlignment="1">
      <alignment vertical="center"/>
    </xf>
    <xf numFmtId="0" fontId="11" fillId="0" borderId="28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1" fillId="0" borderId="33" xfId="0" applyFont="1" applyBorder="1" applyAlignment="1">
      <alignment vertical="center"/>
    </xf>
    <xf numFmtId="0" fontId="11" fillId="0" borderId="34" xfId="0" applyFont="1" applyBorder="1" applyAlignment="1">
      <alignment horizontal="center" vertical="center"/>
    </xf>
    <xf numFmtId="0" fontId="4" fillId="0" borderId="4" xfId="0" applyFont="1" applyBorder="1" applyAlignment="1">
      <alignment horizontal="left"/>
    </xf>
    <xf numFmtId="0" fontId="4" fillId="0" borderId="10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3" fillId="0" borderId="6" xfId="0" applyFont="1" applyBorder="1" applyAlignment="1" applyProtection="1">
      <alignment horizontal="left" vertical="top" wrapText="1"/>
      <protection locked="0"/>
    </xf>
    <xf numFmtId="0" fontId="4" fillId="0" borderId="11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2" xfId="0" applyFont="1" applyBorder="1" applyAlignment="1">
      <alignment horizontal="left" vertical="top" wrapText="1"/>
    </xf>
    <xf numFmtId="0" fontId="4" fillId="0" borderId="11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4" fillId="0" borderId="12" xfId="0" applyFont="1" applyBorder="1" applyAlignment="1">
      <alignment horizontal="left"/>
    </xf>
    <xf numFmtId="0" fontId="3" fillId="0" borderId="8" xfId="0" applyFont="1" applyBorder="1" applyAlignment="1" applyProtection="1">
      <alignment horizontal="left" vertical="center" wrapText="1"/>
      <protection locked="0"/>
    </xf>
    <xf numFmtId="0" fontId="3" fillId="0" borderId="9" xfId="0" applyFont="1" applyBorder="1" applyAlignment="1" applyProtection="1">
      <alignment horizontal="left" vertical="center" wrapText="1"/>
      <protection locked="0"/>
    </xf>
    <xf numFmtId="0" fontId="3" fillId="0" borderId="1" xfId="0" applyFont="1" applyBorder="1" applyAlignment="1" applyProtection="1">
      <alignment horizontal="left" vertical="top" wrapText="1"/>
      <protection locked="0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3" fillId="0" borderId="2" xfId="0" applyFont="1" applyBorder="1" applyAlignment="1" applyProtection="1">
      <alignment horizontal="left" vertical="top" wrapText="1"/>
      <protection locked="0"/>
    </xf>
    <xf numFmtId="0" fontId="3" fillId="0" borderId="3" xfId="0" applyFont="1" applyBorder="1" applyAlignment="1" applyProtection="1">
      <alignment horizontal="left" vertical="top" wrapText="1"/>
      <protection locked="0"/>
    </xf>
    <xf numFmtId="0" fontId="3" fillId="0" borderId="2" xfId="0" applyFont="1" applyBorder="1" applyAlignment="1" applyProtection="1">
      <alignment horizontal="left" vertical="center" wrapText="1"/>
      <protection locked="0"/>
    </xf>
    <xf numFmtId="0" fontId="3" fillId="0" borderId="3" xfId="0" applyFont="1" applyBorder="1" applyAlignment="1" applyProtection="1">
      <alignment horizontal="left" vertical="center" wrapText="1"/>
      <protection locked="0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  <protection locked="0"/>
    </xf>
  </cellXfs>
  <cellStyles count="3">
    <cellStyle name="Hyperlink" xfId="2" builtinId="8"/>
    <cellStyle name="Normal" xfId="0" builtinId="0"/>
    <cellStyle name="Normal 2 2" xfId="1" xr:uid="{5AF5B683-F745-4AA8-B0F4-A1AB6FF701B5}"/>
  </cellStyles>
  <dxfs count="48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C0D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styles" Target="styles.xml"/><Relationship Id="rId68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22/10/relationships/richValueRel" Target="richData/richValueRel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69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17/06/relationships/rdRichValue" Target="richData/rdrichvalue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31235-0C95-46D1-9F7C-A1A979F8172E}">
  <sheetPr codeName="Sheet1">
    <pageSetUpPr fitToPage="1"/>
  </sheetPr>
  <dimension ref="A1:W76"/>
  <sheetViews>
    <sheetView tabSelected="1" view="pageBreakPreview" topLeftCell="E1" zoomScaleNormal="100" zoomScaleSheetLayoutView="100" workbookViewId="0">
      <selection activeCell="J5" sqref="J5:J63"/>
    </sheetView>
  </sheetViews>
  <sheetFormatPr defaultColWidth="8.85546875" defaultRowHeight="15" x14ac:dyDescent="0.25"/>
  <cols>
    <col min="1" max="1" width="8.85546875" style="25"/>
    <col min="2" max="2" width="16.5703125" style="25" bestFit="1" customWidth="1"/>
    <col min="3" max="3" width="15" style="48" bestFit="1" customWidth="1"/>
    <col min="4" max="4" width="59.5703125" style="48" bestFit="1" customWidth="1"/>
    <col min="5" max="5" width="76.5703125" style="48" customWidth="1"/>
    <col min="6" max="6" width="28.28515625" style="48" bestFit="1" customWidth="1"/>
    <col min="7" max="7" width="37.28515625" style="48" bestFit="1" customWidth="1"/>
    <col min="8" max="8" width="17.140625" style="48" bestFit="1" customWidth="1"/>
    <col min="9" max="9" width="12.28515625" style="25" bestFit="1" customWidth="1"/>
    <col min="10" max="10" width="8.85546875" style="48"/>
    <col min="11" max="11" width="13" style="25" bestFit="1" customWidth="1"/>
    <col min="12" max="12" width="8.85546875" style="25"/>
    <col min="13" max="13" width="9" style="25" bestFit="1" customWidth="1"/>
    <col min="14" max="14" width="20" style="25" bestFit="1" customWidth="1"/>
    <col min="15" max="15" width="12.7109375" style="25" bestFit="1" customWidth="1"/>
    <col min="16" max="16" width="22.28515625" style="25" bestFit="1" customWidth="1"/>
    <col min="17" max="17" width="17.85546875" style="25" bestFit="1" customWidth="1"/>
    <col min="18" max="18" width="23.28515625" style="25" bestFit="1" customWidth="1"/>
    <col min="19" max="19" width="160.42578125" style="26" customWidth="1"/>
    <col min="20" max="20" width="29" style="25" bestFit="1" customWidth="1"/>
    <col min="21" max="21" width="29.28515625" style="25" bestFit="1" customWidth="1"/>
    <col min="22" max="22" width="9.42578125" style="25" customWidth="1"/>
    <col min="23" max="23" width="30.42578125" bestFit="1" customWidth="1"/>
    <col min="24" max="16384" width="8.85546875" style="48"/>
  </cols>
  <sheetData>
    <row r="1" spans="1:23" ht="21.75" thickBot="1" x14ac:dyDescent="0.3">
      <c r="A1" s="19" t="s">
        <v>228</v>
      </c>
      <c r="B1" s="20" t="s">
        <v>229</v>
      </c>
      <c r="C1" s="20" t="s">
        <v>14</v>
      </c>
      <c r="D1" s="20" t="s">
        <v>15</v>
      </c>
      <c r="E1" s="23" t="s">
        <v>22</v>
      </c>
      <c r="F1" s="20" t="s">
        <v>230</v>
      </c>
      <c r="G1" s="20" t="s">
        <v>231</v>
      </c>
      <c r="H1" s="20" t="s">
        <v>13</v>
      </c>
      <c r="I1" s="21" t="s">
        <v>232</v>
      </c>
      <c r="J1" s="48" t="s">
        <v>405</v>
      </c>
      <c r="K1" s="25" t="s">
        <v>229</v>
      </c>
      <c r="M1" s="40"/>
      <c r="N1" s="41"/>
      <c r="O1" s="41"/>
      <c r="P1" s="41"/>
      <c r="Q1" s="41"/>
      <c r="R1" s="41"/>
      <c r="S1" s="41"/>
      <c r="T1" s="41"/>
      <c r="U1" s="41"/>
      <c r="V1" s="42"/>
    </row>
    <row r="2" spans="1:23" ht="30.75" thickBot="1" x14ac:dyDescent="0.3">
      <c r="A2" s="49"/>
      <c r="B2" s="50" t="s">
        <v>233</v>
      </c>
      <c r="C2" s="51"/>
      <c r="D2" s="51"/>
      <c r="E2" s="51"/>
      <c r="F2" s="51"/>
      <c r="G2" s="51"/>
      <c r="H2" s="51"/>
      <c r="I2" s="52"/>
      <c r="K2" s="25" t="s">
        <v>233</v>
      </c>
      <c r="M2" s="43" t="s">
        <v>234</v>
      </c>
      <c r="N2" s="44" t="s">
        <v>235</v>
      </c>
      <c r="O2" s="44" t="s">
        <v>236</v>
      </c>
      <c r="P2" s="44" t="s">
        <v>237</v>
      </c>
      <c r="Q2" s="44" t="s">
        <v>238</v>
      </c>
      <c r="R2" s="44" t="s">
        <v>239</v>
      </c>
      <c r="S2" s="44" t="s">
        <v>240</v>
      </c>
      <c r="T2" s="44" t="s">
        <v>241</v>
      </c>
      <c r="U2" s="44" t="s">
        <v>242</v>
      </c>
      <c r="V2" s="45" t="s">
        <v>243</v>
      </c>
    </row>
    <row r="3" spans="1:23" ht="18.75" thickBot="1" x14ac:dyDescent="0.3">
      <c r="A3" s="53"/>
      <c r="B3" s="54" t="s">
        <v>227</v>
      </c>
      <c r="C3" s="55"/>
      <c r="D3" s="55"/>
      <c r="E3" s="55"/>
      <c r="F3" s="55"/>
      <c r="G3" s="55"/>
      <c r="H3" s="55"/>
      <c r="I3" s="56"/>
      <c r="K3" s="25" t="s">
        <v>227</v>
      </c>
      <c r="M3" s="30">
        <v>1</v>
      </c>
      <c r="N3" s="22" t="s">
        <v>244</v>
      </c>
      <c r="O3" s="22" t="s">
        <v>245</v>
      </c>
      <c r="P3" s="22">
        <v>1.1000000000000001</v>
      </c>
      <c r="Q3" s="22" t="s">
        <v>246</v>
      </c>
      <c r="R3" s="22" t="s">
        <v>67</v>
      </c>
      <c r="S3" s="24" t="s">
        <v>247</v>
      </c>
      <c r="T3" s="22" t="s">
        <v>248</v>
      </c>
      <c r="U3" s="22" t="s">
        <v>249</v>
      </c>
      <c r="V3" s="32">
        <v>23</v>
      </c>
      <c r="W3" t="str">
        <f>T3&amp;"' "&amp;U3</f>
        <v>19.6 @ -29°C' 13.8 @ 200°C</v>
      </c>
    </row>
    <row r="4" spans="1:23" ht="30" x14ac:dyDescent="0.25">
      <c r="A4" s="30">
        <v>1</v>
      </c>
      <c r="B4" s="31" t="s">
        <v>152</v>
      </c>
      <c r="C4" s="22" t="str">
        <f ca="1">VLOOKUP($C$1,INDIRECT(""&amp;B4&amp;"!$A$5:$C$15"),3,FALSE)</f>
        <v>1/2" - 2"</v>
      </c>
      <c r="D4" s="22" t="str">
        <f ca="1">VLOOKUP($D$1,INDIRECT(""&amp;B4&amp;"!$A$5:$C$15"),3,FALSE)</f>
        <v>Double Block and Bleed Valve, Modular (Ball, Needle, Ball)</v>
      </c>
      <c r="E4" s="24" t="str">
        <f ca="1">VLOOKUP($E$1,INDIRECT(""&amp;B4&amp;"!$A$5:$C$15"),3,FALSE)</f>
        <v>Flanged ASME B16.5 RTJ X 1/2” NPT Female with plug (Bleed connection Size - ½”NPTF with plug)</v>
      </c>
      <c r="F4" s="22" t="str">
        <f ca="1">VLOOKUP($F$1,INDIRECT(""&amp;B4&amp;"!$B$5:$C$35"),2,FALSE)</f>
        <v>Forged - ASTM A182 F316</v>
      </c>
      <c r="G4" s="22" t="str">
        <f ca="1">VLOOKUP($G$1,INDIRECT(""&amp;B4&amp;"!$B$5:$C$35"),2,FALSE)</f>
        <v>PEEK</v>
      </c>
      <c r="H4" s="22" t="str">
        <f ca="1">VLOOKUP($H$1,INDIRECT(""&amp;B4&amp;"!$A$5:$C$15"),3,FALSE)</f>
        <v>E1</v>
      </c>
      <c r="I4" s="32">
        <v>441</v>
      </c>
      <c r="J4" s="48" t="s">
        <v>409</v>
      </c>
      <c r="K4" s="25" t="s">
        <v>152</v>
      </c>
      <c r="M4" s="33">
        <v>2</v>
      </c>
      <c r="N4" s="27" t="s">
        <v>250</v>
      </c>
      <c r="O4" s="27" t="s">
        <v>251</v>
      </c>
      <c r="P4" s="27">
        <v>1.1000000000000001</v>
      </c>
      <c r="Q4" s="27" t="s">
        <v>246</v>
      </c>
      <c r="R4" s="27" t="s">
        <v>67</v>
      </c>
      <c r="S4" s="29" t="s">
        <v>252</v>
      </c>
      <c r="T4" s="27" t="s">
        <v>253</v>
      </c>
      <c r="U4" s="27" t="s">
        <v>254</v>
      </c>
      <c r="V4" s="34">
        <v>24</v>
      </c>
      <c r="W4" t="str">
        <f t="shared" ref="W4:W67" si="0">T4&amp;"' "&amp;U4</f>
        <v>51.1 @ -29°C' 43.8 @ 200°C</v>
      </c>
    </row>
    <row r="5" spans="1:23" ht="18" x14ac:dyDescent="0.25">
      <c r="A5" s="33">
        <v>2</v>
      </c>
      <c r="B5" s="28" t="s">
        <v>153</v>
      </c>
      <c r="C5" s="27" t="str">
        <f t="shared" ref="C5:C63" ca="1" si="1">VLOOKUP($C$1,INDIRECT(""&amp;B5&amp;"!$A$5:$C$15"),3,FALSE)</f>
        <v>2" - 24"</v>
      </c>
      <c r="D5" s="27" t="str">
        <f t="shared" ref="D5:D63" ca="1" si="2">VLOOKUP($D$1,INDIRECT(""&amp;B5&amp;"!$A$5:$C$15"),3,FALSE)</f>
        <v>Double Block and Bleed Valve, Modular (Ball, Needle, Ball)</v>
      </c>
      <c r="E5" s="29" t="str">
        <f t="shared" ref="E5:E63" ca="1" si="3">VLOOKUP($E$1,INDIRECT(""&amp;B5&amp;"!$A$5:$C$15"),3,FALSE)</f>
        <v>Flanged both ends, ASME B16.5 RTJ (Bleed connection ½”NPTF with plug)</v>
      </c>
      <c r="F5" s="27" t="str">
        <f t="shared" ref="F5:F63" ca="1" si="4">VLOOKUP($F$1,INDIRECT(""&amp;B5&amp;"!$B$5:$C$35"),2,FALSE)</f>
        <v>Forged - ASTM A182 F316</v>
      </c>
      <c r="G5" s="27" t="str">
        <f t="shared" ref="G5:G63" ca="1" si="5">VLOOKUP($G$1,INDIRECT(""&amp;B5&amp;"!$B$5:$C$35"),2,FALSE)</f>
        <v>PEEK</v>
      </c>
      <c r="H5" s="27" t="str">
        <f t="shared" ref="H5:H63" ca="1" si="6">VLOOKUP($H$1,INDIRECT(""&amp;B5&amp;"!$A$5:$C$15"),3,FALSE)</f>
        <v>E1</v>
      </c>
      <c r="I5" s="34">
        <v>442</v>
      </c>
      <c r="J5" s="48" t="s">
        <v>409</v>
      </c>
      <c r="K5" s="25" t="s">
        <v>153</v>
      </c>
      <c r="M5" s="33">
        <v>3</v>
      </c>
      <c r="N5" s="27" t="s">
        <v>255</v>
      </c>
      <c r="O5" s="27" t="s">
        <v>256</v>
      </c>
      <c r="P5" s="27">
        <v>1.1000000000000001</v>
      </c>
      <c r="Q5" s="27" t="s">
        <v>246</v>
      </c>
      <c r="R5" s="27" t="s">
        <v>67</v>
      </c>
      <c r="S5" s="29" t="s">
        <v>252</v>
      </c>
      <c r="T5" s="27" t="s">
        <v>257</v>
      </c>
      <c r="U5" s="27" t="s">
        <v>258</v>
      </c>
      <c r="V5" s="34">
        <v>25</v>
      </c>
      <c r="W5" t="str">
        <f t="shared" si="0"/>
        <v>102.1 @ -29°C' 87.6 @ 200°C</v>
      </c>
    </row>
    <row r="6" spans="1:23" ht="30" x14ac:dyDescent="0.25">
      <c r="A6" s="33">
        <v>3</v>
      </c>
      <c r="B6" s="28" t="s">
        <v>154</v>
      </c>
      <c r="C6" s="27" t="str">
        <f t="shared" ca="1" si="1"/>
        <v>1/2" - 2"</v>
      </c>
      <c r="D6" s="27" t="str">
        <f t="shared" ca="1" si="2"/>
        <v>Double Block and Bleed Valve, Modular (Ball, Needle, Ball)</v>
      </c>
      <c r="E6" s="29" t="str">
        <f t="shared" ca="1" si="3"/>
        <v>Flanged ASME B16.5 RTJ/ Compact Flange / Hub Connector (As per PMS) X 1/2” NPT Female with plug (Bleed connection Size - ½”NPTF with plug)</v>
      </c>
      <c r="F6" s="27" t="str">
        <f t="shared" ca="1" si="4"/>
        <v>Forged - ASTM A182 F316</v>
      </c>
      <c r="G6" s="27" t="str">
        <f t="shared" ca="1" si="5"/>
        <v>PEEK</v>
      </c>
      <c r="H6" s="27" t="str">
        <f t="shared" ca="1" si="6"/>
        <v>F1</v>
      </c>
      <c r="I6" s="34">
        <v>443</v>
      </c>
      <c r="J6" s="48" t="s">
        <v>409</v>
      </c>
      <c r="K6" s="25" t="s">
        <v>154</v>
      </c>
      <c r="M6" s="33">
        <v>4</v>
      </c>
      <c r="N6" s="27" t="s">
        <v>5</v>
      </c>
      <c r="O6" s="27" t="s">
        <v>259</v>
      </c>
      <c r="P6" s="27">
        <v>1.1000000000000001</v>
      </c>
      <c r="Q6" s="27" t="s">
        <v>246</v>
      </c>
      <c r="R6" s="27" t="s">
        <v>67</v>
      </c>
      <c r="S6" s="29" t="s">
        <v>260</v>
      </c>
      <c r="T6" s="27" t="s">
        <v>261</v>
      </c>
      <c r="U6" s="27" t="s">
        <v>262</v>
      </c>
      <c r="V6" s="34">
        <v>26</v>
      </c>
      <c r="W6" t="str">
        <f t="shared" si="0"/>
        <v>153.2 @ -29°C' 131.4 @ 200°C</v>
      </c>
    </row>
    <row r="7" spans="1:23" ht="30" x14ac:dyDescent="0.25">
      <c r="A7" s="33">
        <v>4</v>
      </c>
      <c r="B7" s="28" t="s">
        <v>155</v>
      </c>
      <c r="C7" s="27" t="str">
        <f t="shared" ca="1" si="1"/>
        <v>2" - 24"</v>
      </c>
      <c r="D7" s="27" t="str">
        <f t="shared" ca="1" si="2"/>
        <v>Double Block and Bleed Valve, Modular (Ball, Needle, Ball)</v>
      </c>
      <c r="E7" s="29" t="str">
        <f t="shared" ca="1" si="3"/>
        <v>Flanged both ends, Flanged ASME B16.5 RTJ/ Compact Flange / Hub Connector (As per PMS) (Bleed connection ½”NPTF with plug)</v>
      </c>
      <c r="F7" s="27" t="str">
        <f t="shared" ca="1" si="4"/>
        <v>Forged - ASTM A182 F316</v>
      </c>
      <c r="G7" s="27" t="str">
        <f t="shared" ca="1" si="5"/>
        <v>PEEK</v>
      </c>
      <c r="H7" s="27" t="str">
        <f t="shared" ca="1" si="6"/>
        <v>F1</v>
      </c>
      <c r="I7" s="34">
        <v>444</v>
      </c>
      <c r="J7" s="48" t="s">
        <v>409</v>
      </c>
      <c r="K7" s="25" t="s">
        <v>155</v>
      </c>
      <c r="M7" s="33">
        <v>5</v>
      </c>
      <c r="N7" s="27" t="s">
        <v>12</v>
      </c>
      <c r="O7" s="27" t="s">
        <v>263</v>
      </c>
      <c r="P7" s="27">
        <v>1.1000000000000001</v>
      </c>
      <c r="Q7" s="27" t="s">
        <v>246</v>
      </c>
      <c r="R7" s="27" t="s">
        <v>67</v>
      </c>
      <c r="S7" s="29" t="s">
        <v>260</v>
      </c>
      <c r="T7" s="27" t="s">
        <v>264</v>
      </c>
      <c r="U7" s="27" t="s">
        <v>265</v>
      </c>
      <c r="V7" s="34">
        <v>27</v>
      </c>
      <c r="W7" t="str">
        <f t="shared" si="0"/>
        <v>255.3 @ -29°C' 219 @ 200°C</v>
      </c>
    </row>
    <row r="8" spans="1:23" ht="30" x14ac:dyDescent="0.25">
      <c r="A8" s="33">
        <v>5</v>
      </c>
      <c r="B8" s="28" t="s">
        <v>156</v>
      </c>
      <c r="C8" s="27" t="str">
        <f t="shared" ca="1" si="1"/>
        <v>1/2" - 2"</v>
      </c>
      <c r="D8" s="27" t="str">
        <f t="shared" ca="1" si="2"/>
        <v>Double Block and Bleed Valve, Modular (Ball, Needle, Ball)</v>
      </c>
      <c r="E8" s="29" t="str">
        <f t="shared" ca="1" si="3"/>
        <v>Flanged ASME B16.5 RTJ/ Compact Flange / Hub Connector (As per PMS) X 1/2” NPT Female with plug (Bleed connection Size - ½”NPTF with plug)</v>
      </c>
      <c r="F8" s="27" t="str">
        <f t="shared" ca="1" si="4"/>
        <v>Forged - ASTM A182 F316</v>
      </c>
      <c r="G8" s="27" t="str">
        <f t="shared" ca="1" si="5"/>
        <v>PEEK</v>
      </c>
      <c r="H8" s="27" t="str">
        <f t="shared" ca="1" si="6"/>
        <v>G1</v>
      </c>
      <c r="I8" s="34">
        <v>445</v>
      </c>
      <c r="J8" s="48" t="s">
        <v>409</v>
      </c>
      <c r="K8" s="25" t="s">
        <v>156</v>
      </c>
      <c r="M8" s="33">
        <v>6</v>
      </c>
      <c r="N8" s="27" t="s">
        <v>123</v>
      </c>
      <c r="O8" s="27" t="s">
        <v>266</v>
      </c>
      <c r="P8" s="27">
        <v>1.1000000000000001</v>
      </c>
      <c r="Q8" s="27" t="s">
        <v>246</v>
      </c>
      <c r="R8" s="27" t="s">
        <v>67</v>
      </c>
      <c r="S8" s="29" t="s">
        <v>267</v>
      </c>
      <c r="T8" s="27" t="s">
        <v>268</v>
      </c>
      <c r="U8" s="27" t="s">
        <v>269</v>
      </c>
      <c r="V8" s="34">
        <v>28</v>
      </c>
      <c r="W8" t="str">
        <f t="shared" si="0"/>
        <v>399.8 @ -29°C' 342.9 @ 200°C</v>
      </c>
    </row>
    <row r="9" spans="1:23" ht="30" x14ac:dyDescent="0.25">
      <c r="A9" s="33">
        <v>6</v>
      </c>
      <c r="B9" s="28" t="s">
        <v>157</v>
      </c>
      <c r="C9" s="27" t="str">
        <f t="shared" ca="1" si="1"/>
        <v>2" - 24"</v>
      </c>
      <c r="D9" s="27" t="str">
        <f t="shared" ca="1" si="2"/>
        <v>Double Block and Bleed Valve, Modular (Ball, Needle, Ball)</v>
      </c>
      <c r="E9" s="29" t="str">
        <f t="shared" ca="1" si="3"/>
        <v>Flanged both ends, Flanged ASME B16.5 RTJ/ Compact Flange / Hub Connector (As per PMS) (Bleed connection ½”NPTF with plug)</v>
      </c>
      <c r="F9" s="27" t="str">
        <f t="shared" ca="1" si="4"/>
        <v>Forged - ASTM A182 F316</v>
      </c>
      <c r="G9" s="27" t="str">
        <f t="shared" ca="1" si="5"/>
        <v>PEEK</v>
      </c>
      <c r="H9" s="27" t="str">
        <f t="shared" ca="1" si="6"/>
        <v>G1</v>
      </c>
      <c r="I9" s="34">
        <v>446</v>
      </c>
      <c r="J9" s="48" t="s">
        <v>409</v>
      </c>
      <c r="K9" s="25" t="s">
        <v>157</v>
      </c>
      <c r="M9" s="33">
        <v>7</v>
      </c>
      <c r="N9" s="27" t="s">
        <v>270</v>
      </c>
      <c r="O9" s="27" t="s">
        <v>245</v>
      </c>
      <c r="P9" s="27">
        <v>1.1000000000000001</v>
      </c>
      <c r="Q9" s="27" t="s">
        <v>271</v>
      </c>
      <c r="R9" s="27" t="s">
        <v>67</v>
      </c>
      <c r="S9" s="29" t="s">
        <v>124</v>
      </c>
      <c r="T9" s="27" t="s">
        <v>248</v>
      </c>
      <c r="U9" s="27" t="s">
        <v>272</v>
      </c>
      <c r="V9" s="34">
        <v>29</v>
      </c>
      <c r="W9" t="str">
        <f t="shared" si="0"/>
        <v>19.6 @ -29°C' 13.8 @ 250°C</v>
      </c>
    </row>
    <row r="10" spans="1:23" ht="30" x14ac:dyDescent="0.25">
      <c r="A10" s="33">
        <v>7</v>
      </c>
      <c r="B10" s="28" t="s">
        <v>158</v>
      </c>
      <c r="C10" s="27" t="str">
        <f t="shared" ca="1" si="1"/>
        <v>1/2" - 2"</v>
      </c>
      <c r="D10" s="27" t="str">
        <f t="shared" ca="1" si="2"/>
        <v>Double Block and Bleed Valve, Modular (Ball, Needle, Ball)</v>
      </c>
      <c r="E10" s="29" t="str">
        <f t="shared" ca="1" si="3"/>
        <v>Flanged ASME B16.5 RTJ X 1/2” NPT Female with plug (Bleed connection Size - ½”NPTF with plug)</v>
      </c>
      <c r="F10" s="27" t="str">
        <f t="shared" ca="1" si="4"/>
        <v>Forged - ASTM A182 F316L</v>
      </c>
      <c r="G10" s="27" t="str">
        <f t="shared" ca="1" si="5"/>
        <v>PEEK</v>
      </c>
      <c r="H10" s="27" t="str">
        <f t="shared" ca="1" si="6"/>
        <v>E1N</v>
      </c>
      <c r="I10" s="34">
        <v>447</v>
      </c>
      <c r="J10" s="48" t="s">
        <v>409</v>
      </c>
      <c r="K10" s="25" t="s">
        <v>158</v>
      </c>
      <c r="M10" s="33">
        <v>8</v>
      </c>
      <c r="N10" s="27" t="s">
        <v>273</v>
      </c>
      <c r="O10" s="27" t="s">
        <v>251</v>
      </c>
      <c r="P10" s="27">
        <v>1.1000000000000001</v>
      </c>
      <c r="Q10" s="27" t="s">
        <v>271</v>
      </c>
      <c r="R10" s="27" t="s">
        <v>67</v>
      </c>
      <c r="S10" s="29" t="s">
        <v>124</v>
      </c>
      <c r="T10" s="27" t="s">
        <v>253</v>
      </c>
      <c r="U10" s="27" t="s">
        <v>274</v>
      </c>
      <c r="V10" s="34">
        <v>30</v>
      </c>
      <c r="W10" t="str">
        <f t="shared" si="0"/>
        <v>51.1 @ -29°C' 43.8 @ 250°C</v>
      </c>
    </row>
    <row r="11" spans="1:23" x14ac:dyDescent="0.25">
      <c r="A11" s="33">
        <v>8</v>
      </c>
      <c r="B11" s="28" t="s">
        <v>159</v>
      </c>
      <c r="C11" s="27" t="str">
        <f t="shared" ca="1" si="1"/>
        <v>2" - 24"</v>
      </c>
      <c r="D11" s="27" t="str">
        <f t="shared" ca="1" si="2"/>
        <v>Double Block and Bleed Valve, Modular (Ball, Needle, Ball)</v>
      </c>
      <c r="E11" s="29" t="str">
        <f t="shared" ca="1" si="3"/>
        <v>Flanged both ends, ASME B16.5 RTJ (Bleed connection ½”NPTF with plug)</v>
      </c>
      <c r="F11" s="27" t="str">
        <f t="shared" ca="1" si="4"/>
        <v>Forged - ASTM A182 F316L</v>
      </c>
      <c r="G11" s="27" t="str">
        <f t="shared" ca="1" si="5"/>
        <v>PEEK</v>
      </c>
      <c r="H11" s="27" t="str">
        <f t="shared" ca="1" si="6"/>
        <v>E1N</v>
      </c>
      <c r="I11" s="34">
        <v>448</v>
      </c>
      <c r="J11" s="48" t="s">
        <v>409</v>
      </c>
      <c r="K11" s="25" t="s">
        <v>159</v>
      </c>
      <c r="M11" s="33">
        <v>9</v>
      </c>
      <c r="N11" s="27" t="s">
        <v>275</v>
      </c>
      <c r="O11" s="27" t="s">
        <v>256</v>
      </c>
      <c r="P11" s="27">
        <v>1.1000000000000001</v>
      </c>
      <c r="Q11" s="27" t="s">
        <v>271</v>
      </c>
      <c r="R11" s="27" t="s">
        <v>67</v>
      </c>
      <c r="S11" s="29" t="s">
        <v>124</v>
      </c>
      <c r="T11" s="27" t="s">
        <v>257</v>
      </c>
      <c r="U11" s="27" t="s">
        <v>276</v>
      </c>
      <c r="V11" s="34">
        <v>31</v>
      </c>
      <c r="W11" t="str">
        <f t="shared" si="0"/>
        <v>102.1 @ -29°C' 87.6 @ 250°C</v>
      </c>
    </row>
    <row r="12" spans="1:23" ht="30" x14ac:dyDescent="0.25">
      <c r="A12" s="33">
        <v>9</v>
      </c>
      <c r="B12" s="28" t="s">
        <v>160</v>
      </c>
      <c r="C12" s="27" t="str">
        <f t="shared" ca="1" si="1"/>
        <v>1/2" - 2"</v>
      </c>
      <c r="D12" s="27" t="str">
        <f t="shared" ca="1" si="2"/>
        <v>Double Block and Bleed Valve, Modular (Ball, Needle, Ball)</v>
      </c>
      <c r="E12" s="29" t="str">
        <f t="shared" ca="1" si="3"/>
        <v>Flanged ASME B16.5 RTJ/ Compact Flange / Hub Connector (As per PMS) X 1/2” NPT Female with plug (Bleed connection Size - ½”NPTF with plug)</v>
      </c>
      <c r="F12" s="27" t="str">
        <f t="shared" ca="1" si="4"/>
        <v>Forged - ASTM A182 F316L</v>
      </c>
      <c r="G12" s="27" t="str">
        <f t="shared" ca="1" si="5"/>
        <v>PEEK</v>
      </c>
      <c r="H12" s="27" t="str">
        <f t="shared" ca="1" si="6"/>
        <v>F1N</v>
      </c>
      <c r="I12" s="34">
        <v>449</v>
      </c>
      <c r="J12" s="48" t="s">
        <v>409</v>
      </c>
      <c r="K12" s="25" t="s">
        <v>160</v>
      </c>
      <c r="M12" s="33">
        <v>10</v>
      </c>
      <c r="N12" s="27" t="s">
        <v>2</v>
      </c>
      <c r="O12" s="27" t="s">
        <v>259</v>
      </c>
      <c r="P12" s="27">
        <v>1.1000000000000001</v>
      </c>
      <c r="Q12" s="27" t="s">
        <v>271</v>
      </c>
      <c r="R12" s="27" t="s">
        <v>67</v>
      </c>
      <c r="S12" s="29" t="s">
        <v>124</v>
      </c>
      <c r="T12" s="27" t="s">
        <v>261</v>
      </c>
      <c r="U12" s="27" t="s">
        <v>277</v>
      </c>
      <c r="V12" s="34">
        <v>32</v>
      </c>
      <c r="W12" t="str">
        <f t="shared" si="0"/>
        <v>153.2 @ -29°C' 131.4 @ 250°C</v>
      </c>
    </row>
    <row r="13" spans="1:23" ht="30" x14ac:dyDescent="0.25">
      <c r="A13" s="33">
        <v>10</v>
      </c>
      <c r="B13" s="28" t="s">
        <v>161</v>
      </c>
      <c r="C13" s="27" t="str">
        <f t="shared" ca="1" si="1"/>
        <v>2" - 24"</v>
      </c>
      <c r="D13" s="27" t="str">
        <f t="shared" ca="1" si="2"/>
        <v>Double Block and Bleed Valve, Modular (Ball, Needle, Ball)</v>
      </c>
      <c r="E13" s="29" t="str">
        <f t="shared" ca="1" si="3"/>
        <v>Flanged both ends, Flanged ASME B16.5 RTJ/ Compact Flange / Hub Connector (As per PMS) (Bleed connection ½”NPTF with plug)</v>
      </c>
      <c r="F13" s="27" t="str">
        <f t="shared" ca="1" si="4"/>
        <v>Forged - ASTM A182 F316L</v>
      </c>
      <c r="G13" s="27" t="str">
        <f t="shared" ca="1" si="5"/>
        <v>PEEK</v>
      </c>
      <c r="H13" s="27" t="str">
        <f t="shared" ca="1" si="6"/>
        <v>F1N</v>
      </c>
      <c r="I13" s="34">
        <v>450</v>
      </c>
      <c r="J13" s="48" t="s">
        <v>409</v>
      </c>
      <c r="K13" s="25" t="s">
        <v>161</v>
      </c>
      <c r="M13" s="33">
        <v>11</v>
      </c>
      <c r="N13" s="27" t="s">
        <v>3</v>
      </c>
      <c r="O13" s="27" t="s">
        <v>263</v>
      </c>
      <c r="P13" s="27">
        <v>1.1000000000000001</v>
      </c>
      <c r="Q13" s="27" t="s">
        <v>271</v>
      </c>
      <c r="R13" s="27" t="s">
        <v>67</v>
      </c>
      <c r="S13" s="29" t="s">
        <v>124</v>
      </c>
      <c r="T13" s="27" t="s">
        <v>264</v>
      </c>
      <c r="U13" s="27" t="s">
        <v>265</v>
      </c>
      <c r="V13" s="34">
        <v>33</v>
      </c>
      <c r="W13" t="str">
        <f t="shared" si="0"/>
        <v>255.3 @ -29°C' 219 @ 200°C</v>
      </c>
    </row>
    <row r="14" spans="1:23" ht="30" x14ac:dyDescent="0.25">
      <c r="A14" s="33">
        <v>11</v>
      </c>
      <c r="B14" s="28" t="s">
        <v>162</v>
      </c>
      <c r="C14" s="27" t="str">
        <f t="shared" ca="1" si="1"/>
        <v>1/2" - 2"</v>
      </c>
      <c r="D14" s="27" t="str">
        <f t="shared" ca="1" si="2"/>
        <v>Double Block and Bleed Valve, Modular (Ball, Needle, Ball)</v>
      </c>
      <c r="E14" s="29" t="str">
        <f t="shared" ca="1" si="3"/>
        <v>Flanged ASME B16.5 RTJ/ Compact Flange / Hub Connector (As per PMS) X 1/2” NPT Female with plug (Bleed connection Size - ½”NPTF with plug)</v>
      </c>
      <c r="F14" s="27" t="str">
        <f t="shared" ca="1" si="4"/>
        <v>Forged - ASTM A182 F316L</v>
      </c>
      <c r="G14" s="27" t="str">
        <f t="shared" ca="1" si="5"/>
        <v>PEEK</v>
      </c>
      <c r="H14" s="27" t="str">
        <f t="shared" ca="1" si="6"/>
        <v>G1N</v>
      </c>
      <c r="I14" s="34">
        <v>451</v>
      </c>
      <c r="J14" s="48" t="s">
        <v>409</v>
      </c>
      <c r="K14" s="25" t="s">
        <v>162</v>
      </c>
      <c r="M14" s="33">
        <v>12</v>
      </c>
      <c r="N14" s="27" t="s">
        <v>4</v>
      </c>
      <c r="O14" s="27" t="s">
        <v>266</v>
      </c>
      <c r="P14" s="27">
        <v>1.1000000000000001</v>
      </c>
      <c r="Q14" s="27" t="s">
        <v>271</v>
      </c>
      <c r="R14" s="27" t="s">
        <v>67</v>
      </c>
      <c r="S14" s="29" t="s">
        <v>124</v>
      </c>
      <c r="T14" s="27" t="s">
        <v>268</v>
      </c>
      <c r="U14" s="27" t="s">
        <v>269</v>
      </c>
      <c r="V14" s="34">
        <v>34</v>
      </c>
      <c r="W14" t="str">
        <f t="shared" si="0"/>
        <v>399.8 @ -29°C' 342.9 @ 200°C</v>
      </c>
    </row>
    <row r="15" spans="1:23" ht="30" x14ac:dyDescent="0.25">
      <c r="A15" s="33">
        <v>12</v>
      </c>
      <c r="B15" s="28" t="s">
        <v>163</v>
      </c>
      <c r="C15" s="27" t="str">
        <f t="shared" ca="1" si="1"/>
        <v>2" - 24"</v>
      </c>
      <c r="D15" s="27" t="str">
        <f t="shared" ca="1" si="2"/>
        <v>Double Block and Bleed Valve, Modular (Ball, Needle, Ball)</v>
      </c>
      <c r="E15" s="29" t="str">
        <f t="shared" ca="1" si="3"/>
        <v>Flanged both ends, Flanged ASME B16.5 RTJ/ Compact Flange / Hub Connector (As per PMS) (Bleed connection ½”NPTF with plug)</v>
      </c>
      <c r="F15" s="27" t="str">
        <f t="shared" ca="1" si="4"/>
        <v>Forged - ASTM A182 F316L</v>
      </c>
      <c r="G15" s="27" t="str">
        <f t="shared" ca="1" si="5"/>
        <v>PEEK</v>
      </c>
      <c r="H15" s="27" t="str">
        <f t="shared" ca="1" si="6"/>
        <v>G1N</v>
      </c>
      <c r="I15" s="34">
        <v>452</v>
      </c>
      <c r="J15" s="48" t="s">
        <v>409</v>
      </c>
      <c r="K15" s="25" t="s">
        <v>163</v>
      </c>
      <c r="M15" s="33">
        <v>13</v>
      </c>
      <c r="N15" s="27" t="s">
        <v>278</v>
      </c>
      <c r="O15" s="27" t="s">
        <v>245</v>
      </c>
      <c r="P15" s="27">
        <v>1.1000000000000001</v>
      </c>
      <c r="Q15" s="27" t="s">
        <v>246</v>
      </c>
      <c r="R15" s="27" t="s">
        <v>68</v>
      </c>
      <c r="S15" s="29" t="s">
        <v>279</v>
      </c>
      <c r="T15" s="27" t="s">
        <v>248</v>
      </c>
      <c r="U15" s="27" t="s">
        <v>249</v>
      </c>
      <c r="V15" s="34">
        <v>35</v>
      </c>
      <c r="W15" t="str">
        <f t="shared" si="0"/>
        <v>19.6 @ -29°C' 13.8 @ 200°C</v>
      </c>
    </row>
    <row r="16" spans="1:23" ht="30" x14ac:dyDescent="0.25">
      <c r="A16" s="33">
        <v>13</v>
      </c>
      <c r="B16" s="28" t="s">
        <v>400</v>
      </c>
      <c r="C16" s="27" t="str">
        <f t="shared" ca="1" si="1"/>
        <v>2" - 24"</v>
      </c>
      <c r="D16" s="27" t="str">
        <f t="shared" ca="1" si="2"/>
        <v>Double Block and Bleed Valve, Modular (Ball, Needle, Ball)</v>
      </c>
      <c r="E16" s="29" t="str">
        <f t="shared" ca="1" si="3"/>
        <v>Flanged both ends, Flanged ASME B16.5 RTJ/ Compact Flange / Hub Connector (As per PMS) (Bleed connection ½”NPTF with plug)</v>
      </c>
      <c r="F16" s="27" t="str">
        <f t="shared" ca="1" si="4"/>
        <v>Forged - ASTM A182 F316L</v>
      </c>
      <c r="G16" s="27" t="str">
        <f t="shared" ca="1" si="5"/>
        <v>Metal seated, hard faced, Renewable</v>
      </c>
      <c r="H16" s="27" t="str">
        <f t="shared" ca="1" si="6"/>
        <v>G1N</v>
      </c>
      <c r="I16" s="34">
        <v>453</v>
      </c>
      <c r="J16" s="48" t="s">
        <v>409</v>
      </c>
      <c r="K16" s="25" t="s">
        <v>164</v>
      </c>
      <c r="M16" s="33">
        <v>14</v>
      </c>
      <c r="N16" s="27" t="s">
        <v>280</v>
      </c>
      <c r="O16" s="27" t="s">
        <v>245</v>
      </c>
      <c r="P16" s="27">
        <v>1.1000000000000001</v>
      </c>
      <c r="Q16" s="27" t="s">
        <v>271</v>
      </c>
      <c r="R16" s="27" t="s">
        <v>68</v>
      </c>
      <c r="S16" s="29" t="s">
        <v>125</v>
      </c>
      <c r="T16" s="27" t="s">
        <v>248</v>
      </c>
      <c r="U16" s="27" t="s">
        <v>249</v>
      </c>
      <c r="V16" s="34">
        <v>36</v>
      </c>
      <c r="W16" t="str">
        <f t="shared" si="0"/>
        <v>19.6 @ -29°C' 13.8 @ 200°C</v>
      </c>
    </row>
    <row r="17" spans="1:23" ht="30" x14ac:dyDescent="0.25">
      <c r="A17" s="33">
        <v>14</v>
      </c>
      <c r="B17" s="28" t="s">
        <v>164</v>
      </c>
      <c r="C17" s="27" t="str">
        <f t="shared" ca="1" si="1"/>
        <v>1/2" - 2"</v>
      </c>
      <c r="D17" s="27" t="str">
        <f t="shared" ca="1" si="2"/>
        <v>Double Block and Bleed Valve, Modular (Ball, Needle, Ball)</v>
      </c>
      <c r="E17" s="29" t="str">
        <f t="shared" ca="1" si="3"/>
        <v>Flanged ASME B16.5 RTJ X 1/2” NPT Female with plug (Bleed connection Size - ½”NPTF with plug)</v>
      </c>
      <c r="F17" s="27" t="str">
        <f t="shared" ca="1" si="4"/>
        <v>Forged - ASTM A182 F316L</v>
      </c>
      <c r="G17" s="27" t="str">
        <f t="shared" ca="1" si="5"/>
        <v>PEEK</v>
      </c>
      <c r="H17" s="27" t="str">
        <f t="shared" ca="1" si="6"/>
        <v>E2N</v>
      </c>
      <c r="I17" s="34">
        <v>454</v>
      </c>
      <c r="J17" s="48" t="s">
        <v>409</v>
      </c>
      <c r="K17" s="25" t="s">
        <v>165</v>
      </c>
      <c r="M17" s="33">
        <v>15</v>
      </c>
      <c r="N17" s="27" t="s">
        <v>281</v>
      </c>
      <c r="O17" s="27" t="s">
        <v>251</v>
      </c>
      <c r="P17" s="27">
        <v>1.1000000000000001</v>
      </c>
      <c r="Q17" s="27" t="s">
        <v>271</v>
      </c>
      <c r="R17" s="27" t="s">
        <v>68</v>
      </c>
      <c r="S17" s="29" t="s">
        <v>125</v>
      </c>
      <c r="T17" s="27" t="s">
        <v>253</v>
      </c>
      <c r="U17" s="27" t="s">
        <v>254</v>
      </c>
      <c r="V17" s="34">
        <v>37</v>
      </c>
      <c r="W17" t="str">
        <f t="shared" si="0"/>
        <v>51.1 @ -29°C' 43.8 @ 200°C</v>
      </c>
    </row>
    <row r="18" spans="1:23" x14ac:dyDescent="0.25">
      <c r="A18" s="33">
        <v>15</v>
      </c>
      <c r="B18" s="28" t="s">
        <v>165</v>
      </c>
      <c r="C18" s="27" t="str">
        <f t="shared" ca="1" si="1"/>
        <v>2" - 24"</v>
      </c>
      <c r="D18" s="27" t="str">
        <f t="shared" ca="1" si="2"/>
        <v>Double Block and Bleed Valve, Modular (Ball, Needle, Ball)</v>
      </c>
      <c r="E18" s="29" t="str">
        <f t="shared" ca="1" si="3"/>
        <v>Flanged both ends, ASME B16.5 RTJ (Bleed connection ½”NPTF with plug)</v>
      </c>
      <c r="F18" s="27" t="str">
        <f t="shared" ca="1" si="4"/>
        <v>Forged - ASTM A182 F316L</v>
      </c>
      <c r="G18" s="27" t="str">
        <f t="shared" ca="1" si="5"/>
        <v>PEEK</v>
      </c>
      <c r="H18" s="27" t="str">
        <f t="shared" ca="1" si="6"/>
        <v>E2N</v>
      </c>
      <c r="I18" s="34">
        <v>455</v>
      </c>
      <c r="J18" s="48" t="s">
        <v>409</v>
      </c>
      <c r="K18" s="25" t="s">
        <v>166</v>
      </c>
      <c r="M18" s="33">
        <v>16</v>
      </c>
      <c r="N18" s="27" t="s">
        <v>282</v>
      </c>
      <c r="O18" s="27" t="s">
        <v>256</v>
      </c>
      <c r="P18" s="27">
        <v>1.1000000000000001</v>
      </c>
      <c r="Q18" s="27" t="s">
        <v>271</v>
      </c>
      <c r="R18" s="27" t="s">
        <v>68</v>
      </c>
      <c r="S18" s="29" t="s">
        <v>125</v>
      </c>
      <c r="T18" s="27" t="s">
        <v>257</v>
      </c>
      <c r="U18" s="27" t="s">
        <v>258</v>
      </c>
      <c r="V18" s="34">
        <v>38</v>
      </c>
      <c r="W18" t="str">
        <f t="shared" si="0"/>
        <v>102.1 @ -29°C' 87.6 @ 200°C</v>
      </c>
    </row>
    <row r="19" spans="1:23" ht="30" x14ac:dyDescent="0.25">
      <c r="A19" s="33">
        <v>16</v>
      </c>
      <c r="B19" s="28" t="s">
        <v>166</v>
      </c>
      <c r="C19" s="27" t="str">
        <f t="shared" ca="1" si="1"/>
        <v>1/2" - 2"</v>
      </c>
      <c r="D19" s="27" t="str">
        <f t="shared" ca="1" si="2"/>
        <v>Double Block and Bleed Valve, Modular (Ball, Needle, Ball)</v>
      </c>
      <c r="E19" s="29" t="str">
        <f t="shared" ca="1" si="3"/>
        <v>Flanged ASME B16.5 RTJ/ Compact Flange / Hub Connector (As per PMS) X 1/2” NPT Female with plug (Bleed connection Size - ½”NPTF with plug)</v>
      </c>
      <c r="F19" s="27" t="str">
        <f t="shared" ca="1" si="4"/>
        <v>Forged - ASTM A182 F316L</v>
      </c>
      <c r="G19" s="27" t="str">
        <f t="shared" ca="1" si="5"/>
        <v>PEEK</v>
      </c>
      <c r="H19" s="27" t="str">
        <f t="shared" ca="1" si="6"/>
        <v>F2N</v>
      </c>
      <c r="I19" s="34">
        <v>456</v>
      </c>
      <c r="J19" s="48" t="s">
        <v>409</v>
      </c>
      <c r="K19" s="25" t="s">
        <v>167</v>
      </c>
      <c r="M19" s="33">
        <v>17</v>
      </c>
      <c r="N19" s="27" t="s">
        <v>99</v>
      </c>
      <c r="O19" s="27" t="s">
        <v>259</v>
      </c>
      <c r="P19" s="27">
        <v>1.1000000000000001</v>
      </c>
      <c r="Q19" s="27" t="s">
        <v>271</v>
      </c>
      <c r="R19" s="27" t="s">
        <v>68</v>
      </c>
      <c r="S19" s="29" t="s">
        <v>125</v>
      </c>
      <c r="T19" s="27" t="s">
        <v>261</v>
      </c>
      <c r="U19" s="27" t="s">
        <v>262</v>
      </c>
      <c r="V19" s="34">
        <v>39</v>
      </c>
      <c r="W19" t="str">
        <f t="shared" si="0"/>
        <v>153.2 @ -29°C' 131.4 @ 200°C</v>
      </c>
    </row>
    <row r="20" spans="1:23" ht="30" x14ac:dyDescent="0.25">
      <c r="A20" s="33">
        <v>17</v>
      </c>
      <c r="B20" s="28" t="s">
        <v>167</v>
      </c>
      <c r="C20" s="27" t="str">
        <f t="shared" ca="1" si="1"/>
        <v>2" - 24"</v>
      </c>
      <c r="D20" s="27" t="str">
        <f t="shared" ca="1" si="2"/>
        <v>Double Block and Bleed Valve, Modular (Ball, Needle, Ball)</v>
      </c>
      <c r="E20" s="29" t="str">
        <f t="shared" ca="1" si="3"/>
        <v>Flanged both ends, Flanged ASME B16.5 RTJ/ Compact Flange / Hub Connector (As per PMS) (Bleed connection ½”NPTF with plug)</v>
      </c>
      <c r="F20" s="27" t="str">
        <f t="shared" ca="1" si="4"/>
        <v>Forged - ASTM A182 F316L</v>
      </c>
      <c r="G20" s="27" t="str">
        <f t="shared" ca="1" si="5"/>
        <v>PEEK</v>
      </c>
      <c r="H20" s="27" t="str">
        <f t="shared" ca="1" si="6"/>
        <v>F2N</v>
      </c>
      <c r="I20" s="34">
        <v>457</v>
      </c>
      <c r="J20" s="48" t="s">
        <v>409</v>
      </c>
      <c r="K20" s="25" t="s">
        <v>168</v>
      </c>
      <c r="M20" s="33">
        <v>18</v>
      </c>
      <c r="N20" s="27" t="s">
        <v>100</v>
      </c>
      <c r="O20" s="27" t="s">
        <v>263</v>
      </c>
      <c r="P20" s="27">
        <v>1.1000000000000001</v>
      </c>
      <c r="Q20" s="27" t="s">
        <v>271</v>
      </c>
      <c r="R20" s="27" t="s">
        <v>68</v>
      </c>
      <c r="S20" s="29" t="s">
        <v>125</v>
      </c>
      <c r="T20" s="27" t="s">
        <v>264</v>
      </c>
      <c r="U20" s="27" t="s">
        <v>265</v>
      </c>
      <c r="V20" s="34">
        <v>40</v>
      </c>
      <c r="W20" t="str">
        <f t="shared" si="0"/>
        <v>255.3 @ -29°C' 219 @ 200°C</v>
      </c>
    </row>
    <row r="21" spans="1:23" ht="30" x14ac:dyDescent="0.25">
      <c r="A21" s="33">
        <v>18</v>
      </c>
      <c r="B21" s="28" t="s">
        <v>168</v>
      </c>
      <c r="C21" s="27" t="str">
        <f t="shared" ca="1" si="1"/>
        <v>1/2" - 2"</v>
      </c>
      <c r="D21" s="27" t="str">
        <f t="shared" ca="1" si="2"/>
        <v>Double Block and Bleed Valve, Modular (Ball, Needle, Ball)</v>
      </c>
      <c r="E21" s="29" t="str">
        <f t="shared" ca="1" si="3"/>
        <v>Flanged ASME B16.5 RTJ/ Compact Flange / Hub Connector (As per PMS) X 1/2” NPT Female with plug (Bleed connection Size - ½”NPTF with plug)</v>
      </c>
      <c r="F21" s="27" t="str">
        <f t="shared" ca="1" si="4"/>
        <v>Forged - ASTM A182 F316L</v>
      </c>
      <c r="G21" s="27" t="str">
        <f t="shared" ca="1" si="5"/>
        <v>PEEK</v>
      </c>
      <c r="H21" s="27" t="str">
        <f t="shared" ca="1" si="6"/>
        <v>G2N</v>
      </c>
      <c r="I21" s="34">
        <v>458</v>
      </c>
      <c r="J21" s="48" t="s">
        <v>409</v>
      </c>
      <c r="K21" s="25" t="s">
        <v>169</v>
      </c>
      <c r="M21" s="33">
        <v>19</v>
      </c>
      <c r="N21" s="27" t="s">
        <v>101</v>
      </c>
      <c r="O21" s="27" t="s">
        <v>266</v>
      </c>
      <c r="P21" s="27">
        <v>1.1000000000000001</v>
      </c>
      <c r="Q21" s="27" t="s">
        <v>271</v>
      </c>
      <c r="R21" s="27" t="s">
        <v>68</v>
      </c>
      <c r="S21" s="29" t="s">
        <v>125</v>
      </c>
      <c r="T21" s="27" t="s">
        <v>268</v>
      </c>
      <c r="U21" s="27" t="s">
        <v>269</v>
      </c>
      <c r="V21" s="34">
        <v>41</v>
      </c>
      <c r="W21" t="str">
        <f t="shared" si="0"/>
        <v>399.8 @ -29°C' 342.9 @ 200°C</v>
      </c>
    </row>
    <row r="22" spans="1:23" ht="30" x14ac:dyDescent="0.25">
      <c r="A22" s="33">
        <v>19</v>
      </c>
      <c r="B22" s="28" t="s">
        <v>169</v>
      </c>
      <c r="C22" s="27" t="str">
        <f t="shared" ca="1" si="1"/>
        <v>2" - 24"</v>
      </c>
      <c r="D22" s="27" t="str">
        <f t="shared" ca="1" si="2"/>
        <v>Double Block and Bleed Valve, Modular (Ball, Needle, Ball)</v>
      </c>
      <c r="E22" s="29" t="str">
        <f t="shared" ca="1" si="3"/>
        <v>Flanged both ends, Flanged ASME B16.5 RTJ/ Compact Flange / Hub Connector (As per PMS) (Bleed connection ½”NPTF with plug)</v>
      </c>
      <c r="F22" s="27" t="str">
        <f t="shared" ca="1" si="4"/>
        <v>Forged - ASTM A182 F316L</v>
      </c>
      <c r="G22" s="27" t="str">
        <f t="shared" ca="1" si="5"/>
        <v>PEEK</v>
      </c>
      <c r="H22" s="27" t="str">
        <f t="shared" ca="1" si="6"/>
        <v>G2N</v>
      </c>
      <c r="I22" s="34">
        <v>459</v>
      </c>
      <c r="J22" s="48" t="s">
        <v>409</v>
      </c>
      <c r="K22" s="25" t="s">
        <v>170</v>
      </c>
      <c r="M22" s="33">
        <v>20</v>
      </c>
      <c r="N22" s="27" t="s">
        <v>283</v>
      </c>
      <c r="O22" s="27" t="s">
        <v>245</v>
      </c>
      <c r="P22" s="27">
        <v>1.1000000000000001</v>
      </c>
      <c r="Q22" s="27" t="s">
        <v>284</v>
      </c>
      <c r="R22" s="27" t="s">
        <v>67</v>
      </c>
      <c r="S22" s="46" t="s">
        <v>285</v>
      </c>
      <c r="T22" s="27" t="s">
        <v>286</v>
      </c>
      <c r="U22" s="27" t="s">
        <v>249</v>
      </c>
      <c r="V22" s="34">
        <v>42</v>
      </c>
      <c r="W22" t="str">
        <f t="shared" si="0"/>
        <v>19.6 @ -45°C' 13.8 @ 200°C</v>
      </c>
    </row>
    <row r="23" spans="1:23" ht="30" x14ac:dyDescent="0.25">
      <c r="A23" s="33">
        <v>20</v>
      </c>
      <c r="B23" s="28" t="s">
        <v>170</v>
      </c>
      <c r="C23" s="27" t="str">
        <f t="shared" ca="1" si="1"/>
        <v>1/2" - 2"</v>
      </c>
      <c r="D23" s="27" t="str">
        <f t="shared" ca="1" si="2"/>
        <v>Double Block and Bleed Valve, Modular (Ball, Needle, Ball)</v>
      </c>
      <c r="E23" s="29" t="str">
        <f t="shared" ca="1" si="3"/>
        <v>Flanged ASME B16.5 RTJ X 1/2” NPT Female with plug (Bleed connection Size - ½”NPTF with plug)</v>
      </c>
      <c r="F23" s="27" t="str">
        <f t="shared" ca="1" si="4"/>
        <v>Forged - ASTM A182 F316L</v>
      </c>
      <c r="G23" s="27" t="str">
        <f t="shared" ca="1" si="5"/>
        <v>PEEK</v>
      </c>
      <c r="H23" s="27" t="str">
        <f t="shared" ca="1" si="6"/>
        <v>E1LN</v>
      </c>
      <c r="I23" s="34">
        <v>460</v>
      </c>
      <c r="J23" s="48" t="s">
        <v>409</v>
      </c>
      <c r="K23" s="25" t="s">
        <v>171</v>
      </c>
      <c r="M23" s="33">
        <v>21</v>
      </c>
      <c r="N23" s="27" t="s">
        <v>287</v>
      </c>
      <c r="O23" s="27" t="s">
        <v>251</v>
      </c>
      <c r="P23" s="27">
        <v>1.1000000000000001</v>
      </c>
      <c r="Q23" s="27" t="s">
        <v>284</v>
      </c>
      <c r="R23" s="27" t="s">
        <v>67</v>
      </c>
      <c r="S23" s="46" t="s">
        <v>285</v>
      </c>
      <c r="T23" s="27" t="s">
        <v>288</v>
      </c>
      <c r="U23" s="27" t="s">
        <v>254</v>
      </c>
      <c r="V23" s="34">
        <v>43</v>
      </c>
      <c r="W23" t="str">
        <f t="shared" si="0"/>
        <v>51.1 @ -45°C' 43.8 @ 200°C</v>
      </c>
    </row>
    <row r="24" spans="1:23" x14ac:dyDescent="0.25">
      <c r="A24" s="33">
        <v>21</v>
      </c>
      <c r="B24" s="28" t="s">
        <v>171</v>
      </c>
      <c r="C24" s="27" t="str">
        <f t="shared" ca="1" si="1"/>
        <v>2" - 24"</v>
      </c>
      <c r="D24" s="27" t="str">
        <f t="shared" ca="1" si="2"/>
        <v>Double Block and Bleed Valve, Modular (Ball, Needle, Ball)</v>
      </c>
      <c r="E24" s="29" t="str">
        <f t="shared" ca="1" si="3"/>
        <v>Flanged both ends, ASME B16.5 RTJ (Bleed connection ½”NPTF with plug)</v>
      </c>
      <c r="F24" s="27" t="str">
        <f t="shared" ca="1" si="4"/>
        <v>Forged - ASTM A182 F316L</v>
      </c>
      <c r="G24" s="27" t="str">
        <f t="shared" ca="1" si="5"/>
        <v>PEEK</v>
      </c>
      <c r="H24" s="27" t="str">
        <f t="shared" ca="1" si="6"/>
        <v>E1LN</v>
      </c>
      <c r="I24" s="34">
        <v>461</v>
      </c>
      <c r="J24" s="48" t="s">
        <v>409</v>
      </c>
      <c r="K24" s="25" t="s">
        <v>172</v>
      </c>
      <c r="M24" s="33">
        <v>22</v>
      </c>
      <c r="N24" s="27" t="s">
        <v>289</v>
      </c>
      <c r="O24" s="27" t="s">
        <v>256</v>
      </c>
      <c r="P24" s="27">
        <v>1.1000000000000001</v>
      </c>
      <c r="Q24" s="27" t="s">
        <v>284</v>
      </c>
      <c r="R24" s="27" t="s">
        <v>67</v>
      </c>
      <c r="S24" s="46" t="s">
        <v>126</v>
      </c>
      <c r="T24" s="27" t="s">
        <v>290</v>
      </c>
      <c r="U24" s="27" t="s">
        <v>258</v>
      </c>
      <c r="V24" s="34">
        <v>44</v>
      </c>
      <c r="W24" t="str">
        <f t="shared" si="0"/>
        <v>102.1 @ -45°C' 87.6 @ 200°C</v>
      </c>
    </row>
    <row r="25" spans="1:23" ht="30" x14ac:dyDescent="0.25">
      <c r="A25" s="33">
        <v>22</v>
      </c>
      <c r="B25" s="28" t="s">
        <v>172</v>
      </c>
      <c r="C25" s="27" t="str">
        <f t="shared" ca="1" si="1"/>
        <v>1/2" - 2"</v>
      </c>
      <c r="D25" s="27" t="str">
        <f t="shared" ca="1" si="2"/>
        <v>Double Block and Bleed Valve, Modular (Ball, Needle, Ball)</v>
      </c>
      <c r="E25" s="29" t="str">
        <f t="shared" ca="1" si="3"/>
        <v>Flanged ASME B16.5 RTJ/ Compact Flange / Hub Connector (As per PMS) X 1/2” NPT Female with plug (Bleed connection Size - ½”NPTF with plug)</v>
      </c>
      <c r="F25" s="27" t="str">
        <f t="shared" ca="1" si="4"/>
        <v>Forged - ASTM A182 F316L</v>
      </c>
      <c r="G25" s="27" t="str">
        <f t="shared" ca="1" si="5"/>
        <v>PEEK</v>
      </c>
      <c r="H25" s="27" t="str">
        <f t="shared" ca="1" si="6"/>
        <v>F1LN</v>
      </c>
      <c r="I25" s="34">
        <v>462</v>
      </c>
      <c r="J25" s="48" t="s">
        <v>409</v>
      </c>
      <c r="K25" s="25" t="s">
        <v>173</v>
      </c>
      <c r="M25" s="33">
        <v>23</v>
      </c>
      <c r="N25" s="27" t="s">
        <v>7</v>
      </c>
      <c r="O25" s="27" t="s">
        <v>259</v>
      </c>
      <c r="P25" s="27">
        <v>1.1000000000000001</v>
      </c>
      <c r="Q25" s="27" t="s">
        <v>284</v>
      </c>
      <c r="R25" s="27" t="s">
        <v>67</v>
      </c>
      <c r="S25" s="46" t="s">
        <v>126</v>
      </c>
      <c r="T25" s="27" t="s">
        <v>291</v>
      </c>
      <c r="U25" s="27" t="s">
        <v>262</v>
      </c>
      <c r="V25" s="34">
        <v>45</v>
      </c>
      <c r="W25" t="str">
        <f t="shared" si="0"/>
        <v>153.2 @ -45°C' 131.4 @ 200°C</v>
      </c>
    </row>
    <row r="26" spans="1:23" ht="30" x14ac:dyDescent="0.25">
      <c r="A26" s="33">
        <v>23</v>
      </c>
      <c r="B26" s="28" t="s">
        <v>173</v>
      </c>
      <c r="C26" s="27" t="str">
        <f t="shared" ca="1" si="1"/>
        <v>2" - 24"</v>
      </c>
      <c r="D26" s="27" t="str">
        <f t="shared" ca="1" si="2"/>
        <v>Double Block and Bleed Valve, Modular (Ball, Needle, Ball)</v>
      </c>
      <c r="E26" s="29" t="str">
        <f t="shared" ca="1" si="3"/>
        <v>Flanged both ends, Flanged ASME B16.5 RTJ/ Compact Flange / Hub Connector (As per PMS) (Bleed connection ½”NPTF with plug)</v>
      </c>
      <c r="F26" s="27" t="str">
        <f t="shared" ca="1" si="4"/>
        <v>Forged - ASTM A182 F316L</v>
      </c>
      <c r="G26" s="27" t="str">
        <f t="shared" ca="1" si="5"/>
        <v>PEEK</v>
      </c>
      <c r="H26" s="27" t="str">
        <f t="shared" ca="1" si="6"/>
        <v>F1LN</v>
      </c>
      <c r="I26" s="34">
        <v>463</v>
      </c>
      <c r="J26" s="48" t="s">
        <v>409</v>
      </c>
      <c r="K26" s="25" t="s">
        <v>174</v>
      </c>
      <c r="M26" s="33">
        <v>24</v>
      </c>
      <c r="N26" s="27" t="s">
        <v>9</v>
      </c>
      <c r="O26" s="27" t="s">
        <v>263</v>
      </c>
      <c r="P26" s="27">
        <v>1.1000000000000001</v>
      </c>
      <c r="Q26" s="27" t="s">
        <v>284</v>
      </c>
      <c r="R26" s="27" t="s">
        <v>67</v>
      </c>
      <c r="S26" s="46" t="s">
        <v>126</v>
      </c>
      <c r="T26" s="27" t="s">
        <v>292</v>
      </c>
      <c r="U26" s="27" t="s">
        <v>265</v>
      </c>
      <c r="V26" s="34">
        <v>46</v>
      </c>
      <c r="W26" t="str">
        <f t="shared" si="0"/>
        <v>255.3 @ -45°C' 219 @ 200°C</v>
      </c>
    </row>
    <row r="27" spans="1:23" ht="30" x14ac:dyDescent="0.25">
      <c r="A27" s="33">
        <v>24</v>
      </c>
      <c r="B27" s="28" t="s">
        <v>174</v>
      </c>
      <c r="C27" s="27" t="str">
        <f t="shared" ca="1" si="1"/>
        <v>1/2" - 2"</v>
      </c>
      <c r="D27" s="27" t="str">
        <f t="shared" ca="1" si="2"/>
        <v>Double Block and Bleed Valve, Modular (Ball, Needle, Ball)</v>
      </c>
      <c r="E27" s="29" t="str">
        <f t="shared" ca="1" si="3"/>
        <v>Flanged ASME B16.5 RTJ/ Compact Flange / Hub Connector (As per PMS) X 1/2” NPT Female with plug (Bleed connection Size - ½”NPTF with plug)</v>
      </c>
      <c r="F27" s="27" t="str">
        <f t="shared" ca="1" si="4"/>
        <v>Forged - ASTM A182 F316L</v>
      </c>
      <c r="G27" s="27" t="str">
        <f t="shared" ca="1" si="5"/>
        <v>PEEK</v>
      </c>
      <c r="H27" s="27" t="str">
        <f t="shared" ca="1" si="6"/>
        <v>G1LN</v>
      </c>
      <c r="I27" s="34">
        <v>464</v>
      </c>
      <c r="J27" s="48" t="s">
        <v>409</v>
      </c>
      <c r="K27" s="25" t="s">
        <v>175</v>
      </c>
      <c r="M27" s="33">
        <v>25</v>
      </c>
      <c r="N27" s="27" t="s">
        <v>11</v>
      </c>
      <c r="O27" s="27" t="s">
        <v>266</v>
      </c>
      <c r="P27" s="27">
        <v>1.1000000000000001</v>
      </c>
      <c r="Q27" s="27" t="s">
        <v>284</v>
      </c>
      <c r="R27" s="27" t="s">
        <v>67</v>
      </c>
      <c r="S27" s="46" t="s">
        <v>127</v>
      </c>
      <c r="T27" s="27" t="s">
        <v>268</v>
      </c>
      <c r="U27" s="27" t="s">
        <v>269</v>
      </c>
      <c r="V27" s="34">
        <v>47</v>
      </c>
      <c r="W27" t="str">
        <f t="shared" si="0"/>
        <v>399.8 @ -29°C' 342.9 @ 200°C</v>
      </c>
    </row>
    <row r="28" spans="1:23" ht="30" x14ac:dyDescent="0.25">
      <c r="A28" s="33">
        <v>25</v>
      </c>
      <c r="B28" s="28" t="s">
        <v>175</v>
      </c>
      <c r="C28" s="27" t="str">
        <f t="shared" ca="1" si="1"/>
        <v>2" - 24"</v>
      </c>
      <c r="D28" s="27" t="str">
        <f t="shared" ca="1" si="2"/>
        <v>Double Block and Bleed Valve, Modular (Ball, Needle, Ball)</v>
      </c>
      <c r="E28" s="29" t="str">
        <f t="shared" ca="1" si="3"/>
        <v>Flanged both ends, Flanged ASME B16.5 RTJ/ Compact Flange / Hub Connector (As per PMS) (Bleed connection ½”NPTF with plug)</v>
      </c>
      <c r="F28" s="27" t="str">
        <f t="shared" ca="1" si="4"/>
        <v>Forged - ASTM A182 F316L</v>
      </c>
      <c r="G28" s="27" t="str">
        <f t="shared" ca="1" si="5"/>
        <v>PEEK</v>
      </c>
      <c r="H28" s="27" t="str">
        <f t="shared" ca="1" si="6"/>
        <v>G1LN</v>
      </c>
      <c r="I28" s="34">
        <v>465</v>
      </c>
      <c r="J28" s="48" t="s">
        <v>409</v>
      </c>
      <c r="K28" s="25" t="s">
        <v>176</v>
      </c>
      <c r="M28" s="33">
        <v>26</v>
      </c>
      <c r="N28" s="27" t="s">
        <v>293</v>
      </c>
      <c r="O28" s="27" t="s">
        <v>245</v>
      </c>
      <c r="P28" s="27">
        <v>1.1000000000000001</v>
      </c>
      <c r="Q28" s="27" t="s">
        <v>284</v>
      </c>
      <c r="R28" s="27" t="s">
        <v>68</v>
      </c>
      <c r="S28" s="46" t="s">
        <v>126</v>
      </c>
      <c r="T28" s="27" t="s">
        <v>286</v>
      </c>
      <c r="U28" s="27" t="s">
        <v>249</v>
      </c>
      <c r="V28" s="34">
        <v>48</v>
      </c>
      <c r="W28" t="str">
        <f t="shared" si="0"/>
        <v>19.6 @ -45°C' 13.8 @ 200°C</v>
      </c>
    </row>
    <row r="29" spans="1:23" ht="30" x14ac:dyDescent="0.25">
      <c r="A29" s="33">
        <v>26</v>
      </c>
      <c r="B29" s="28" t="s">
        <v>403</v>
      </c>
      <c r="C29" s="27" t="str">
        <f t="shared" ca="1" si="1"/>
        <v>2" - 24"</v>
      </c>
      <c r="D29" s="27" t="str">
        <f t="shared" ca="1" si="2"/>
        <v>Double Block and Bleed Valve, Modular (Ball, Needle, Ball)</v>
      </c>
      <c r="E29" s="29" t="str">
        <f t="shared" ca="1" si="3"/>
        <v>Flanged both ends, Flanged ASME B16.5 RTJ/ Compact Flange / Hub Connector (As per PMS) (Bleed connection ½”NPTF with plug)</v>
      </c>
      <c r="F29" s="27" t="str">
        <f t="shared" ca="1" si="4"/>
        <v>Forged - ASTM A182 F316L</v>
      </c>
      <c r="G29" s="27" t="str">
        <f t="shared" ca="1" si="5"/>
        <v>Metal seated, hard faced, Renewable</v>
      </c>
      <c r="H29" s="27" t="str">
        <f t="shared" ca="1" si="6"/>
        <v>G1LN</v>
      </c>
      <c r="I29" s="34">
        <v>466</v>
      </c>
      <c r="J29" s="48" t="s">
        <v>409</v>
      </c>
      <c r="K29" s="25" t="s">
        <v>177</v>
      </c>
      <c r="M29" s="33">
        <v>27</v>
      </c>
      <c r="N29" s="27" t="s">
        <v>294</v>
      </c>
      <c r="O29" s="27" t="s">
        <v>251</v>
      </c>
      <c r="P29" s="27">
        <v>1.1000000000000001</v>
      </c>
      <c r="Q29" s="27" t="s">
        <v>284</v>
      </c>
      <c r="R29" s="27" t="s">
        <v>68</v>
      </c>
      <c r="S29" s="46" t="s">
        <v>126</v>
      </c>
      <c r="T29" s="27" t="s">
        <v>288</v>
      </c>
      <c r="U29" s="27" t="s">
        <v>254</v>
      </c>
      <c r="V29" s="34">
        <v>49</v>
      </c>
      <c r="W29" t="str">
        <f t="shared" si="0"/>
        <v>51.1 @ -45°C' 43.8 @ 200°C</v>
      </c>
    </row>
    <row r="30" spans="1:23" ht="30" x14ac:dyDescent="0.25">
      <c r="A30" s="33">
        <v>27</v>
      </c>
      <c r="B30" s="28" t="s">
        <v>176</v>
      </c>
      <c r="C30" s="27" t="str">
        <f t="shared" ca="1" si="1"/>
        <v>1/2" - 2"</v>
      </c>
      <c r="D30" s="27" t="str">
        <f t="shared" ca="1" si="2"/>
        <v>Double Block and Bleed Valve, Modular (Ball, Needle, Ball)</v>
      </c>
      <c r="E30" s="29" t="str">
        <f t="shared" ca="1" si="3"/>
        <v>Flanged ASME B16.5 RTJ X 1/2” NPT Female with plug (Bleed connection Size - ½”NPTF with plug)</v>
      </c>
      <c r="F30" s="27" t="str">
        <f t="shared" ca="1" si="4"/>
        <v>Forged - ASTM A182 F316L</v>
      </c>
      <c r="G30" s="27" t="str">
        <f t="shared" ca="1" si="5"/>
        <v>PEEK</v>
      </c>
      <c r="H30" s="27" t="str">
        <f t="shared" ca="1" si="6"/>
        <v>E2LN</v>
      </c>
      <c r="I30" s="34">
        <v>467</v>
      </c>
      <c r="J30" s="48" t="s">
        <v>409</v>
      </c>
      <c r="K30" s="25" t="s">
        <v>178</v>
      </c>
      <c r="M30" s="33">
        <v>28</v>
      </c>
      <c r="N30" s="27" t="s">
        <v>295</v>
      </c>
      <c r="O30" s="27" t="s">
        <v>256</v>
      </c>
      <c r="P30" s="27">
        <v>1.1000000000000001</v>
      </c>
      <c r="Q30" s="27" t="s">
        <v>284</v>
      </c>
      <c r="R30" s="27" t="s">
        <v>68</v>
      </c>
      <c r="S30" s="46" t="s">
        <v>126</v>
      </c>
      <c r="T30" s="27" t="s">
        <v>290</v>
      </c>
      <c r="U30" s="27" t="s">
        <v>258</v>
      </c>
      <c r="V30" s="34">
        <v>50</v>
      </c>
      <c r="W30" t="str">
        <f t="shared" si="0"/>
        <v>102.1 @ -45°C' 87.6 @ 200°C</v>
      </c>
    </row>
    <row r="31" spans="1:23" x14ac:dyDescent="0.25">
      <c r="A31" s="33">
        <v>28</v>
      </c>
      <c r="B31" s="28" t="s">
        <v>177</v>
      </c>
      <c r="C31" s="27" t="str">
        <f t="shared" ca="1" si="1"/>
        <v>2" - 24"</v>
      </c>
      <c r="D31" s="27" t="str">
        <f t="shared" ca="1" si="2"/>
        <v>Double Block and Bleed Valve, Modular (Ball, Needle, Ball)</v>
      </c>
      <c r="E31" s="29" t="str">
        <f t="shared" ca="1" si="3"/>
        <v>Flanged both ends, ASME B16.5 RTJ (Bleed connection ½”NPTF with plug)</v>
      </c>
      <c r="F31" s="27" t="str">
        <f t="shared" ca="1" si="4"/>
        <v>Forged - ASTM A182 F316L</v>
      </c>
      <c r="G31" s="27" t="str">
        <f t="shared" ca="1" si="5"/>
        <v>PEEK</v>
      </c>
      <c r="H31" s="27" t="str">
        <f t="shared" ca="1" si="6"/>
        <v>E2LN</v>
      </c>
      <c r="I31" s="34">
        <v>468</v>
      </c>
      <c r="J31" s="48" t="s">
        <v>409</v>
      </c>
      <c r="K31" s="25" t="s">
        <v>179</v>
      </c>
      <c r="M31" s="33">
        <v>29</v>
      </c>
      <c r="N31" s="27" t="s">
        <v>128</v>
      </c>
      <c r="O31" s="27" t="s">
        <v>259</v>
      </c>
      <c r="P31" s="27">
        <v>1.1000000000000001</v>
      </c>
      <c r="Q31" s="27" t="s">
        <v>284</v>
      </c>
      <c r="R31" s="27" t="s">
        <v>68</v>
      </c>
      <c r="S31" s="46" t="s">
        <v>126</v>
      </c>
      <c r="T31" s="27" t="s">
        <v>291</v>
      </c>
      <c r="U31" s="27" t="s">
        <v>262</v>
      </c>
      <c r="V31" s="34">
        <v>51</v>
      </c>
      <c r="W31" t="str">
        <f t="shared" si="0"/>
        <v>153.2 @ -45°C' 131.4 @ 200°C</v>
      </c>
    </row>
    <row r="32" spans="1:23" ht="30" x14ac:dyDescent="0.25">
      <c r="A32" s="33">
        <v>29</v>
      </c>
      <c r="B32" s="28" t="s">
        <v>178</v>
      </c>
      <c r="C32" s="27" t="str">
        <f t="shared" ca="1" si="1"/>
        <v>1/2" - 2"</v>
      </c>
      <c r="D32" s="27" t="str">
        <f t="shared" ca="1" si="2"/>
        <v>Double Block and Bleed Valve, Modular (Ball, Needle, Ball)</v>
      </c>
      <c r="E32" s="29" t="str">
        <f t="shared" ca="1" si="3"/>
        <v>Flanged ASME B16.5 RTJ/ Compact Flange / Hub Connector (As per PMS) X 1/2” NPT Female with plug (Bleed connection Size - ½”NPTF with plug)</v>
      </c>
      <c r="F32" s="27" t="str">
        <f t="shared" ca="1" si="4"/>
        <v>Forged - ASTM A182 F316L</v>
      </c>
      <c r="G32" s="27" t="str">
        <f t="shared" ca="1" si="5"/>
        <v>PEEK</v>
      </c>
      <c r="H32" s="27" t="str">
        <f t="shared" ca="1" si="6"/>
        <v>F2LN</v>
      </c>
      <c r="I32" s="34">
        <v>469</v>
      </c>
      <c r="J32" s="48" t="s">
        <v>409</v>
      </c>
      <c r="K32" s="25" t="s">
        <v>180</v>
      </c>
      <c r="M32" s="33">
        <v>30</v>
      </c>
      <c r="N32" s="27" t="s">
        <v>129</v>
      </c>
      <c r="O32" s="27" t="s">
        <v>263</v>
      </c>
      <c r="P32" s="27">
        <v>1.1000000000000001</v>
      </c>
      <c r="Q32" s="27" t="s">
        <v>284</v>
      </c>
      <c r="R32" s="27" t="s">
        <v>68</v>
      </c>
      <c r="S32" s="46" t="s">
        <v>126</v>
      </c>
      <c r="T32" s="27" t="s">
        <v>292</v>
      </c>
      <c r="U32" s="27" t="s">
        <v>265</v>
      </c>
      <c r="V32" s="34">
        <v>52</v>
      </c>
      <c r="W32" t="str">
        <f t="shared" si="0"/>
        <v>255.3 @ -45°C' 219 @ 200°C</v>
      </c>
    </row>
    <row r="33" spans="1:23" ht="30" x14ac:dyDescent="0.25">
      <c r="A33" s="33">
        <v>30</v>
      </c>
      <c r="B33" s="28" t="s">
        <v>179</v>
      </c>
      <c r="C33" s="27" t="str">
        <f t="shared" ca="1" si="1"/>
        <v>2" - 24"</v>
      </c>
      <c r="D33" s="27" t="str">
        <f t="shared" ca="1" si="2"/>
        <v>Double Block and Bleed Valve, Modular (Ball, Needle, Ball)</v>
      </c>
      <c r="E33" s="29" t="str">
        <f t="shared" ca="1" si="3"/>
        <v>Flanged both ends, Flanged ASME B16.5 RTJ/ Compact Flange / Hub Connector (As per PMS) (Bleed connection ½”NPTF with plug)</v>
      </c>
      <c r="F33" s="27" t="str">
        <f t="shared" ca="1" si="4"/>
        <v>Forged - ASTM A182 F316L</v>
      </c>
      <c r="G33" s="27" t="str">
        <f t="shared" ca="1" si="5"/>
        <v>PEEK</v>
      </c>
      <c r="H33" s="27" t="str">
        <f t="shared" ca="1" si="6"/>
        <v>F2LN</v>
      </c>
      <c r="I33" s="34">
        <v>470</v>
      </c>
      <c r="J33" s="48" t="s">
        <v>409</v>
      </c>
      <c r="K33" s="25" t="s">
        <v>181</v>
      </c>
      <c r="M33" s="33">
        <v>31</v>
      </c>
      <c r="N33" s="27" t="s">
        <v>130</v>
      </c>
      <c r="O33" s="27" t="s">
        <v>266</v>
      </c>
      <c r="P33" s="27">
        <v>1.1000000000000001</v>
      </c>
      <c r="Q33" s="27" t="s">
        <v>284</v>
      </c>
      <c r="R33" s="27" t="s">
        <v>68</v>
      </c>
      <c r="S33" s="46" t="s">
        <v>126</v>
      </c>
      <c r="T33" s="27" t="s">
        <v>268</v>
      </c>
      <c r="U33" s="27" t="s">
        <v>269</v>
      </c>
      <c r="V33" s="34">
        <v>53</v>
      </c>
      <c r="W33" t="str">
        <f t="shared" si="0"/>
        <v>399.8 @ -29°C' 342.9 @ 200°C</v>
      </c>
    </row>
    <row r="34" spans="1:23" ht="30" x14ac:dyDescent="0.25">
      <c r="A34" s="33">
        <v>31</v>
      </c>
      <c r="B34" s="28" t="s">
        <v>180</v>
      </c>
      <c r="C34" s="27" t="str">
        <f t="shared" ca="1" si="1"/>
        <v>1/2" - 2"</v>
      </c>
      <c r="D34" s="27" t="str">
        <f t="shared" ca="1" si="2"/>
        <v>Double Block and Bleed Valve, Modular (Ball, Needle, Ball)</v>
      </c>
      <c r="E34" s="29" t="str">
        <f t="shared" ca="1" si="3"/>
        <v>Flanged ASME B16.5 RTJ/ Compact Flange / Hub Connector (As per PMS) X 1/2” NPT Female with plug (Bleed connection Size - ½”NPTF with plug)</v>
      </c>
      <c r="F34" s="27" t="str">
        <f t="shared" ca="1" si="4"/>
        <v>Forged - ASTM A182 F316L</v>
      </c>
      <c r="G34" s="27" t="str">
        <f t="shared" ca="1" si="5"/>
        <v>PEEK</v>
      </c>
      <c r="H34" s="27" t="str">
        <f t="shared" ca="1" si="6"/>
        <v>G2LN</v>
      </c>
      <c r="I34" s="34">
        <v>471</v>
      </c>
      <c r="J34" s="48" t="s">
        <v>409</v>
      </c>
      <c r="K34" s="25" t="s">
        <v>182</v>
      </c>
      <c r="M34" s="33">
        <v>32</v>
      </c>
      <c r="N34" s="27" t="s">
        <v>296</v>
      </c>
      <c r="O34" s="27" t="s">
        <v>245</v>
      </c>
      <c r="P34" s="27">
        <v>1.1000000000000001</v>
      </c>
      <c r="Q34" s="27" t="s">
        <v>297</v>
      </c>
      <c r="R34" s="27" t="s">
        <v>67</v>
      </c>
      <c r="S34" s="29" t="s">
        <v>298</v>
      </c>
      <c r="T34" s="27" t="s">
        <v>299</v>
      </c>
      <c r="U34" s="27" t="s">
        <v>300</v>
      </c>
      <c r="V34" s="34">
        <v>54</v>
      </c>
      <c r="W34" t="str">
        <f t="shared" si="0"/>
        <v>19 @ -29°C'  16.2 @ 100°C</v>
      </c>
    </row>
    <row r="35" spans="1:23" ht="30" x14ac:dyDescent="0.25">
      <c r="A35" s="33">
        <v>32</v>
      </c>
      <c r="B35" s="28" t="s">
        <v>181</v>
      </c>
      <c r="C35" s="27" t="str">
        <f t="shared" ca="1" si="1"/>
        <v>2" - 24"</v>
      </c>
      <c r="D35" s="27" t="str">
        <f t="shared" ca="1" si="2"/>
        <v>Double Block and Bleed Valve, Modular (Ball, Needle, Ball)</v>
      </c>
      <c r="E35" s="29" t="str">
        <f t="shared" ca="1" si="3"/>
        <v>Flanged both ends, Flanged ASME B16.5 RTJ/ Compact Flange / Hub Connector (As per PMS) (Bleed connection ½”NPTF with plug)</v>
      </c>
      <c r="F35" s="27" t="str">
        <f t="shared" ca="1" si="4"/>
        <v>Forged - ASTM A182 F316L</v>
      </c>
      <c r="G35" s="27" t="str">
        <f t="shared" ca="1" si="5"/>
        <v>PEEK</v>
      </c>
      <c r="H35" s="27" t="str">
        <f t="shared" ca="1" si="6"/>
        <v>G2LN</v>
      </c>
      <c r="I35" s="34">
        <v>472</v>
      </c>
      <c r="J35" s="48" t="s">
        <v>409</v>
      </c>
      <c r="K35" s="25" t="s">
        <v>183</v>
      </c>
      <c r="M35" s="33">
        <v>33</v>
      </c>
      <c r="N35" s="27" t="s">
        <v>301</v>
      </c>
      <c r="O35" s="27" t="s">
        <v>245</v>
      </c>
      <c r="P35" s="27">
        <v>1.1000000000000001</v>
      </c>
      <c r="Q35" s="27" t="s">
        <v>297</v>
      </c>
      <c r="R35" s="27" t="s">
        <v>302</v>
      </c>
      <c r="S35" s="46" t="s">
        <v>303</v>
      </c>
      <c r="T35" s="27" t="s">
        <v>299</v>
      </c>
      <c r="U35" s="27" t="s">
        <v>300</v>
      </c>
      <c r="V35" s="34">
        <v>55</v>
      </c>
      <c r="W35" t="str">
        <f t="shared" si="0"/>
        <v>19 @ -29°C'  16.2 @ 100°C</v>
      </c>
    </row>
    <row r="36" spans="1:23" ht="30" x14ac:dyDescent="0.25">
      <c r="A36" s="33">
        <v>33</v>
      </c>
      <c r="B36" s="28" t="s">
        <v>182</v>
      </c>
      <c r="C36" s="27" t="str">
        <f t="shared" ca="1" si="1"/>
        <v>1/2" - 2"</v>
      </c>
      <c r="D36" s="27" t="str">
        <f t="shared" ca="1" si="2"/>
        <v>Double Block and Bleed Valve, Modular (Ball, Needle, Ball)</v>
      </c>
      <c r="E36" s="29" t="str">
        <f t="shared" ca="1" si="3"/>
        <v>Flanged ASME B16.5 RTJ X 1/2” NPT Female with plug (Bleed connection Size - ½”NPTF with plug)</v>
      </c>
      <c r="F36" s="27" t="str">
        <f t="shared" ca="1" si="4"/>
        <v>Forged - ASTM A182 F316L</v>
      </c>
      <c r="G36" s="27" t="str">
        <f t="shared" ca="1" si="5"/>
        <v>PEEK</v>
      </c>
      <c r="H36" s="27" t="str">
        <f t="shared" ca="1" si="6"/>
        <v>E10</v>
      </c>
      <c r="I36" s="34">
        <v>473</v>
      </c>
      <c r="J36" s="48" t="s">
        <v>409</v>
      </c>
      <c r="K36" s="25" t="s">
        <v>184</v>
      </c>
      <c r="M36" s="33">
        <v>34</v>
      </c>
      <c r="N36" s="27" t="s">
        <v>304</v>
      </c>
      <c r="O36" s="27" t="s">
        <v>251</v>
      </c>
      <c r="P36" s="27">
        <v>1.1000000000000001</v>
      </c>
      <c r="Q36" s="27" t="s">
        <v>297</v>
      </c>
      <c r="R36" s="27" t="s">
        <v>302</v>
      </c>
      <c r="S36" s="46" t="s">
        <v>303</v>
      </c>
      <c r="T36" s="27" t="s">
        <v>253</v>
      </c>
      <c r="U36" s="27" t="s">
        <v>274</v>
      </c>
      <c r="V36" s="34">
        <v>56</v>
      </c>
      <c r="W36" t="str">
        <f t="shared" si="0"/>
        <v>51.1 @ -29°C' 43.8 @ 250°C</v>
      </c>
    </row>
    <row r="37" spans="1:23" x14ac:dyDescent="0.25">
      <c r="A37" s="33">
        <v>34</v>
      </c>
      <c r="B37" s="28" t="s">
        <v>183</v>
      </c>
      <c r="C37" s="27" t="str">
        <f t="shared" ca="1" si="1"/>
        <v>2" - 24"</v>
      </c>
      <c r="D37" s="27" t="str">
        <f t="shared" ca="1" si="2"/>
        <v>Double Block and Bleed Valve, Modular (Ball, Needle, Ball)</v>
      </c>
      <c r="E37" s="29" t="str">
        <f t="shared" ca="1" si="3"/>
        <v>Flanged both ends, ASME B16.5 RTJ (Bleed connection ½”NPTF with plug)</v>
      </c>
      <c r="F37" s="27" t="str">
        <f t="shared" ca="1" si="4"/>
        <v>Forged - ASTM A182 F316L</v>
      </c>
      <c r="G37" s="27" t="str">
        <f t="shared" ca="1" si="5"/>
        <v>PEEK</v>
      </c>
      <c r="H37" s="27" t="str">
        <f t="shared" ca="1" si="6"/>
        <v>E10</v>
      </c>
      <c r="I37" s="34">
        <v>474</v>
      </c>
      <c r="J37" s="48" t="s">
        <v>409</v>
      </c>
      <c r="K37" s="25" t="s">
        <v>185</v>
      </c>
      <c r="M37" s="33">
        <v>35</v>
      </c>
      <c r="N37" s="27" t="s">
        <v>305</v>
      </c>
      <c r="O37" s="27" t="s">
        <v>256</v>
      </c>
      <c r="P37" s="27">
        <v>1.1000000000000001</v>
      </c>
      <c r="Q37" s="27" t="s">
        <v>297</v>
      </c>
      <c r="R37" s="27" t="s">
        <v>302</v>
      </c>
      <c r="S37" s="46" t="s">
        <v>303</v>
      </c>
      <c r="T37" s="27" t="s">
        <v>257</v>
      </c>
      <c r="U37" s="27" t="s">
        <v>276</v>
      </c>
      <c r="V37" s="34">
        <v>57</v>
      </c>
      <c r="W37" t="str">
        <f t="shared" si="0"/>
        <v>102.1 @ -29°C' 87.6 @ 250°C</v>
      </c>
    </row>
    <row r="38" spans="1:23" ht="30" x14ac:dyDescent="0.25">
      <c r="A38" s="33">
        <v>35</v>
      </c>
      <c r="B38" s="28" t="s">
        <v>184</v>
      </c>
      <c r="C38" s="27" t="str">
        <f t="shared" ca="1" si="1"/>
        <v>1/2" - 2"</v>
      </c>
      <c r="D38" s="27" t="str">
        <f t="shared" ca="1" si="2"/>
        <v>Double Block and Bleed Valve, Modular (Ball, Needle, Ball)</v>
      </c>
      <c r="E38" s="29" t="str">
        <f t="shared" ca="1" si="3"/>
        <v>Flanged ASME B16.5 RTJ/ Compact Flange / Hub Connector (As per PMS) X 1/2” NPT Female with plug (Bleed connection Size - ½”NPTF with plug)</v>
      </c>
      <c r="F38" s="27" t="str">
        <f t="shared" ca="1" si="4"/>
        <v>Forged - ASTM A182 F316L</v>
      </c>
      <c r="G38" s="27" t="str">
        <f t="shared" ca="1" si="5"/>
        <v>PEEK</v>
      </c>
      <c r="H38" s="27" t="str">
        <f t="shared" ca="1" si="6"/>
        <v>F10</v>
      </c>
      <c r="I38" s="34">
        <v>475</v>
      </c>
      <c r="J38" s="48" t="s">
        <v>409</v>
      </c>
      <c r="K38" s="25" t="s">
        <v>186</v>
      </c>
      <c r="M38" s="33">
        <v>36</v>
      </c>
      <c r="N38" s="27" t="s">
        <v>306</v>
      </c>
      <c r="O38" s="27" t="s">
        <v>245</v>
      </c>
      <c r="P38" s="27">
        <v>1.1000000000000001</v>
      </c>
      <c r="Q38" s="27" t="s">
        <v>307</v>
      </c>
      <c r="R38" s="27" t="s">
        <v>68</v>
      </c>
      <c r="S38" s="29" t="s">
        <v>308</v>
      </c>
      <c r="T38" s="27" t="s">
        <v>299</v>
      </c>
      <c r="U38" s="27" t="s">
        <v>300</v>
      </c>
      <c r="V38" s="34">
        <v>58</v>
      </c>
      <c r="W38" t="str">
        <f t="shared" si="0"/>
        <v>19 @ -29°C'  16.2 @ 100°C</v>
      </c>
    </row>
    <row r="39" spans="1:23" ht="30" x14ac:dyDescent="0.25">
      <c r="A39" s="33">
        <v>36</v>
      </c>
      <c r="B39" s="28" t="s">
        <v>185</v>
      </c>
      <c r="C39" s="27" t="str">
        <f t="shared" ca="1" si="1"/>
        <v>2" - 24"</v>
      </c>
      <c r="D39" s="27" t="str">
        <f t="shared" ca="1" si="2"/>
        <v>Double Block and Bleed Valve, Modular (Ball, Needle, Ball)</v>
      </c>
      <c r="E39" s="29" t="str">
        <f t="shared" ca="1" si="3"/>
        <v>Flanged both ends, Flanged ASME B16.5 RTJ/ Compact Flange / Hub Connector (As per PMS) (Bleed connection ½”NPTF with plug)</v>
      </c>
      <c r="F39" s="27" t="str">
        <f t="shared" ca="1" si="4"/>
        <v>Forged - ASTM A182 F316L</v>
      </c>
      <c r="G39" s="27" t="str">
        <f t="shared" ca="1" si="5"/>
        <v>PEEK</v>
      </c>
      <c r="H39" s="27" t="str">
        <f t="shared" ca="1" si="6"/>
        <v>F10</v>
      </c>
      <c r="I39" s="34">
        <v>476</v>
      </c>
      <c r="J39" s="48" t="s">
        <v>409</v>
      </c>
      <c r="K39" s="25" t="s">
        <v>187</v>
      </c>
      <c r="M39" s="33">
        <v>37</v>
      </c>
      <c r="N39" s="27" t="s">
        <v>309</v>
      </c>
      <c r="O39" s="27" t="s">
        <v>245</v>
      </c>
      <c r="P39" s="27">
        <v>1.1000000000000001</v>
      </c>
      <c r="Q39" s="27" t="s">
        <v>310</v>
      </c>
      <c r="R39" s="27" t="s">
        <v>68</v>
      </c>
      <c r="S39" s="29" t="s">
        <v>311</v>
      </c>
      <c r="T39" s="27" t="s">
        <v>299</v>
      </c>
      <c r="U39" s="27" t="s">
        <v>300</v>
      </c>
      <c r="V39" s="34">
        <v>59</v>
      </c>
      <c r="W39" t="str">
        <f t="shared" si="0"/>
        <v>19 @ -29°C'  16.2 @ 100°C</v>
      </c>
    </row>
    <row r="40" spans="1:23" ht="30" x14ac:dyDescent="0.25">
      <c r="A40" s="33">
        <v>37</v>
      </c>
      <c r="B40" s="28" t="s">
        <v>186</v>
      </c>
      <c r="C40" s="27" t="str">
        <f t="shared" ca="1" si="1"/>
        <v>1/2" - 2"</v>
      </c>
      <c r="D40" s="27" t="str">
        <f t="shared" ca="1" si="2"/>
        <v>Double Block and Bleed Valve, Modular (Ball, Needle, Ball)</v>
      </c>
      <c r="E40" s="29" t="str">
        <f t="shared" ca="1" si="3"/>
        <v>Flanged ASME B16.5 RTJ/ Compact Flange / Hub Connector (As per PMS) X 1/2” NPT Female with plug (Bleed connection Size - ½”NPTF with plug)</v>
      </c>
      <c r="F40" s="27" t="str">
        <f t="shared" ca="1" si="4"/>
        <v>Forged - ASTM A182 F316L</v>
      </c>
      <c r="G40" s="27" t="str">
        <f t="shared" ca="1" si="5"/>
        <v>PEEK</v>
      </c>
      <c r="H40" s="27" t="str">
        <f t="shared" ca="1" si="6"/>
        <v>G10</v>
      </c>
      <c r="I40" s="34">
        <v>477</v>
      </c>
      <c r="J40" s="48" t="s">
        <v>409</v>
      </c>
      <c r="K40" s="25" t="s">
        <v>188</v>
      </c>
      <c r="M40" s="33">
        <v>38</v>
      </c>
      <c r="N40" s="27" t="s">
        <v>312</v>
      </c>
      <c r="O40" s="27" t="s">
        <v>245</v>
      </c>
      <c r="P40" s="27">
        <v>2.2999999999999998</v>
      </c>
      <c r="Q40" s="27" t="s">
        <v>313</v>
      </c>
      <c r="R40" s="27" t="s">
        <v>69</v>
      </c>
      <c r="S40" s="29" t="s">
        <v>314</v>
      </c>
      <c r="T40" s="27" t="s">
        <v>315</v>
      </c>
      <c r="U40" s="27" t="s">
        <v>316</v>
      </c>
      <c r="V40" s="34">
        <v>60</v>
      </c>
      <c r="W40" t="str">
        <f t="shared" si="0"/>
        <v>15.9 @ -100°C' 11.2 @ 200°C</v>
      </c>
    </row>
    <row r="41" spans="1:23" ht="30" x14ac:dyDescent="0.25">
      <c r="A41" s="33">
        <v>38</v>
      </c>
      <c r="B41" s="28" t="s">
        <v>187</v>
      </c>
      <c r="C41" s="27" t="str">
        <f t="shared" ca="1" si="1"/>
        <v>2" - 24"</v>
      </c>
      <c r="D41" s="27" t="str">
        <f t="shared" ca="1" si="2"/>
        <v>Double Block and Bleed Valve, Modular (Ball, Needle, Ball)</v>
      </c>
      <c r="E41" s="29" t="str">
        <f t="shared" ca="1" si="3"/>
        <v>Flanged both ends, Flanged ASME B16.5 RTJ/ Compact Flange / Hub Connector (As per PMS) (Bleed connection ½”NPTF with plug)</v>
      </c>
      <c r="F41" s="27" t="str">
        <f t="shared" ca="1" si="4"/>
        <v>Forged - ASTM A182 F316L</v>
      </c>
      <c r="G41" s="27" t="str">
        <f t="shared" ca="1" si="5"/>
        <v>PEEK</v>
      </c>
      <c r="H41" s="27" t="str">
        <f t="shared" ca="1" si="6"/>
        <v>G10</v>
      </c>
      <c r="I41" s="34">
        <v>478</v>
      </c>
      <c r="J41" s="48" t="s">
        <v>409</v>
      </c>
      <c r="K41" s="25" t="s">
        <v>189</v>
      </c>
      <c r="M41" s="33">
        <v>39</v>
      </c>
      <c r="N41" s="27" t="s">
        <v>317</v>
      </c>
      <c r="O41" s="27" t="s">
        <v>251</v>
      </c>
      <c r="P41" s="27">
        <v>2.2999999999999998</v>
      </c>
      <c r="Q41" s="27" t="s">
        <v>313</v>
      </c>
      <c r="R41" s="27" t="s">
        <v>69</v>
      </c>
      <c r="S41" s="29" t="s">
        <v>318</v>
      </c>
      <c r="T41" s="27" t="s">
        <v>319</v>
      </c>
      <c r="U41" s="27" t="s">
        <v>320</v>
      </c>
      <c r="V41" s="34">
        <v>61</v>
      </c>
      <c r="W41" t="str">
        <f t="shared" si="0"/>
        <v>41.4 @ -100°C' 29.2 @ 200°C</v>
      </c>
    </row>
    <row r="42" spans="1:23" ht="30" x14ac:dyDescent="0.25">
      <c r="A42" s="33">
        <v>39</v>
      </c>
      <c r="B42" s="28" t="s">
        <v>188</v>
      </c>
      <c r="C42" s="27" t="str">
        <f t="shared" ca="1" si="1"/>
        <v>1/2" - 2"</v>
      </c>
      <c r="D42" s="27" t="str">
        <f t="shared" ca="1" si="2"/>
        <v>Double Block and Bleed Valve, Modular (Ball, Needle, Ball)</v>
      </c>
      <c r="E42" s="29" t="str">
        <f t="shared" ca="1" si="3"/>
        <v>Flanged ASME B16.5 RTJ X 1/2” NPT Female with plug (Bleed connection Size - ½”NPTF with plug)</v>
      </c>
      <c r="F42" s="27" t="str">
        <f t="shared" ca="1" si="4"/>
        <v>Forged - ASTM A182 F316L</v>
      </c>
      <c r="G42" s="27" t="str">
        <f t="shared" ca="1" si="5"/>
        <v>PEEK</v>
      </c>
      <c r="H42" s="27" t="str">
        <f t="shared" ca="1" si="6"/>
        <v>E10N</v>
      </c>
      <c r="I42" s="34">
        <v>479</v>
      </c>
      <c r="J42" s="48" t="s">
        <v>409</v>
      </c>
      <c r="K42" s="25" t="s">
        <v>190</v>
      </c>
      <c r="M42" s="33">
        <v>40</v>
      </c>
      <c r="N42" s="27" t="s">
        <v>321</v>
      </c>
      <c r="O42" s="27" t="s">
        <v>256</v>
      </c>
      <c r="P42" s="27">
        <v>2.2999999999999998</v>
      </c>
      <c r="Q42" s="27" t="s">
        <v>313</v>
      </c>
      <c r="R42" s="27" t="s">
        <v>69</v>
      </c>
      <c r="S42" s="46" t="s">
        <v>322</v>
      </c>
      <c r="T42" s="27" t="s">
        <v>323</v>
      </c>
      <c r="U42" s="27" t="s">
        <v>324</v>
      </c>
      <c r="V42" s="34">
        <v>62</v>
      </c>
      <c r="W42" t="str">
        <f t="shared" si="0"/>
        <v>82.7 @ -100°C' 58.3 @ 200°C</v>
      </c>
    </row>
    <row r="43" spans="1:23" x14ac:dyDescent="0.25">
      <c r="A43" s="33">
        <v>40</v>
      </c>
      <c r="B43" s="28" t="s">
        <v>189</v>
      </c>
      <c r="C43" s="27" t="str">
        <f t="shared" ca="1" si="1"/>
        <v>2" - 24"</v>
      </c>
      <c r="D43" s="27" t="str">
        <f t="shared" ca="1" si="2"/>
        <v>Double Block and Bleed Valve, Modular (Ball, Needle, Ball)</v>
      </c>
      <c r="E43" s="29" t="str">
        <f t="shared" ca="1" si="3"/>
        <v>Flanged both ends, ASME B16.5 RTJ (Bleed connection ½”NPTF with plug)</v>
      </c>
      <c r="F43" s="27" t="str">
        <f t="shared" ca="1" si="4"/>
        <v>Forged - ASTM A182 F316L</v>
      </c>
      <c r="G43" s="27" t="str">
        <f t="shared" ca="1" si="5"/>
        <v>PEEK</v>
      </c>
      <c r="H43" s="27" t="str">
        <f t="shared" ca="1" si="6"/>
        <v>E10N</v>
      </c>
      <c r="I43" s="34">
        <v>480</v>
      </c>
      <c r="J43" s="48" t="s">
        <v>409</v>
      </c>
      <c r="K43" s="25" t="s">
        <v>191</v>
      </c>
      <c r="M43" s="33">
        <v>41</v>
      </c>
      <c r="N43" s="27" t="s">
        <v>6</v>
      </c>
      <c r="O43" s="27" t="s">
        <v>259</v>
      </c>
      <c r="P43" s="27">
        <v>2.2999999999999998</v>
      </c>
      <c r="Q43" s="27" t="s">
        <v>313</v>
      </c>
      <c r="R43" s="27" t="s">
        <v>69</v>
      </c>
      <c r="S43" s="46" t="s">
        <v>322</v>
      </c>
      <c r="T43" s="27" t="s">
        <v>325</v>
      </c>
      <c r="U43" s="27" t="s">
        <v>326</v>
      </c>
      <c r="V43" s="34">
        <v>63</v>
      </c>
      <c r="W43" t="str">
        <f t="shared" si="0"/>
        <v>124.1 @ -100°C' 87.5 @ 200°C</v>
      </c>
    </row>
    <row r="44" spans="1:23" ht="30" x14ac:dyDescent="0.25">
      <c r="A44" s="33">
        <v>41</v>
      </c>
      <c r="B44" s="28" t="s">
        <v>190</v>
      </c>
      <c r="C44" s="27" t="str">
        <f t="shared" ca="1" si="1"/>
        <v>1/2" - 2"</v>
      </c>
      <c r="D44" s="27" t="str">
        <f t="shared" ca="1" si="2"/>
        <v>Double Block and Bleed Valve, Modular (Ball, Needle, Ball)</v>
      </c>
      <c r="E44" s="29" t="str">
        <f t="shared" ca="1" si="3"/>
        <v>Flanged ASME B16.5 RTJ/ Compact Flange / Hub Connector (As per PMS) X 1/2” NPT Female with plug (Bleed connection Size - ½”NPTF with plug)</v>
      </c>
      <c r="F44" s="27" t="str">
        <f t="shared" ca="1" si="4"/>
        <v>Forged - ASTM A182 F316L</v>
      </c>
      <c r="G44" s="27" t="str">
        <f t="shared" ca="1" si="5"/>
        <v>PEEK</v>
      </c>
      <c r="H44" s="27" t="str">
        <f t="shared" ca="1" si="6"/>
        <v>F10N</v>
      </c>
      <c r="I44" s="34">
        <v>481</v>
      </c>
      <c r="J44" s="48" t="s">
        <v>409</v>
      </c>
      <c r="K44" s="25" t="s">
        <v>192</v>
      </c>
      <c r="M44" s="33">
        <v>42</v>
      </c>
      <c r="N44" s="27" t="s">
        <v>8</v>
      </c>
      <c r="O44" s="27" t="s">
        <v>263</v>
      </c>
      <c r="P44" s="27">
        <v>2.2999999999999998</v>
      </c>
      <c r="Q44" s="27" t="s">
        <v>313</v>
      </c>
      <c r="R44" s="27" t="s">
        <v>69</v>
      </c>
      <c r="S44" s="46" t="s">
        <v>322</v>
      </c>
      <c r="T44" s="27" t="s">
        <v>327</v>
      </c>
      <c r="U44" s="27" t="s">
        <v>328</v>
      </c>
      <c r="V44" s="34">
        <v>64</v>
      </c>
      <c r="W44" t="str">
        <f t="shared" si="0"/>
        <v>206.8 @ -100°C' 145.8 @ 200°C</v>
      </c>
    </row>
    <row r="45" spans="1:23" ht="30" x14ac:dyDescent="0.25">
      <c r="A45" s="33">
        <v>42</v>
      </c>
      <c r="B45" s="28" t="s">
        <v>191</v>
      </c>
      <c r="C45" s="27" t="str">
        <f t="shared" ca="1" si="1"/>
        <v>2" - 24"</v>
      </c>
      <c r="D45" s="27" t="str">
        <f t="shared" ca="1" si="2"/>
        <v>Double Block and Bleed Valve, Modular (Ball, Needle, Ball)</v>
      </c>
      <c r="E45" s="29" t="str">
        <f t="shared" ca="1" si="3"/>
        <v>Flanged both ends, Flanged ASME B16.5 RTJ/ Compact Flange / Hub Connector (As per PMS) (Bleed connection ½”NPTF with plug)</v>
      </c>
      <c r="F45" s="27" t="str">
        <f t="shared" ca="1" si="4"/>
        <v>Forged - ASTM A182 F316L</v>
      </c>
      <c r="G45" s="27" t="str">
        <f t="shared" ca="1" si="5"/>
        <v>PEEK</v>
      </c>
      <c r="H45" s="27" t="str">
        <f t="shared" ca="1" si="6"/>
        <v>F10N</v>
      </c>
      <c r="I45" s="34">
        <v>482</v>
      </c>
      <c r="J45" s="48" t="s">
        <v>409</v>
      </c>
      <c r="K45" s="25" t="s">
        <v>193</v>
      </c>
      <c r="M45" s="33">
        <v>43</v>
      </c>
      <c r="N45" s="27" t="s">
        <v>10</v>
      </c>
      <c r="O45" s="27" t="s">
        <v>266</v>
      </c>
      <c r="P45" s="27">
        <v>2.2999999999999998</v>
      </c>
      <c r="Q45" s="27" t="s">
        <v>313</v>
      </c>
      <c r="R45" s="27" t="s">
        <v>69</v>
      </c>
      <c r="S45" s="46" t="s">
        <v>322</v>
      </c>
      <c r="T45" s="27" t="s">
        <v>329</v>
      </c>
      <c r="U45" s="27" t="s">
        <v>330</v>
      </c>
      <c r="V45" s="34">
        <v>65</v>
      </c>
      <c r="W45" t="str">
        <f t="shared" si="0"/>
        <v>344.7 @ -100°C' 243 @ 200°C</v>
      </c>
    </row>
    <row r="46" spans="1:23" ht="30" x14ac:dyDescent="0.25">
      <c r="A46" s="33">
        <v>43</v>
      </c>
      <c r="B46" s="28" t="s">
        <v>192</v>
      </c>
      <c r="C46" s="27" t="str">
        <f t="shared" ca="1" si="1"/>
        <v>1/2" - 2"</v>
      </c>
      <c r="D46" s="27" t="str">
        <f t="shared" ca="1" si="2"/>
        <v>Double Block and Bleed Valve, Modular (Ball, Needle, Ball)</v>
      </c>
      <c r="E46" s="29" t="str">
        <f t="shared" ca="1" si="3"/>
        <v>Flanged ASME B16.5 RTJ/ Compact Flange / Hub Connector (As per PMS) X 1/2” NPT Female with plug (Bleed connection Size - ½”NPTF with plug)</v>
      </c>
      <c r="F46" s="27" t="str">
        <f t="shared" ca="1" si="4"/>
        <v>Forged - ASTM A182 F316L</v>
      </c>
      <c r="G46" s="27" t="str">
        <f t="shared" ca="1" si="5"/>
        <v>PEEK</v>
      </c>
      <c r="H46" s="27" t="str">
        <f t="shared" ca="1" si="6"/>
        <v>G10N</v>
      </c>
      <c r="I46" s="34">
        <v>483</v>
      </c>
      <c r="J46" s="48" t="s">
        <v>409</v>
      </c>
      <c r="K46" s="25" t="s">
        <v>194</v>
      </c>
      <c r="M46" s="33">
        <v>44</v>
      </c>
      <c r="N46" s="27" t="s">
        <v>331</v>
      </c>
      <c r="O46" s="27" t="s">
        <v>245</v>
      </c>
      <c r="P46" s="27">
        <v>2.2999999999999998</v>
      </c>
      <c r="Q46" s="27" t="s">
        <v>332</v>
      </c>
      <c r="R46" s="27" t="s">
        <v>69</v>
      </c>
      <c r="S46" s="46" t="s">
        <v>131</v>
      </c>
      <c r="T46" s="27" t="s">
        <v>315</v>
      </c>
      <c r="U46" s="27" t="s">
        <v>316</v>
      </c>
      <c r="V46" s="34">
        <v>66</v>
      </c>
      <c r="W46" t="str">
        <f t="shared" si="0"/>
        <v>15.9 @ -100°C' 11.2 @ 200°C</v>
      </c>
    </row>
    <row r="47" spans="1:23" ht="30" x14ac:dyDescent="0.25">
      <c r="A47" s="33">
        <v>44</v>
      </c>
      <c r="B47" s="28" t="s">
        <v>193</v>
      </c>
      <c r="C47" s="27" t="str">
        <f t="shared" ca="1" si="1"/>
        <v>2" - 24"</v>
      </c>
      <c r="D47" s="27" t="str">
        <f t="shared" ca="1" si="2"/>
        <v>Double Block and Bleed Valve, Modular (Ball, Needle, Ball)</v>
      </c>
      <c r="E47" s="29" t="str">
        <f t="shared" ca="1" si="3"/>
        <v>Flanged both ends, Flanged ASME B16.5 RTJ/ Compact Flange / Hub Connector (As per PMS) (Bleed connection ½”NPTF with plug)</v>
      </c>
      <c r="F47" s="27" t="str">
        <f t="shared" ca="1" si="4"/>
        <v>Forged - ASTM A182 F316L</v>
      </c>
      <c r="G47" s="27" t="str">
        <f t="shared" ca="1" si="5"/>
        <v>PEEK</v>
      </c>
      <c r="H47" s="27" t="str">
        <f t="shared" ca="1" si="6"/>
        <v>G10N</v>
      </c>
      <c r="I47" s="34">
        <v>484</v>
      </c>
      <c r="J47" s="48" t="s">
        <v>409</v>
      </c>
      <c r="K47" s="25" t="s">
        <v>195</v>
      </c>
      <c r="M47" s="33">
        <v>45</v>
      </c>
      <c r="N47" s="27" t="s">
        <v>333</v>
      </c>
      <c r="O47" s="27" t="s">
        <v>251</v>
      </c>
      <c r="P47" s="27">
        <v>2.2999999999999998</v>
      </c>
      <c r="Q47" s="27" t="s">
        <v>332</v>
      </c>
      <c r="R47" s="27" t="s">
        <v>69</v>
      </c>
      <c r="S47" s="46" t="s">
        <v>131</v>
      </c>
      <c r="T47" s="27" t="s">
        <v>319</v>
      </c>
      <c r="U47" s="27" t="s">
        <v>320</v>
      </c>
      <c r="V47" s="34">
        <v>67</v>
      </c>
      <c r="W47" t="str">
        <f t="shared" si="0"/>
        <v>41.4 @ -100°C' 29.2 @ 200°C</v>
      </c>
    </row>
    <row r="48" spans="1:23" ht="30" x14ac:dyDescent="0.25">
      <c r="A48" s="33">
        <v>45</v>
      </c>
      <c r="B48" s="28" t="s">
        <v>194</v>
      </c>
      <c r="C48" s="27" t="str">
        <f t="shared" ca="1" si="1"/>
        <v>1/2" - 2"</v>
      </c>
      <c r="D48" s="27" t="str">
        <f t="shared" ca="1" si="2"/>
        <v>Double Block and Bleed Valve, Modular (Ball, Needle, Ball)</v>
      </c>
      <c r="E48" s="29" t="str">
        <f t="shared" ca="1" si="3"/>
        <v>Flanged ASME B16.5 RTJ X 1/2” NPT Female with plug (Bleed connection Size - ½”NPTF with plug)</v>
      </c>
      <c r="F48" s="27" t="str">
        <f t="shared" ca="1" si="4"/>
        <v>Forged - ASTM A182 F60</v>
      </c>
      <c r="G48" s="27" t="str">
        <f t="shared" ca="1" si="5"/>
        <v>PEEK</v>
      </c>
      <c r="H48" s="27" t="str">
        <f t="shared" ca="1" si="6"/>
        <v>E20N</v>
      </c>
      <c r="I48" s="34">
        <v>485</v>
      </c>
      <c r="J48" s="48" t="s">
        <v>409</v>
      </c>
      <c r="K48" s="25" t="s">
        <v>196</v>
      </c>
      <c r="M48" s="33">
        <v>46</v>
      </c>
      <c r="N48" s="27" t="s">
        <v>334</v>
      </c>
      <c r="O48" s="27" t="s">
        <v>256</v>
      </c>
      <c r="P48" s="27">
        <v>2.2999999999999998</v>
      </c>
      <c r="Q48" s="27" t="s">
        <v>332</v>
      </c>
      <c r="R48" s="27" t="s">
        <v>69</v>
      </c>
      <c r="S48" s="46" t="s">
        <v>131</v>
      </c>
      <c r="T48" s="27" t="s">
        <v>323</v>
      </c>
      <c r="U48" s="27" t="s">
        <v>324</v>
      </c>
      <c r="V48" s="34">
        <v>68</v>
      </c>
      <c r="W48" t="str">
        <f t="shared" si="0"/>
        <v>82.7 @ -100°C' 58.3 @ 200°C</v>
      </c>
    </row>
    <row r="49" spans="1:23" x14ac:dyDescent="0.25">
      <c r="A49" s="33">
        <v>46</v>
      </c>
      <c r="B49" s="28" t="s">
        <v>195</v>
      </c>
      <c r="C49" s="27" t="str">
        <f t="shared" ca="1" si="1"/>
        <v>2" - 24"</v>
      </c>
      <c r="D49" s="27" t="str">
        <f t="shared" ca="1" si="2"/>
        <v>Double Block and Bleed Valve, Modular (Ball, Needle, Ball)</v>
      </c>
      <c r="E49" s="29" t="str">
        <f t="shared" ca="1" si="3"/>
        <v>Flanged both ends, ASME B16.5 RTJ (Bleed connection ½”NPTF with plug)</v>
      </c>
      <c r="F49" s="27" t="str">
        <f t="shared" ca="1" si="4"/>
        <v>Forged - ASTM A182 F60</v>
      </c>
      <c r="G49" s="27" t="str">
        <f t="shared" ca="1" si="5"/>
        <v>PEEK</v>
      </c>
      <c r="H49" s="27" t="str">
        <f t="shared" ca="1" si="6"/>
        <v>E20N</v>
      </c>
      <c r="I49" s="34">
        <v>486</v>
      </c>
      <c r="J49" s="48" t="s">
        <v>409</v>
      </c>
      <c r="K49" s="25" t="s">
        <v>197</v>
      </c>
      <c r="M49" s="33">
        <v>47</v>
      </c>
      <c r="N49" s="27" t="s">
        <v>132</v>
      </c>
      <c r="O49" s="27" t="s">
        <v>259</v>
      </c>
      <c r="P49" s="27">
        <v>2.2999999999999998</v>
      </c>
      <c r="Q49" s="27" t="s">
        <v>332</v>
      </c>
      <c r="R49" s="27" t="s">
        <v>69</v>
      </c>
      <c r="S49" s="46" t="s">
        <v>131</v>
      </c>
      <c r="T49" s="27" t="s">
        <v>325</v>
      </c>
      <c r="U49" s="27" t="s">
        <v>326</v>
      </c>
      <c r="V49" s="34">
        <v>69</v>
      </c>
      <c r="W49" t="str">
        <f t="shared" si="0"/>
        <v>124.1 @ -100°C' 87.5 @ 200°C</v>
      </c>
    </row>
    <row r="50" spans="1:23" ht="30" x14ac:dyDescent="0.25">
      <c r="A50" s="33">
        <v>47</v>
      </c>
      <c r="B50" s="28" t="s">
        <v>196</v>
      </c>
      <c r="C50" s="27" t="str">
        <f t="shared" ca="1" si="1"/>
        <v>1/2" - 2"</v>
      </c>
      <c r="D50" s="27" t="str">
        <f t="shared" ca="1" si="2"/>
        <v>Double Block and Bleed Valve, Modular (Ball, Needle, Ball)</v>
      </c>
      <c r="E50" s="29" t="str">
        <f t="shared" ca="1" si="3"/>
        <v>Flanged ASME B16.5 RTJ/ Compact Flange / Hub Connector (As per PMS) X 1/2” NPT Female with plug (Bleed connection Size - ½”NPTF with plug)</v>
      </c>
      <c r="F50" s="27" t="str">
        <f t="shared" ca="1" si="4"/>
        <v>Forged - ASTM A182 F60</v>
      </c>
      <c r="G50" s="27" t="str">
        <f t="shared" ca="1" si="5"/>
        <v>PEEK</v>
      </c>
      <c r="H50" s="27" t="str">
        <f t="shared" ca="1" si="6"/>
        <v>F20N</v>
      </c>
      <c r="I50" s="34">
        <v>487</v>
      </c>
      <c r="J50" s="48" t="s">
        <v>409</v>
      </c>
      <c r="K50" s="25" t="s">
        <v>198</v>
      </c>
      <c r="M50" s="33">
        <v>48</v>
      </c>
      <c r="N50" s="27" t="s">
        <v>133</v>
      </c>
      <c r="O50" s="27" t="s">
        <v>263</v>
      </c>
      <c r="P50" s="27">
        <v>2.2999999999999998</v>
      </c>
      <c r="Q50" s="27" t="s">
        <v>332</v>
      </c>
      <c r="R50" s="27" t="s">
        <v>69</v>
      </c>
      <c r="S50" s="46" t="s">
        <v>131</v>
      </c>
      <c r="T50" s="27" t="s">
        <v>327</v>
      </c>
      <c r="U50" s="27" t="s">
        <v>328</v>
      </c>
      <c r="V50" s="34">
        <v>70</v>
      </c>
      <c r="W50" t="str">
        <f t="shared" si="0"/>
        <v>206.8 @ -100°C' 145.8 @ 200°C</v>
      </c>
    </row>
    <row r="51" spans="1:23" ht="30" x14ac:dyDescent="0.25">
      <c r="A51" s="33">
        <v>48</v>
      </c>
      <c r="B51" s="28" t="s">
        <v>197</v>
      </c>
      <c r="C51" s="27" t="str">
        <f t="shared" ca="1" si="1"/>
        <v>2" - 24"</v>
      </c>
      <c r="D51" s="27" t="str">
        <f t="shared" ca="1" si="2"/>
        <v>Double Block and Bleed Valve, Modular (Ball, Needle, Ball)</v>
      </c>
      <c r="E51" s="29" t="str">
        <f t="shared" ca="1" si="3"/>
        <v>Flanged both ends, Flanged ASME B16.5 RTJ/ Compact Flange / Hub Connector (As per PMS) (Bleed connection ½”NPTF with plug)</v>
      </c>
      <c r="F51" s="27" t="str">
        <f t="shared" ca="1" si="4"/>
        <v>Forged - ASTM A182 F60</v>
      </c>
      <c r="G51" s="27" t="str">
        <f t="shared" ca="1" si="5"/>
        <v>PEEK</v>
      </c>
      <c r="H51" s="27" t="str">
        <f t="shared" ca="1" si="6"/>
        <v>F20N</v>
      </c>
      <c r="I51" s="34">
        <v>488</v>
      </c>
      <c r="J51" s="48" t="s">
        <v>409</v>
      </c>
      <c r="K51" s="25" t="s">
        <v>199</v>
      </c>
      <c r="M51" s="33">
        <v>49</v>
      </c>
      <c r="N51" s="27" t="s">
        <v>134</v>
      </c>
      <c r="O51" s="27" t="s">
        <v>266</v>
      </c>
      <c r="P51" s="27">
        <v>2.2999999999999998</v>
      </c>
      <c r="Q51" s="27" t="s">
        <v>332</v>
      </c>
      <c r="R51" s="27" t="s">
        <v>69</v>
      </c>
      <c r="S51" s="46" t="s">
        <v>131</v>
      </c>
      <c r="T51" s="27" t="s">
        <v>329</v>
      </c>
      <c r="U51" s="27" t="s">
        <v>330</v>
      </c>
      <c r="V51" s="34">
        <v>71</v>
      </c>
      <c r="W51" t="str">
        <f t="shared" si="0"/>
        <v>344.7 @ -100°C' 243 @ 200°C</v>
      </c>
    </row>
    <row r="52" spans="1:23" ht="30" x14ac:dyDescent="0.25">
      <c r="A52" s="33">
        <v>49</v>
      </c>
      <c r="B52" s="28" t="s">
        <v>198</v>
      </c>
      <c r="C52" s="27" t="str">
        <f t="shared" ca="1" si="1"/>
        <v>1/2" - 2"</v>
      </c>
      <c r="D52" s="27" t="str">
        <f t="shared" ca="1" si="2"/>
        <v>Double Block and Bleed Valve, Modular (Ball, Needle, Ball)</v>
      </c>
      <c r="E52" s="29" t="str">
        <f t="shared" ca="1" si="3"/>
        <v>Flanged ASME B16.5 RTJ/ Compact Flange / Hub Connector (As per PMS) X 1/2” NPT Female with plug (Bleed connection Size - ½”NPTF with plug)</v>
      </c>
      <c r="F52" s="27" t="str">
        <f t="shared" ca="1" si="4"/>
        <v>Forged - ASTM A182 F60</v>
      </c>
      <c r="G52" s="27" t="str">
        <f t="shared" ca="1" si="5"/>
        <v>PEEK</v>
      </c>
      <c r="H52" s="27" t="str">
        <f t="shared" ca="1" si="6"/>
        <v>G20N</v>
      </c>
      <c r="I52" s="34">
        <v>489</v>
      </c>
      <c r="J52" s="48" t="s">
        <v>409</v>
      </c>
      <c r="K52" s="25" t="s">
        <v>200</v>
      </c>
      <c r="M52" s="33">
        <v>50</v>
      </c>
      <c r="N52" s="27" t="s">
        <v>335</v>
      </c>
      <c r="O52" s="27" t="s">
        <v>245</v>
      </c>
      <c r="P52" s="27">
        <v>2.8</v>
      </c>
      <c r="Q52" s="27" t="s">
        <v>336</v>
      </c>
      <c r="R52" s="27" t="s">
        <v>69</v>
      </c>
      <c r="S52" s="29" t="s">
        <v>125</v>
      </c>
      <c r="T52" s="27" t="s">
        <v>337</v>
      </c>
      <c r="U52" s="27" t="s">
        <v>249</v>
      </c>
      <c r="V52" s="34">
        <v>72</v>
      </c>
      <c r="W52" t="str">
        <f t="shared" si="0"/>
        <v>20 @ -46°C' 13.8 @ 200°C</v>
      </c>
    </row>
    <row r="53" spans="1:23" ht="30" x14ac:dyDescent="0.25">
      <c r="A53" s="33">
        <v>50</v>
      </c>
      <c r="B53" s="28" t="s">
        <v>199</v>
      </c>
      <c r="C53" s="27" t="str">
        <f t="shared" ca="1" si="1"/>
        <v>2" - 24"</v>
      </c>
      <c r="D53" s="27" t="str">
        <f t="shared" ca="1" si="2"/>
        <v>Double Block and Bleed Valve, Modular (Ball, Needle, Ball)</v>
      </c>
      <c r="E53" s="29" t="str">
        <f t="shared" ca="1" si="3"/>
        <v>Flanged both ends, Flanged ASME B16.5 RTJ/ Compact Flange / Hub Connector (As per PMS) (Bleed connection ½”NPTF with plug)</v>
      </c>
      <c r="F53" s="27" t="str">
        <f t="shared" ca="1" si="4"/>
        <v>Forged - ASTM A182 F60</v>
      </c>
      <c r="G53" s="27" t="str">
        <f t="shared" ca="1" si="5"/>
        <v>PEEK</v>
      </c>
      <c r="H53" s="27" t="str">
        <f t="shared" ca="1" si="6"/>
        <v>G20N</v>
      </c>
      <c r="I53" s="34">
        <v>490</v>
      </c>
      <c r="J53" s="48" t="s">
        <v>409</v>
      </c>
      <c r="K53" s="25" t="s">
        <v>201</v>
      </c>
      <c r="M53" s="33">
        <v>51</v>
      </c>
      <c r="N53" s="27" t="s">
        <v>338</v>
      </c>
      <c r="O53" s="27" t="s">
        <v>251</v>
      </c>
      <c r="P53" s="27">
        <v>2.8</v>
      </c>
      <c r="Q53" s="27" t="s">
        <v>336</v>
      </c>
      <c r="R53" s="27" t="s">
        <v>69</v>
      </c>
      <c r="S53" s="29" t="s">
        <v>125</v>
      </c>
      <c r="T53" s="27" t="s">
        <v>339</v>
      </c>
      <c r="U53" s="27" t="s">
        <v>340</v>
      </c>
      <c r="V53" s="34">
        <v>73</v>
      </c>
      <c r="W53" t="str">
        <f t="shared" si="0"/>
        <v>51.7 @ -46°C' 42.7 @ 200°C</v>
      </c>
    </row>
    <row r="54" spans="1:23" ht="30" x14ac:dyDescent="0.25">
      <c r="A54" s="33">
        <v>51</v>
      </c>
      <c r="B54" s="28" t="s">
        <v>404</v>
      </c>
      <c r="C54" s="27" t="str">
        <f t="shared" ca="1" si="1"/>
        <v>2" - 24"</v>
      </c>
      <c r="D54" s="27" t="str">
        <f t="shared" ca="1" si="2"/>
        <v>Double Block and Bleed Valve, Modular (Ball, Needle, Ball)</v>
      </c>
      <c r="E54" s="29" t="str">
        <f t="shared" ca="1" si="3"/>
        <v>Flanged both ends, Flanged ASME B16.5 RTJ/ Compact Flange / Hub Connector (As per PMS) (Bleed connection ½”NPTF with plug)</v>
      </c>
      <c r="F54" s="27" t="str">
        <f t="shared" ca="1" si="4"/>
        <v>Forged - ASTM A182 F60</v>
      </c>
      <c r="G54" s="27" t="str">
        <f t="shared" ca="1" si="5"/>
        <v>Metal seated, hard faced, Renewable</v>
      </c>
      <c r="H54" s="27" t="str">
        <f t="shared" ca="1" si="6"/>
        <v>G20N</v>
      </c>
      <c r="I54" s="34">
        <v>491</v>
      </c>
      <c r="J54" s="48" t="s">
        <v>409</v>
      </c>
      <c r="K54" s="25" t="s">
        <v>202</v>
      </c>
      <c r="M54" s="33">
        <v>52</v>
      </c>
      <c r="N54" s="27" t="s">
        <v>341</v>
      </c>
      <c r="O54" s="27" t="s">
        <v>256</v>
      </c>
      <c r="P54" s="27">
        <v>2.8</v>
      </c>
      <c r="Q54" s="27" t="s">
        <v>336</v>
      </c>
      <c r="R54" s="27" t="s">
        <v>69</v>
      </c>
      <c r="S54" s="29" t="s">
        <v>125</v>
      </c>
      <c r="T54" s="27" t="s">
        <v>342</v>
      </c>
      <c r="U54" s="27" t="s">
        <v>343</v>
      </c>
      <c r="V54" s="34">
        <v>74</v>
      </c>
      <c r="W54" t="str">
        <f t="shared" si="0"/>
        <v>103.4 @ -46°C' 85.3 @ 200°C</v>
      </c>
    </row>
    <row r="55" spans="1:23" ht="30" x14ac:dyDescent="0.25">
      <c r="A55" s="33">
        <v>52</v>
      </c>
      <c r="B55" s="28" t="s">
        <v>200</v>
      </c>
      <c r="C55" s="27" t="str">
        <f t="shared" ca="1" si="1"/>
        <v>1/2" - 2"</v>
      </c>
      <c r="D55" s="27" t="str">
        <f t="shared" ca="1" si="2"/>
        <v>Double Block and Bleed Valve, Modular (Ball, Needle, Ball)</v>
      </c>
      <c r="E55" s="29" t="str">
        <f t="shared" ca="1" si="3"/>
        <v>Flanged ASME B16.5 RTJ X 1/2” NPT Female with plug (Bleed connection Size - ½”NPTF with plug)</v>
      </c>
      <c r="F55" s="27" t="str">
        <f t="shared" ca="1" si="4"/>
        <v>Forged - ASTM A182 F53</v>
      </c>
      <c r="G55" s="27" t="str">
        <f t="shared" ca="1" si="5"/>
        <v>PEEK</v>
      </c>
      <c r="H55" s="27" t="str">
        <f t="shared" ca="1" si="6"/>
        <v>E25N</v>
      </c>
      <c r="I55" s="34">
        <v>492</v>
      </c>
      <c r="J55" s="48" t="s">
        <v>409</v>
      </c>
      <c r="K55" s="25" t="s">
        <v>203</v>
      </c>
      <c r="M55" s="33">
        <v>53</v>
      </c>
      <c r="N55" s="27" t="s">
        <v>135</v>
      </c>
      <c r="O55" s="27" t="s">
        <v>259</v>
      </c>
      <c r="P55" s="27">
        <v>2.8</v>
      </c>
      <c r="Q55" s="27" t="s">
        <v>336</v>
      </c>
      <c r="R55" s="27" t="s">
        <v>69</v>
      </c>
      <c r="S55" s="29" t="s">
        <v>125</v>
      </c>
      <c r="T55" s="27" t="s">
        <v>344</v>
      </c>
      <c r="U55" s="27" t="s">
        <v>345</v>
      </c>
      <c r="V55" s="34">
        <v>75</v>
      </c>
      <c r="W55" t="str">
        <f t="shared" si="0"/>
        <v>155.1 @ -46°C' 128 @ 200°C</v>
      </c>
    </row>
    <row r="56" spans="1:23" x14ac:dyDescent="0.25">
      <c r="A56" s="33">
        <v>53</v>
      </c>
      <c r="B56" s="28" t="s">
        <v>201</v>
      </c>
      <c r="C56" s="27" t="str">
        <f t="shared" ca="1" si="1"/>
        <v>2" - 24"</v>
      </c>
      <c r="D56" s="27" t="str">
        <f t="shared" ca="1" si="2"/>
        <v>Double Block and Bleed Valve, Modular (Ball, Needle, Ball)</v>
      </c>
      <c r="E56" s="29" t="str">
        <f t="shared" ca="1" si="3"/>
        <v>Flanged both ends, ASME B16.5 RTJ (Bleed connection ½”NPTF with plug)</v>
      </c>
      <c r="F56" s="27" t="str">
        <f t="shared" ca="1" si="4"/>
        <v>Forged - ASTM A182 F53</v>
      </c>
      <c r="G56" s="27" t="str">
        <f t="shared" ca="1" si="5"/>
        <v>PEEK</v>
      </c>
      <c r="H56" s="27" t="str">
        <f t="shared" ca="1" si="6"/>
        <v>E25N</v>
      </c>
      <c r="I56" s="34">
        <v>493</v>
      </c>
      <c r="J56" s="48" t="s">
        <v>409</v>
      </c>
      <c r="K56" s="25" t="s">
        <v>204</v>
      </c>
      <c r="M56" s="33">
        <v>54</v>
      </c>
      <c r="N56" s="27" t="s">
        <v>136</v>
      </c>
      <c r="O56" s="27" t="s">
        <v>263</v>
      </c>
      <c r="P56" s="27">
        <v>2.8</v>
      </c>
      <c r="Q56" s="27" t="s">
        <v>336</v>
      </c>
      <c r="R56" s="27" t="s">
        <v>69</v>
      </c>
      <c r="S56" s="29" t="s">
        <v>125</v>
      </c>
      <c r="T56" s="27" t="s">
        <v>346</v>
      </c>
      <c r="U56" s="27" t="s">
        <v>347</v>
      </c>
      <c r="V56" s="34">
        <v>76</v>
      </c>
      <c r="W56" t="str">
        <f t="shared" si="0"/>
        <v>258.6 @ -46°C' 213.3 @ 200°C</v>
      </c>
    </row>
    <row r="57" spans="1:23" ht="30" x14ac:dyDescent="0.25">
      <c r="A57" s="33">
        <v>54</v>
      </c>
      <c r="B57" s="28" t="s">
        <v>202</v>
      </c>
      <c r="C57" s="27" t="str">
        <f t="shared" ca="1" si="1"/>
        <v>1/2" - 2"</v>
      </c>
      <c r="D57" s="27" t="str">
        <f t="shared" ca="1" si="2"/>
        <v>Double Block and Bleed Valve, Modular (Ball, Needle, Ball)</v>
      </c>
      <c r="E57" s="29" t="str">
        <f t="shared" ca="1" si="3"/>
        <v>Flanged ASME B16.5 RTJ/ Compact Flange / Hub Connector (As per PMS) X 1/2” NPT Female with plug (Bleed connection Size - ½”NPTF with plug)</v>
      </c>
      <c r="F57" s="27" t="str">
        <f t="shared" ca="1" si="4"/>
        <v>Forged - ASTM A182 F53</v>
      </c>
      <c r="G57" s="27" t="str">
        <f t="shared" ca="1" si="5"/>
        <v>PEEK</v>
      </c>
      <c r="H57" s="27" t="str">
        <f t="shared" ca="1" si="6"/>
        <v>F25N</v>
      </c>
      <c r="I57" s="34">
        <v>494</v>
      </c>
      <c r="J57" s="48" t="s">
        <v>409</v>
      </c>
      <c r="K57" s="25" t="s">
        <v>205</v>
      </c>
      <c r="M57" s="33">
        <v>55</v>
      </c>
      <c r="N57" s="27" t="s">
        <v>137</v>
      </c>
      <c r="O57" s="27" t="s">
        <v>266</v>
      </c>
      <c r="P57" s="27">
        <v>2.8</v>
      </c>
      <c r="Q57" s="27" t="s">
        <v>336</v>
      </c>
      <c r="R57" s="27" t="s">
        <v>69</v>
      </c>
      <c r="S57" s="29" t="s">
        <v>125</v>
      </c>
      <c r="T57" s="27" t="s">
        <v>348</v>
      </c>
      <c r="U57" s="27" t="s">
        <v>349</v>
      </c>
      <c r="V57" s="34">
        <v>77</v>
      </c>
      <c r="W57" t="str">
        <f t="shared" si="0"/>
        <v>430.9 @ -46°C' 355.4 @ 200°C</v>
      </c>
    </row>
    <row r="58" spans="1:23" ht="30" x14ac:dyDescent="0.25">
      <c r="A58" s="33">
        <v>55</v>
      </c>
      <c r="B58" s="28" t="s">
        <v>203</v>
      </c>
      <c r="C58" s="27" t="str">
        <f t="shared" ca="1" si="1"/>
        <v>2" - 24"</v>
      </c>
      <c r="D58" s="27" t="str">
        <f t="shared" ca="1" si="2"/>
        <v>Double Block and Bleed Valve, Modular (Ball, Needle, Ball)</v>
      </c>
      <c r="E58" s="29" t="str">
        <f t="shared" ca="1" si="3"/>
        <v>Flanged both ends, Flanged ASME B16.5 RTJ/ Compact Flange / Hub Connector (As per PMS) (Bleed connection ½”NPTF with plug)</v>
      </c>
      <c r="F58" s="27" t="str">
        <f t="shared" ca="1" si="4"/>
        <v>Forged - ASTM A182 F53</v>
      </c>
      <c r="G58" s="27" t="str">
        <f t="shared" ca="1" si="5"/>
        <v>PEEK</v>
      </c>
      <c r="H58" s="27" t="str">
        <f t="shared" ca="1" si="6"/>
        <v>F25N</v>
      </c>
      <c r="I58" s="34">
        <v>495</v>
      </c>
      <c r="J58" s="48" t="s">
        <v>409</v>
      </c>
      <c r="K58" s="25" t="s">
        <v>380</v>
      </c>
      <c r="M58" s="33">
        <v>56</v>
      </c>
      <c r="N58" s="27" t="s">
        <v>350</v>
      </c>
      <c r="O58" s="27" t="s">
        <v>245</v>
      </c>
      <c r="P58" s="27">
        <v>2.8</v>
      </c>
      <c r="Q58" s="27" t="s">
        <v>351</v>
      </c>
      <c r="R58" s="27" t="s">
        <v>69</v>
      </c>
      <c r="S58" s="29" t="s">
        <v>352</v>
      </c>
      <c r="T58" s="27" t="s">
        <v>337</v>
      </c>
      <c r="U58" s="27" t="s">
        <v>249</v>
      </c>
      <c r="V58" s="34">
        <v>78</v>
      </c>
      <c r="W58" t="str">
        <f t="shared" si="0"/>
        <v>20 @ -46°C' 13.8 @ 200°C</v>
      </c>
    </row>
    <row r="59" spans="1:23" ht="30" x14ac:dyDescent="0.25">
      <c r="A59" s="33">
        <v>56</v>
      </c>
      <c r="B59" s="28" t="s">
        <v>204</v>
      </c>
      <c r="C59" s="27" t="str">
        <f t="shared" ca="1" si="1"/>
        <v>1/2" - 2"</v>
      </c>
      <c r="D59" s="27" t="str">
        <f t="shared" ca="1" si="2"/>
        <v>Double Block and Bleed Valve, Modular (Ball, Needle, Ball)</v>
      </c>
      <c r="E59" s="29" t="str">
        <f t="shared" ca="1" si="3"/>
        <v>Flanged ASME B16.5 RTJ/ Compact Flange / Hub Connector (As per PMS) X 1/2” NPT Female with plug (Bleed connection Size - ½”NPTF with plug)</v>
      </c>
      <c r="F59" s="27" t="str">
        <f t="shared" ca="1" si="4"/>
        <v>Forged - ASTM A182 F53</v>
      </c>
      <c r="G59" s="27" t="str">
        <f t="shared" ca="1" si="5"/>
        <v>PEEK</v>
      </c>
      <c r="H59" s="27" t="str">
        <f t="shared" ca="1" si="6"/>
        <v>G25N</v>
      </c>
      <c r="I59" s="34">
        <v>496</v>
      </c>
      <c r="J59" s="48" t="s">
        <v>409</v>
      </c>
      <c r="K59" s="25" t="s">
        <v>382</v>
      </c>
      <c r="M59" s="33">
        <v>62</v>
      </c>
      <c r="N59" s="27" t="s">
        <v>353</v>
      </c>
      <c r="O59" s="27" t="s">
        <v>266</v>
      </c>
      <c r="P59" s="27">
        <v>2.8</v>
      </c>
      <c r="Q59" s="27" t="s">
        <v>351</v>
      </c>
      <c r="R59" s="27" t="s">
        <v>69</v>
      </c>
      <c r="S59" s="29" t="s">
        <v>354</v>
      </c>
      <c r="T59" s="27" t="s">
        <v>348</v>
      </c>
      <c r="U59" s="27" t="s">
        <v>349</v>
      </c>
      <c r="V59" s="34">
        <v>79</v>
      </c>
      <c r="W59" t="str">
        <f t="shared" si="0"/>
        <v>430.9 @ -46°C' 355.4 @ 200°C</v>
      </c>
    </row>
    <row r="60" spans="1:23" ht="30" x14ac:dyDescent="0.25">
      <c r="A60" s="33">
        <v>57</v>
      </c>
      <c r="B60" s="28" t="s">
        <v>205</v>
      </c>
      <c r="C60" s="27" t="str">
        <f t="shared" ca="1" si="1"/>
        <v>2" - 24"</v>
      </c>
      <c r="D60" s="27" t="str">
        <f t="shared" ca="1" si="2"/>
        <v>Double Block and Bleed Valve, Modular (Ball, Needle, Ball)</v>
      </c>
      <c r="E60" s="29" t="str">
        <f t="shared" ca="1" si="3"/>
        <v>Flanged both ends, Flanged ASME B16.5 RTJ/ Compact Flange / Hub Connector (As per PMS) (Bleed connection ½”NPTF with plug)</v>
      </c>
      <c r="F60" s="27" t="str">
        <f t="shared" ca="1" si="4"/>
        <v>Forged - ASTM A182 F53</v>
      </c>
      <c r="G60" s="27" t="str">
        <f t="shared" ca="1" si="5"/>
        <v>PEEK</v>
      </c>
      <c r="H60" s="27" t="str">
        <f t="shared" ca="1" si="6"/>
        <v>G25N</v>
      </c>
      <c r="I60" s="34">
        <v>497</v>
      </c>
      <c r="J60" s="48" t="s">
        <v>409</v>
      </c>
      <c r="K60" s="25" t="s">
        <v>383</v>
      </c>
      <c r="M60" s="33">
        <v>57</v>
      </c>
      <c r="N60" s="27" t="s">
        <v>355</v>
      </c>
      <c r="O60" s="27" t="s">
        <v>245</v>
      </c>
      <c r="P60" s="27">
        <v>2.8</v>
      </c>
      <c r="Q60" s="27" t="s">
        <v>356</v>
      </c>
      <c r="R60" s="27" t="s">
        <v>69</v>
      </c>
      <c r="S60" s="29" t="s">
        <v>125</v>
      </c>
      <c r="T60" s="27" t="s">
        <v>337</v>
      </c>
      <c r="U60" s="27" t="s">
        <v>249</v>
      </c>
      <c r="V60" s="34">
        <v>80</v>
      </c>
      <c r="W60" t="str">
        <f t="shared" si="0"/>
        <v>20 @ -46°C' 13.8 @ 200°C</v>
      </c>
    </row>
    <row r="61" spans="1:23" x14ac:dyDescent="0.25">
      <c r="A61" s="33">
        <v>58</v>
      </c>
      <c r="B61" s="28" t="s">
        <v>380</v>
      </c>
      <c r="C61" s="27" t="str">
        <f t="shared" ca="1" si="1"/>
        <v>1/2" - 1 1/2"</v>
      </c>
      <c r="D61" s="27" t="str">
        <f t="shared" ca="1" si="2"/>
        <v>Double Block and Bleed Valve, Modular (Ball, Needle, Ball)</v>
      </c>
      <c r="E61" s="29" t="str">
        <f t="shared" ca="1" si="3"/>
        <v>OD Tube Connection or NPT Female (Bleed connection Size - ½”NPTF with plug)</v>
      </c>
      <c r="F61" s="27" t="str">
        <f t="shared" ca="1" si="4"/>
        <v>Forged - ASTM A182 F316L</v>
      </c>
      <c r="G61" s="27" t="str">
        <f t="shared" ca="1" si="5"/>
        <v>PEEK</v>
      </c>
      <c r="H61" s="27" t="str">
        <f t="shared" ca="1" si="6"/>
        <v>T50A, T60A</v>
      </c>
      <c r="I61" s="34">
        <v>498</v>
      </c>
      <c r="J61" s="48" t="s">
        <v>409</v>
      </c>
      <c r="M61" s="33">
        <v>58</v>
      </c>
      <c r="N61" s="27" t="s">
        <v>357</v>
      </c>
      <c r="O61" s="27" t="s">
        <v>251</v>
      </c>
      <c r="P61" s="27">
        <v>2.8</v>
      </c>
      <c r="Q61" s="27" t="s">
        <v>356</v>
      </c>
      <c r="R61" s="27" t="s">
        <v>69</v>
      </c>
      <c r="S61" s="29" t="s">
        <v>125</v>
      </c>
      <c r="T61" s="27" t="s">
        <v>339</v>
      </c>
      <c r="U61" s="27" t="s">
        <v>340</v>
      </c>
      <c r="V61" s="34">
        <v>81</v>
      </c>
      <c r="W61" t="str">
        <f t="shared" si="0"/>
        <v>51.7 @ -46°C' 42.7 @ 200°C</v>
      </c>
    </row>
    <row r="62" spans="1:23" x14ac:dyDescent="0.25">
      <c r="A62" s="33">
        <v>59</v>
      </c>
      <c r="B62" s="28" t="s">
        <v>382</v>
      </c>
      <c r="C62" s="27" t="str">
        <f t="shared" ca="1" si="1"/>
        <v>1/2" - 1 1/2"</v>
      </c>
      <c r="D62" s="27" t="str">
        <f t="shared" ca="1" si="2"/>
        <v>Double Block and Bleed Valve, Modular (Ball, Needle, Ball)</v>
      </c>
      <c r="E62" s="29" t="str">
        <f t="shared" ca="1" si="3"/>
        <v>OD Tube Connection or NPT Female (Bleed connection Size - ½”NPTF with plug)</v>
      </c>
      <c r="F62" s="27" t="str">
        <f t="shared" ca="1" si="4"/>
        <v>Forged - ASTM A182 F316L</v>
      </c>
      <c r="G62" s="27" t="str">
        <f t="shared" ca="1" si="5"/>
        <v>PEEK</v>
      </c>
      <c r="H62" s="27" t="str">
        <f t="shared" ca="1" si="6"/>
        <v>T50B, T60B</v>
      </c>
      <c r="I62" s="34">
        <v>499</v>
      </c>
      <c r="J62" s="48" t="s">
        <v>409</v>
      </c>
      <c r="M62" s="33">
        <v>59</v>
      </c>
      <c r="N62" s="27" t="s">
        <v>358</v>
      </c>
      <c r="O62" s="27" t="s">
        <v>256</v>
      </c>
      <c r="P62" s="27">
        <v>2.8</v>
      </c>
      <c r="Q62" s="27" t="s">
        <v>356</v>
      </c>
      <c r="R62" s="27" t="s">
        <v>69</v>
      </c>
      <c r="S62" s="29" t="s">
        <v>125</v>
      </c>
      <c r="T62" s="27" t="s">
        <v>342</v>
      </c>
      <c r="U62" s="27" t="s">
        <v>343</v>
      </c>
      <c r="V62" s="34">
        <v>82</v>
      </c>
      <c r="W62" t="str">
        <f t="shared" si="0"/>
        <v>103.4 @ -46°C' 85.3 @ 200°C</v>
      </c>
    </row>
    <row r="63" spans="1:23" ht="15.75" thickBot="1" x14ac:dyDescent="0.3">
      <c r="A63" s="35">
        <v>60</v>
      </c>
      <c r="B63" s="36" t="s">
        <v>383</v>
      </c>
      <c r="C63" s="37" t="str">
        <f t="shared" ca="1" si="1"/>
        <v>1/2" - 1 1/2"</v>
      </c>
      <c r="D63" s="37" t="str">
        <f t="shared" ca="1" si="2"/>
        <v>Double Block and Bleed Valve, Modular (Ball, Needle, Ball)</v>
      </c>
      <c r="E63" s="38" t="str">
        <f t="shared" ca="1" si="3"/>
        <v>OD Tube Connection or NPT Female (Bleed connection Size - ½”NPTF with plug)</v>
      </c>
      <c r="F63" s="37" t="str">
        <f t="shared" ca="1" si="4"/>
        <v>Forged - ASTM A182 F316L</v>
      </c>
      <c r="G63" s="37" t="str">
        <f t="shared" ca="1" si="5"/>
        <v>PEEK</v>
      </c>
      <c r="H63" s="37" t="str">
        <f t="shared" ca="1" si="6"/>
        <v>T50C, T60C</v>
      </c>
      <c r="I63" s="39">
        <v>500</v>
      </c>
      <c r="J63" s="48" t="s">
        <v>409</v>
      </c>
      <c r="M63" s="33">
        <v>60</v>
      </c>
      <c r="N63" s="27" t="s">
        <v>138</v>
      </c>
      <c r="O63" s="27" t="s">
        <v>259</v>
      </c>
      <c r="P63" s="27">
        <v>2.8</v>
      </c>
      <c r="Q63" s="47" t="s">
        <v>356</v>
      </c>
      <c r="R63" s="27" t="s">
        <v>69</v>
      </c>
      <c r="S63" s="29" t="s">
        <v>125</v>
      </c>
      <c r="T63" s="27" t="s">
        <v>344</v>
      </c>
      <c r="U63" s="27" t="s">
        <v>345</v>
      </c>
      <c r="V63" s="34">
        <v>83</v>
      </c>
      <c r="W63" t="str">
        <f t="shared" si="0"/>
        <v>155.1 @ -46°C' 128 @ 200°C</v>
      </c>
    </row>
    <row r="64" spans="1:23" x14ac:dyDescent="0.25">
      <c r="M64" s="33">
        <v>61</v>
      </c>
      <c r="N64" s="27" t="s">
        <v>139</v>
      </c>
      <c r="O64" s="27" t="s">
        <v>263</v>
      </c>
      <c r="P64" s="27">
        <v>2.8</v>
      </c>
      <c r="Q64" s="27" t="s">
        <v>356</v>
      </c>
      <c r="R64" s="27" t="s">
        <v>69</v>
      </c>
      <c r="S64" s="29" t="s">
        <v>125</v>
      </c>
      <c r="T64" s="27" t="s">
        <v>346</v>
      </c>
      <c r="U64" s="27" t="s">
        <v>347</v>
      </c>
      <c r="V64" s="34">
        <v>84</v>
      </c>
      <c r="W64" t="str">
        <f t="shared" si="0"/>
        <v>258.6 @ -46°C' 213.3 @ 200°C</v>
      </c>
    </row>
    <row r="65" spans="13:23" x14ac:dyDescent="0.25">
      <c r="M65" s="33">
        <v>62</v>
      </c>
      <c r="N65" s="27" t="s">
        <v>140</v>
      </c>
      <c r="O65" s="27" t="s">
        <v>266</v>
      </c>
      <c r="P65" s="27">
        <v>2.8</v>
      </c>
      <c r="Q65" s="27" t="s">
        <v>356</v>
      </c>
      <c r="R65" s="27" t="s">
        <v>69</v>
      </c>
      <c r="S65" s="29" t="s">
        <v>125</v>
      </c>
      <c r="T65" s="27" t="s">
        <v>348</v>
      </c>
      <c r="U65" s="27" t="s">
        <v>349</v>
      </c>
      <c r="V65" s="34">
        <v>85</v>
      </c>
      <c r="W65" t="str">
        <f t="shared" si="0"/>
        <v>430.9 @ -46°C' 355.4 @ 200°C</v>
      </c>
    </row>
    <row r="66" spans="13:23" x14ac:dyDescent="0.25">
      <c r="M66" s="33">
        <v>63</v>
      </c>
      <c r="N66" s="27" t="s">
        <v>359</v>
      </c>
      <c r="O66" s="27" t="s">
        <v>360</v>
      </c>
      <c r="P66" s="27" t="s">
        <v>21</v>
      </c>
      <c r="Q66" s="27" t="s">
        <v>361</v>
      </c>
      <c r="R66" s="27" t="s">
        <v>69</v>
      </c>
      <c r="S66" s="29" t="s">
        <v>362</v>
      </c>
      <c r="T66" s="27" t="s">
        <v>363</v>
      </c>
      <c r="U66" s="27" t="s">
        <v>364</v>
      </c>
      <c r="V66" s="34">
        <v>86</v>
      </c>
      <c r="W66" t="str">
        <f t="shared" si="0"/>
        <v>20 @ 0°C' 17.3 @ 100°C</v>
      </c>
    </row>
    <row r="67" spans="13:23" x14ac:dyDescent="0.25">
      <c r="M67" s="33">
        <v>64</v>
      </c>
      <c r="N67" s="27" t="s">
        <v>365</v>
      </c>
      <c r="O67" s="27" t="s">
        <v>245</v>
      </c>
      <c r="P67" s="27" t="s">
        <v>21</v>
      </c>
      <c r="Q67" s="27" t="s">
        <v>366</v>
      </c>
      <c r="R67" s="27" t="s">
        <v>69</v>
      </c>
      <c r="S67" s="29" t="s">
        <v>367</v>
      </c>
      <c r="T67" s="27" t="s">
        <v>363</v>
      </c>
      <c r="U67" s="27" t="s">
        <v>364</v>
      </c>
      <c r="V67" s="34">
        <v>87</v>
      </c>
      <c r="W67" t="str">
        <f t="shared" si="0"/>
        <v>20 @ 0°C' 17.3 @ 100°C</v>
      </c>
    </row>
    <row r="68" spans="13:23" x14ac:dyDescent="0.25">
      <c r="M68" s="33">
        <v>65</v>
      </c>
      <c r="N68" s="27" t="s">
        <v>368</v>
      </c>
      <c r="O68" s="27" t="s">
        <v>245</v>
      </c>
      <c r="P68" s="27" t="s">
        <v>21</v>
      </c>
      <c r="Q68" s="27" t="s">
        <v>369</v>
      </c>
      <c r="R68" s="27" t="s">
        <v>69</v>
      </c>
      <c r="S68" s="29" t="s">
        <v>370</v>
      </c>
      <c r="T68" s="27" t="s">
        <v>363</v>
      </c>
      <c r="U68" s="27" t="s">
        <v>371</v>
      </c>
      <c r="V68" s="34">
        <v>88</v>
      </c>
      <c r="W68" t="str">
        <f t="shared" ref="W68:W76" si="7">T68&amp;"' "&amp;U68</f>
        <v>20 @ 0°C' 20 @ 90°C</v>
      </c>
    </row>
    <row r="69" spans="13:23" x14ac:dyDescent="0.25">
      <c r="M69" s="33">
        <v>65</v>
      </c>
      <c r="N69" s="27" t="s">
        <v>372</v>
      </c>
      <c r="O69" s="27" t="s">
        <v>245</v>
      </c>
      <c r="P69" s="27" t="s">
        <v>21</v>
      </c>
      <c r="Q69" s="27" t="s">
        <v>369</v>
      </c>
      <c r="R69" s="27" t="s">
        <v>69</v>
      </c>
      <c r="S69" s="29" t="s">
        <v>373</v>
      </c>
      <c r="T69" s="27" t="s">
        <v>374</v>
      </c>
      <c r="U69" s="27" t="s">
        <v>375</v>
      </c>
      <c r="V69" s="34">
        <v>89</v>
      </c>
      <c r="W69" t="str">
        <f t="shared" si="7"/>
        <v>16.32 @ 0°C' 16.32 @ 82°C</v>
      </c>
    </row>
    <row r="70" spans="13:23" ht="15.75" thickBot="1" x14ac:dyDescent="0.3">
      <c r="M70" s="35">
        <v>66</v>
      </c>
      <c r="N70" s="37" t="s">
        <v>376</v>
      </c>
      <c r="O70" s="37" t="s">
        <v>245</v>
      </c>
      <c r="P70" s="37" t="s">
        <v>21</v>
      </c>
      <c r="Q70" s="37" t="s">
        <v>377</v>
      </c>
      <c r="R70" s="37" t="s">
        <v>69</v>
      </c>
      <c r="S70" s="38" t="s">
        <v>378</v>
      </c>
      <c r="T70" s="37" t="s">
        <v>363</v>
      </c>
      <c r="U70" s="37" t="s">
        <v>371</v>
      </c>
      <c r="V70" s="39">
        <v>90</v>
      </c>
      <c r="W70" t="str">
        <f t="shared" si="7"/>
        <v>20 @ 0°C' 20 @ 90°C</v>
      </c>
    </row>
    <row r="71" spans="13:23" x14ac:dyDescent="0.25">
      <c r="M71" s="25">
        <v>67</v>
      </c>
      <c r="N71" s="27" t="s">
        <v>385</v>
      </c>
      <c r="O71" s="27" t="s">
        <v>21</v>
      </c>
      <c r="P71" s="27" t="s">
        <v>21</v>
      </c>
      <c r="Q71" s="27" t="s">
        <v>386</v>
      </c>
      <c r="R71" s="27" t="s">
        <v>69</v>
      </c>
      <c r="S71" s="29" t="s">
        <v>387</v>
      </c>
      <c r="T71" s="27" t="s">
        <v>388</v>
      </c>
      <c r="U71" s="27" t="s">
        <v>389</v>
      </c>
      <c r="V71" s="34">
        <v>91</v>
      </c>
      <c r="W71" t="str">
        <f t="shared" si="7"/>
        <v>125 @ 0°C' 116 @ 60°C</v>
      </c>
    </row>
    <row r="72" spans="13:23" x14ac:dyDescent="0.25">
      <c r="M72" s="25">
        <v>68</v>
      </c>
      <c r="N72" s="27" t="s">
        <v>398</v>
      </c>
      <c r="O72" s="27" t="s">
        <v>21</v>
      </c>
      <c r="P72" s="27" t="s">
        <v>21</v>
      </c>
      <c r="Q72" s="27" t="s">
        <v>386</v>
      </c>
      <c r="R72" s="27" t="s">
        <v>69</v>
      </c>
      <c r="S72" s="29" t="s">
        <v>387</v>
      </c>
      <c r="T72" s="27" t="s">
        <v>390</v>
      </c>
      <c r="U72" s="27" t="s">
        <v>391</v>
      </c>
      <c r="V72" s="34">
        <v>92</v>
      </c>
      <c r="W72" t="str">
        <f t="shared" si="7"/>
        <v>206 @ 0°C' 200 @ 60°C</v>
      </c>
    </row>
    <row r="73" spans="13:23" x14ac:dyDescent="0.25">
      <c r="M73" s="25">
        <v>69</v>
      </c>
      <c r="N73" s="27" t="s">
        <v>399</v>
      </c>
      <c r="O73" s="27" t="s">
        <v>21</v>
      </c>
      <c r="P73" s="27" t="s">
        <v>21</v>
      </c>
      <c r="Q73" s="27" t="s">
        <v>386</v>
      </c>
      <c r="R73" s="27" t="s">
        <v>69</v>
      </c>
      <c r="S73" s="29" t="s">
        <v>387</v>
      </c>
      <c r="T73" s="27" t="s">
        <v>392</v>
      </c>
      <c r="U73" s="27" t="s">
        <v>393</v>
      </c>
      <c r="V73" s="34">
        <v>93</v>
      </c>
      <c r="W73" t="str">
        <f t="shared" si="7"/>
        <v>325 @ 0°C' 325 @ 60°C</v>
      </c>
    </row>
    <row r="74" spans="13:23" x14ac:dyDescent="0.25">
      <c r="M74" s="25">
        <v>70</v>
      </c>
      <c r="N74" s="27" t="s">
        <v>394</v>
      </c>
      <c r="O74" s="27" t="s">
        <v>21</v>
      </c>
      <c r="P74" s="27" t="s">
        <v>21</v>
      </c>
      <c r="Q74" s="27" t="s">
        <v>395</v>
      </c>
      <c r="R74" s="27" t="s">
        <v>69</v>
      </c>
      <c r="S74" s="29" t="s">
        <v>387</v>
      </c>
      <c r="T74" s="27" t="s">
        <v>388</v>
      </c>
      <c r="U74" s="27" t="s">
        <v>389</v>
      </c>
      <c r="V74" s="34">
        <v>94</v>
      </c>
      <c r="W74" t="str">
        <f t="shared" si="7"/>
        <v>125 @ 0°C' 116 @ 60°C</v>
      </c>
    </row>
    <row r="75" spans="13:23" x14ac:dyDescent="0.25">
      <c r="M75" s="25">
        <v>71</v>
      </c>
      <c r="N75" s="27" t="s">
        <v>396</v>
      </c>
      <c r="O75" s="27" t="s">
        <v>21</v>
      </c>
      <c r="P75" s="27" t="s">
        <v>21</v>
      </c>
      <c r="Q75" s="27" t="s">
        <v>395</v>
      </c>
      <c r="R75" s="27" t="s">
        <v>69</v>
      </c>
      <c r="S75" s="29" t="s">
        <v>387</v>
      </c>
      <c r="T75" s="27" t="s">
        <v>390</v>
      </c>
      <c r="U75" s="27" t="s">
        <v>391</v>
      </c>
      <c r="V75" s="34">
        <v>95</v>
      </c>
      <c r="W75" t="str">
        <f t="shared" si="7"/>
        <v>206 @ 0°C' 200 @ 60°C</v>
      </c>
    </row>
    <row r="76" spans="13:23" ht="15.75" thickBot="1" x14ac:dyDescent="0.3">
      <c r="M76" s="25">
        <v>72</v>
      </c>
      <c r="N76" s="37" t="s">
        <v>397</v>
      </c>
      <c r="O76" s="37" t="s">
        <v>21</v>
      </c>
      <c r="P76" s="37" t="s">
        <v>21</v>
      </c>
      <c r="Q76" s="37" t="s">
        <v>395</v>
      </c>
      <c r="R76" s="37" t="s">
        <v>69</v>
      </c>
      <c r="S76" s="38" t="s">
        <v>387</v>
      </c>
      <c r="T76" s="37" t="s">
        <v>392</v>
      </c>
      <c r="U76" s="37" t="s">
        <v>393</v>
      </c>
      <c r="V76" s="39">
        <v>96</v>
      </c>
      <c r="W76" t="str">
        <f t="shared" si="7"/>
        <v>325 @ 0°C' 325 @ 60°C</v>
      </c>
    </row>
  </sheetData>
  <phoneticPr fontId="16" type="noConversion"/>
  <hyperlinks>
    <hyperlink ref="B4" location="'DSRE1JT'!A1" display="DSRE1JT" xr:uid="{DB7E54B7-A860-4016-8DBF-E82208374B90}"/>
    <hyperlink ref="B5" location="'DSRE1J'!A1" display="DSRE1J" xr:uid="{A5EB1508-37E6-42AF-867A-62B320F00D02}"/>
    <hyperlink ref="B6" location="'DSRF1JT'!A1" display="DSRF1JT" xr:uid="{2740E63C-0FE7-48BA-90DD-F1452BA4F509}"/>
    <hyperlink ref="B7" location="'DSRF1J'!A1" display="DSRF1J" xr:uid="{8B78C551-351B-4C1A-9B53-D6CDA72D17B2}"/>
    <hyperlink ref="B8" location="'DSRG1JT'!A1" display="DSRG1JT" xr:uid="{08E47B04-E772-4C23-87D0-C023936140AA}"/>
    <hyperlink ref="B9" location="'DSRG1J'!A1" display="DSRG1J" xr:uid="{B97A932B-70C8-46C8-8324-EA88D0B8D6BD}"/>
    <hyperlink ref="B10" location="'DSRE1NJT'!A1" display="DSRE1NJT" xr:uid="{687AFEE8-80A4-4A7D-B38A-A69E626EBFD5}"/>
    <hyperlink ref="B11" location="'DSRE1NJ'!A1" display="DSRE1NJ" xr:uid="{BFA9781C-E7D3-45D3-817E-53D513CBCA9F}"/>
    <hyperlink ref="B12" location="'DSRF1NJT'!A1" display="DSRF1NJT" xr:uid="{8794932D-896B-4727-8D8D-5FB80A245B92}"/>
    <hyperlink ref="B13" location="'DSRF1NJ'!A1" display="DSRF1NJ" xr:uid="{0EA14B7B-6001-4A60-88E9-5C31805434D9}"/>
    <hyperlink ref="B14" location="'DSRG1NJT'!A1" display="DSRG1NJT" xr:uid="{6D50001B-1FA8-4257-9A2A-B4A0F5ACEE80}"/>
    <hyperlink ref="B15" location="'DSRG1NJ'!A1" display="DSRG1NJ" xr:uid="{3ECA803E-4A99-4B3C-BB24-378F49981EF6}"/>
    <hyperlink ref="B16" location="'DSRMG1NJ'!A1" display="DSRMG1NJ" xr:uid="{766828A9-4D6A-4C60-A322-07CD9B6DCD3D}"/>
    <hyperlink ref="B17" location="'DSRE2NJT'!A1" display="DSRE2NJT" xr:uid="{FB3846DA-F05A-4BE4-A6EA-D601D621CEA5}"/>
    <hyperlink ref="B18" location="'DSRE2NJ'!A1" display="DSRE2NJ" xr:uid="{A044C2E9-796B-48FB-B058-88340CC6E884}"/>
    <hyperlink ref="B19" location="'DSRF2NJT'!A1" display="DSRF2NJT" xr:uid="{4ADC0929-C471-4700-8207-DDE481AF0FD3}"/>
    <hyperlink ref="B20" location="'DSRF2NJ'!A1" display="DSRF2NJ" xr:uid="{C6029099-0396-46FE-BEFD-558C56949FAA}"/>
    <hyperlink ref="B21" location="'DSRG2NJT'!A1" display="DSRG2NJT" xr:uid="{7F586192-2381-4297-94B7-98107CC365F5}"/>
    <hyperlink ref="B22" location="'DSRG2NJ'!A1" display="DSRG2NJ" xr:uid="{AFF5EC10-F11A-4C73-B4A1-84152DF292E0}"/>
    <hyperlink ref="B23" location="'DSRE1LNJT'!A1" display="DSRE1LNJT" xr:uid="{4DEB85DE-6BE9-4606-8A48-0B9BFE7BF097}"/>
    <hyperlink ref="B24" location="'DSRE1LNJ'!A1" display="DSRE1LNJ" xr:uid="{835C2485-C1F8-4822-AA60-D19676BC0315}"/>
    <hyperlink ref="B25" location="'DSRF1LNJT'!A1" display="DSRF1LNJT" xr:uid="{D62A516E-F521-4DEE-9617-453BC2AF2004}"/>
    <hyperlink ref="B26" location="'DSRF1LNJ'!A1" display="DSRF1LNJ" xr:uid="{C5EFC355-6EAE-4033-A421-86DDB0531D4A}"/>
    <hyperlink ref="B27" location="'DSRG1LNJT'!A1" display="DSRG1LNJT" xr:uid="{376E655D-C5E2-4AAA-8922-516B0F500CF3}"/>
    <hyperlink ref="B28" location="'DSRG1LNJ'!A1" display="DSRG1LNJ" xr:uid="{23D5A618-0C28-4B0C-87DD-CEBEF10EB460}"/>
    <hyperlink ref="B29" location="'DSRMG1LNJ'!A1" display="DSRMG1LNJ" xr:uid="{F89BC05A-5724-414F-A44D-2CCADFF1AB21}"/>
    <hyperlink ref="B30" location="'DSRE2LNJT'!A1" display="DSRE2LNJT" xr:uid="{C3E59D6C-8526-4F85-848B-78F675F27386}"/>
    <hyperlink ref="B31" location="'DSRE2LNJ'!A1" display="DSRE2LNJ" xr:uid="{C2FB2CD0-60D0-4096-93FE-0EA9711AB2DE}"/>
    <hyperlink ref="B32" location="'DSRF2LNJT'!A1" display="DSRF2LNJT" xr:uid="{2058040D-F7B4-4E82-89FF-0977ECEE444F}"/>
    <hyperlink ref="B33" location="'DSRF2LNJ'!A1" display="DSRF2LNJ" xr:uid="{61F9F69F-BDE7-4336-A075-E160A5754FC9}"/>
    <hyperlink ref="B34" location="'DSRG2LNJT'!A1" display="DSRG2LNJT" xr:uid="{2EE1AF89-9D88-4C6B-AF03-E8DE3AD1576B}"/>
    <hyperlink ref="B35" location="'DSRG2LNJ'!A1" display="DSRG2LNJ" xr:uid="{A8A790C7-9DDC-4F59-B678-485A00DACF0B}"/>
    <hyperlink ref="B36" location="'DSRE10JT'!A1" display="DSRE10JT" xr:uid="{9FD699CE-2AF2-449F-8C47-F906D7F54539}"/>
    <hyperlink ref="B37" location="'DSRE10J'!A1" display="DSRE10J" xr:uid="{7A022E82-4BAF-4290-A2CE-D3E5A3D18A36}"/>
    <hyperlink ref="B38" location="'DSRF10JT'!A1" display="DSRF10JT" xr:uid="{97A65B25-8D36-4DA9-82C1-6689C0A96D7F}"/>
    <hyperlink ref="B39" location="'DSRF10J'!A1" display="DSRF10J" xr:uid="{053A5D94-2397-48B9-B446-F94F5AF71F94}"/>
    <hyperlink ref="B40" location="'DSRG10JT'!A1" display="DSRG10JT" xr:uid="{1AFA037B-E273-4783-9DFA-E9D625956D5B}"/>
    <hyperlink ref="B41" location="'DSRG10J'!A1" display="DSRG10J" xr:uid="{D4605CFF-E43F-460E-80C4-28B4BF5C3BF0}"/>
    <hyperlink ref="B42" location="'DSRE10NJT'!A1" display="DSRE10NJT" xr:uid="{EC28B7BD-03EE-490E-9C1E-0FEC644FF7CF}"/>
    <hyperlink ref="B43" location="'DSRE10NJ'!A1" display="DSRE10NJ" xr:uid="{782D5564-3867-4C15-A04C-9F3AD9458E10}"/>
    <hyperlink ref="B44" location="'DSRF10NJT'!A1" display="DSRF10NJT" xr:uid="{FE3C96C0-F5CC-4890-A709-5C845C61E4FD}"/>
    <hyperlink ref="B45" location="'DSRF10NJ'!A1" display="DSRF10NJ" xr:uid="{96553DD0-0838-4A4F-8E28-155F5C1C9704}"/>
    <hyperlink ref="B46" location="'DSRG10NJT'!A1" display="DSRG10NJT" xr:uid="{D76B95C9-C161-4B38-96CB-9A77B62859C1}"/>
    <hyperlink ref="B47" location="'DSRG10NJ'!A1" display="DSRG10NJ" xr:uid="{C314594E-9F7A-41C4-9493-319BCAC66C1E}"/>
    <hyperlink ref="B48" location="'DSRE20NJT'!A1" display="DSRE20NJT" xr:uid="{F9D46F50-1102-494B-964E-F28BC11D308D}"/>
    <hyperlink ref="B49" location="'DSRE20NJ'!A1" display="DSRE20NJ" xr:uid="{C84C41C8-F16C-4326-B651-644F96E16581}"/>
    <hyperlink ref="B50" location="'DSRF20NJT'!A1" display="DSRF20NJT" xr:uid="{FB772DCD-F582-4F08-B358-DE12298C3C4B}"/>
    <hyperlink ref="B51" location="'DSRF20NJ'!A1" display="DSRF20NJ" xr:uid="{1DBC95AC-7973-4329-8947-BCDFD6D876B7}"/>
    <hyperlink ref="B52" location="'DSRG20NJT'!A1" display="DSRG20NJT" xr:uid="{051DABA9-919C-47B0-A0DF-1110CB62344D}"/>
    <hyperlink ref="B53" location="'DSRG20NJ'!A1" display="DSRG20NJ" xr:uid="{03145C0C-43D1-4481-B684-CE9E56E1AB00}"/>
    <hyperlink ref="B54" location="'DSRMG20NJ'!A1" display="DSRMG20NJ" xr:uid="{602AF289-E883-4770-91B8-C8F1E3F45390}"/>
    <hyperlink ref="B55" location="'DSRE25NJT'!A1" display="DSRE25NJT" xr:uid="{3F2E71FE-50BB-4F37-80EB-9EF8162B94EB}"/>
    <hyperlink ref="B56" location="'DSRE25NJ'!A1" display="DSRE25NJ" xr:uid="{11DAA3D0-D8D6-41A4-BBEA-47EDDF2F8C3F}"/>
    <hyperlink ref="B57" location="'DSRF25NJT'!A1" display="DSRF25NJT" xr:uid="{7E6A40CB-DBA2-4E27-9350-E6DD49525DDB}"/>
    <hyperlink ref="B58" location="'DSRF25NJ'!A1" display="DSRF25NJ" xr:uid="{AFBD7916-E3C3-4BDC-BAC5-6DE1F1BAE59A}"/>
    <hyperlink ref="B59" location="'DSRG25NJT'!A1" display="DSRG25NJT" xr:uid="{DFB5A89B-57F8-4CBE-971E-3A3B4160960A}"/>
    <hyperlink ref="B60" location="'DSRG25NJ'!A1" display="DSRG25NJ" xr:uid="{71C3C7EF-ADAE-4875-80D1-62622E2B8754}"/>
    <hyperlink ref="B61" location="'DSFT50AJT'!A1" display="DSFT50AJT" xr:uid="{975C09C5-F8D1-47C9-A95F-C02D8C841FC3}"/>
    <hyperlink ref="B62" location="'DSFT50BJT'!A1" display="DSFT50BJT" xr:uid="{785A7652-F1BB-4EE7-B664-AE8936F57DC0}"/>
    <hyperlink ref="B63" location="'DSFT50CJT'!A1" display="DSFT50CJT" xr:uid="{D42CF943-48A5-4C56-B184-643BE4006D99}"/>
  </hyperlinks>
  <pageMargins left="0.70866141732283472" right="0.70866141732283472" top="0.74803149606299213" bottom="0.74803149606299213" header="0.31496062992125984" footer="0.31496062992125984"/>
  <pageSetup paperSize="8" scale="71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0BF73-8283-432B-B05E-F7499DD61D91}">
  <sheetPr codeName="Sheet14">
    <tabColor theme="5" tint="0.39997558519241921"/>
    <pageSetUpPr fitToPage="1"/>
  </sheetPr>
  <dimension ref="A1:E54"/>
  <sheetViews>
    <sheetView zoomScaleNormal="100" workbookViewId="0">
      <selection activeCell="D23" sqref="D23:E2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441</v>
      </c>
    </row>
    <row r="4" spans="1:5" x14ac:dyDescent="0.2">
      <c r="A4" s="84" t="s">
        <v>61</v>
      </c>
      <c r="B4" s="84"/>
      <c r="C4" s="2" t="s">
        <v>152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5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ht="24" x14ac:dyDescent="0.2">
      <c r="A8" s="69" t="s">
        <v>16</v>
      </c>
      <c r="B8" s="69"/>
      <c r="C8" s="5" t="str">
        <f>VLOOKUP(C5,Index!N:W,6,FALSE)</f>
        <v>Diesel, WI, HC with low CO2 and H2S, Steam, Hydraulic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49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153.2 @ -29°C' 131.4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3 mm</v>
      </c>
      <c r="D12" s="70"/>
      <c r="E12" s="70"/>
    </row>
    <row r="13" spans="1:5" x14ac:dyDescent="0.2">
      <c r="A13" s="69" t="s">
        <v>20</v>
      </c>
      <c r="B13" s="69"/>
      <c r="C13" s="5" t="s">
        <v>21</v>
      </c>
      <c r="D13" s="70"/>
      <c r="E13" s="70"/>
    </row>
    <row r="14" spans="1:5" ht="24" x14ac:dyDescent="0.2">
      <c r="A14" s="69" t="s">
        <v>22</v>
      </c>
      <c r="B14" s="69"/>
      <c r="C14" s="5" t="s">
        <v>62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ht="24" x14ac:dyDescent="0.2">
      <c r="A22" s="70" t="s">
        <v>31</v>
      </c>
      <c r="B22" s="13" t="s">
        <v>76</v>
      </c>
      <c r="C22" s="5" t="s">
        <v>151</v>
      </c>
      <c r="D22" s="70"/>
      <c r="E22" s="70"/>
    </row>
    <row r="23" spans="1:5" x14ac:dyDescent="0.2">
      <c r="A23" s="70"/>
      <c r="B23" s="13" t="s">
        <v>81</v>
      </c>
      <c r="C23" s="5" t="s">
        <v>88</v>
      </c>
      <c r="D23" s="70"/>
      <c r="E23" s="70"/>
    </row>
    <row r="24" spans="1:5" x14ac:dyDescent="0.2">
      <c r="A24" s="70"/>
      <c r="B24" s="13" t="s">
        <v>86</v>
      </c>
      <c r="C24" s="5" t="s">
        <v>119</v>
      </c>
      <c r="D24" s="70"/>
      <c r="E24" s="70"/>
    </row>
    <row r="25" spans="1:5" x14ac:dyDescent="0.2">
      <c r="A25" s="70"/>
      <c r="B25" s="13" t="s">
        <v>78</v>
      </c>
      <c r="C25" s="5" t="s">
        <v>91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91</v>
      </c>
      <c r="D27" s="70"/>
      <c r="E27" s="70"/>
    </row>
    <row r="28" spans="1:5" x14ac:dyDescent="0.2">
      <c r="A28" s="70"/>
      <c r="B28" s="4" t="s">
        <v>80</v>
      </c>
      <c r="C28" s="3" t="s">
        <v>110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142</v>
      </c>
      <c r="D32" s="70"/>
      <c r="E32" s="70"/>
    </row>
    <row r="33" spans="1:5" ht="36" x14ac:dyDescent="0.2">
      <c r="A33" s="70"/>
      <c r="B33" s="13" t="s">
        <v>35</v>
      </c>
      <c r="C33" s="5" t="s">
        <v>148</v>
      </c>
      <c r="D33" s="70"/>
      <c r="E33" s="70"/>
    </row>
    <row r="34" spans="1:5" ht="36" x14ac:dyDescent="0.2">
      <c r="A34" s="70"/>
      <c r="B34" s="13" t="s">
        <v>36</v>
      </c>
      <c r="C34" s="5" t="s">
        <v>141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222</v>
      </c>
      <c r="D39" s="67"/>
      <c r="E39" s="68"/>
    </row>
    <row r="40" spans="1:5" x14ac:dyDescent="0.2">
      <c r="A40" s="67" t="s">
        <v>105</v>
      </c>
      <c r="B40" s="68"/>
      <c r="C40" s="3" t="s">
        <v>223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93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479" priority="1"/>
  </conditionalFormatting>
  <conditionalFormatting sqref="B31">
    <cfRule type="duplicateValues" dxfId="478" priority="7"/>
  </conditionalFormatting>
  <conditionalFormatting sqref="B37">
    <cfRule type="duplicateValues" dxfId="477" priority="3"/>
  </conditionalFormatting>
  <conditionalFormatting sqref="B38">
    <cfRule type="duplicateValues" dxfId="476" priority="2"/>
  </conditionalFormatting>
  <conditionalFormatting sqref="B39">
    <cfRule type="duplicateValues" dxfId="475" priority="6"/>
  </conditionalFormatting>
  <conditionalFormatting sqref="B40">
    <cfRule type="duplicateValues" dxfId="474" priority="5"/>
  </conditionalFormatting>
  <conditionalFormatting sqref="B41">
    <cfRule type="duplicateValues" dxfId="473" priority="4"/>
  </conditionalFormatting>
  <conditionalFormatting sqref="B55:B1048576 B12:B27 B4:B10 B32:B36 B42:B46 B29:B30">
    <cfRule type="duplicateValues" dxfId="472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2EDCB-8387-4D57-B245-D93744735C01}">
  <sheetPr codeName="Sheet15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442</v>
      </c>
    </row>
    <row r="4" spans="1:5" x14ac:dyDescent="0.2">
      <c r="A4" s="84" t="s">
        <v>61</v>
      </c>
      <c r="B4" s="84"/>
      <c r="C4" s="2" t="s">
        <v>153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5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ht="24" x14ac:dyDescent="0.2">
      <c r="A8" s="69" t="s">
        <v>16</v>
      </c>
      <c r="B8" s="69"/>
      <c r="C8" s="5" t="str">
        <f>VLOOKUP(C5,Index!N:W,6,FALSE)</f>
        <v>Diesel, WI, HC with low CO2 and H2S, Steam, Hydraulic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49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153.2 @ -29°C' 131.4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3 mm</v>
      </c>
      <c r="D12" s="70"/>
      <c r="E12" s="70"/>
    </row>
    <row r="13" spans="1:5" x14ac:dyDescent="0.2">
      <c r="A13" s="69" t="s">
        <v>20</v>
      </c>
      <c r="B13" s="69"/>
      <c r="C13" s="5" t="s">
        <v>21</v>
      </c>
      <c r="D13" s="70"/>
      <c r="E13" s="70"/>
    </row>
    <row r="14" spans="1:5" ht="24" x14ac:dyDescent="0.2">
      <c r="A14" s="69" t="s">
        <v>22</v>
      </c>
      <c r="B14" s="69"/>
      <c r="C14" s="5" t="s">
        <v>63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ht="24" x14ac:dyDescent="0.2">
      <c r="A22" s="70" t="s">
        <v>31</v>
      </c>
      <c r="B22" s="13" t="s">
        <v>76</v>
      </c>
      <c r="C22" s="5" t="s">
        <v>151</v>
      </c>
      <c r="D22" s="70"/>
      <c r="E22" s="70"/>
    </row>
    <row r="23" spans="1:5" x14ac:dyDescent="0.2">
      <c r="A23" s="70"/>
      <c r="B23" s="13" t="s">
        <v>81</v>
      </c>
      <c r="C23" s="5" t="s">
        <v>88</v>
      </c>
      <c r="D23" s="70"/>
      <c r="E23" s="70"/>
    </row>
    <row r="24" spans="1:5" x14ac:dyDescent="0.2">
      <c r="A24" s="70"/>
      <c r="B24" s="13" t="s">
        <v>86</v>
      </c>
      <c r="C24" s="5" t="s">
        <v>119</v>
      </c>
      <c r="D24" s="70"/>
      <c r="E24" s="70"/>
    </row>
    <row r="25" spans="1:5" x14ac:dyDescent="0.2">
      <c r="A25" s="70"/>
      <c r="B25" s="13" t="s">
        <v>78</v>
      </c>
      <c r="C25" s="5" t="s">
        <v>91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91</v>
      </c>
      <c r="D27" s="70"/>
      <c r="E27" s="70"/>
    </row>
    <row r="28" spans="1:5" x14ac:dyDescent="0.2">
      <c r="A28" s="70"/>
      <c r="B28" s="4" t="s">
        <v>80</v>
      </c>
      <c r="C28" s="3" t="s">
        <v>110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142</v>
      </c>
      <c r="D32" s="70"/>
      <c r="E32" s="70"/>
    </row>
    <row r="33" spans="1:5" ht="36" x14ac:dyDescent="0.2">
      <c r="A33" s="70"/>
      <c r="B33" s="13" t="s">
        <v>35</v>
      </c>
      <c r="C33" s="5" t="s">
        <v>148</v>
      </c>
      <c r="D33" s="70"/>
      <c r="E33" s="70"/>
    </row>
    <row r="34" spans="1:5" ht="36" x14ac:dyDescent="0.2">
      <c r="A34" s="70"/>
      <c r="B34" s="13" t="s">
        <v>36</v>
      </c>
      <c r="C34" s="5" t="s">
        <v>141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222</v>
      </c>
      <c r="D39" s="67"/>
      <c r="E39" s="68"/>
    </row>
    <row r="40" spans="1:5" x14ac:dyDescent="0.2">
      <c r="A40" s="67" t="s">
        <v>105</v>
      </c>
      <c r="B40" s="68"/>
      <c r="C40" s="3" t="s">
        <v>223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93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471" priority="1"/>
  </conditionalFormatting>
  <conditionalFormatting sqref="B31">
    <cfRule type="duplicateValues" dxfId="470" priority="7"/>
  </conditionalFormatting>
  <conditionalFormatting sqref="B37">
    <cfRule type="duplicateValues" dxfId="469" priority="3"/>
  </conditionalFormatting>
  <conditionalFormatting sqref="B38">
    <cfRule type="duplicateValues" dxfId="468" priority="2"/>
  </conditionalFormatting>
  <conditionalFormatting sqref="B39">
    <cfRule type="duplicateValues" dxfId="467" priority="6"/>
  </conditionalFormatting>
  <conditionalFormatting sqref="B40">
    <cfRule type="duplicateValues" dxfId="466" priority="5"/>
  </conditionalFormatting>
  <conditionalFormatting sqref="B41">
    <cfRule type="duplicateValues" dxfId="465" priority="4"/>
  </conditionalFormatting>
  <conditionalFormatting sqref="B55:B1048576 B12:B27 B4:B10 B32:B36 B42:B46 B29:B30">
    <cfRule type="duplicateValues" dxfId="464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3B316-33F3-46CB-AA85-25BD8604CFAC}">
  <sheetPr codeName="Sheet16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443</v>
      </c>
    </row>
    <row r="4" spans="1:5" x14ac:dyDescent="0.2">
      <c r="A4" s="84" t="s">
        <v>61</v>
      </c>
      <c r="B4" s="84"/>
      <c r="C4" s="2" t="s">
        <v>154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12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ht="24" x14ac:dyDescent="0.2">
      <c r="A8" s="69" t="s">
        <v>16</v>
      </c>
      <c r="B8" s="69"/>
      <c r="C8" s="5" t="str">
        <f>VLOOKUP(C5,Index!N:W,6,FALSE)</f>
        <v>Diesel, WI, HC with low CO2 and H2S, Steam, Hydraulic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50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255.3 @ -29°C' 219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3 mm</v>
      </c>
      <c r="D12" s="70"/>
      <c r="E12" s="70"/>
    </row>
    <row r="13" spans="1:5" x14ac:dyDescent="0.2">
      <c r="A13" s="69" t="s">
        <v>20</v>
      </c>
      <c r="B13" s="69"/>
      <c r="C13" s="5" t="s">
        <v>21</v>
      </c>
      <c r="D13" s="70"/>
      <c r="E13" s="70"/>
    </row>
    <row r="14" spans="1:5" ht="36" x14ac:dyDescent="0.2">
      <c r="A14" s="69" t="s">
        <v>22</v>
      </c>
      <c r="B14" s="69"/>
      <c r="C14" s="5" t="s">
        <v>225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ht="24" x14ac:dyDescent="0.2">
      <c r="A22" s="70" t="s">
        <v>31</v>
      </c>
      <c r="B22" s="13" t="s">
        <v>76</v>
      </c>
      <c r="C22" s="5" t="s">
        <v>151</v>
      </c>
      <c r="D22" s="70"/>
      <c r="E22" s="70"/>
    </row>
    <row r="23" spans="1:5" x14ac:dyDescent="0.2">
      <c r="A23" s="70"/>
      <c r="B23" s="13" t="s">
        <v>81</v>
      </c>
      <c r="C23" s="5" t="s">
        <v>88</v>
      </c>
      <c r="D23" s="70"/>
      <c r="E23" s="70"/>
    </row>
    <row r="24" spans="1:5" x14ac:dyDescent="0.2">
      <c r="A24" s="70"/>
      <c r="B24" s="13" t="s">
        <v>86</v>
      </c>
      <c r="C24" s="5" t="s">
        <v>119</v>
      </c>
      <c r="D24" s="70"/>
      <c r="E24" s="70"/>
    </row>
    <row r="25" spans="1:5" x14ac:dyDescent="0.2">
      <c r="A25" s="70"/>
      <c r="B25" s="13" t="s">
        <v>78</v>
      </c>
      <c r="C25" s="5" t="s">
        <v>91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91</v>
      </c>
      <c r="D27" s="70"/>
      <c r="E27" s="70"/>
    </row>
    <row r="28" spans="1:5" x14ac:dyDescent="0.2">
      <c r="A28" s="70"/>
      <c r="B28" s="4" t="s">
        <v>80</v>
      </c>
      <c r="C28" s="3" t="s">
        <v>110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142</v>
      </c>
      <c r="D32" s="70"/>
      <c r="E32" s="70"/>
    </row>
    <row r="33" spans="1:5" ht="36" x14ac:dyDescent="0.2">
      <c r="A33" s="70"/>
      <c r="B33" s="13" t="s">
        <v>35</v>
      </c>
      <c r="C33" s="5" t="s">
        <v>148</v>
      </c>
      <c r="D33" s="70"/>
      <c r="E33" s="70"/>
    </row>
    <row r="34" spans="1:5" ht="36" x14ac:dyDescent="0.2">
      <c r="A34" s="70"/>
      <c r="B34" s="13" t="s">
        <v>36</v>
      </c>
      <c r="C34" s="5" t="s">
        <v>141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220</v>
      </c>
      <c r="D39" s="67"/>
      <c r="E39" s="68"/>
    </row>
    <row r="40" spans="1:5" x14ac:dyDescent="0.2">
      <c r="A40" s="67" t="s">
        <v>105</v>
      </c>
      <c r="B40" s="68"/>
      <c r="C40" s="3" t="s">
        <v>221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93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463" priority="1"/>
  </conditionalFormatting>
  <conditionalFormatting sqref="B31">
    <cfRule type="duplicateValues" dxfId="462" priority="7"/>
  </conditionalFormatting>
  <conditionalFormatting sqref="B37">
    <cfRule type="duplicateValues" dxfId="461" priority="3"/>
  </conditionalFormatting>
  <conditionalFormatting sqref="B38">
    <cfRule type="duplicateValues" dxfId="460" priority="2"/>
  </conditionalFormatting>
  <conditionalFormatting sqref="B39">
    <cfRule type="duplicateValues" dxfId="459" priority="6"/>
  </conditionalFormatting>
  <conditionalFormatting sqref="B40">
    <cfRule type="duplicateValues" dxfId="458" priority="5"/>
  </conditionalFormatting>
  <conditionalFormatting sqref="B41">
    <cfRule type="duplicateValues" dxfId="457" priority="4"/>
  </conditionalFormatting>
  <conditionalFormatting sqref="B55:B1048576 B12:B27 B4:B10 B32:B36 B42:B46 B29:B30">
    <cfRule type="duplicateValues" dxfId="456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45517-FEAB-45F0-8FEB-95CADAAA2396}">
  <sheetPr codeName="Sheet17">
    <tabColor theme="5" tint="0.39997558519241921"/>
    <pageSetUpPr fitToPage="1"/>
  </sheetPr>
  <dimension ref="A1:E54"/>
  <sheetViews>
    <sheetView topLeftCell="A17"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444</v>
      </c>
    </row>
    <row r="4" spans="1:5" x14ac:dyDescent="0.2">
      <c r="A4" s="84" t="s">
        <v>61</v>
      </c>
      <c r="B4" s="84"/>
      <c r="C4" s="2" t="s">
        <v>155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12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ht="24" x14ac:dyDescent="0.2">
      <c r="A8" s="69" t="s">
        <v>16</v>
      </c>
      <c r="B8" s="69"/>
      <c r="C8" s="5" t="str">
        <f>VLOOKUP(C5,Index!N:W,6,FALSE)</f>
        <v>Diesel, WI, HC with low CO2 and H2S, Steam, Hydraulic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50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255.3 @ -29°C' 219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3 mm</v>
      </c>
      <c r="D12" s="70"/>
      <c r="E12" s="70"/>
    </row>
    <row r="13" spans="1:5" x14ac:dyDescent="0.2">
      <c r="A13" s="69" t="s">
        <v>20</v>
      </c>
      <c r="B13" s="69"/>
      <c r="C13" s="5" t="s">
        <v>21</v>
      </c>
      <c r="D13" s="70"/>
      <c r="E13" s="70"/>
    </row>
    <row r="14" spans="1:5" ht="36" x14ac:dyDescent="0.2">
      <c r="A14" s="69" t="s">
        <v>22</v>
      </c>
      <c r="B14" s="69"/>
      <c r="C14" s="5" t="s">
        <v>226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ht="24" x14ac:dyDescent="0.2">
      <c r="A22" s="70" t="s">
        <v>31</v>
      </c>
      <c r="B22" s="13" t="s">
        <v>76</v>
      </c>
      <c r="C22" s="5" t="s">
        <v>151</v>
      </c>
      <c r="D22" s="70"/>
      <c r="E22" s="70"/>
    </row>
    <row r="23" spans="1:5" x14ac:dyDescent="0.2">
      <c r="A23" s="70"/>
      <c r="B23" s="13" t="s">
        <v>81</v>
      </c>
      <c r="C23" s="5" t="s">
        <v>88</v>
      </c>
      <c r="D23" s="70"/>
      <c r="E23" s="70"/>
    </row>
    <row r="24" spans="1:5" x14ac:dyDescent="0.2">
      <c r="A24" s="70"/>
      <c r="B24" s="13" t="s">
        <v>86</v>
      </c>
      <c r="C24" s="5" t="s">
        <v>119</v>
      </c>
      <c r="D24" s="70"/>
      <c r="E24" s="70"/>
    </row>
    <row r="25" spans="1:5" x14ac:dyDescent="0.2">
      <c r="A25" s="70"/>
      <c r="B25" s="13" t="s">
        <v>78</v>
      </c>
      <c r="C25" s="5" t="s">
        <v>91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91</v>
      </c>
      <c r="D27" s="70"/>
      <c r="E27" s="70"/>
    </row>
    <row r="28" spans="1:5" x14ac:dyDescent="0.2">
      <c r="A28" s="70"/>
      <c r="B28" s="4" t="s">
        <v>80</v>
      </c>
      <c r="C28" s="3" t="s">
        <v>110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142</v>
      </c>
      <c r="D32" s="70"/>
      <c r="E32" s="70"/>
    </row>
    <row r="33" spans="1:5" ht="36" x14ac:dyDescent="0.2">
      <c r="A33" s="70"/>
      <c r="B33" s="13" t="s">
        <v>35</v>
      </c>
      <c r="C33" s="5" t="s">
        <v>148</v>
      </c>
      <c r="D33" s="70"/>
      <c r="E33" s="70"/>
    </row>
    <row r="34" spans="1:5" ht="36" x14ac:dyDescent="0.2">
      <c r="A34" s="70"/>
      <c r="B34" s="13" t="s">
        <v>36</v>
      </c>
      <c r="C34" s="5" t="s">
        <v>141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220</v>
      </c>
      <c r="D39" s="67"/>
      <c r="E39" s="68"/>
    </row>
    <row r="40" spans="1:5" x14ac:dyDescent="0.2">
      <c r="A40" s="67" t="s">
        <v>105</v>
      </c>
      <c r="B40" s="68"/>
      <c r="C40" s="3" t="s">
        <v>221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93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455" priority="1"/>
  </conditionalFormatting>
  <conditionalFormatting sqref="B31">
    <cfRule type="duplicateValues" dxfId="454" priority="7"/>
  </conditionalFormatting>
  <conditionalFormatting sqref="B37">
    <cfRule type="duplicateValues" dxfId="453" priority="3"/>
  </conditionalFormatting>
  <conditionalFormatting sqref="B38">
    <cfRule type="duplicateValues" dxfId="452" priority="2"/>
  </conditionalFormatting>
  <conditionalFormatting sqref="B39">
    <cfRule type="duplicateValues" dxfId="451" priority="6"/>
  </conditionalFormatting>
  <conditionalFormatting sqref="B40">
    <cfRule type="duplicateValues" dxfId="450" priority="5"/>
  </conditionalFormatting>
  <conditionalFormatting sqref="B41">
    <cfRule type="duplicateValues" dxfId="449" priority="4"/>
  </conditionalFormatting>
  <conditionalFormatting sqref="B55:B1048576 B12:B27 B4:B10 B32:B36 B42:B46 B29:B30">
    <cfRule type="duplicateValues" dxfId="448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B6DF6-B7AB-4189-A02D-8159ADEA685D}">
  <sheetPr codeName="Sheet18">
    <tabColor theme="5" tint="0.39997558519241921"/>
    <pageSetUpPr fitToPage="1"/>
  </sheetPr>
  <dimension ref="A1:E54"/>
  <sheetViews>
    <sheetView topLeftCell="A2"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445</v>
      </c>
    </row>
    <row r="4" spans="1:5" x14ac:dyDescent="0.2">
      <c r="A4" s="84" t="s">
        <v>61</v>
      </c>
      <c r="B4" s="84"/>
      <c r="C4" s="2" t="s">
        <v>156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123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HC with low CO2 and H2S, Steam, Hydraulic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51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399.8 @ -29°C' 342.9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3 mm</v>
      </c>
      <c r="D12" s="70"/>
      <c r="E12" s="70"/>
    </row>
    <row r="13" spans="1:5" x14ac:dyDescent="0.2">
      <c r="A13" s="69" t="s">
        <v>20</v>
      </c>
      <c r="B13" s="69"/>
      <c r="C13" s="5" t="s">
        <v>21</v>
      </c>
      <c r="D13" s="70"/>
      <c r="E13" s="70"/>
    </row>
    <row r="14" spans="1:5" ht="36" x14ac:dyDescent="0.2">
      <c r="A14" s="69" t="s">
        <v>22</v>
      </c>
      <c r="B14" s="69"/>
      <c r="C14" s="5" t="s">
        <v>225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ht="24" x14ac:dyDescent="0.2">
      <c r="A22" s="70" t="s">
        <v>31</v>
      </c>
      <c r="B22" s="13" t="s">
        <v>76</v>
      </c>
      <c r="C22" s="5" t="s">
        <v>151</v>
      </c>
      <c r="D22" s="70"/>
      <c r="E22" s="70"/>
    </row>
    <row r="23" spans="1:5" x14ac:dyDescent="0.2">
      <c r="A23" s="70"/>
      <c r="B23" s="13" t="s">
        <v>81</v>
      </c>
      <c r="C23" s="5" t="s">
        <v>88</v>
      </c>
      <c r="D23" s="70"/>
      <c r="E23" s="70"/>
    </row>
    <row r="24" spans="1:5" x14ac:dyDescent="0.2">
      <c r="A24" s="70"/>
      <c r="B24" s="13" t="s">
        <v>86</v>
      </c>
      <c r="C24" s="5" t="s">
        <v>119</v>
      </c>
      <c r="D24" s="70"/>
      <c r="E24" s="70"/>
    </row>
    <row r="25" spans="1:5" x14ac:dyDescent="0.2">
      <c r="A25" s="70"/>
      <c r="B25" s="13" t="s">
        <v>78</v>
      </c>
      <c r="C25" s="5" t="s">
        <v>91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91</v>
      </c>
      <c r="D27" s="70"/>
      <c r="E27" s="70"/>
    </row>
    <row r="28" spans="1:5" x14ac:dyDescent="0.2">
      <c r="A28" s="70"/>
      <c r="B28" s="4" t="s">
        <v>80</v>
      </c>
      <c r="C28" s="3" t="s">
        <v>110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142</v>
      </c>
      <c r="D32" s="70"/>
      <c r="E32" s="70"/>
    </row>
    <row r="33" spans="1:5" ht="36" x14ac:dyDescent="0.2">
      <c r="A33" s="70"/>
      <c r="B33" s="13" t="s">
        <v>35</v>
      </c>
      <c r="C33" s="5" t="s">
        <v>148</v>
      </c>
      <c r="D33" s="70"/>
      <c r="E33" s="70"/>
    </row>
    <row r="34" spans="1:5" ht="36" x14ac:dyDescent="0.2">
      <c r="A34" s="70"/>
      <c r="B34" s="13" t="s">
        <v>36</v>
      </c>
      <c r="C34" s="5" t="s">
        <v>141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218</v>
      </c>
      <c r="D39" s="67"/>
      <c r="E39" s="68"/>
    </row>
    <row r="40" spans="1:5" x14ac:dyDescent="0.2">
      <c r="A40" s="67" t="s">
        <v>105</v>
      </c>
      <c r="B40" s="68"/>
      <c r="C40" s="3" t="s">
        <v>219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93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447" priority="1"/>
  </conditionalFormatting>
  <conditionalFormatting sqref="B31">
    <cfRule type="duplicateValues" dxfId="446" priority="7"/>
  </conditionalFormatting>
  <conditionalFormatting sqref="B37">
    <cfRule type="duplicateValues" dxfId="445" priority="3"/>
  </conditionalFormatting>
  <conditionalFormatting sqref="B38">
    <cfRule type="duplicateValues" dxfId="444" priority="2"/>
  </conditionalFormatting>
  <conditionalFormatting sqref="B39">
    <cfRule type="duplicateValues" dxfId="443" priority="6"/>
  </conditionalFormatting>
  <conditionalFormatting sqref="B40">
    <cfRule type="duplicateValues" dxfId="442" priority="5"/>
  </conditionalFormatting>
  <conditionalFormatting sqref="B41">
    <cfRule type="duplicateValues" dxfId="441" priority="4"/>
  </conditionalFormatting>
  <conditionalFormatting sqref="B55:B1048576 B12:B27 B4:B10 B32:B36 B42:B46 B29:B30">
    <cfRule type="duplicateValues" dxfId="440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C3984-0B7F-4A24-B6B2-9F71F3A7597D}">
  <sheetPr codeName="Sheet19">
    <tabColor theme="5" tint="0.39997558519241921"/>
    <pageSetUpPr fitToPage="1"/>
  </sheetPr>
  <dimension ref="A1:E54"/>
  <sheetViews>
    <sheetView topLeftCell="A2"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446</v>
      </c>
    </row>
    <row r="4" spans="1:5" x14ac:dyDescent="0.2">
      <c r="A4" s="84" t="s">
        <v>61</v>
      </c>
      <c r="B4" s="84"/>
      <c r="C4" s="2" t="s">
        <v>157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123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HC with low CO2 and H2S, Steam, Hydraulic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51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399.8 @ -29°C' 342.9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3 mm</v>
      </c>
      <c r="D12" s="70"/>
      <c r="E12" s="70"/>
    </row>
    <row r="13" spans="1:5" x14ac:dyDescent="0.2">
      <c r="A13" s="69" t="s">
        <v>20</v>
      </c>
      <c r="B13" s="69"/>
      <c r="C13" s="5" t="s">
        <v>21</v>
      </c>
      <c r="D13" s="70"/>
      <c r="E13" s="70"/>
    </row>
    <row r="14" spans="1:5" ht="36" x14ac:dyDescent="0.2">
      <c r="A14" s="69" t="s">
        <v>22</v>
      </c>
      <c r="B14" s="69"/>
      <c r="C14" s="5" t="s">
        <v>226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ht="24" x14ac:dyDescent="0.2">
      <c r="A22" s="70" t="s">
        <v>31</v>
      </c>
      <c r="B22" s="13" t="s">
        <v>76</v>
      </c>
      <c r="C22" s="5" t="s">
        <v>151</v>
      </c>
      <c r="D22" s="70"/>
      <c r="E22" s="70"/>
    </row>
    <row r="23" spans="1:5" x14ac:dyDescent="0.2">
      <c r="A23" s="70"/>
      <c r="B23" s="13" t="s">
        <v>81</v>
      </c>
      <c r="C23" s="5" t="s">
        <v>88</v>
      </c>
      <c r="D23" s="70"/>
      <c r="E23" s="70"/>
    </row>
    <row r="24" spans="1:5" x14ac:dyDescent="0.2">
      <c r="A24" s="70"/>
      <c r="B24" s="13" t="s">
        <v>86</v>
      </c>
      <c r="C24" s="5" t="s">
        <v>119</v>
      </c>
      <c r="D24" s="70"/>
      <c r="E24" s="70"/>
    </row>
    <row r="25" spans="1:5" x14ac:dyDescent="0.2">
      <c r="A25" s="70"/>
      <c r="B25" s="13" t="s">
        <v>78</v>
      </c>
      <c r="C25" s="5" t="s">
        <v>91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91</v>
      </c>
      <c r="D27" s="70"/>
      <c r="E27" s="70"/>
    </row>
    <row r="28" spans="1:5" x14ac:dyDescent="0.2">
      <c r="A28" s="70"/>
      <c r="B28" s="4" t="s">
        <v>80</v>
      </c>
      <c r="C28" s="3" t="s">
        <v>110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142</v>
      </c>
      <c r="D32" s="70"/>
      <c r="E32" s="70"/>
    </row>
    <row r="33" spans="1:5" ht="36" x14ac:dyDescent="0.2">
      <c r="A33" s="70"/>
      <c r="B33" s="13" t="s">
        <v>35</v>
      </c>
      <c r="C33" s="5" t="s">
        <v>148</v>
      </c>
      <c r="D33" s="70"/>
      <c r="E33" s="70"/>
    </row>
    <row r="34" spans="1:5" ht="36" x14ac:dyDescent="0.2">
      <c r="A34" s="70"/>
      <c r="B34" s="13" t="s">
        <v>36</v>
      </c>
      <c r="C34" s="5" t="s">
        <v>141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218</v>
      </c>
      <c r="D39" s="67"/>
      <c r="E39" s="68"/>
    </row>
    <row r="40" spans="1:5" x14ac:dyDescent="0.2">
      <c r="A40" s="67" t="s">
        <v>105</v>
      </c>
      <c r="B40" s="68"/>
      <c r="C40" s="3" t="s">
        <v>219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93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439" priority="1"/>
  </conditionalFormatting>
  <conditionalFormatting sqref="B31">
    <cfRule type="duplicateValues" dxfId="438" priority="7"/>
  </conditionalFormatting>
  <conditionalFormatting sqref="B37">
    <cfRule type="duplicateValues" dxfId="437" priority="3"/>
  </conditionalFormatting>
  <conditionalFormatting sqref="B38">
    <cfRule type="duplicateValues" dxfId="436" priority="2"/>
  </conditionalFormatting>
  <conditionalFormatting sqref="B39">
    <cfRule type="duplicateValues" dxfId="435" priority="6"/>
  </conditionalFormatting>
  <conditionalFormatting sqref="B40">
    <cfRule type="duplicateValues" dxfId="434" priority="5"/>
  </conditionalFormatting>
  <conditionalFormatting sqref="B41">
    <cfRule type="duplicateValues" dxfId="433" priority="4"/>
  </conditionalFormatting>
  <conditionalFormatting sqref="B55:B1048576 B12:B27 B4:B10 B32:B36 B42:B46 B29:B30">
    <cfRule type="duplicateValues" dxfId="432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F0CDC-B052-477D-AEC1-59FA7F18D04F}">
  <sheetPr codeName="Sheet20">
    <tabColor theme="5" tint="0.39997558519241921"/>
    <pageSetUpPr fitToPage="1"/>
  </sheetPr>
  <dimension ref="A1:E54"/>
  <sheetViews>
    <sheetView topLeftCell="A3"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447</v>
      </c>
    </row>
    <row r="4" spans="1:5" x14ac:dyDescent="0.2">
      <c r="A4" s="84" t="s">
        <v>61</v>
      </c>
      <c r="B4" s="84"/>
      <c r="C4" s="2" t="s">
        <v>158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2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Glycol, FG,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49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153.2 @ -29°C' 131.4 @ 250°C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3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24" x14ac:dyDescent="0.2">
      <c r="A14" s="69" t="s">
        <v>22</v>
      </c>
      <c r="B14" s="69"/>
      <c r="C14" s="5" t="s">
        <v>62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60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110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142</v>
      </c>
      <c r="D32" s="70"/>
      <c r="E32" s="70"/>
    </row>
    <row r="33" spans="1:5" ht="36" x14ac:dyDescent="0.2">
      <c r="A33" s="70"/>
      <c r="B33" s="13" t="s">
        <v>35</v>
      </c>
      <c r="C33" s="5" t="s">
        <v>148</v>
      </c>
      <c r="D33" s="70"/>
      <c r="E33" s="70"/>
    </row>
    <row r="34" spans="1:5" ht="36" x14ac:dyDescent="0.2">
      <c r="A34" s="70"/>
      <c r="B34" s="13" t="s">
        <v>36</v>
      </c>
      <c r="C34" s="5" t="s">
        <v>141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222</v>
      </c>
      <c r="D39" s="67"/>
      <c r="E39" s="68"/>
    </row>
    <row r="40" spans="1:5" x14ac:dyDescent="0.2">
      <c r="A40" s="67" t="s">
        <v>105</v>
      </c>
      <c r="B40" s="68"/>
      <c r="C40" s="3" t="s">
        <v>223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431" priority="1"/>
  </conditionalFormatting>
  <conditionalFormatting sqref="B31">
    <cfRule type="duplicateValues" dxfId="430" priority="7"/>
  </conditionalFormatting>
  <conditionalFormatting sqref="B37">
    <cfRule type="duplicateValues" dxfId="429" priority="3"/>
  </conditionalFormatting>
  <conditionalFormatting sqref="B38">
    <cfRule type="duplicateValues" dxfId="428" priority="2"/>
  </conditionalFormatting>
  <conditionalFormatting sqref="B39">
    <cfRule type="duplicateValues" dxfId="427" priority="6"/>
  </conditionalFormatting>
  <conditionalFormatting sqref="B40">
    <cfRule type="duplicateValues" dxfId="426" priority="5"/>
  </conditionalFormatting>
  <conditionalFormatting sqref="B41">
    <cfRule type="duplicateValues" dxfId="425" priority="4"/>
  </conditionalFormatting>
  <conditionalFormatting sqref="B55:B1048576 B12:B27 B4:B10 B32:B36 B42:B46 B29:B30">
    <cfRule type="duplicateValues" dxfId="424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A3CC4-75CF-42C5-A7E4-5A21109E7455}">
  <sheetPr codeName="Sheet21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448</v>
      </c>
    </row>
    <row r="4" spans="1:5" x14ac:dyDescent="0.2">
      <c r="A4" s="84" t="s">
        <v>61</v>
      </c>
      <c r="B4" s="84"/>
      <c r="C4" s="2" t="s">
        <v>159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2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Glycol, FG,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49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153.2 @ -29°C' 131.4 @ 250°C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3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24" x14ac:dyDescent="0.2">
      <c r="A14" s="69" t="s">
        <v>22</v>
      </c>
      <c r="B14" s="69"/>
      <c r="C14" s="5" t="s">
        <v>63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ht="24" x14ac:dyDescent="0.2">
      <c r="A22" s="70" t="s">
        <v>31</v>
      </c>
      <c r="B22" s="13" t="s">
        <v>76</v>
      </c>
      <c r="C22" s="5" t="s">
        <v>73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110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142</v>
      </c>
      <c r="D32" s="70"/>
      <c r="E32" s="70"/>
    </row>
    <row r="33" spans="1:5" ht="36" x14ac:dyDescent="0.2">
      <c r="A33" s="70"/>
      <c r="B33" s="13" t="s">
        <v>35</v>
      </c>
      <c r="C33" s="5" t="s">
        <v>148</v>
      </c>
      <c r="D33" s="70"/>
      <c r="E33" s="70"/>
    </row>
    <row r="34" spans="1:5" ht="36" x14ac:dyDescent="0.2">
      <c r="A34" s="70"/>
      <c r="B34" s="13" t="s">
        <v>36</v>
      </c>
      <c r="C34" s="5" t="s">
        <v>141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222</v>
      </c>
      <c r="D39" s="67"/>
      <c r="E39" s="68"/>
    </row>
    <row r="40" spans="1:5" x14ac:dyDescent="0.2">
      <c r="A40" s="67" t="s">
        <v>105</v>
      </c>
      <c r="B40" s="68"/>
      <c r="C40" s="3" t="s">
        <v>223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423" priority="1"/>
  </conditionalFormatting>
  <conditionalFormatting sqref="B31">
    <cfRule type="duplicateValues" dxfId="422" priority="7"/>
  </conditionalFormatting>
  <conditionalFormatting sqref="B37">
    <cfRule type="duplicateValues" dxfId="421" priority="3"/>
  </conditionalFormatting>
  <conditionalFormatting sqref="B38">
    <cfRule type="duplicateValues" dxfId="420" priority="2"/>
  </conditionalFormatting>
  <conditionalFormatting sqref="B39">
    <cfRule type="duplicateValues" dxfId="419" priority="6"/>
  </conditionalFormatting>
  <conditionalFormatting sqref="B40">
    <cfRule type="duplicateValues" dxfId="418" priority="5"/>
  </conditionalFormatting>
  <conditionalFormatting sqref="B41">
    <cfRule type="duplicateValues" dxfId="417" priority="4"/>
  </conditionalFormatting>
  <conditionalFormatting sqref="B55:B1048576 B12:B27 B4:B10 B32:B36 B42:B46 B29:B30">
    <cfRule type="duplicateValues" dxfId="416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6DA4F-F98F-41B1-B71F-C4717DFC44C4}">
  <sheetPr codeName="Sheet22">
    <tabColor theme="5" tint="0.39997558519241921"/>
    <pageSetUpPr fitToPage="1"/>
  </sheetPr>
  <dimension ref="A1:E54"/>
  <sheetViews>
    <sheetView topLeftCell="A4"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449</v>
      </c>
    </row>
    <row r="4" spans="1:5" x14ac:dyDescent="0.2">
      <c r="A4" s="84" t="s">
        <v>61</v>
      </c>
      <c r="B4" s="84"/>
      <c r="C4" s="2" t="s">
        <v>160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3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Glycol, FG,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50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255.3 @ -29°C' 219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3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225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60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110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142</v>
      </c>
      <c r="D32" s="70"/>
      <c r="E32" s="70"/>
    </row>
    <row r="33" spans="1:5" ht="36" x14ac:dyDescent="0.2">
      <c r="A33" s="70"/>
      <c r="B33" s="13" t="s">
        <v>35</v>
      </c>
      <c r="C33" s="5" t="s">
        <v>148</v>
      </c>
      <c r="D33" s="70"/>
      <c r="E33" s="70"/>
    </row>
    <row r="34" spans="1:5" ht="36" x14ac:dyDescent="0.2">
      <c r="A34" s="70"/>
      <c r="B34" s="13" t="s">
        <v>36</v>
      </c>
      <c r="C34" s="5" t="s">
        <v>141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220</v>
      </c>
      <c r="D39" s="67"/>
      <c r="E39" s="68"/>
    </row>
    <row r="40" spans="1:5" x14ac:dyDescent="0.2">
      <c r="A40" s="67" t="s">
        <v>105</v>
      </c>
      <c r="B40" s="68"/>
      <c r="C40" s="3" t="s">
        <v>221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415" priority="1"/>
  </conditionalFormatting>
  <conditionalFormatting sqref="B31">
    <cfRule type="duplicateValues" dxfId="414" priority="7"/>
  </conditionalFormatting>
  <conditionalFormatting sqref="B37">
    <cfRule type="duplicateValues" dxfId="413" priority="3"/>
  </conditionalFormatting>
  <conditionalFormatting sqref="B38">
    <cfRule type="duplicateValues" dxfId="412" priority="2"/>
  </conditionalFormatting>
  <conditionalFormatting sqref="B39">
    <cfRule type="duplicateValues" dxfId="411" priority="6"/>
  </conditionalFormatting>
  <conditionalFormatting sqref="B40">
    <cfRule type="duplicateValues" dxfId="410" priority="5"/>
  </conditionalFormatting>
  <conditionalFormatting sqref="B41">
    <cfRule type="duplicateValues" dxfId="409" priority="4"/>
  </conditionalFormatting>
  <conditionalFormatting sqref="B55:B1048576 B12:B27 B4:B10 B32:B36 B42:B46 B29:B30">
    <cfRule type="duplicateValues" dxfId="408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BA3A4-70CC-4F61-BFA3-30AFBF3C65E5}">
  <sheetPr codeName="Sheet23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450</v>
      </c>
    </row>
    <row r="4" spans="1:5" x14ac:dyDescent="0.2">
      <c r="A4" s="84" t="s">
        <v>61</v>
      </c>
      <c r="B4" s="84"/>
      <c r="C4" s="2" t="s">
        <v>161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3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Glycol, FG,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50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255.3 @ -29°C' 219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3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226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ht="24" x14ac:dyDescent="0.2">
      <c r="A22" s="70" t="s">
        <v>31</v>
      </c>
      <c r="B22" s="13" t="s">
        <v>76</v>
      </c>
      <c r="C22" s="5" t="s">
        <v>73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110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142</v>
      </c>
      <c r="D32" s="70"/>
      <c r="E32" s="70"/>
    </row>
    <row r="33" spans="1:5" ht="36" x14ac:dyDescent="0.2">
      <c r="A33" s="70"/>
      <c r="B33" s="13" t="s">
        <v>35</v>
      </c>
      <c r="C33" s="5" t="s">
        <v>148</v>
      </c>
      <c r="D33" s="70"/>
      <c r="E33" s="70"/>
    </row>
    <row r="34" spans="1:5" ht="36" x14ac:dyDescent="0.2">
      <c r="A34" s="70"/>
      <c r="B34" s="13" t="s">
        <v>36</v>
      </c>
      <c r="C34" s="5" t="s">
        <v>141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220</v>
      </c>
      <c r="D39" s="67"/>
      <c r="E39" s="68"/>
    </row>
    <row r="40" spans="1:5" x14ac:dyDescent="0.2">
      <c r="A40" s="67" t="s">
        <v>105</v>
      </c>
      <c r="B40" s="68"/>
      <c r="C40" s="3" t="s">
        <v>221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407" priority="1"/>
  </conditionalFormatting>
  <conditionalFormatting sqref="B31">
    <cfRule type="duplicateValues" dxfId="406" priority="7"/>
  </conditionalFormatting>
  <conditionalFormatting sqref="B37">
    <cfRule type="duplicateValues" dxfId="405" priority="3"/>
  </conditionalFormatting>
  <conditionalFormatting sqref="B38">
    <cfRule type="duplicateValues" dxfId="404" priority="2"/>
  </conditionalFormatting>
  <conditionalFormatting sqref="B39">
    <cfRule type="duplicateValues" dxfId="403" priority="6"/>
  </conditionalFormatting>
  <conditionalFormatting sqref="B40">
    <cfRule type="duplicateValues" dxfId="402" priority="5"/>
  </conditionalFormatting>
  <conditionalFormatting sqref="B41">
    <cfRule type="duplicateValues" dxfId="401" priority="4"/>
  </conditionalFormatting>
  <conditionalFormatting sqref="B55:B1048576 B12:B27 B4:B10 B32:B36 B42:B46 B29:B30">
    <cfRule type="duplicateValues" dxfId="400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DC1F6-3137-4FAF-85A4-A6DEEF68AB0C}">
  <sheetPr codeName="Sheet24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451</v>
      </c>
    </row>
    <row r="4" spans="1:5" x14ac:dyDescent="0.2">
      <c r="A4" s="84" t="s">
        <v>61</v>
      </c>
      <c r="B4" s="84"/>
      <c r="C4" s="2" t="s">
        <v>162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4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Glycol, FG,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51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399.8 @ -29°C' 342.9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3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225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60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110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142</v>
      </c>
      <c r="D32" s="70"/>
      <c r="E32" s="70"/>
    </row>
    <row r="33" spans="1:5" ht="36" x14ac:dyDescent="0.2">
      <c r="A33" s="70"/>
      <c r="B33" s="13" t="s">
        <v>35</v>
      </c>
      <c r="C33" s="5" t="s">
        <v>148</v>
      </c>
      <c r="D33" s="70"/>
      <c r="E33" s="70"/>
    </row>
    <row r="34" spans="1:5" ht="36" x14ac:dyDescent="0.2">
      <c r="A34" s="70"/>
      <c r="B34" s="13" t="s">
        <v>36</v>
      </c>
      <c r="C34" s="5" t="s">
        <v>141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218</v>
      </c>
      <c r="D39" s="67"/>
      <c r="E39" s="68"/>
    </row>
    <row r="40" spans="1:5" x14ac:dyDescent="0.2">
      <c r="A40" s="67" t="s">
        <v>105</v>
      </c>
      <c r="B40" s="68"/>
      <c r="C40" s="3" t="s">
        <v>219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399" priority="1"/>
  </conditionalFormatting>
  <conditionalFormatting sqref="B31">
    <cfRule type="duplicateValues" dxfId="398" priority="7"/>
  </conditionalFormatting>
  <conditionalFormatting sqref="B37">
    <cfRule type="duplicateValues" dxfId="397" priority="3"/>
  </conditionalFormatting>
  <conditionalFormatting sqref="B38">
    <cfRule type="duplicateValues" dxfId="396" priority="2"/>
  </conditionalFormatting>
  <conditionalFormatting sqref="B39">
    <cfRule type="duplicateValues" dxfId="395" priority="6"/>
  </conditionalFormatting>
  <conditionalFormatting sqref="B40">
    <cfRule type="duplicateValues" dxfId="394" priority="5"/>
  </conditionalFormatting>
  <conditionalFormatting sqref="B41">
    <cfRule type="duplicateValues" dxfId="393" priority="4"/>
  </conditionalFormatting>
  <conditionalFormatting sqref="B55:B1048576 B12:B27 B4:B10 B32:B36 B42:B46 B29:B30">
    <cfRule type="duplicateValues" dxfId="392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A66D4-6E11-4F2A-B29A-A71576B152A0}">
  <sheetPr codeName="Sheet25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452</v>
      </c>
    </row>
    <row r="4" spans="1:5" x14ac:dyDescent="0.2">
      <c r="A4" s="84" t="s">
        <v>61</v>
      </c>
      <c r="B4" s="84"/>
      <c r="C4" s="2" t="s">
        <v>163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4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Glycol, FG,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51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399.8 @ -29°C' 342.9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3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226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ht="24" x14ac:dyDescent="0.2">
      <c r="A22" s="70" t="s">
        <v>31</v>
      </c>
      <c r="B22" s="13" t="s">
        <v>76</v>
      </c>
      <c r="C22" s="5" t="s">
        <v>73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110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142</v>
      </c>
      <c r="D32" s="70"/>
      <c r="E32" s="70"/>
    </row>
    <row r="33" spans="1:5" ht="36" x14ac:dyDescent="0.2">
      <c r="A33" s="70"/>
      <c r="B33" s="13" t="s">
        <v>35</v>
      </c>
      <c r="C33" s="5" t="s">
        <v>148</v>
      </c>
      <c r="D33" s="70"/>
      <c r="E33" s="70"/>
    </row>
    <row r="34" spans="1:5" ht="36" x14ac:dyDescent="0.2">
      <c r="A34" s="70"/>
      <c r="B34" s="13" t="s">
        <v>36</v>
      </c>
      <c r="C34" s="5" t="s">
        <v>141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218</v>
      </c>
      <c r="D39" s="67"/>
      <c r="E39" s="68"/>
    </row>
    <row r="40" spans="1:5" x14ac:dyDescent="0.2">
      <c r="A40" s="67" t="s">
        <v>105</v>
      </c>
      <c r="B40" s="68"/>
      <c r="C40" s="3" t="s">
        <v>219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391" priority="1"/>
  </conditionalFormatting>
  <conditionalFormatting sqref="B31">
    <cfRule type="duplicateValues" dxfId="390" priority="7"/>
  </conditionalFormatting>
  <conditionalFormatting sqref="B37">
    <cfRule type="duplicateValues" dxfId="389" priority="3"/>
  </conditionalFormatting>
  <conditionalFormatting sqref="B38">
    <cfRule type="duplicateValues" dxfId="388" priority="2"/>
  </conditionalFormatting>
  <conditionalFormatting sqref="B39">
    <cfRule type="duplicateValues" dxfId="387" priority="6"/>
  </conditionalFormatting>
  <conditionalFormatting sqref="B40">
    <cfRule type="duplicateValues" dxfId="386" priority="5"/>
  </conditionalFormatting>
  <conditionalFormatting sqref="B41">
    <cfRule type="duplicateValues" dxfId="385" priority="4"/>
  </conditionalFormatting>
  <conditionalFormatting sqref="B55:B1048576 B12:B27 B4:B10 B32:B36 B42:B46 B29:B30">
    <cfRule type="duplicateValues" dxfId="384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841BF-9C74-4973-9544-A707A0A100A7}">
  <sheetPr codeName="Sheet71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453</v>
      </c>
    </row>
    <row r="4" spans="1:5" x14ac:dyDescent="0.2">
      <c r="A4" s="84" t="s">
        <v>61</v>
      </c>
      <c r="B4" s="84"/>
      <c r="C4" s="2" t="s">
        <v>400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4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Glycol, FG,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51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399.8 @ -29°C' 342.9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3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226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401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ht="24" x14ac:dyDescent="0.2">
      <c r="A22" s="70" t="s">
        <v>31</v>
      </c>
      <c r="B22" s="13" t="s">
        <v>76</v>
      </c>
      <c r="C22" s="5" t="s">
        <v>73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402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110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142</v>
      </c>
      <c r="D32" s="70"/>
      <c r="E32" s="70"/>
    </row>
    <row r="33" spans="1:5" ht="36" x14ac:dyDescent="0.2">
      <c r="A33" s="70"/>
      <c r="B33" s="13" t="s">
        <v>35</v>
      </c>
      <c r="C33" s="5" t="s">
        <v>148</v>
      </c>
      <c r="D33" s="70"/>
      <c r="E33" s="70"/>
    </row>
    <row r="34" spans="1:5" ht="36" x14ac:dyDescent="0.2">
      <c r="A34" s="70"/>
      <c r="B34" s="13" t="s">
        <v>36</v>
      </c>
      <c r="C34" s="5" t="s">
        <v>141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218</v>
      </c>
      <c r="D39" s="67"/>
      <c r="E39" s="68"/>
    </row>
    <row r="40" spans="1:5" x14ac:dyDescent="0.2">
      <c r="A40" s="67" t="s">
        <v>105</v>
      </c>
      <c r="B40" s="68"/>
      <c r="C40" s="3" t="s">
        <v>219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383" priority="1"/>
  </conditionalFormatting>
  <conditionalFormatting sqref="B31">
    <cfRule type="duplicateValues" dxfId="382" priority="7"/>
  </conditionalFormatting>
  <conditionalFormatting sqref="B37">
    <cfRule type="duplicateValues" dxfId="381" priority="3"/>
  </conditionalFormatting>
  <conditionalFormatting sqref="B38">
    <cfRule type="duplicateValues" dxfId="380" priority="2"/>
  </conditionalFormatting>
  <conditionalFormatting sqref="B39">
    <cfRule type="duplicateValues" dxfId="379" priority="6"/>
  </conditionalFormatting>
  <conditionalFormatting sqref="B40">
    <cfRule type="duplicateValues" dxfId="378" priority="5"/>
  </conditionalFormatting>
  <conditionalFormatting sqref="B41">
    <cfRule type="duplicateValues" dxfId="377" priority="4"/>
  </conditionalFormatting>
  <conditionalFormatting sqref="B55:B1048576 B12:B27 B4:B10 B32:B36 B42:B46 B29:B30">
    <cfRule type="duplicateValues" dxfId="376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22D89-9375-457B-80C1-40CFCF49F39E}">
  <sheetPr codeName="Sheet26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454</v>
      </c>
    </row>
    <row r="4" spans="1:5" x14ac:dyDescent="0.2">
      <c r="A4" s="84" t="s">
        <v>61</v>
      </c>
      <c r="B4" s="84"/>
      <c r="C4" s="2" t="s">
        <v>164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99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49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153.2 @ -29°C' 131.4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6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24" x14ac:dyDescent="0.2">
      <c r="A14" s="69" t="s">
        <v>22</v>
      </c>
      <c r="B14" s="69"/>
      <c r="C14" s="5" t="s">
        <v>62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ht="24" x14ac:dyDescent="0.2">
      <c r="A22" s="70" t="s">
        <v>31</v>
      </c>
      <c r="B22" s="13" t="s">
        <v>76</v>
      </c>
      <c r="C22" s="5" t="s">
        <v>73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110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142</v>
      </c>
      <c r="D32" s="70"/>
      <c r="E32" s="70"/>
    </row>
    <row r="33" spans="1:5" x14ac:dyDescent="0.2">
      <c r="A33" s="70"/>
      <c r="B33" s="13" t="s">
        <v>35</v>
      </c>
      <c r="C33" s="5" t="s">
        <v>74</v>
      </c>
      <c r="D33" s="70"/>
      <c r="E33" s="70"/>
    </row>
    <row r="34" spans="1:5" x14ac:dyDescent="0.2">
      <c r="A34" s="70"/>
      <c r="B34" s="13" t="s">
        <v>36</v>
      </c>
      <c r="C34" s="5" t="s">
        <v>75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222</v>
      </c>
      <c r="D39" s="67"/>
      <c r="E39" s="68"/>
    </row>
    <row r="40" spans="1:5" x14ac:dyDescent="0.2">
      <c r="A40" s="67" t="s">
        <v>105</v>
      </c>
      <c r="B40" s="68"/>
      <c r="C40" s="3" t="s">
        <v>223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375" priority="1"/>
  </conditionalFormatting>
  <conditionalFormatting sqref="B31">
    <cfRule type="duplicateValues" dxfId="374" priority="7"/>
  </conditionalFormatting>
  <conditionalFormatting sqref="B37">
    <cfRule type="duplicateValues" dxfId="373" priority="3"/>
  </conditionalFormatting>
  <conditionalFormatting sqref="B38">
    <cfRule type="duplicateValues" dxfId="372" priority="2"/>
  </conditionalFormatting>
  <conditionalFormatting sqref="B39">
    <cfRule type="duplicateValues" dxfId="371" priority="6"/>
  </conditionalFormatting>
  <conditionalFormatting sqref="B40">
    <cfRule type="duplicateValues" dxfId="370" priority="5"/>
  </conditionalFormatting>
  <conditionalFormatting sqref="B41">
    <cfRule type="duplicateValues" dxfId="369" priority="4"/>
  </conditionalFormatting>
  <conditionalFormatting sqref="B55:B1048576 B12:B27 B4:B10 B32:B36 B42:B46 B29:B30">
    <cfRule type="duplicateValues" dxfId="368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5677E-EFB7-476A-9140-2598EB1CD16E}">
  <sheetPr codeName="Sheet27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455</v>
      </c>
    </row>
    <row r="4" spans="1:5" x14ac:dyDescent="0.2">
      <c r="A4" s="84" t="s">
        <v>61</v>
      </c>
      <c r="B4" s="84"/>
      <c r="C4" s="2" t="s">
        <v>165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99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49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153.2 @ -29°C' 131.4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6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24" x14ac:dyDescent="0.2">
      <c r="A14" s="69" t="s">
        <v>22</v>
      </c>
      <c r="B14" s="69"/>
      <c r="C14" s="5" t="s">
        <v>63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ht="24" x14ac:dyDescent="0.2">
      <c r="A22" s="70" t="s">
        <v>31</v>
      </c>
      <c r="B22" s="13" t="s">
        <v>76</v>
      </c>
      <c r="C22" s="5" t="s">
        <v>73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110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142</v>
      </c>
      <c r="D32" s="70"/>
      <c r="E32" s="70"/>
    </row>
    <row r="33" spans="1:5" x14ac:dyDescent="0.2">
      <c r="A33" s="70"/>
      <c r="B33" s="13" t="s">
        <v>35</v>
      </c>
      <c r="C33" s="5" t="s">
        <v>74</v>
      </c>
      <c r="D33" s="70"/>
      <c r="E33" s="70"/>
    </row>
    <row r="34" spans="1:5" x14ac:dyDescent="0.2">
      <c r="A34" s="70"/>
      <c r="B34" s="13" t="s">
        <v>36</v>
      </c>
      <c r="C34" s="5" t="s">
        <v>75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222</v>
      </c>
      <c r="D39" s="67"/>
      <c r="E39" s="68"/>
    </row>
    <row r="40" spans="1:5" x14ac:dyDescent="0.2">
      <c r="A40" s="67" t="s">
        <v>105</v>
      </c>
      <c r="B40" s="68"/>
      <c r="C40" s="3" t="s">
        <v>223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367" priority="1"/>
  </conditionalFormatting>
  <conditionalFormatting sqref="B31">
    <cfRule type="duplicateValues" dxfId="366" priority="7"/>
  </conditionalFormatting>
  <conditionalFormatting sqref="B37">
    <cfRule type="duplicateValues" dxfId="365" priority="3"/>
  </conditionalFormatting>
  <conditionalFormatting sqref="B38">
    <cfRule type="duplicateValues" dxfId="364" priority="2"/>
  </conditionalFormatting>
  <conditionalFormatting sqref="B39">
    <cfRule type="duplicateValues" dxfId="363" priority="6"/>
  </conditionalFormatting>
  <conditionalFormatting sqref="B40">
    <cfRule type="duplicateValues" dxfId="362" priority="5"/>
  </conditionalFormatting>
  <conditionalFormatting sqref="B41">
    <cfRule type="duplicateValues" dxfId="361" priority="4"/>
  </conditionalFormatting>
  <conditionalFormatting sqref="B55:B1048576 B12:B27 B4:B10 B32:B36 B42:B46 B29:B30">
    <cfRule type="duplicateValues" dxfId="360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691F2-A8EF-469E-B649-AFF7F49FF770}">
  <sheetPr codeName="Sheet28">
    <tabColor theme="5" tint="0.39997558519241921"/>
    <pageSetUpPr fitToPage="1"/>
  </sheetPr>
  <dimension ref="A1:E54"/>
  <sheetViews>
    <sheetView topLeftCell="A15"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456</v>
      </c>
    </row>
    <row r="4" spans="1:5" x14ac:dyDescent="0.2">
      <c r="A4" s="84" t="s">
        <v>61</v>
      </c>
      <c r="B4" s="84"/>
      <c r="C4" s="2" t="s">
        <v>166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100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50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255.3 @ -29°C' 219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6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225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ht="24" x14ac:dyDescent="0.2">
      <c r="A22" s="70" t="s">
        <v>31</v>
      </c>
      <c r="B22" s="13" t="s">
        <v>76</v>
      </c>
      <c r="C22" s="5" t="s">
        <v>73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110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142</v>
      </c>
      <c r="D32" s="70"/>
      <c r="E32" s="70"/>
    </row>
    <row r="33" spans="1:5" x14ac:dyDescent="0.2">
      <c r="A33" s="70"/>
      <c r="B33" s="13" t="s">
        <v>35</v>
      </c>
      <c r="C33" s="5" t="s">
        <v>74</v>
      </c>
      <c r="D33" s="70"/>
      <c r="E33" s="70"/>
    </row>
    <row r="34" spans="1:5" x14ac:dyDescent="0.2">
      <c r="A34" s="70"/>
      <c r="B34" s="13" t="s">
        <v>36</v>
      </c>
      <c r="C34" s="5" t="s">
        <v>75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220</v>
      </c>
      <c r="D39" s="67"/>
      <c r="E39" s="68"/>
    </row>
    <row r="40" spans="1:5" x14ac:dyDescent="0.2">
      <c r="A40" s="67" t="s">
        <v>105</v>
      </c>
      <c r="B40" s="68"/>
      <c r="C40" s="3" t="s">
        <v>221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359" priority="1"/>
  </conditionalFormatting>
  <conditionalFormatting sqref="B31">
    <cfRule type="duplicateValues" dxfId="358" priority="7"/>
  </conditionalFormatting>
  <conditionalFormatting sqref="B37">
    <cfRule type="duplicateValues" dxfId="357" priority="3"/>
  </conditionalFormatting>
  <conditionalFormatting sqref="B38">
    <cfRule type="duplicateValues" dxfId="356" priority="2"/>
  </conditionalFormatting>
  <conditionalFormatting sqref="B39">
    <cfRule type="duplicateValues" dxfId="355" priority="6"/>
  </conditionalFormatting>
  <conditionalFormatting sqref="B40">
    <cfRule type="duplicateValues" dxfId="354" priority="5"/>
  </conditionalFormatting>
  <conditionalFormatting sqref="B41">
    <cfRule type="duplicateValues" dxfId="353" priority="4"/>
  </conditionalFormatting>
  <conditionalFormatting sqref="B55:B1048576 B12:B27 B4:B10 B32:B36 B42:B46 B29:B30">
    <cfRule type="duplicateValues" dxfId="352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6636D-D846-44C3-8AE1-F13C07DDE3C7}">
  <sheetPr codeName="Sheet29">
    <tabColor theme="5" tint="0.39997558519241921"/>
    <pageSetUpPr fitToPage="1"/>
  </sheetPr>
  <dimension ref="A1:E54"/>
  <sheetViews>
    <sheetView topLeftCell="A15"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457</v>
      </c>
    </row>
    <row r="4" spans="1:5" x14ac:dyDescent="0.2">
      <c r="A4" s="84" t="s">
        <v>61</v>
      </c>
      <c r="B4" s="84"/>
      <c r="C4" s="2" t="s">
        <v>167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100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50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255.3 @ -29°C' 219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6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226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ht="24" x14ac:dyDescent="0.2">
      <c r="A22" s="70" t="s">
        <v>31</v>
      </c>
      <c r="B22" s="13" t="s">
        <v>76</v>
      </c>
      <c r="C22" s="5" t="s">
        <v>73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110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142</v>
      </c>
      <c r="D32" s="70"/>
      <c r="E32" s="70"/>
    </row>
    <row r="33" spans="1:5" x14ac:dyDescent="0.2">
      <c r="A33" s="70"/>
      <c r="B33" s="13" t="s">
        <v>35</v>
      </c>
      <c r="C33" s="5" t="s">
        <v>74</v>
      </c>
      <c r="D33" s="70"/>
      <c r="E33" s="70"/>
    </row>
    <row r="34" spans="1:5" x14ac:dyDescent="0.2">
      <c r="A34" s="70"/>
      <c r="B34" s="13" t="s">
        <v>36</v>
      </c>
      <c r="C34" s="5" t="s">
        <v>75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220</v>
      </c>
      <c r="D39" s="67"/>
      <c r="E39" s="68"/>
    </row>
    <row r="40" spans="1:5" x14ac:dyDescent="0.2">
      <c r="A40" s="67" t="s">
        <v>105</v>
      </c>
      <c r="B40" s="68"/>
      <c r="C40" s="3" t="s">
        <v>221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351" priority="1"/>
  </conditionalFormatting>
  <conditionalFormatting sqref="B31">
    <cfRule type="duplicateValues" dxfId="350" priority="7"/>
  </conditionalFormatting>
  <conditionalFormatting sqref="B37">
    <cfRule type="duplicateValues" dxfId="349" priority="3"/>
  </conditionalFormatting>
  <conditionalFormatting sqref="B38">
    <cfRule type="duplicateValues" dxfId="348" priority="2"/>
  </conditionalFormatting>
  <conditionalFormatting sqref="B39">
    <cfRule type="duplicateValues" dxfId="347" priority="6"/>
  </conditionalFormatting>
  <conditionalFormatting sqref="B40">
    <cfRule type="duplicateValues" dxfId="346" priority="5"/>
  </conditionalFormatting>
  <conditionalFormatting sqref="B41">
    <cfRule type="duplicateValues" dxfId="345" priority="4"/>
  </conditionalFormatting>
  <conditionalFormatting sqref="B55:B1048576 B12:B27 B4:B10 B32:B36 B42:B46 B29:B30">
    <cfRule type="duplicateValues" dxfId="344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19D8-671A-4E6B-ACDE-D8F3533F98D1}">
  <sheetPr codeName="Sheet30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458</v>
      </c>
    </row>
    <row r="4" spans="1:5" x14ac:dyDescent="0.2">
      <c r="A4" s="84" t="s">
        <v>61</v>
      </c>
      <c r="B4" s="84"/>
      <c r="C4" s="2" t="s">
        <v>168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101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51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399.8 @ -29°C' 342.9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6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225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ht="24" x14ac:dyDescent="0.2">
      <c r="A22" s="70" t="s">
        <v>31</v>
      </c>
      <c r="B22" s="13" t="s">
        <v>76</v>
      </c>
      <c r="C22" s="5" t="s">
        <v>73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110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142</v>
      </c>
      <c r="D32" s="70"/>
      <c r="E32" s="70"/>
    </row>
    <row r="33" spans="1:5" x14ac:dyDescent="0.2">
      <c r="A33" s="70"/>
      <c r="B33" s="13" t="s">
        <v>35</v>
      </c>
      <c r="C33" s="5" t="s">
        <v>74</v>
      </c>
      <c r="D33" s="70"/>
      <c r="E33" s="70"/>
    </row>
    <row r="34" spans="1:5" x14ac:dyDescent="0.2">
      <c r="A34" s="70"/>
      <c r="B34" s="13" t="s">
        <v>36</v>
      </c>
      <c r="C34" s="5" t="s">
        <v>75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218</v>
      </c>
      <c r="D39" s="67"/>
      <c r="E39" s="68"/>
    </row>
    <row r="40" spans="1:5" x14ac:dyDescent="0.2">
      <c r="A40" s="67" t="s">
        <v>105</v>
      </c>
      <c r="B40" s="68"/>
      <c r="C40" s="3" t="s">
        <v>219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343" priority="1"/>
  </conditionalFormatting>
  <conditionalFormatting sqref="B31">
    <cfRule type="duplicateValues" dxfId="342" priority="7"/>
  </conditionalFormatting>
  <conditionalFormatting sqref="B37">
    <cfRule type="duplicateValues" dxfId="341" priority="3"/>
  </conditionalFormatting>
  <conditionalFormatting sqref="B38">
    <cfRule type="duplicateValues" dxfId="340" priority="2"/>
  </conditionalFormatting>
  <conditionalFormatting sqref="B39">
    <cfRule type="duplicateValues" dxfId="339" priority="6"/>
  </conditionalFormatting>
  <conditionalFormatting sqref="B40">
    <cfRule type="duplicateValues" dxfId="338" priority="5"/>
  </conditionalFormatting>
  <conditionalFormatting sqref="B41">
    <cfRule type="duplicateValues" dxfId="337" priority="4"/>
  </conditionalFormatting>
  <conditionalFormatting sqref="B55:B1048576 B12:B27 B4:B10 B32:B36 B42:B46 B29:B30">
    <cfRule type="duplicateValues" dxfId="336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7537C-63F3-4273-99C7-A532EE05D7C0}">
  <sheetPr codeName="Sheet31">
    <tabColor theme="5" tint="0.39997558519241921"/>
    <pageSetUpPr fitToPage="1"/>
  </sheetPr>
  <dimension ref="A1:E54"/>
  <sheetViews>
    <sheetView topLeftCell="A15"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459</v>
      </c>
    </row>
    <row r="4" spans="1:5" x14ac:dyDescent="0.2">
      <c r="A4" s="84" t="s">
        <v>61</v>
      </c>
      <c r="B4" s="84"/>
      <c r="C4" s="2" t="s">
        <v>169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101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51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399.8 @ -29°C' 342.9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6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226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ht="24" x14ac:dyDescent="0.2">
      <c r="A22" s="70" t="s">
        <v>31</v>
      </c>
      <c r="B22" s="13" t="s">
        <v>76</v>
      </c>
      <c r="C22" s="5" t="s">
        <v>73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110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142</v>
      </c>
      <c r="D32" s="70"/>
      <c r="E32" s="70"/>
    </row>
    <row r="33" spans="1:5" x14ac:dyDescent="0.2">
      <c r="A33" s="70"/>
      <c r="B33" s="13" t="s">
        <v>35</v>
      </c>
      <c r="C33" s="5" t="s">
        <v>74</v>
      </c>
      <c r="D33" s="70"/>
      <c r="E33" s="70"/>
    </row>
    <row r="34" spans="1:5" x14ac:dyDescent="0.2">
      <c r="A34" s="70"/>
      <c r="B34" s="13" t="s">
        <v>36</v>
      </c>
      <c r="C34" s="5" t="s">
        <v>75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218</v>
      </c>
      <c r="D39" s="67"/>
      <c r="E39" s="68"/>
    </row>
    <row r="40" spans="1:5" x14ac:dyDescent="0.2">
      <c r="A40" s="67" t="s">
        <v>105</v>
      </c>
      <c r="B40" s="68"/>
      <c r="C40" s="3" t="s">
        <v>219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335" priority="1"/>
  </conditionalFormatting>
  <conditionalFormatting sqref="B31">
    <cfRule type="duplicateValues" dxfId="334" priority="7"/>
  </conditionalFormatting>
  <conditionalFormatting sqref="B37">
    <cfRule type="duplicateValues" dxfId="333" priority="3"/>
  </conditionalFormatting>
  <conditionalFormatting sqref="B38">
    <cfRule type="duplicateValues" dxfId="332" priority="2"/>
  </conditionalFormatting>
  <conditionalFormatting sqref="B39">
    <cfRule type="duplicateValues" dxfId="331" priority="6"/>
  </conditionalFormatting>
  <conditionalFormatting sqref="B40">
    <cfRule type="duplicateValues" dxfId="330" priority="5"/>
  </conditionalFormatting>
  <conditionalFormatting sqref="B41">
    <cfRule type="duplicateValues" dxfId="329" priority="4"/>
  </conditionalFormatting>
  <conditionalFormatting sqref="B55:B1048576 B12:B27 B4:B10 B32:B36 B42:B46 B29:B30">
    <cfRule type="duplicateValues" dxfId="328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A3C50-1C4E-4690-BA8C-33E31C790814}">
  <sheetPr codeName="Sheet32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460</v>
      </c>
    </row>
    <row r="4" spans="1:5" x14ac:dyDescent="0.2">
      <c r="A4" s="84" t="s">
        <v>61</v>
      </c>
      <c r="B4" s="84"/>
      <c r="C4" s="2" t="s">
        <v>170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7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 (Low Temp)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49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153.2 @ -45°C' 131.4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3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24" x14ac:dyDescent="0.2">
      <c r="A14" s="69" t="s">
        <v>22</v>
      </c>
      <c r="B14" s="69"/>
      <c r="C14" s="5" t="s">
        <v>62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56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144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222</v>
      </c>
      <c r="D39" s="67"/>
      <c r="E39" s="68"/>
    </row>
    <row r="40" spans="1:5" x14ac:dyDescent="0.2">
      <c r="A40" s="67" t="s">
        <v>105</v>
      </c>
      <c r="B40" s="68"/>
      <c r="C40" s="3" t="s">
        <v>223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327" priority="1"/>
  </conditionalFormatting>
  <conditionalFormatting sqref="B31">
    <cfRule type="duplicateValues" dxfId="326" priority="7"/>
  </conditionalFormatting>
  <conditionalFormatting sqref="B37">
    <cfRule type="duplicateValues" dxfId="325" priority="3"/>
  </conditionalFormatting>
  <conditionalFormatting sqref="B38">
    <cfRule type="duplicateValues" dxfId="324" priority="2"/>
  </conditionalFormatting>
  <conditionalFormatting sqref="B39">
    <cfRule type="duplicateValues" dxfId="323" priority="6"/>
  </conditionalFormatting>
  <conditionalFormatting sqref="B40">
    <cfRule type="duplicateValues" dxfId="322" priority="5"/>
  </conditionalFormatting>
  <conditionalFormatting sqref="B41">
    <cfRule type="duplicateValues" dxfId="321" priority="4"/>
  </conditionalFormatting>
  <conditionalFormatting sqref="B55:B1048576 B12:B27 B4:B10 B32:B36 B42:B46 B29:B30">
    <cfRule type="duplicateValues" dxfId="320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F8A60-1A83-41C6-82FB-E51FBECB7363}">
  <sheetPr codeName="Sheet33">
    <tabColor theme="5" tint="0.39997558519241921"/>
    <pageSetUpPr fitToPage="1"/>
  </sheetPr>
  <dimension ref="A1:E54"/>
  <sheetViews>
    <sheetView topLeftCell="A16"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461</v>
      </c>
    </row>
    <row r="4" spans="1:5" x14ac:dyDescent="0.2">
      <c r="A4" s="84" t="s">
        <v>61</v>
      </c>
      <c r="B4" s="84"/>
      <c r="C4" s="2" t="s">
        <v>171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7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 (Low Temp)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49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153.2 @ -45°C' 131.4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3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24" x14ac:dyDescent="0.2">
      <c r="A14" s="69" t="s">
        <v>22</v>
      </c>
      <c r="B14" s="69"/>
      <c r="C14" s="5" t="s">
        <v>63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59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144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222</v>
      </c>
      <c r="D39" s="67"/>
      <c r="E39" s="68"/>
    </row>
    <row r="40" spans="1:5" x14ac:dyDescent="0.2">
      <c r="A40" s="67" t="s">
        <v>105</v>
      </c>
      <c r="B40" s="68"/>
      <c r="C40" s="3" t="s">
        <v>223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319" priority="1"/>
  </conditionalFormatting>
  <conditionalFormatting sqref="B31">
    <cfRule type="duplicateValues" dxfId="318" priority="7"/>
  </conditionalFormatting>
  <conditionalFormatting sqref="B37">
    <cfRule type="duplicateValues" dxfId="317" priority="3"/>
  </conditionalFormatting>
  <conditionalFormatting sqref="B38">
    <cfRule type="duplicateValues" dxfId="316" priority="2"/>
  </conditionalFormatting>
  <conditionalFormatting sqref="B39">
    <cfRule type="duplicateValues" dxfId="315" priority="6"/>
  </conditionalFormatting>
  <conditionalFormatting sqref="B40">
    <cfRule type="duplicateValues" dxfId="314" priority="5"/>
  </conditionalFormatting>
  <conditionalFormatting sqref="B41">
    <cfRule type="duplicateValues" dxfId="313" priority="4"/>
  </conditionalFormatting>
  <conditionalFormatting sqref="B55:B1048576 B12:B27 B4:B10 B32:B36 B42:B46 B29:B30">
    <cfRule type="duplicateValues" dxfId="312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6E755-0F52-4A0E-B48B-425FFC6C977E}">
  <sheetPr codeName="Sheet34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462</v>
      </c>
    </row>
    <row r="4" spans="1:5" x14ac:dyDescent="0.2">
      <c r="A4" s="84" t="s">
        <v>61</v>
      </c>
      <c r="B4" s="84"/>
      <c r="C4" s="2" t="s">
        <v>172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9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 (Low Temp)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50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255.3 @ -45°C' 219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3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225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56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144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220</v>
      </c>
      <c r="D39" s="67"/>
      <c r="E39" s="68"/>
    </row>
    <row r="40" spans="1:5" x14ac:dyDescent="0.2">
      <c r="A40" s="67" t="s">
        <v>105</v>
      </c>
      <c r="B40" s="68"/>
      <c r="C40" s="3" t="s">
        <v>221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311" priority="1"/>
  </conditionalFormatting>
  <conditionalFormatting sqref="B31">
    <cfRule type="duplicateValues" dxfId="310" priority="7"/>
  </conditionalFormatting>
  <conditionalFormatting sqref="B37">
    <cfRule type="duplicateValues" dxfId="309" priority="3"/>
  </conditionalFormatting>
  <conditionalFormatting sqref="B38">
    <cfRule type="duplicateValues" dxfId="308" priority="2"/>
  </conditionalFormatting>
  <conditionalFormatting sqref="B39">
    <cfRule type="duplicateValues" dxfId="307" priority="6"/>
  </conditionalFormatting>
  <conditionalFormatting sqref="B40">
    <cfRule type="duplicateValues" dxfId="306" priority="5"/>
  </conditionalFormatting>
  <conditionalFormatting sqref="B41">
    <cfRule type="duplicateValues" dxfId="305" priority="4"/>
  </conditionalFormatting>
  <conditionalFormatting sqref="B55:B1048576 B12:B27 B4:B10 B32:B36 B42:B46 B29:B30">
    <cfRule type="duplicateValues" dxfId="304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239AC-6D36-46C1-8E79-BD08BA5C04F3}">
  <sheetPr codeName="Sheet35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463</v>
      </c>
    </row>
    <row r="4" spans="1:5" x14ac:dyDescent="0.2">
      <c r="A4" s="84" t="s">
        <v>61</v>
      </c>
      <c r="B4" s="84"/>
      <c r="C4" s="2" t="s">
        <v>173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9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 (Low Temp)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50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255.3 @ -45°C' 219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3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226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59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144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220</v>
      </c>
      <c r="D39" s="67"/>
      <c r="E39" s="68"/>
    </row>
    <row r="40" spans="1:5" x14ac:dyDescent="0.2">
      <c r="A40" s="67" t="s">
        <v>105</v>
      </c>
      <c r="B40" s="68"/>
      <c r="C40" s="3" t="s">
        <v>221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303" priority="1"/>
  </conditionalFormatting>
  <conditionalFormatting sqref="B31">
    <cfRule type="duplicateValues" dxfId="302" priority="7"/>
  </conditionalFormatting>
  <conditionalFormatting sqref="B37">
    <cfRule type="duplicateValues" dxfId="301" priority="3"/>
  </conditionalFormatting>
  <conditionalFormatting sqref="B38">
    <cfRule type="duplicateValues" dxfId="300" priority="2"/>
  </conditionalFormatting>
  <conditionalFormatting sqref="B39">
    <cfRule type="duplicateValues" dxfId="299" priority="6"/>
  </conditionalFormatting>
  <conditionalFormatting sqref="B40">
    <cfRule type="duplicateValues" dxfId="298" priority="5"/>
  </conditionalFormatting>
  <conditionalFormatting sqref="B41">
    <cfRule type="duplicateValues" dxfId="297" priority="4"/>
  </conditionalFormatting>
  <conditionalFormatting sqref="B55:B1048576 B12:B27 B4:B10 B32:B36 B42:B46 B29:B30">
    <cfRule type="duplicateValues" dxfId="296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25654-6380-4511-9B3C-9AE353EDB8A8}">
  <sheetPr codeName="Sheet36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464</v>
      </c>
    </row>
    <row r="4" spans="1:5" x14ac:dyDescent="0.2">
      <c r="A4" s="84" t="s">
        <v>61</v>
      </c>
      <c r="B4" s="84"/>
      <c r="C4" s="2" t="s">
        <v>174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11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Gas Lift, Corrosive HC service (Low Temp)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51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399.8 @ -29°C' 342.9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3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225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56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144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218</v>
      </c>
      <c r="D39" s="67"/>
      <c r="E39" s="68"/>
    </row>
    <row r="40" spans="1:5" x14ac:dyDescent="0.2">
      <c r="A40" s="67" t="s">
        <v>105</v>
      </c>
      <c r="B40" s="68"/>
      <c r="C40" s="3" t="s">
        <v>219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295" priority="1"/>
  </conditionalFormatting>
  <conditionalFormatting sqref="B31">
    <cfRule type="duplicateValues" dxfId="294" priority="7"/>
  </conditionalFormatting>
  <conditionalFormatting sqref="B37">
    <cfRule type="duplicateValues" dxfId="293" priority="3"/>
  </conditionalFormatting>
  <conditionalFormatting sqref="B38">
    <cfRule type="duplicateValues" dxfId="292" priority="2"/>
  </conditionalFormatting>
  <conditionalFormatting sqref="B39">
    <cfRule type="duplicateValues" dxfId="291" priority="6"/>
  </conditionalFormatting>
  <conditionalFormatting sqref="B40">
    <cfRule type="duplicateValues" dxfId="290" priority="5"/>
  </conditionalFormatting>
  <conditionalFormatting sqref="B41">
    <cfRule type="duplicateValues" dxfId="289" priority="4"/>
  </conditionalFormatting>
  <conditionalFormatting sqref="B55:B1048576 B12:B27 B4:B10 B32:B36 B42:B46 B29:B30">
    <cfRule type="duplicateValues" dxfId="288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BD393-6147-479B-B361-7C87417B2B0F}">
  <sheetPr codeName="Sheet37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465</v>
      </c>
    </row>
    <row r="4" spans="1:5" x14ac:dyDescent="0.2">
      <c r="A4" s="84" t="s">
        <v>61</v>
      </c>
      <c r="B4" s="84"/>
      <c r="C4" s="2" t="s">
        <v>175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11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Gas Lift, Corrosive HC service (Low Temp)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51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399.8 @ -29°C' 342.9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3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226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59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144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218</v>
      </c>
      <c r="D39" s="67"/>
      <c r="E39" s="68"/>
    </row>
    <row r="40" spans="1:5" x14ac:dyDescent="0.2">
      <c r="A40" s="67" t="s">
        <v>105</v>
      </c>
      <c r="B40" s="68"/>
      <c r="C40" s="3" t="s">
        <v>219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287" priority="1"/>
  </conditionalFormatting>
  <conditionalFormatting sqref="B31">
    <cfRule type="duplicateValues" dxfId="286" priority="7"/>
  </conditionalFormatting>
  <conditionalFormatting sqref="B37">
    <cfRule type="duplicateValues" dxfId="285" priority="3"/>
  </conditionalFormatting>
  <conditionalFormatting sqref="B38">
    <cfRule type="duplicateValues" dxfId="284" priority="2"/>
  </conditionalFormatting>
  <conditionalFormatting sqref="B39">
    <cfRule type="duplicateValues" dxfId="283" priority="6"/>
  </conditionalFormatting>
  <conditionalFormatting sqref="B40">
    <cfRule type="duplicateValues" dxfId="282" priority="5"/>
  </conditionalFormatting>
  <conditionalFormatting sqref="B41">
    <cfRule type="duplicateValues" dxfId="281" priority="4"/>
  </conditionalFormatting>
  <conditionalFormatting sqref="B55:B1048576 B12:B27 B4:B10 B32:B36 B42:B46 B29:B30">
    <cfRule type="duplicateValues" dxfId="280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4E882-2E05-46A4-A19E-52B14931BA64}">
  <sheetPr codeName="Sheet72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466</v>
      </c>
    </row>
    <row r="4" spans="1:5" x14ac:dyDescent="0.2">
      <c r="A4" s="84" t="s">
        <v>61</v>
      </c>
      <c r="B4" s="84"/>
      <c r="C4" s="2" t="s">
        <v>403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11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Gas Lift, Corrosive HC service (Low Temp)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51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399.8 @ -29°C' 342.9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3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226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401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59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402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144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218</v>
      </c>
      <c r="D39" s="67"/>
      <c r="E39" s="68"/>
    </row>
    <row r="40" spans="1:5" x14ac:dyDescent="0.2">
      <c r="A40" s="67" t="s">
        <v>105</v>
      </c>
      <c r="B40" s="68"/>
      <c r="C40" s="3" t="s">
        <v>219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279" priority="1"/>
  </conditionalFormatting>
  <conditionalFormatting sqref="B31">
    <cfRule type="duplicateValues" dxfId="278" priority="7"/>
  </conditionalFormatting>
  <conditionalFormatting sqref="B37">
    <cfRule type="duplicateValues" dxfId="277" priority="3"/>
  </conditionalFormatting>
  <conditionalFormatting sqref="B38">
    <cfRule type="duplicateValues" dxfId="276" priority="2"/>
  </conditionalFormatting>
  <conditionalFormatting sqref="B39">
    <cfRule type="duplicateValues" dxfId="275" priority="6"/>
  </conditionalFormatting>
  <conditionalFormatting sqref="B40">
    <cfRule type="duplicateValues" dxfId="274" priority="5"/>
  </conditionalFormatting>
  <conditionalFormatting sqref="B41">
    <cfRule type="duplicateValues" dxfId="273" priority="4"/>
  </conditionalFormatting>
  <conditionalFormatting sqref="B55:B1048576 B12:B27 B4:B10 B32:B36 B42:B46 B29:B30">
    <cfRule type="duplicateValues" dxfId="272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19282-7A18-4CDD-800E-4CD3B16BBB04}">
  <sheetPr codeName="Sheet38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467</v>
      </c>
    </row>
    <row r="4" spans="1:5" x14ac:dyDescent="0.2">
      <c r="A4" s="84" t="s">
        <v>61</v>
      </c>
      <c r="B4" s="84"/>
      <c r="C4" s="2" t="s">
        <v>176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128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 (Low Temp)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49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153.2 @ -45°C' 131.4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6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24" x14ac:dyDescent="0.2">
      <c r="A14" s="69" t="s">
        <v>22</v>
      </c>
      <c r="B14" s="69"/>
      <c r="C14" s="5" t="s">
        <v>62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56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144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222</v>
      </c>
      <c r="D39" s="67"/>
      <c r="E39" s="68"/>
    </row>
    <row r="40" spans="1:5" x14ac:dyDescent="0.2">
      <c r="A40" s="67" t="s">
        <v>105</v>
      </c>
      <c r="B40" s="68"/>
      <c r="C40" s="3" t="s">
        <v>223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271" priority="1"/>
  </conditionalFormatting>
  <conditionalFormatting sqref="B31">
    <cfRule type="duplicateValues" dxfId="270" priority="7"/>
  </conditionalFormatting>
  <conditionalFormatting sqref="B37">
    <cfRule type="duplicateValues" dxfId="269" priority="3"/>
  </conditionalFormatting>
  <conditionalFormatting sqref="B38">
    <cfRule type="duplicateValues" dxfId="268" priority="2"/>
  </conditionalFormatting>
  <conditionalFormatting sqref="B39">
    <cfRule type="duplicateValues" dxfId="267" priority="6"/>
  </conditionalFormatting>
  <conditionalFormatting sqref="B40">
    <cfRule type="duplicateValues" dxfId="266" priority="5"/>
  </conditionalFormatting>
  <conditionalFormatting sqref="B41">
    <cfRule type="duplicateValues" dxfId="265" priority="4"/>
  </conditionalFormatting>
  <conditionalFormatting sqref="B55:B1048576 B12:B27 B4:B10 B32:B36 B42:B46 B29:B30">
    <cfRule type="duplicateValues" dxfId="264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529FB-1750-4E9D-AA39-97B9C856C0F2}">
  <sheetPr codeName="Sheet39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468</v>
      </c>
    </row>
    <row r="4" spans="1:5" x14ac:dyDescent="0.2">
      <c r="A4" s="84" t="s">
        <v>61</v>
      </c>
      <c r="B4" s="84"/>
      <c r="C4" s="2" t="s">
        <v>177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128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 (Low Temp)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49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153.2 @ -45°C' 131.4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6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24" x14ac:dyDescent="0.2">
      <c r="A14" s="69" t="s">
        <v>22</v>
      </c>
      <c r="B14" s="69"/>
      <c r="C14" s="5" t="s">
        <v>63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59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144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222</v>
      </c>
      <c r="D39" s="67"/>
      <c r="E39" s="68"/>
    </row>
    <row r="40" spans="1:5" x14ac:dyDescent="0.2">
      <c r="A40" s="67" t="s">
        <v>105</v>
      </c>
      <c r="B40" s="68"/>
      <c r="C40" s="3" t="s">
        <v>223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263" priority="1"/>
  </conditionalFormatting>
  <conditionalFormatting sqref="B31">
    <cfRule type="duplicateValues" dxfId="262" priority="7"/>
  </conditionalFormatting>
  <conditionalFormatting sqref="B37">
    <cfRule type="duplicateValues" dxfId="261" priority="3"/>
  </conditionalFormatting>
  <conditionalFormatting sqref="B38">
    <cfRule type="duplicateValues" dxfId="260" priority="2"/>
  </conditionalFormatting>
  <conditionalFormatting sqref="B39">
    <cfRule type="duplicateValues" dxfId="259" priority="6"/>
  </conditionalFormatting>
  <conditionalFormatting sqref="B40">
    <cfRule type="duplicateValues" dxfId="258" priority="5"/>
  </conditionalFormatting>
  <conditionalFormatting sqref="B41">
    <cfRule type="duplicateValues" dxfId="257" priority="4"/>
  </conditionalFormatting>
  <conditionalFormatting sqref="B55:B1048576 B12:B27 B4:B10 B32:B36 B42:B46 B29:B30">
    <cfRule type="duplicateValues" dxfId="256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4684F-3A5C-4FD8-9D38-B2BAD979C640}">
  <sheetPr codeName="Sheet40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469</v>
      </c>
    </row>
    <row r="4" spans="1:5" x14ac:dyDescent="0.2">
      <c r="A4" s="84" t="s">
        <v>61</v>
      </c>
      <c r="B4" s="84"/>
      <c r="C4" s="2" t="s">
        <v>178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129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 (Low Temp)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50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255.3 @ -45°C' 219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6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225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56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144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220</v>
      </c>
      <c r="D39" s="67"/>
      <c r="E39" s="68"/>
    </row>
    <row r="40" spans="1:5" x14ac:dyDescent="0.2">
      <c r="A40" s="67" t="s">
        <v>105</v>
      </c>
      <c r="B40" s="68"/>
      <c r="C40" s="3" t="s">
        <v>221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255" priority="1"/>
  </conditionalFormatting>
  <conditionalFormatting sqref="B31">
    <cfRule type="duplicateValues" dxfId="254" priority="7"/>
  </conditionalFormatting>
  <conditionalFormatting sqref="B37">
    <cfRule type="duplicateValues" dxfId="253" priority="3"/>
  </conditionalFormatting>
  <conditionalFormatting sqref="B38">
    <cfRule type="duplicateValues" dxfId="252" priority="2"/>
  </conditionalFormatting>
  <conditionalFormatting sqref="B39">
    <cfRule type="duplicateValues" dxfId="251" priority="6"/>
  </conditionalFormatting>
  <conditionalFormatting sqref="B40">
    <cfRule type="duplicateValues" dxfId="250" priority="5"/>
  </conditionalFormatting>
  <conditionalFormatting sqref="B41">
    <cfRule type="duplicateValues" dxfId="249" priority="4"/>
  </conditionalFormatting>
  <conditionalFormatting sqref="B55:B1048576 B12:B27 B4:B10 B32:B36 B42:B46 B29:B30">
    <cfRule type="duplicateValues" dxfId="248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89063-DD44-437E-A473-1F32D1F7D4A7}">
  <sheetPr codeName="Sheet41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470</v>
      </c>
    </row>
    <row r="4" spans="1:5" x14ac:dyDescent="0.2">
      <c r="A4" s="84" t="s">
        <v>61</v>
      </c>
      <c r="B4" s="84"/>
      <c r="C4" s="2" t="s">
        <v>179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129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 (Low Temp)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50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255.3 @ -45°C' 219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6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226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59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144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220</v>
      </c>
      <c r="D39" s="67"/>
      <c r="E39" s="68"/>
    </row>
    <row r="40" spans="1:5" x14ac:dyDescent="0.2">
      <c r="A40" s="67" t="s">
        <v>105</v>
      </c>
      <c r="B40" s="68"/>
      <c r="C40" s="3" t="s">
        <v>221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247" priority="1"/>
  </conditionalFormatting>
  <conditionalFormatting sqref="B31">
    <cfRule type="duplicateValues" dxfId="246" priority="7"/>
  </conditionalFormatting>
  <conditionalFormatting sqref="B37">
    <cfRule type="duplicateValues" dxfId="245" priority="3"/>
  </conditionalFormatting>
  <conditionalFormatting sqref="B38">
    <cfRule type="duplicateValues" dxfId="244" priority="2"/>
  </conditionalFormatting>
  <conditionalFormatting sqref="B39">
    <cfRule type="duplicateValues" dxfId="243" priority="6"/>
  </conditionalFormatting>
  <conditionalFormatting sqref="B40">
    <cfRule type="duplicateValues" dxfId="242" priority="5"/>
  </conditionalFormatting>
  <conditionalFormatting sqref="B41">
    <cfRule type="duplicateValues" dxfId="241" priority="4"/>
  </conditionalFormatting>
  <conditionalFormatting sqref="B55:B1048576 B12:B27 B4:B10 B32:B36 B42:B46 B29:B30">
    <cfRule type="duplicateValues" dxfId="240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8FE5E-4ED9-4ED3-A821-4EFFB22B5B44}">
  <sheetPr codeName="Sheet42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471</v>
      </c>
    </row>
    <row r="4" spans="1:5" x14ac:dyDescent="0.2">
      <c r="A4" s="84" t="s">
        <v>61</v>
      </c>
      <c r="B4" s="84"/>
      <c r="C4" s="2" t="s">
        <v>180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130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 (Low Temp)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51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399.8 @ -29°C' 342.9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6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225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56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144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218</v>
      </c>
      <c r="D39" s="67"/>
      <c r="E39" s="68"/>
    </row>
    <row r="40" spans="1:5" x14ac:dyDescent="0.2">
      <c r="A40" s="67" t="s">
        <v>105</v>
      </c>
      <c r="B40" s="68"/>
      <c r="C40" s="3" t="s">
        <v>219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239" priority="1"/>
  </conditionalFormatting>
  <conditionalFormatting sqref="B31">
    <cfRule type="duplicateValues" dxfId="238" priority="7"/>
  </conditionalFormatting>
  <conditionalFormatting sqref="B37">
    <cfRule type="duplicateValues" dxfId="237" priority="3"/>
  </conditionalFormatting>
  <conditionalFormatting sqref="B38">
    <cfRule type="duplicateValues" dxfId="236" priority="2"/>
  </conditionalFormatting>
  <conditionalFormatting sqref="B39">
    <cfRule type="duplicateValues" dxfId="235" priority="6"/>
  </conditionalFormatting>
  <conditionalFormatting sqref="B40">
    <cfRule type="duplicateValues" dxfId="234" priority="5"/>
  </conditionalFormatting>
  <conditionalFormatting sqref="B41">
    <cfRule type="duplicateValues" dxfId="233" priority="4"/>
  </conditionalFormatting>
  <conditionalFormatting sqref="B55:B1048576 B12:B27 B4:B10 B32:B36 B42:B46 B29:B30">
    <cfRule type="duplicateValues" dxfId="232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2BDED-E76D-47FB-9E2B-F6A9DA0BC157}">
  <sheetPr codeName="Sheet43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472</v>
      </c>
    </row>
    <row r="4" spans="1:5" x14ac:dyDescent="0.2">
      <c r="A4" s="84" t="s">
        <v>61</v>
      </c>
      <c r="B4" s="84"/>
      <c r="C4" s="2" t="s">
        <v>181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130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 (Low Temp)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51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399.8 @ -29°C' 342.9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6 mm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226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59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144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218</v>
      </c>
      <c r="D39" s="67"/>
      <c r="E39" s="68"/>
    </row>
    <row r="40" spans="1:5" x14ac:dyDescent="0.2">
      <c r="A40" s="67" t="s">
        <v>105</v>
      </c>
      <c r="B40" s="68"/>
      <c r="C40" s="3" t="s">
        <v>219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231" priority="1"/>
  </conditionalFormatting>
  <conditionalFormatting sqref="B31">
    <cfRule type="duplicateValues" dxfId="230" priority="7"/>
  </conditionalFormatting>
  <conditionalFormatting sqref="B37">
    <cfRule type="duplicateValues" dxfId="229" priority="3"/>
  </conditionalFormatting>
  <conditionalFormatting sqref="B38">
    <cfRule type="duplicateValues" dxfId="228" priority="2"/>
  </conditionalFormatting>
  <conditionalFormatting sqref="B39">
    <cfRule type="duplicateValues" dxfId="227" priority="6"/>
  </conditionalFormatting>
  <conditionalFormatting sqref="B40">
    <cfRule type="duplicateValues" dxfId="226" priority="5"/>
  </conditionalFormatting>
  <conditionalFormatting sqref="B41">
    <cfRule type="duplicateValues" dxfId="225" priority="4"/>
  </conditionalFormatting>
  <conditionalFormatting sqref="B55:B1048576 B12:B27 B4:B10 B32:B36 B42:B46 B29:B30">
    <cfRule type="duplicateValues" dxfId="224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BCBA9-E492-464B-9C04-995E841D69EE}">
  <sheetPr codeName="Sheet44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473</v>
      </c>
    </row>
    <row r="4" spans="1:5" x14ac:dyDescent="0.2">
      <c r="A4" s="84" t="s">
        <v>61</v>
      </c>
      <c r="B4" s="84"/>
      <c r="C4" s="2" t="s">
        <v>182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6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Air, Nitrogen, Lube oil, Chemical, Hydraulic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49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124.1 @ -100°C' 87.5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x14ac:dyDescent="0.2">
      <c r="A13" s="69" t="s">
        <v>20</v>
      </c>
      <c r="B13" s="69"/>
      <c r="C13" s="5" t="s">
        <v>21</v>
      </c>
      <c r="D13" s="70"/>
      <c r="E13" s="70"/>
    </row>
    <row r="14" spans="1:5" ht="24" x14ac:dyDescent="0.2">
      <c r="A14" s="69" t="s">
        <v>22</v>
      </c>
      <c r="B14" s="69"/>
      <c r="C14" s="5" t="s">
        <v>62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1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145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216</v>
      </c>
      <c r="D39" s="67"/>
      <c r="E39" s="68"/>
    </row>
    <row r="40" spans="1:5" x14ac:dyDescent="0.2">
      <c r="A40" s="67" t="s">
        <v>105</v>
      </c>
      <c r="B40" s="68"/>
      <c r="C40" s="3" t="s">
        <v>217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93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223" priority="1"/>
  </conditionalFormatting>
  <conditionalFormatting sqref="B31">
    <cfRule type="duplicateValues" dxfId="222" priority="7"/>
  </conditionalFormatting>
  <conditionalFormatting sqref="B37">
    <cfRule type="duplicateValues" dxfId="221" priority="3"/>
  </conditionalFormatting>
  <conditionalFormatting sqref="B38">
    <cfRule type="duplicateValues" dxfId="220" priority="2"/>
  </conditionalFormatting>
  <conditionalFormatting sqref="B39">
    <cfRule type="duplicateValues" dxfId="219" priority="6"/>
  </conditionalFormatting>
  <conditionalFormatting sqref="B40">
    <cfRule type="duplicateValues" dxfId="218" priority="5"/>
  </conditionalFormatting>
  <conditionalFormatting sqref="B41">
    <cfRule type="duplicateValues" dxfId="217" priority="4"/>
  </conditionalFormatting>
  <conditionalFormatting sqref="B55:B1048576 B12:B27 B4:B10 B32:B36 B42:B46 B29:B30">
    <cfRule type="duplicateValues" dxfId="216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30AF-423C-4CD8-9616-F601C31F829C}">
  <sheetPr codeName="Sheet45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474</v>
      </c>
    </row>
    <row r="4" spans="1:5" x14ac:dyDescent="0.2">
      <c r="A4" s="84" t="s">
        <v>61</v>
      </c>
      <c r="B4" s="84"/>
      <c r="C4" s="2" t="s">
        <v>183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6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Air, Nitrogen, Lube oil, Chemical, Hydraulic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49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124.1 @ -100°C' 87.5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x14ac:dyDescent="0.2">
      <c r="A13" s="69" t="s">
        <v>20</v>
      </c>
      <c r="B13" s="69"/>
      <c r="C13" s="5" t="s">
        <v>21</v>
      </c>
      <c r="D13" s="70"/>
      <c r="E13" s="70"/>
    </row>
    <row r="14" spans="1:5" ht="24" x14ac:dyDescent="0.2">
      <c r="A14" s="69" t="s">
        <v>22</v>
      </c>
      <c r="B14" s="69"/>
      <c r="C14" s="5" t="s">
        <v>63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0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145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216</v>
      </c>
      <c r="D39" s="67"/>
      <c r="E39" s="68"/>
    </row>
    <row r="40" spans="1:5" x14ac:dyDescent="0.2">
      <c r="A40" s="67" t="s">
        <v>105</v>
      </c>
      <c r="B40" s="68"/>
      <c r="C40" s="3" t="s">
        <v>217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93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215" priority="1"/>
  </conditionalFormatting>
  <conditionalFormatting sqref="B31">
    <cfRule type="duplicateValues" dxfId="214" priority="7"/>
  </conditionalFormatting>
  <conditionalFormatting sqref="B37">
    <cfRule type="duplicateValues" dxfId="213" priority="3"/>
  </conditionalFormatting>
  <conditionalFormatting sqref="B38">
    <cfRule type="duplicateValues" dxfId="212" priority="2"/>
  </conditionalFormatting>
  <conditionalFormatting sqref="B39">
    <cfRule type="duplicateValues" dxfId="211" priority="6"/>
  </conditionalFormatting>
  <conditionalFormatting sqref="B40">
    <cfRule type="duplicateValues" dxfId="210" priority="5"/>
  </conditionalFormatting>
  <conditionalFormatting sqref="B41">
    <cfRule type="duplicateValues" dxfId="209" priority="4"/>
  </conditionalFormatting>
  <conditionalFormatting sqref="B55:B1048576 B12:B27 B4:B10 B32:B36 B42:B46 B29:B30">
    <cfRule type="duplicateValues" dxfId="208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9E66-16A1-4297-8F74-A0AC514DACEB}">
  <sheetPr codeName="Sheet46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475</v>
      </c>
    </row>
    <row r="4" spans="1:5" x14ac:dyDescent="0.2">
      <c r="A4" s="84" t="s">
        <v>61</v>
      </c>
      <c r="B4" s="84"/>
      <c r="C4" s="2" t="s">
        <v>184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8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Air, Nitrogen, Lube oil, Chemical, Hydraulic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50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206.8 @ -100°C' 145.8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x14ac:dyDescent="0.2">
      <c r="A13" s="69" t="s">
        <v>20</v>
      </c>
      <c r="B13" s="69"/>
      <c r="C13" s="5" t="s">
        <v>21</v>
      </c>
      <c r="D13" s="70"/>
      <c r="E13" s="70"/>
    </row>
    <row r="14" spans="1:5" ht="36" x14ac:dyDescent="0.2">
      <c r="A14" s="69" t="s">
        <v>22</v>
      </c>
      <c r="B14" s="69"/>
      <c r="C14" s="5" t="s">
        <v>225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1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145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214</v>
      </c>
      <c r="D39" s="67"/>
      <c r="E39" s="68"/>
    </row>
    <row r="40" spans="1:5" x14ac:dyDescent="0.2">
      <c r="A40" s="67" t="s">
        <v>105</v>
      </c>
      <c r="B40" s="68"/>
      <c r="C40" s="3" t="s">
        <v>215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93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207" priority="1"/>
  </conditionalFormatting>
  <conditionalFormatting sqref="B31">
    <cfRule type="duplicateValues" dxfId="206" priority="7"/>
  </conditionalFormatting>
  <conditionalFormatting sqref="B37">
    <cfRule type="duplicateValues" dxfId="205" priority="3"/>
  </conditionalFormatting>
  <conditionalFormatting sqref="B38">
    <cfRule type="duplicateValues" dxfId="204" priority="2"/>
  </conditionalFormatting>
  <conditionalFormatting sqref="B39">
    <cfRule type="duplicateValues" dxfId="203" priority="6"/>
  </conditionalFormatting>
  <conditionalFormatting sqref="B40">
    <cfRule type="duplicateValues" dxfId="202" priority="5"/>
  </conditionalFormatting>
  <conditionalFormatting sqref="B41">
    <cfRule type="duplicateValues" dxfId="201" priority="4"/>
  </conditionalFormatting>
  <conditionalFormatting sqref="B55:B1048576 B12:B27 B4:B10 B32:B36 B42:B46 B29:B30">
    <cfRule type="duplicateValues" dxfId="200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1B073-CCEB-41F4-BD38-9B779ABD49BF}">
  <sheetPr codeName="Sheet47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476</v>
      </c>
    </row>
    <row r="4" spans="1:5" x14ac:dyDescent="0.2">
      <c r="A4" s="84" t="s">
        <v>61</v>
      </c>
      <c r="B4" s="84"/>
      <c r="C4" s="2" t="s">
        <v>185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8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Air, Nitrogen, Lube oil, Chemical, Hydraulic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50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206.8 @ -100°C' 145.8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x14ac:dyDescent="0.2">
      <c r="A13" s="69" t="s">
        <v>20</v>
      </c>
      <c r="B13" s="69"/>
      <c r="C13" s="5" t="s">
        <v>21</v>
      </c>
      <c r="D13" s="70"/>
      <c r="E13" s="70"/>
    </row>
    <row r="14" spans="1:5" ht="36" x14ac:dyDescent="0.2">
      <c r="A14" s="69" t="s">
        <v>22</v>
      </c>
      <c r="B14" s="69"/>
      <c r="C14" s="5" t="s">
        <v>226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0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145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214</v>
      </c>
      <c r="D39" s="67"/>
      <c r="E39" s="68"/>
    </row>
    <row r="40" spans="1:5" x14ac:dyDescent="0.2">
      <c r="A40" s="67" t="s">
        <v>105</v>
      </c>
      <c r="B40" s="68"/>
      <c r="C40" s="3" t="s">
        <v>215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93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199" priority="1"/>
  </conditionalFormatting>
  <conditionalFormatting sqref="B31">
    <cfRule type="duplicateValues" dxfId="198" priority="7"/>
  </conditionalFormatting>
  <conditionalFormatting sqref="B37">
    <cfRule type="duplicateValues" dxfId="197" priority="3"/>
  </conditionalFormatting>
  <conditionalFormatting sqref="B38">
    <cfRule type="duplicateValues" dxfId="196" priority="2"/>
  </conditionalFormatting>
  <conditionalFormatting sqref="B39">
    <cfRule type="duplicateValues" dxfId="195" priority="6"/>
  </conditionalFormatting>
  <conditionalFormatting sqref="B40">
    <cfRule type="duplicateValues" dxfId="194" priority="5"/>
  </conditionalFormatting>
  <conditionalFormatting sqref="B41">
    <cfRule type="duplicateValues" dxfId="193" priority="4"/>
  </conditionalFormatting>
  <conditionalFormatting sqref="B55:B1048576 B12:B27 B4:B10 B32:B36 B42:B46 B29:B30">
    <cfRule type="duplicateValues" dxfId="192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453FA-6C78-43B8-9A5C-B25D6F7FAC60}">
  <sheetPr codeName="Sheet48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477</v>
      </c>
    </row>
    <row r="4" spans="1:5" x14ac:dyDescent="0.2">
      <c r="A4" s="84" t="s">
        <v>61</v>
      </c>
      <c r="B4" s="84"/>
      <c r="C4" s="2" t="s">
        <v>186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10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Air, Nitrogen, Lube oil, Chemical, Hydraulic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51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344.7 @ -100°C' 243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x14ac:dyDescent="0.2">
      <c r="A13" s="69" t="s">
        <v>20</v>
      </c>
      <c r="B13" s="69"/>
      <c r="C13" s="5" t="s">
        <v>21</v>
      </c>
      <c r="D13" s="70"/>
      <c r="E13" s="70"/>
    </row>
    <row r="14" spans="1:5" ht="36" x14ac:dyDescent="0.2">
      <c r="A14" s="69" t="s">
        <v>22</v>
      </c>
      <c r="B14" s="69"/>
      <c r="C14" s="5" t="s">
        <v>225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1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145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212</v>
      </c>
      <c r="D39" s="67"/>
      <c r="E39" s="68"/>
    </row>
    <row r="40" spans="1:5" x14ac:dyDescent="0.2">
      <c r="A40" s="67" t="s">
        <v>105</v>
      </c>
      <c r="B40" s="68"/>
      <c r="C40" s="3" t="s">
        <v>213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93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191" priority="1"/>
  </conditionalFormatting>
  <conditionalFormatting sqref="B31">
    <cfRule type="duplicateValues" dxfId="190" priority="7"/>
  </conditionalFormatting>
  <conditionalFormatting sqref="B37">
    <cfRule type="duplicateValues" dxfId="189" priority="3"/>
  </conditionalFormatting>
  <conditionalFormatting sqref="B38">
    <cfRule type="duplicateValues" dxfId="188" priority="2"/>
  </conditionalFormatting>
  <conditionalFormatting sqref="B39">
    <cfRule type="duplicateValues" dxfId="187" priority="6"/>
  </conditionalFormatting>
  <conditionalFormatting sqref="B40">
    <cfRule type="duplicateValues" dxfId="186" priority="5"/>
  </conditionalFormatting>
  <conditionalFormatting sqref="B41">
    <cfRule type="duplicateValues" dxfId="185" priority="4"/>
  </conditionalFormatting>
  <conditionalFormatting sqref="B55:B1048576 B12:B27 B4:B10 B32:B36 B42:B46 B29:B30">
    <cfRule type="duplicateValues" dxfId="184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0B93F-73AD-41F9-806E-78FF36F3148F}">
  <sheetPr codeName="Sheet49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478</v>
      </c>
    </row>
    <row r="4" spans="1:5" x14ac:dyDescent="0.2">
      <c r="A4" s="84" t="s">
        <v>61</v>
      </c>
      <c r="B4" s="84"/>
      <c r="C4" s="2" t="s">
        <v>187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10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Air, Nitrogen, Lube oil, Chemical, Hydraulic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51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344.7 @ -100°C' 243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x14ac:dyDescent="0.2">
      <c r="A13" s="69" t="s">
        <v>20</v>
      </c>
      <c r="B13" s="69"/>
      <c r="C13" s="5" t="s">
        <v>21</v>
      </c>
      <c r="D13" s="70"/>
      <c r="E13" s="70"/>
    </row>
    <row r="14" spans="1:5" ht="36" x14ac:dyDescent="0.2">
      <c r="A14" s="69" t="s">
        <v>22</v>
      </c>
      <c r="B14" s="69"/>
      <c r="C14" s="5" t="s">
        <v>226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0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145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212</v>
      </c>
      <c r="D39" s="67"/>
      <c r="E39" s="68"/>
    </row>
    <row r="40" spans="1:5" x14ac:dyDescent="0.2">
      <c r="A40" s="67" t="s">
        <v>105</v>
      </c>
      <c r="B40" s="68"/>
      <c r="C40" s="3" t="s">
        <v>213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93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183" priority="1"/>
  </conditionalFormatting>
  <conditionalFormatting sqref="B31">
    <cfRule type="duplicateValues" dxfId="182" priority="7"/>
  </conditionalFormatting>
  <conditionalFormatting sqref="B37">
    <cfRule type="duplicateValues" dxfId="181" priority="3"/>
  </conditionalFormatting>
  <conditionalFormatting sqref="B38">
    <cfRule type="duplicateValues" dxfId="180" priority="2"/>
  </conditionalFormatting>
  <conditionalFormatting sqref="B39">
    <cfRule type="duplicateValues" dxfId="179" priority="6"/>
  </conditionalFormatting>
  <conditionalFormatting sqref="B40">
    <cfRule type="duplicateValues" dxfId="178" priority="5"/>
  </conditionalFormatting>
  <conditionalFormatting sqref="B41">
    <cfRule type="duplicateValues" dxfId="177" priority="4"/>
  </conditionalFormatting>
  <conditionalFormatting sqref="B55:B1048576 B12:B27 B4:B10 B32:B36 B42:B46 B29:B30">
    <cfRule type="duplicateValues" dxfId="176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6F2F7-4579-45B1-83F1-6BA13EAC1A40}">
  <sheetPr codeName="Sheet50">
    <tabColor theme="5" tint="0.39997558519241921"/>
    <pageSetUpPr fitToPage="1"/>
  </sheetPr>
  <dimension ref="A1:E54"/>
  <sheetViews>
    <sheetView topLeftCell="A2"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479</v>
      </c>
    </row>
    <row r="4" spans="1:5" x14ac:dyDescent="0.2">
      <c r="A4" s="84" t="s">
        <v>61</v>
      </c>
      <c r="B4" s="84"/>
      <c r="C4" s="2" t="s">
        <v>188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132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Glycol, Corrosive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49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124.1 @ -100°C' 87.5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24" x14ac:dyDescent="0.2">
      <c r="A14" s="69" t="s">
        <v>22</v>
      </c>
      <c r="B14" s="69"/>
      <c r="C14" s="5" t="s">
        <v>62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1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145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216</v>
      </c>
      <c r="D39" s="67"/>
      <c r="E39" s="68"/>
    </row>
    <row r="40" spans="1:5" x14ac:dyDescent="0.2">
      <c r="A40" s="67" t="s">
        <v>105</v>
      </c>
      <c r="B40" s="68"/>
      <c r="C40" s="3" t="s">
        <v>217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175" priority="1"/>
  </conditionalFormatting>
  <conditionalFormatting sqref="B31">
    <cfRule type="duplicateValues" dxfId="174" priority="7"/>
  </conditionalFormatting>
  <conditionalFormatting sqref="B37">
    <cfRule type="duplicateValues" dxfId="173" priority="3"/>
  </conditionalFormatting>
  <conditionalFormatting sqref="B38">
    <cfRule type="duplicateValues" dxfId="172" priority="2"/>
  </conditionalFormatting>
  <conditionalFormatting sqref="B39">
    <cfRule type="duplicateValues" dxfId="171" priority="6"/>
  </conditionalFormatting>
  <conditionalFormatting sqref="B40">
    <cfRule type="duplicateValues" dxfId="170" priority="5"/>
  </conditionalFormatting>
  <conditionalFormatting sqref="B41">
    <cfRule type="duplicateValues" dxfId="169" priority="4"/>
  </conditionalFormatting>
  <conditionalFormatting sqref="B55:B1048576 B12:B27 B4:B10 B32:B36 B42:B46 B29:B30">
    <cfRule type="duplicateValues" dxfId="168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DEEFA-3200-4416-B33B-B12319EA2376}">
  <sheetPr codeName="Sheet51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480</v>
      </c>
    </row>
    <row r="4" spans="1:5" x14ac:dyDescent="0.2">
      <c r="A4" s="84" t="s">
        <v>61</v>
      </c>
      <c r="B4" s="84"/>
      <c r="C4" s="2" t="s">
        <v>189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132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Glycol, Corrosive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49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124.1 @ -100°C' 87.5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24" x14ac:dyDescent="0.2">
      <c r="A14" s="69" t="s">
        <v>22</v>
      </c>
      <c r="B14" s="69"/>
      <c r="C14" s="5" t="s">
        <v>63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0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145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216</v>
      </c>
      <c r="D39" s="67"/>
      <c r="E39" s="68"/>
    </row>
    <row r="40" spans="1:5" x14ac:dyDescent="0.2">
      <c r="A40" s="67" t="s">
        <v>105</v>
      </c>
      <c r="B40" s="68"/>
      <c r="C40" s="3" t="s">
        <v>217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167" priority="1"/>
  </conditionalFormatting>
  <conditionalFormatting sqref="B31">
    <cfRule type="duplicateValues" dxfId="166" priority="7"/>
  </conditionalFormatting>
  <conditionalFormatting sqref="B37">
    <cfRule type="duplicateValues" dxfId="165" priority="3"/>
  </conditionalFormatting>
  <conditionalFormatting sqref="B38">
    <cfRule type="duplicateValues" dxfId="164" priority="2"/>
  </conditionalFormatting>
  <conditionalFormatting sqref="B39">
    <cfRule type="duplicateValues" dxfId="163" priority="6"/>
  </conditionalFormatting>
  <conditionalFormatting sqref="B40">
    <cfRule type="duplicateValues" dxfId="162" priority="5"/>
  </conditionalFormatting>
  <conditionalFormatting sqref="B41">
    <cfRule type="duplicateValues" dxfId="161" priority="4"/>
  </conditionalFormatting>
  <conditionalFormatting sqref="B55:B1048576 B12:B27 B4:B10 B32:B36 B42:B46 B29:B30">
    <cfRule type="duplicateValues" dxfId="160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6FCF7-82C4-46AD-8778-6C07457B31A7}">
  <sheetPr codeName="Sheet52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481</v>
      </c>
    </row>
    <row r="4" spans="1:5" x14ac:dyDescent="0.2">
      <c r="A4" s="84" t="s">
        <v>61</v>
      </c>
      <c r="B4" s="84"/>
      <c r="C4" s="2" t="s">
        <v>190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133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Glycol, Corrosive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50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206.8 @ -100°C' 145.8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225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1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145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214</v>
      </c>
      <c r="D39" s="67"/>
      <c r="E39" s="68"/>
    </row>
    <row r="40" spans="1:5" x14ac:dyDescent="0.2">
      <c r="A40" s="67" t="s">
        <v>105</v>
      </c>
      <c r="B40" s="68"/>
      <c r="C40" s="3" t="s">
        <v>215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159" priority="1"/>
  </conditionalFormatting>
  <conditionalFormatting sqref="B31">
    <cfRule type="duplicateValues" dxfId="158" priority="7"/>
  </conditionalFormatting>
  <conditionalFormatting sqref="B37">
    <cfRule type="duplicateValues" dxfId="157" priority="3"/>
  </conditionalFormatting>
  <conditionalFormatting sqref="B38">
    <cfRule type="duplicateValues" dxfId="156" priority="2"/>
  </conditionalFormatting>
  <conditionalFormatting sqref="B39">
    <cfRule type="duplicateValues" dxfId="155" priority="6"/>
  </conditionalFormatting>
  <conditionalFormatting sqref="B40">
    <cfRule type="duplicateValues" dxfId="154" priority="5"/>
  </conditionalFormatting>
  <conditionalFormatting sqref="B41">
    <cfRule type="duplicateValues" dxfId="153" priority="4"/>
  </conditionalFormatting>
  <conditionalFormatting sqref="B55:B1048576 B12:B27 B4:B10 B32:B36 B42:B46 B29:B30">
    <cfRule type="duplicateValues" dxfId="152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ED272-2962-4EC9-B888-578B2AE1D4E2}">
  <sheetPr codeName="Sheet53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482</v>
      </c>
    </row>
    <row r="4" spans="1:5" x14ac:dyDescent="0.2">
      <c r="A4" s="84" t="s">
        <v>61</v>
      </c>
      <c r="B4" s="84"/>
      <c r="C4" s="2" t="s">
        <v>191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133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Glycol, Corrosive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50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206.8 @ -100°C' 145.8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226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0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145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214</v>
      </c>
      <c r="D39" s="67"/>
      <c r="E39" s="68"/>
    </row>
    <row r="40" spans="1:5" x14ac:dyDescent="0.2">
      <c r="A40" s="67" t="s">
        <v>105</v>
      </c>
      <c r="B40" s="68"/>
      <c r="C40" s="3" t="s">
        <v>215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151" priority="1"/>
  </conditionalFormatting>
  <conditionalFormatting sqref="B31">
    <cfRule type="duplicateValues" dxfId="150" priority="7"/>
  </conditionalFormatting>
  <conditionalFormatting sqref="B37">
    <cfRule type="duplicateValues" dxfId="149" priority="3"/>
  </conditionalFormatting>
  <conditionalFormatting sqref="B38">
    <cfRule type="duplicateValues" dxfId="148" priority="2"/>
  </conditionalFormatting>
  <conditionalFormatting sqref="B39">
    <cfRule type="duplicateValues" dxfId="147" priority="6"/>
  </conditionalFormatting>
  <conditionalFormatting sqref="B40">
    <cfRule type="duplicateValues" dxfId="146" priority="5"/>
  </conditionalFormatting>
  <conditionalFormatting sqref="B41">
    <cfRule type="duplicateValues" dxfId="145" priority="4"/>
  </conditionalFormatting>
  <conditionalFormatting sqref="B55:B1048576 B12:B27 B4:B10 B32:B36 B42:B46 B29:B30">
    <cfRule type="duplicateValues" dxfId="144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14905-0781-4EC0-A0A0-9DCA5DA320A1}">
  <sheetPr codeName="Sheet54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483</v>
      </c>
    </row>
    <row r="4" spans="1:5" x14ac:dyDescent="0.2">
      <c r="A4" s="84" t="s">
        <v>61</v>
      </c>
      <c r="B4" s="84"/>
      <c r="C4" s="2" t="s">
        <v>192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134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Glycol, Corrosive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51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344.7 @ -100°C' 243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225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1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145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212</v>
      </c>
      <c r="D39" s="67"/>
      <c r="E39" s="68"/>
    </row>
    <row r="40" spans="1:5" x14ac:dyDescent="0.2">
      <c r="A40" s="67" t="s">
        <v>105</v>
      </c>
      <c r="B40" s="68"/>
      <c r="C40" s="3" t="s">
        <v>213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143" priority="1"/>
  </conditionalFormatting>
  <conditionalFormatting sqref="B31">
    <cfRule type="duplicateValues" dxfId="142" priority="7"/>
  </conditionalFormatting>
  <conditionalFormatting sqref="B37">
    <cfRule type="duplicateValues" dxfId="141" priority="3"/>
  </conditionalFormatting>
  <conditionalFormatting sqref="B38">
    <cfRule type="duplicateValues" dxfId="140" priority="2"/>
  </conditionalFormatting>
  <conditionalFormatting sqref="B39">
    <cfRule type="duplicateValues" dxfId="139" priority="6"/>
  </conditionalFormatting>
  <conditionalFormatting sqref="B40">
    <cfRule type="duplicateValues" dxfId="138" priority="5"/>
  </conditionalFormatting>
  <conditionalFormatting sqref="B41">
    <cfRule type="duplicateValues" dxfId="137" priority="4"/>
  </conditionalFormatting>
  <conditionalFormatting sqref="B55:B1048576 B12:B27 B4:B10 B32:B36 B42:B46 B29:B30">
    <cfRule type="duplicateValues" dxfId="136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0CC6-6B4D-441B-BD10-30D740B7A280}">
  <sheetPr codeName="Sheet55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484</v>
      </c>
    </row>
    <row r="4" spans="1:5" x14ac:dyDescent="0.2">
      <c r="A4" s="84" t="s">
        <v>61</v>
      </c>
      <c r="B4" s="84"/>
      <c r="C4" s="2" t="s">
        <v>193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134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Glycol, Corrosive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51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344.7 @ -100°C' 243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226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0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145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212</v>
      </c>
      <c r="D39" s="67"/>
      <c r="E39" s="68"/>
    </row>
    <row r="40" spans="1:5" x14ac:dyDescent="0.2">
      <c r="A40" s="67" t="s">
        <v>105</v>
      </c>
      <c r="B40" s="68"/>
      <c r="C40" s="3" t="s">
        <v>213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135" priority="1"/>
  </conditionalFormatting>
  <conditionalFormatting sqref="B31">
    <cfRule type="duplicateValues" dxfId="134" priority="7"/>
  </conditionalFormatting>
  <conditionalFormatting sqref="B37">
    <cfRule type="duplicateValues" dxfId="133" priority="3"/>
  </conditionalFormatting>
  <conditionalFormatting sqref="B38">
    <cfRule type="duplicateValues" dxfId="132" priority="2"/>
  </conditionalFormatting>
  <conditionalFormatting sqref="B39">
    <cfRule type="duplicateValues" dxfId="131" priority="6"/>
  </conditionalFormatting>
  <conditionalFormatting sqref="B40">
    <cfRule type="duplicateValues" dxfId="130" priority="5"/>
  </conditionalFormatting>
  <conditionalFormatting sqref="B41">
    <cfRule type="duplicateValues" dxfId="129" priority="4"/>
  </conditionalFormatting>
  <conditionalFormatting sqref="B55:B1048576 B12:B27 B4:B10 B32:B36 B42:B46 B29:B30">
    <cfRule type="duplicateValues" dxfId="128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F18CD-6AAE-4809-89FA-4AAE04739664}">
  <sheetPr codeName="Sheet56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485</v>
      </c>
    </row>
    <row r="4" spans="1:5" x14ac:dyDescent="0.2">
      <c r="A4" s="84" t="s">
        <v>61</v>
      </c>
      <c r="B4" s="84"/>
      <c r="C4" s="2" t="s">
        <v>194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135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49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155.1 @ -46°C' 128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24" x14ac:dyDescent="0.2">
      <c r="A14" s="69" t="s">
        <v>22</v>
      </c>
      <c r="B14" s="69"/>
      <c r="C14" s="5" t="s">
        <v>62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ht="36" x14ac:dyDescent="0.2">
      <c r="A22" s="70" t="s">
        <v>31</v>
      </c>
      <c r="B22" s="13" t="s">
        <v>76</v>
      </c>
      <c r="C22" s="5" t="s">
        <v>102</v>
      </c>
      <c r="D22" s="70"/>
      <c r="E22" s="70"/>
    </row>
    <row r="23" spans="1:5" x14ac:dyDescent="0.2">
      <c r="A23" s="70"/>
      <c r="B23" s="13" t="s">
        <v>81</v>
      </c>
      <c r="C23" s="5" t="s">
        <v>87</v>
      </c>
      <c r="D23" s="70"/>
      <c r="E23" s="70"/>
    </row>
    <row r="24" spans="1:5" x14ac:dyDescent="0.2">
      <c r="A24" s="70"/>
      <c r="B24" s="13" t="s">
        <v>86</v>
      </c>
      <c r="C24" s="5" t="s">
        <v>121</v>
      </c>
      <c r="D24" s="70"/>
      <c r="E24" s="70"/>
    </row>
    <row r="25" spans="1:5" x14ac:dyDescent="0.2">
      <c r="A25" s="70"/>
      <c r="B25" s="13" t="s">
        <v>78</v>
      </c>
      <c r="C25" s="5" t="s">
        <v>87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87</v>
      </c>
      <c r="D27" s="70"/>
      <c r="E27" s="70"/>
    </row>
    <row r="28" spans="1:5" x14ac:dyDescent="0.2">
      <c r="A28" s="70"/>
      <c r="B28" s="4" t="s">
        <v>80</v>
      </c>
      <c r="C28" s="3" t="s">
        <v>87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146</v>
      </c>
      <c r="D32" s="70"/>
      <c r="E32" s="70"/>
    </row>
    <row r="33" spans="1:5" x14ac:dyDescent="0.2">
      <c r="A33" s="70"/>
      <c r="B33" s="13" t="s">
        <v>35</v>
      </c>
      <c r="C33" s="5" t="s">
        <v>224</v>
      </c>
      <c r="D33" s="70"/>
      <c r="E33" s="70"/>
    </row>
    <row r="34" spans="1:5" x14ac:dyDescent="0.2">
      <c r="A34" s="70"/>
      <c r="B34" s="13" t="s">
        <v>36</v>
      </c>
      <c r="C34" s="5" t="s">
        <v>224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210</v>
      </c>
      <c r="D39" s="67"/>
      <c r="E39" s="68"/>
    </row>
    <row r="40" spans="1:5" x14ac:dyDescent="0.2">
      <c r="A40" s="67" t="s">
        <v>105</v>
      </c>
      <c r="B40" s="68"/>
      <c r="C40" s="3" t="s">
        <v>211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127" priority="1"/>
  </conditionalFormatting>
  <conditionalFormatting sqref="B31">
    <cfRule type="duplicateValues" dxfId="126" priority="7"/>
  </conditionalFormatting>
  <conditionalFormatting sqref="B37">
    <cfRule type="duplicateValues" dxfId="125" priority="3"/>
  </conditionalFormatting>
  <conditionalFormatting sqref="B38">
    <cfRule type="duplicateValues" dxfId="124" priority="2"/>
  </conditionalFormatting>
  <conditionalFormatting sqref="B39">
    <cfRule type="duplicateValues" dxfId="123" priority="6"/>
  </conditionalFormatting>
  <conditionalFormatting sqref="B40">
    <cfRule type="duplicateValues" dxfId="122" priority="5"/>
  </conditionalFormatting>
  <conditionalFormatting sqref="B41">
    <cfRule type="duplicateValues" dxfId="121" priority="4"/>
  </conditionalFormatting>
  <conditionalFormatting sqref="B55:B1048576 B12:B27 B4:B10 B32:B36 B42:B46 B29:B30">
    <cfRule type="duplicateValues" dxfId="120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87828-DC9D-4DD3-A985-73421798B9A2}">
  <sheetPr codeName="Sheet57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486</v>
      </c>
    </row>
    <row r="4" spans="1:5" x14ac:dyDescent="0.2">
      <c r="A4" s="84" t="s">
        <v>61</v>
      </c>
      <c r="B4" s="84"/>
      <c r="C4" s="2" t="s">
        <v>195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135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49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155.1 @ -46°C' 128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24" x14ac:dyDescent="0.2">
      <c r="A14" s="69" t="s">
        <v>22</v>
      </c>
      <c r="B14" s="69"/>
      <c r="C14" s="5" t="s">
        <v>63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ht="36" x14ac:dyDescent="0.2">
      <c r="A22" s="70" t="s">
        <v>31</v>
      </c>
      <c r="B22" s="13" t="s">
        <v>76</v>
      </c>
      <c r="C22" s="5" t="s">
        <v>102</v>
      </c>
      <c r="D22" s="70"/>
      <c r="E22" s="70"/>
    </row>
    <row r="23" spans="1:5" x14ac:dyDescent="0.2">
      <c r="A23" s="70"/>
      <c r="B23" s="13" t="s">
        <v>81</v>
      </c>
      <c r="C23" s="5" t="s">
        <v>87</v>
      </c>
      <c r="D23" s="70"/>
      <c r="E23" s="70"/>
    </row>
    <row r="24" spans="1:5" x14ac:dyDescent="0.2">
      <c r="A24" s="70"/>
      <c r="B24" s="13" t="s">
        <v>86</v>
      </c>
      <c r="C24" s="5" t="s">
        <v>121</v>
      </c>
      <c r="D24" s="70"/>
      <c r="E24" s="70"/>
    </row>
    <row r="25" spans="1:5" x14ac:dyDescent="0.2">
      <c r="A25" s="70"/>
      <c r="B25" s="13" t="s">
        <v>78</v>
      </c>
      <c r="C25" s="5" t="s">
        <v>87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87</v>
      </c>
      <c r="D27" s="70"/>
      <c r="E27" s="70"/>
    </row>
    <row r="28" spans="1:5" x14ac:dyDescent="0.2">
      <c r="A28" s="70"/>
      <c r="B28" s="4" t="s">
        <v>80</v>
      </c>
      <c r="C28" s="3" t="s">
        <v>87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146</v>
      </c>
      <c r="D32" s="70"/>
      <c r="E32" s="70"/>
    </row>
    <row r="33" spans="1:5" x14ac:dyDescent="0.2">
      <c r="A33" s="70"/>
      <c r="B33" s="13" t="s">
        <v>35</v>
      </c>
      <c r="C33" s="5" t="s">
        <v>224</v>
      </c>
      <c r="D33" s="70"/>
      <c r="E33" s="70"/>
    </row>
    <row r="34" spans="1:5" x14ac:dyDescent="0.2">
      <c r="A34" s="70"/>
      <c r="B34" s="13" t="s">
        <v>36</v>
      </c>
      <c r="C34" s="5" t="s">
        <v>224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210</v>
      </c>
      <c r="D39" s="67"/>
      <c r="E39" s="68"/>
    </row>
    <row r="40" spans="1:5" x14ac:dyDescent="0.2">
      <c r="A40" s="67" t="s">
        <v>105</v>
      </c>
      <c r="B40" s="68"/>
      <c r="C40" s="3" t="s">
        <v>211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119" priority="1"/>
  </conditionalFormatting>
  <conditionalFormatting sqref="B31">
    <cfRule type="duplicateValues" dxfId="118" priority="7"/>
  </conditionalFormatting>
  <conditionalFormatting sqref="B37">
    <cfRule type="duplicateValues" dxfId="117" priority="3"/>
  </conditionalFormatting>
  <conditionalFormatting sqref="B38">
    <cfRule type="duplicateValues" dxfId="116" priority="2"/>
  </conditionalFormatting>
  <conditionalFormatting sqref="B39">
    <cfRule type="duplicateValues" dxfId="115" priority="6"/>
  </conditionalFormatting>
  <conditionalFormatting sqref="B40">
    <cfRule type="duplicateValues" dxfId="114" priority="5"/>
  </conditionalFormatting>
  <conditionalFormatting sqref="B41">
    <cfRule type="duplicateValues" dxfId="113" priority="4"/>
  </conditionalFormatting>
  <conditionalFormatting sqref="B55:B1048576 B12:B27 B4:B10 B32:B36 B42:B46 B29:B30">
    <cfRule type="duplicateValues" dxfId="112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79FC-EAE7-420A-A1E1-C9820BD190E6}">
  <sheetPr codeName="Sheet58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487</v>
      </c>
    </row>
    <row r="4" spans="1:5" x14ac:dyDescent="0.2">
      <c r="A4" s="84" t="s">
        <v>61</v>
      </c>
      <c r="B4" s="84"/>
      <c r="C4" s="2" t="s">
        <v>196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136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50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258.6 @ -46°C' 213.3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225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ht="36" x14ac:dyDescent="0.2">
      <c r="A22" s="70" t="s">
        <v>31</v>
      </c>
      <c r="B22" s="13" t="s">
        <v>76</v>
      </c>
      <c r="C22" s="5" t="s">
        <v>102</v>
      </c>
      <c r="D22" s="70"/>
      <c r="E22" s="70"/>
    </row>
    <row r="23" spans="1:5" x14ac:dyDescent="0.2">
      <c r="A23" s="70"/>
      <c r="B23" s="13" t="s">
        <v>81</v>
      </c>
      <c r="C23" s="5" t="s">
        <v>87</v>
      </c>
      <c r="D23" s="70"/>
      <c r="E23" s="70"/>
    </row>
    <row r="24" spans="1:5" x14ac:dyDescent="0.2">
      <c r="A24" s="70"/>
      <c r="B24" s="13" t="s">
        <v>86</v>
      </c>
      <c r="C24" s="5" t="s">
        <v>121</v>
      </c>
      <c r="D24" s="70"/>
      <c r="E24" s="70"/>
    </row>
    <row r="25" spans="1:5" x14ac:dyDescent="0.2">
      <c r="A25" s="70"/>
      <c r="B25" s="13" t="s">
        <v>78</v>
      </c>
      <c r="C25" s="5" t="s">
        <v>87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87</v>
      </c>
      <c r="D27" s="70"/>
      <c r="E27" s="70"/>
    </row>
    <row r="28" spans="1:5" x14ac:dyDescent="0.2">
      <c r="A28" s="70"/>
      <c r="B28" s="4" t="s">
        <v>80</v>
      </c>
      <c r="C28" s="3" t="s">
        <v>87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146</v>
      </c>
      <c r="D32" s="70"/>
      <c r="E32" s="70"/>
    </row>
    <row r="33" spans="1:5" x14ac:dyDescent="0.2">
      <c r="A33" s="70"/>
      <c r="B33" s="13" t="s">
        <v>35</v>
      </c>
      <c r="C33" s="5" t="s">
        <v>224</v>
      </c>
      <c r="D33" s="70"/>
      <c r="E33" s="70"/>
    </row>
    <row r="34" spans="1:5" x14ac:dyDescent="0.2">
      <c r="A34" s="70"/>
      <c r="B34" s="13" t="s">
        <v>36</v>
      </c>
      <c r="C34" s="5" t="s">
        <v>224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208</v>
      </c>
      <c r="D39" s="67"/>
      <c r="E39" s="68"/>
    </row>
    <row r="40" spans="1:5" x14ac:dyDescent="0.2">
      <c r="A40" s="67" t="s">
        <v>105</v>
      </c>
      <c r="B40" s="68"/>
      <c r="C40" s="3" t="s">
        <v>209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111" priority="1"/>
  </conditionalFormatting>
  <conditionalFormatting sqref="B31">
    <cfRule type="duplicateValues" dxfId="110" priority="7"/>
  </conditionalFormatting>
  <conditionalFormatting sqref="B37">
    <cfRule type="duplicateValues" dxfId="109" priority="3"/>
  </conditionalFormatting>
  <conditionalFormatting sqref="B38">
    <cfRule type="duplicateValues" dxfId="108" priority="2"/>
  </conditionalFormatting>
  <conditionalFormatting sqref="B39">
    <cfRule type="duplicateValues" dxfId="107" priority="6"/>
  </conditionalFormatting>
  <conditionalFormatting sqref="B40">
    <cfRule type="duplicateValues" dxfId="106" priority="5"/>
  </conditionalFormatting>
  <conditionalFormatting sqref="B41">
    <cfRule type="duplicateValues" dxfId="105" priority="4"/>
  </conditionalFormatting>
  <conditionalFormatting sqref="B55:B1048576 B12:B27 B4:B10 B32:B36 B42:B46 B29:B30">
    <cfRule type="duplicateValues" dxfId="104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64CD8-FF24-42FB-825E-328F87253185}">
  <sheetPr codeName="Sheet59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488</v>
      </c>
    </row>
    <row r="4" spans="1:5" x14ac:dyDescent="0.2">
      <c r="A4" s="84" t="s">
        <v>61</v>
      </c>
      <c r="B4" s="84"/>
      <c r="C4" s="2" t="s">
        <v>197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136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50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258.6 @ -46°C' 213.3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226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ht="36" x14ac:dyDescent="0.2">
      <c r="A22" s="70" t="s">
        <v>31</v>
      </c>
      <c r="B22" s="13" t="s">
        <v>76</v>
      </c>
      <c r="C22" s="5" t="s">
        <v>102</v>
      </c>
      <c r="D22" s="70"/>
      <c r="E22" s="70"/>
    </row>
    <row r="23" spans="1:5" x14ac:dyDescent="0.2">
      <c r="A23" s="70"/>
      <c r="B23" s="13" t="s">
        <v>81</v>
      </c>
      <c r="C23" s="5" t="s">
        <v>87</v>
      </c>
      <c r="D23" s="70"/>
      <c r="E23" s="70"/>
    </row>
    <row r="24" spans="1:5" x14ac:dyDescent="0.2">
      <c r="A24" s="70"/>
      <c r="B24" s="13" t="s">
        <v>86</v>
      </c>
      <c r="C24" s="5" t="s">
        <v>121</v>
      </c>
      <c r="D24" s="70"/>
      <c r="E24" s="70"/>
    </row>
    <row r="25" spans="1:5" x14ac:dyDescent="0.2">
      <c r="A25" s="70"/>
      <c r="B25" s="13" t="s">
        <v>78</v>
      </c>
      <c r="C25" s="5" t="s">
        <v>87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87</v>
      </c>
      <c r="D27" s="70"/>
      <c r="E27" s="70"/>
    </row>
    <row r="28" spans="1:5" x14ac:dyDescent="0.2">
      <c r="A28" s="70"/>
      <c r="B28" s="4" t="s">
        <v>80</v>
      </c>
      <c r="C28" s="3" t="s">
        <v>87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146</v>
      </c>
      <c r="D32" s="70"/>
      <c r="E32" s="70"/>
    </row>
    <row r="33" spans="1:5" x14ac:dyDescent="0.2">
      <c r="A33" s="70"/>
      <c r="B33" s="13" t="s">
        <v>35</v>
      </c>
      <c r="C33" s="5" t="s">
        <v>224</v>
      </c>
      <c r="D33" s="70"/>
      <c r="E33" s="70"/>
    </row>
    <row r="34" spans="1:5" x14ac:dyDescent="0.2">
      <c r="A34" s="70"/>
      <c r="B34" s="13" t="s">
        <v>36</v>
      </c>
      <c r="C34" s="5" t="s">
        <v>224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208</v>
      </c>
      <c r="D39" s="67"/>
      <c r="E39" s="68"/>
    </row>
    <row r="40" spans="1:5" x14ac:dyDescent="0.2">
      <c r="A40" s="67" t="s">
        <v>105</v>
      </c>
      <c r="B40" s="68"/>
      <c r="C40" s="3" t="s">
        <v>209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103" priority="1"/>
  </conditionalFormatting>
  <conditionalFormatting sqref="B31">
    <cfRule type="duplicateValues" dxfId="102" priority="7"/>
  </conditionalFormatting>
  <conditionalFormatting sqref="B37">
    <cfRule type="duplicateValues" dxfId="101" priority="3"/>
  </conditionalFormatting>
  <conditionalFormatting sqref="B38">
    <cfRule type="duplicateValues" dxfId="100" priority="2"/>
  </conditionalFormatting>
  <conditionalFormatting sqref="B39">
    <cfRule type="duplicateValues" dxfId="99" priority="6"/>
  </conditionalFormatting>
  <conditionalFormatting sqref="B40">
    <cfRule type="duplicateValues" dxfId="98" priority="5"/>
  </conditionalFormatting>
  <conditionalFormatting sqref="B41">
    <cfRule type="duplicateValues" dxfId="97" priority="4"/>
  </conditionalFormatting>
  <conditionalFormatting sqref="B55:B1048576 B12:B27 B4:B10 B32:B36 B42:B46 B29:B30">
    <cfRule type="duplicateValues" dxfId="96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191C4-C16F-4775-8B7B-FF6C7238FA9D}">
  <sheetPr codeName="Sheet60">
    <tabColor theme="5" tint="0.39997558519241921"/>
    <pageSetUpPr fitToPage="1"/>
  </sheetPr>
  <dimension ref="A1:E54"/>
  <sheetViews>
    <sheetView topLeftCell="A18"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489</v>
      </c>
    </row>
    <row r="4" spans="1:5" x14ac:dyDescent="0.2">
      <c r="A4" s="84" t="s">
        <v>61</v>
      </c>
      <c r="B4" s="84"/>
      <c r="C4" s="2" t="s">
        <v>198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137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51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430.9 @ -46°C' 355.4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225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ht="36" x14ac:dyDescent="0.2">
      <c r="A22" s="70" t="s">
        <v>31</v>
      </c>
      <c r="B22" s="13" t="s">
        <v>76</v>
      </c>
      <c r="C22" s="5" t="s">
        <v>102</v>
      </c>
      <c r="D22" s="70"/>
      <c r="E22" s="70"/>
    </row>
    <row r="23" spans="1:5" x14ac:dyDescent="0.2">
      <c r="A23" s="70"/>
      <c r="B23" s="13" t="s">
        <v>81</v>
      </c>
      <c r="C23" s="5" t="s">
        <v>87</v>
      </c>
      <c r="D23" s="70"/>
      <c r="E23" s="70"/>
    </row>
    <row r="24" spans="1:5" x14ac:dyDescent="0.2">
      <c r="A24" s="70"/>
      <c r="B24" s="13" t="s">
        <v>86</v>
      </c>
      <c r="C24" s="5" t="s">
        <v>121</v>
      </c>
      <c r="D24" s="70"/>
      <c r="E24" s="70"/>
    </row>
    <row r="25" spans="1:5" x14ac:dyDescent="0.2">
      <c r="A25" s="70"/>
      <c r="B25" s="13" t="s">
        <v>78</v>
      </c>
      <c r="C25" s="5" t="s">
        <v>87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87</v>
      </c>
      <c r="D27" s="70"/>
      <c r="E27" s="70"/>
    </row>
    <row r="28" spans="1:5" x14ac:dyDescent="0.2">
      <c r="A28" s="70"/>
      <c r="B28" s="4" t="s">
        <v>80</v>
      </c>
      <c r="C28" s="3" t="s">
        <v>87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146</v>
      </c>
      <c r="D32" s="70"/>
      <c r="E32" s="70"/>
    </row>
    <row r="33" spans="1:5" x14ac:dyDescent="0.2">
      <c r="A33" s="70"/>
      <c r="B33" s="13" t="s">
        <v>35</v>
      </c>
      <c r="C33" s="5" t="s">
        <v>224</v>
      </c>
      <c r="D33" s="70"/>
      <c r="E33" s="70"/>
    </row>
    <row r="34" spans="1:5" x14ac:dyDescent="0.2">
      <c r="A34" s="70"/>
      <c r="B34" s="13" t="s">
        <v>36</v>
      </c>
      <c r="C34" s="5" t="s">
        <v>224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206</v>
      </c>
      <c r="D39" s="67"/>
      <c r="E39" s="68"/>
    </row>
    <row r="40" spans="1:5" x14ac:dyDescent="0.2">
      <c r="A40" s="67" t="s">
        <v>105</v>
      </c>
      <c r="B40" s="68"/>
      <c r="C40" s="3" t="s">
        <v>207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95" priority="1"/>
  </conditionalFormatting>
  <conditionalFormatting sqref="B31">
    <cfRule type="duplicateValues" dxfId="94" priority="7"/>
  </conditionalFormatting>
  <conditionalFormatting sqref="B37">
    <cfRule type="duplicateValues" dxfId="93" priority="3"/>
  </conditionalFormatting>
  <conditionalFormatting sqref="B38">
    <cfRule type="duplicateValues" dxfId="92" priority="2"/>
  </conditionalFormatting>
  <conditionalFormatting sqref="B39">
    <cfRule type="duplicateValues" dxfId="91" priority="6"/>
  </conditionalFormatting>
  <conditionalFormatting sqref="B40">
    <cfRule type="duplicateValues" dxfId="90" priority="5"/>
  </conditionalFormatting>
  <conditionalFormatting sqref="B41">
    <cfRule type="duplicateValues" dxfId="89" priority="4"/>
  </conditionalFormatting>
  <conditionalFormatting sqref="B55:B1048576 B12:B27 B4:B10 B32:B36 B42:B46 B29:B30">
    <cfRule type="duplicateValues" dxfId="88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86AB3-C00E-45BA-85A7-3B1EF2464BF6}">
  <sheetPr codeName="Sheet61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490</v>
      </c>
    </row>
    <row r="4" spans="1:5" x14ac:dyDescent="0.2">
      <c r="A4" s="84" t="s">
        <v>61</v>
      </c>
      <c r="B4" s="84"/>
      <c r="C4" s="2" t="s">
        <v>199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137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51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430.9 @ -46°C' 355.4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226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ht="36" x14ac:dyDescent="0.2">
      <c r="A22" s="70" t="s">
        <v>31</v>
      </c>
      <c r="B22" s="13" t="s">
        <v>76</v>
      </c>
      <c r="C22" s="5" t="s">
        <v>102</v>
      </c>
      <c r="D22" s="70"/>
      <c r="E22" s="70"/>
    </row>
    <row r="23" spans="1:5" x14ac:dyDescent="0.2">
      <c r="A23" s="70"/>
      <c r="B23" s="13" t="s">
        <v>81</v>
      </c>
      <c r="C23" s="5" t="s">
        <v>87</v>
      </c>
      <c r="D23" s="70"/>
      <c r="E23" s="70"/>
    </row>
    <row r="24" spans="1:5" x14ac:dyDescent="0.2">
      <c r="A24" s="70"/>
      <c r="B24" s="13" t="s">
        <v>86</v>
      </c>
      <c r="C24" s="5" t="s">
        <v>121</v>
      </c>
      <c r="D24" s="70"/>
      <c r="E24" s="70"/>
    </row>
    <row r="25" spans="1:5" x14ac:dyDescent="0.2">
      <c r="A25" s="70"/>
      <c r="B25" s="13" t="s">
        <v>78</v>
      </c>
      <c r="C25" s="5" t="s">
        <v>87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87</v>
      </c>
      <c r="D27" s="70"/>
      <c r="E27" s="70"/>
    </row>
    <row r="28" spans="1:5" x14ac:dyDescent="0.2">
      <c r="A28" s="70"/>
      <c r="B28" s="4" t="s">
        <v>80</v>
      </c>
      <c r="C28" s="3" t="s">
        <v>87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146</v>
      </c>
      <c r="D32" s="70"/>
      <c r="E32" s="70"/>
    </row>
    <row r="33" spans="1:5" x14ac:dyDescent="0.2">
      <c r="A33" s="70"/>
      <c r="B33" s="13" t="s">
        <v>35</v>
      </c>
      <c r="C33" s="5" t="s">
        <v>224</v>
      </c>
      <c r="D33" s="70"/>
      <c r="E33" s="70"/>
    </row>
    <row r="34" spans="1:5" x14ac:dyDescent="0.2">
      <c r="A34" s="70"/>
      <c r="B34" s="13" t="s">
        <v>36</v>
      </c>
      <c r="C34" s="5" t="s">
        <v>224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206</v>
      </c>
      <c r="D39" s="67"/>
      <c r="E39" s="68"/>
    </row>
    <row r="40" spans="1:5" x14ac:dyDescent="0.2">
      <c r="A40" s="67" t="s">
        <v>105</v>
      </c>
      <c r="B40" s="68"/>
      <c r="C40" s="3" t="s">
        <v>207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87" priority="1"/>
  </conditionalFormatting>
  <conditionalFormatting sqref="B31">
    <cfRule type="duplicateValues" dxfId="86" priority="7"/>
  </conditionalFormatting>
  <conditionalFormatting sqref="B37">
    <cfRule type="duplicateValues" dxfId="85" priority="3"/>
  </conditionalFormatting>
  <conditionalFormatting sqref="B38">
    <cfRule type="duplicateValues" dxfId="84" priority="2"/>
  </conditionalFormatting>
  <conditionalFormatting sqref="B39">
    <cfRule type="duplicateValues" dxfId="83" priority="6"/>
  </conditionalFormatting>
  <conditionalFormatting sqref="B40">
    <cfRule type="duplicateValues" dxfId="82" priority="5"/>
  </conditionalFormatting>
  <conditionalFormatting sqref="B41">
    <cfRule type="duplicateValues" dxfId="81" priority="4"/>
  </conditionalFormatting>
  <conditionalFormatting sqref="B55:B1048576 B12:B27 B4:B10 B32:B36 B42:B46 B29:B30">
    <cfRule type="duplicateValues" dxfId="80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9FBC2-CFD3-4778-B3F3-6B2FD9F995B9}">
  <sheetPr codeName="Sheet73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491</v>
      </c>
    </row>
    <row r="4" spans="1:5" x14ac:dyDescent="0.2">
      <c r="A4" s="84" t="s">
        <v>61</v>
      </c>
      <c r="B4" s="84"/>
      <c r="C4" s="2" t="s">
        <v>404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137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51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430.9 @ -46°C' 355.4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226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401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ht="36" x14ac:dyDescent="0.2">
      <c r="A22" s="70" t="s">
        <v>31</v>
      </c>
      <c r="B22" s="13" t="s">
        <v>76</v>
      </c>
      <c r="C22" s="5" t="s">
        <v>102</v>
      </c>
      <c r="D22" s="70"/>
      <c r="E22" s="70"/>
    </row>
    <row r="23" spans="1:5" x14ac:dyDescent="0.2">
      <c r="A23" s="70"/>
      <c r="B23" s="13" t="s">
        <v>81</v>
      </c>
      <c r="C23" s="5" t="s">
        <v>87</v>
      </c>
      <c r="D23" s="70"/>
      <c r="E23" s="70"/>
    </row>
    <row r="24" spans="1:5" x14ac:dyDescent="0.2">
      <c r="A24" s="70"/>
      <c r="B24" s="13" t="s">
        <v>86</v>
      </c>
      <c r="C24" s="5" t="s">
        <v>121</v>
      </c>
      <c r="D24" s="70"/>
      <c r="E24" s="70"/>
    </row>
    <row r="25" spans="1:5" x14ac:dyDescent="0.2">
      <c r="A25" s="70"/>
      <c r="B25" s="13" t="s">
        <v>78</v>
      </c>
      <c r="C25" s="5" t="s">
        <v>87</v>
      </c>
      <c r="D25" s="70"/>
      <c r="E25" s="70"/>
    </row>
    <row r="26" spans="1:5" x14ac:dyDescent="0.2">
      <c r="A26" s="70"/>
      <c r="B26" s="13" t="s">
        <v>79</v>
      </c>
      <c r="C26" s="5" t="s">
        <v>402</v>
      </c>
      <c r="D26" s="70"/>
      <c r="E26" s="70"/>
    </row>
    <row r="27" spans="1:5" x14ac:dyDescent="0.2">
      <c r="A27" s="70"/>
      <c r="B27" s="13" t="s">
        <v>77</v>
      </c>
      <c r="C27" s="5" t="s">
        <v>87</v>
      </c>
      <c r="D27" s="70"/>
      <c r="E27" s="70"/>
    </row>
    <row r="28" spans="1:5" x14ac:dyDescent="0.2">
      <c r="A28" s="70"/>
      <c r="B28" s="4" t="s">
        <v>80</v>
      </c>
      <c r="C28" s="3" t="s">
        <v>87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146</v>
      </c>
      <c r="D32" s="70"/>
      <c r="E32" s="70"/>
    </row>
    <row r="33" spans="1:5" x14ac:dyDescent="0.2">
      <c r="A33" s="70"/>
      <c r="B33" s="13" t="s">
        <v>35</v>
      </c>
      <c r="C33" s="5" t="s">
        <v>224</v>
      </c>
      <c r="D33" s="70"/>
      <c r="E33" s="70"/>
    </row>
    <row r="34" spans="1:5" x14ac:dyDescent="0.2">
      <c r="A34" s="70"/>
      <c r="B34" s="13" t="s">
        <v>36</v>
      </c>
      <c r="C34" s="5" t="s">
        <v>224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206</v>
      </c>
      <c r="D39" s="67"/>
      <c r="E39" s="68"/>
    </row>
    <row r="40" spans="1:5" x14ac:dyDescent="0.2">
      <c r="A40" s="67" t="s">
        <v>105</v>
      </c>
      <c r="B40" s="68"/>
      <c r="C40" s="3" t="s">
        <v>207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79" priority="1"/>
  </conditionalFormatting>
  <conditionalFormatting sqref="B31">
    <cfRule type="duplicateValues" dxfId="78" priority="7"/>
  </conditionalFormatting>
  <conditionalFormatting sqref="B37">
    <cfRule type="duplicateValues" dxfId="77" priority="3"/>
  </conditionalFormatting>
  <conditionalFormatting sqref="B38">
    <cfRule type="duplicateValues" dxfId="76" priority="2"/>
  </conditionalFormatting>
  <conditionalFormatting sqref="B39">
    <cfRule type="duplicateValues" dxfId="75" priority="6"/>
  </conditionalFormatting>
  <conditionalFormatting sqref="B40">
    <cfRule type="duplicateValues" dxfId="74" priority="5"/>
  </conditionalFormatting>
  <conditionalFormatting sqref="B41">
    <cfRule type="duplicateValues" dxfId="73" priority="4"/>
  </conditionalFormatting>
  <conditionalFormatting sqref="B55:B1048576 B12:B27 B4:B10 B32:B36 B42:B46 B29:B30">
    <cfRule type="duplicateValues" dxfId="72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BFAE1-993E-40CA-AA90-6144E15C34FB}">
  <sheetPr codeName="Sheet62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492</v>
      </c>
    </row>
    <row r="4" spans="1:5" x14ac:dyDescent="0.2">
      <c r="A4" s="84" t="s">
        <v>61</v>
      </c>
      <c r="B4" s="84"/>
      <c r="C4" s="2" t="s">
        <v>200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138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49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155.1 @ -46°C' 128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24" x14ac:dyDescent="0.2">
      <c r="A14" s="69" t="s">
        <v>22</v>
      </c>
      <c r="B14" s="69"/>
      <c r="C14" s="5" t="s">
        <v>62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ht="36" x14ac:dyDescent="0.2">
      <c r="A22" s="70" t="s">
        <v>31</v>
      </c>
      <c r="B22" s="13" t="s">
        <v>76</v>
      </c>
      <c r="C22" s="5" t="s">
        <v>94</v>
      </c>
      <c r="D22" s="70"/>
      <c r="E22" s="70"/>
    </row>
    <row r="23" spans="1:5" x14ac:dyDescent="0.2">
      <c r="A23" s="70"/>
      <c r="B23" s="13" t="s">
        <v>81</v>
      </c>
      <c r="C23" s="5" t="s">
        <v>58</v>
      </c>
      <c r="D23" s="70"/>
      <c r="E23" s="70"/>
    </row>
    <row r="24" spans="1:5" x14ac:dyDescent="0.2">
      <c r="A24" s="70"/>
      <c r="B24" s="13" t="s">
        <v>86</v>
      </c>
      <c r="C24" s="5" t="s">
        <v>122</v>
      </c>
      <c r="D24" s="70"/>
      <c r="E24" s="70"/>
    </row>
    <row r="25" spans="1:5" x14ac:dyDescent="0.2">
      <c r="A25" s="70"/>
      <c r="B25" s="13" t="s">
        <v>78</v>
      </c>
      <c r="C25" s="5" t="s">
        <v>58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58</v>
      </c>
      <c r="D27" s="70"/>
      <c r="E27" s="70"/>
    </row>
    <row r="28" spans="1:5" x14ac:dyDescent="0.2">
      <c r="A28" s="70"/>
      <c r="B28" s="4" t="s">
        <v>80</v>
      </c>
      <c r="C28" s="3" t="s">
        <v>58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147</v>
      </c>
      <c r="D32" s="70"/>
      <c r="E32" s="70"/>
    </row>
    <row r="33" spans="1:5" x14ac:dyDescent="0.2">
      <c r="A33" s="70"/>
      <c r="B33" s="13" t="s">
        <v>35</v>
      </c>
      <c r="C33" s="5" t="s">
        <v>224</v>
      </c>
      <c r="D33" s="70"/>
      <c r="E33" s="70"/>
    </row>
    <row r="34" spans="1:5" x14ac:dyDescent="0.2">
      <c r="A34" s="70"/>
      <c r="B34" s="13" t="s">
        <v>36</v>
      </c>
      <c r="C34" s="5" t="s">
        <v>224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210</v>
      </c>
      <c r="D39" s="67"/>
      <c r="E39" s="68"/>
    </row>
    <row r="40" spans="1:5" x14ac:dyDescent="0.2">
      <c r="A40" s="67" t="s">
        <v>105</v>
      </c>
      <c r="B40" s="68"/>
      <c r="C40" s="3" t="s">
        <v>211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71" priority="1"/>
  </conditionalFormatting>
  <conditionalFormatting sqref="B31">
    <cfRule type="duplicateValues" dxfId="70" priority="7"/>
  </conditionalFormatting>
  <conditionalFormatting sqref="B37">
    <cfRule type="duplicateValues" dxfId="69" priority="3"/>
  </conditionalFormatting>
  <conditionalFormatting sqref="B38">
    <cfRule type="duplicateValues" dxfId="68" priority="2"/>
  </conditionalFormatting>
  <conditionalFormatting sqref="B39">
    <cfRule type="duplicateValues" dxfId="67" priority="6"/>
  </conditionalFormatting>
  <conditionalFormatting sqref="B40">
    <cfRule type="duplicateValues" dxfId="66" priority="5"/>
  </conditionalFormatting>
  <conditionalFormatting sqref="B41">
    <cfRule type="duplicateValues" dxfId="65" priority="4"/>
  </conditionalFormatting>
  <conditionalFormatting sqref="B55:B1048576 B12:B27 B4:B10 B32:B36 B42:B46 B29:B30">
    <cfRule type="duplicateValues" dxfId="64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72BC6-DA68-49C3-AB6B-4F74839E1DD4}">
  <sheetPr codeName="Sheet63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493</v>
      </c>
    </row>
    <row r="4" spans="1:5" x14ac:dyDescent="0.2">
      <c r="A4" s="84" t="s">
        <v>61</v>
      </c>
      <c r="B4" s="84"/>
      <c r="C4" s="2" t="s">
        <v>201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138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49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155.1 @ -46°C' 128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24" x14ac:dyDescent="0.2">
      <c r="A14" s="69" t="s">
        <v>22</v>
      </c>
      <c r="B14" s="69"/>
      <c r="C14" s="5" t="s">
        <v>63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ht="36" x14ac:dyDescent="0.2">
      <c r="A22" s="70" t="s">
        <v>31</v>
      </c>
      <c r="B22" s="13" t="s">
        <v>76</v>
      </c>
      <c r="C22" s="5" t="s">
        <v>94</v>
      </c>
      <c r="D22" s="70"/>
      <c r="E22" s="70"/>
    </row>
    <row r="23" spans="1:5" x14ac:dyDescent="0.2">
      <c r="A23" s="70"/>
      <c r="B23" s="13" t="s">
        <v>81</v>
      </c>
      <c r="C23" s="5" t="s">
        <v>58</v>
      </c>
      <c r="D23" s="70"/>
      <c r="E23" s="70"/>
    </row>
    <row r="24" spans="1:5" x14ac:dyDescent="0.2">
      <c r="A24" s="70"/>
      <c r="B24" s="13" t="s">
        <v>86</v>
      </c>
      <c r="C24" s="5" t="s">
        <v>122</v>
      </c>
      <c r="D24" s="70"/>
      <c r="E24" s="70"/>
    </row>
    <row r="25" spans="1:5" x14ac:dyDescent="0.2">
      <c r="A25" s="70"/>
      <c r="B25" s="13" t="s">
        <v>78</v>
      </c>
      <c r="C25" s="5" t="s">
        <v>58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58</v>
      </c>
      <c r="D27" s="70"/>
      <c r="E27" s="70"/>
    </row>
    <row r="28" spans="1:5" x14ac:dyDescent="0.2">
      <c r="A28" s="70"/>
      <c r="B28" s="4" t="s">
        <v>80</v>
      </c>
      <c r="C28" s="3" t="s">
        <v>58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147</v>
      </c>
      <c r="D32" s="70"/>
      <c r="E32" s="70"/>
    </row>
    <row r="33" spans="1:5" x14ac:dyDescent="0.2">
      <c r="A33" s="70"/>
      <c r="B33" s="13" t="s">
        <v>35</v>
      </c>
      <c r="C33" s="5" t="s">
        <v>224</v>
      </c>
      <c r="D33" s="70"/>
      <c r="E33" s="70"/>
    </row>
    <row r="34" spans="1:5" x14ac:dyDescent="0.2">
      <c r="A34" s="70"/>
      <c r="B34" s="13" t="s">
        <v>36</v>
      </c>
      <c r="C34" s="5" t="s">
        <v>224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210</v>
      </c>
      <c r="D39" s="67"/>
      <c r="E39" s="68"/>
    </row>
    <row r="40" spans="1:5" x14ac:dyDescent="0.2">
      <c r="A40" s="67" t="s">
        <v>105</v>
      </c>
      <c r="B40" s="68"/>
      <c r="C40" s="3" t="s">
        <v>211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63" priority="1"/>
  </conditionalFormatting>
  <conditionalFormatting sqref="B31">
    <cfRule type="duplicateValues" dxfId="62" priority="7"/>
  </conditionalFormatting>
  <conditionalFormatting sqref="B37">
    <cfRule type="duplicateValues" dxfId="61" priority="3"/>
  </conditionalFormatting>
  <conditionalFormatting sqref="B38">
    <cfRule type="duplicateValues" dxfId="60" priority="2"/>
  </conditionalFormatting>
  <conditionalFormatting sqref="B39">
    <cfRule type="duplicateValues" dxfId="59" priority="6"/>
  </conditionalFormatting>
  <conditionalFormatting sqref="B40">
    <cfRule type="duplicateValues" dxfId="58" priority="5"/>
  </conditionalFormatting>
  <conditionalFormatting sqref="B41">
    <cfRule type="duplicateValues" dxfId="57" priority="4"/>
  </conditionalFormatting>
  <conditionalFormatting sqref="B55:B1048576 B12:B27 B4:B10 B32:B36 B42:B46 B29:B30">
    <cfRule type="duplicateValues" dxfId="56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EF5CC-A8BD-4ABB-A516-B4090AF7C0E3}">
  <sheetPr codeName="Sheet64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494</v>
      </c>
    </row>
    <row r="4" spans="1:5" x14ac:dyDescent="0.2">
      <c r="A4" s="84" t="s">
        <v>61</v>
      </c>
      <c r="B4" s="84"/>
      <c r="C4" s="2" t="s">
        <v>202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139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50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258.6 @ -46°C' 213.3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225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ht="36" x14ac:dyDescent="0.2">
      <c r="A22" s="70" t="s">
        <v>31</v>
      </c>
      <c r="B22" s="13" t="s">
        <v>76</v>
      </c>
      <c r="C22" s="5" t="s">
        <v>94</v>
      </c>
      <c r="D22" s="70"/>
      <c r="E22" s="70"/>
    </row>
    <row r="23" spans="1:5" x14ac:dyDescent="0.2">
      <c r="A23" s="70"/>
      <c r="B23" s="13" t="s">
        <v>81</v>
      </c>
      <c r="C23" s="5" t="s">
        <v>58</v>
      </c>
      <c r="D23" s="70"/>
      <c r="E23" s="70"/>
    </row>
    <row r="24" spans="1:5" x14ac:dyDescent="0.2">
      <c r="A24" s="70"/>
      <c r="B24" s="13" t="s">
        <v>86</v>
      </c>
      <c r="C24" s="5" t="s">
        <v>122</v>
      </c>
      <c r="D24" s="70"/>
      <c r="E24" s="70"/>
    </row>
    <row r="25" spans="1:5" x14ac:dyDescent="0.2">
      <c r="A25" s="70"/>
      <c r="B25" s="13" t="s">
        <v>78</v>
      </c>
      <c r="C25" s="5" t="s">
        <v>58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58</v>
      </c>
      <c r="D27" s="70"/>
      <c r="E27" s="70"/>
    </row>
    <row r="28" spans="1:5" x14ac:dyDescent="0.2">
      <c r="A28" s="70"/>
      <c r="B28" s="4" t="s">
        <v>80</v>
      </c>
      <c r="C28" s="3" t="s">
        <v>58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147</v>
      </c>
      <c r="D32" s="70"/>
      <c r="E32" s="70"/>
    </row>
    <row r="33" spans="1:5" x14ac:dyDescent="0.2">
      <c r="A33" s="70"/>
      <c r="B33" s="13" t="s">
        <v>35</v>
      </c>
      <c r="C33" s="5" t="s">
        <v>224</v>
      </c>
      <c r="D33" s="70"/>
      <c r="E33" s="70"/>
    </row>
    <row r="34" spans="1:5" x14ac:dyDescent="0.2">
      <c r="A34" s="70"/>
      <c r="B34" s="13" t="s">
        <v>36</v>
      </c>
      <c r="C34" s="5" t="s">
        <v>224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208</v>
      </c>
      <c r="D39" s="67"/>
      <c r="E39" s="68"/>
    </row>
    <row r="40" spans="1:5" x14ac:dyDescent="0.2">
      <c r="A40" s="67" t="s">
        <v>105</v>
      </c>
      <c r="B40" s="68"/>
      <c r="C40" s="3" t="s">
        <v>209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55" priority="1"/>
  </conditionalFormatting>
  <conditionalFormatting sqref="B31">
    <cfRule type="duplicateValues" dxfId="54" priority="7"/>
  </conditionalFormatting>
  <conditionalFormatting sqref="B37">
    <cfRule type="duplicateValues" dxfId="53" priority="3"/>
  </conditionalFormatting>
  <conditionalFormatting sqref="B38">
    <cfRule type="duplicateValues" dxfId="52" priority="2"/>
  </conditionalFormatting>
  <conditionalFormatting sqref="B39">
    <cfRule type="duplicateValues" dxfId="51" priority="6"/>
  </conditionalFormatting>
  <conditionalFormatting sqref="B40">
    <cfRule type="duplicateValues" dxfId="50" priority="5"/>
  </conditionalFormatting>
  <conditionalFormatting sqref="B41">
    <cfRule type="duplicateValues" dxfId="49" priority="4"/>
  </conditionalFormatting>
  <conditionalFormatting sqref="B55:B1048576 B12:B27 B4:B10 B32:B36 B42:B46 B29:B30">
    <cfRule type="duplicateValues" dxfId="48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60151-6AA0-4097-945E-934C289FDF6D}">
  <sheetPr codeName="Sheet65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495</v>
      </c>
    </row>
    <row r="4" spans="1:5" x14ac:dyDescent="0.2">
      <c r="A4" s="84" t="s">
        <v>61</v>
      </c>
      <c r="B4" s="84"/>
      <c r="C4" s="2" t="s">
        <v>203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139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50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258.6 @ -46°C' 213.3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226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ht="36" x14ac:dyDescent="0.2">
      <c r="A22" s="70" t="s">
        <v>31</v>
      </c>
      <c r="B22" s="13" t="s">
        <v>76</v>
      </c>
      <c r="C22" s="5" t="s">
        <v>94</v>
      </c>
      <c r="D22" s="70"/>
      <c r="E22" s="70"/>
    </row>
    <row r="23" spans="1:5" x14ac:dyDescent="0.2">
      <c r="A23" s="70"/>
      <c r="B23" s="13" t="s">
        <v>81</v>
      </c>
      <c r="C23" s="5" t="s">
        <v>58</v>
      </c>
      <c r="D23" s="70"/>
      <c r="E23" s="70"/>
    </row>
    <row r="24" spans="1:5" x14ac:dyDescent="0.2">
      <c r="A24" s="70"/>
      <c r="B24" s="13" t="s">
        <v>86</v>
      </c>
      <c r="C24" s="5" t="s">
        <v>122</v>
      </c>
      <c r="D24" s="70"/>
      <c r="E24" s="70"/>
    </row>
    <row r="25" spans="1:5" x14ac:dyDescent="0.2">
      <c r="A25" s="70"/>
      <c r="B25" s="13" t="s">
        <v>78</v>
      </c>
      <c r="C25" s="5" t="s">
        <v>58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58</v>
      </c>
      <c r="D27" s="70"/>
      <c r="E27" s="70"/>
    </row>
    <row r="28" spans="1:5" x14ac:dyDescent="0.2">
      <c r="A28" s="70"/>
      <c r="B28" s="4" t="s">
        <v>80</v>
      </c>
      <c r="C28" s="3" t="s">
        <v>58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147</v>
      </c>
      <c r="D32" s="70"/>
      <c r="E32" s="70"/>
    </row>
    <row r="33" spans="1:5" x14ac:dyDescent="0.2">
      <c r="A33" s="70"/>
      <c r="B33" s="13" t="s">
        <v>35</v>
      </c>
      <c r="C33" s="5" t="s">
        <v>224</v>
      </c>
      <c r="D33" s="70"/>
      <c r="E33" s="70"/>
    </row>
    <row r="34" spans="1:5" x14ac:dyDescent="0.2">
      <c r="A34" s="70"/>
      <c r="B34" s="13" t="s">
        <v>36</v>
      </c>
      <c r="C34" s="5" t="s">
        <v>224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208</v>
      </c>
      <c r="D39" s="67"/>
      <c r="E39" s="68"/>
    </row>
    <row r="40" spans="1:5" x14ac:dyDescent="0.2">
      <c r="A40" s="67" t="s">
        <v>105</v>
      </c>
      <c r="B40" s="68"/>
      <c r="C40" s="3" t="s">
        <v>209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47" priority="1"/>
  </conditionalFormatting>
  <conditionalFormatting sqref="B31">
    <cfRule type="duplicateValues" dxfId="46" priority="7"/>
  </conditionalFormatting>
  <conditionalFormatting sqref="B37">
    <cfRule type="duplicateValues" dxfId="45" priority="3"/>
  </conditionalFormatting>
  <conditionalFormatting sqref="B38">
    <cfRule type="duplicateValues" dxfId="44" priority="2"/>
  </conditionalFormatting>
  <conditionalFormatting sqref="B39">
    <cfRule type="duplicateValues" dxfId="43" priority="6"/>
  </conditionalFormatting>
  <conditionalFormatting sqref="B40">
    <cfRule type="duplicateValues" dxfId="42" priority="5"/>
  </conditionalFormatting>
  <conditionalFormatting sqref="B41">
    <cfRule type="duplicateValues" dxfId="41" priority="4"/>
  </conditionalFormatting>
  <conditionalFormatting sqref="B55:B1048576 B12:B27 B4:B10 B32:B36 B42:B46 B29:B30">
    <cfRule type="duplicateValues" dxfId="40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DFA24-A314-4A9A-B05C-B199A1809220}">
  <sheetPr codeName="Sheet66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496</v>
      </c>
    </row>
    <row r="4" spans="1:5" x14ac:dyDescent="0.2">
      <c r="A4" s="84" t="s">
        <v>61</v>
      </c>
      <c r="B4" s="84"/>
      <c r="C4" s="2" t="s">
        <v>204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140</v>
      </c>
      <c r="D5" s="70"/>
      <c r="E5" s="70"/>
    </row>
    <row r="6" spans="1:5" x14ac:dyDescent="0.2">
      <c r="A6" s="69" t="s">
        <v>14</v>
      </c>
      <c r="B6" s="69"/>
      <c r="C6" s="5" t="s">
        <v>65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51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430.9 @ -46°C' 355.4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225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ht="36" x14ac:dyDescent="0.2">
      <c r="A22" s="70" t="s">
        <v>31</v>
      </c>
      <c r="B22" s="13" t="s">
        <v>76</v>
      </c>
      <c r="C22" s="5" t="s">
        <v>94</v>
      </c>
      <c r="D22" s="70"/>
      <c r="E22" s="70"/>
    </row>
    <row r="23" spans="1:5" x14ac:dyDescent="0.2">
      <c r="A23" s="70"/>
      <c r="B23" s="13" t="s">
        <v>81</v>
      </c>
      <c r="C23" s="5" t="s">
        <v>58</v>
      </c>
      <c r="D23" s="70"/>
      <c r="E23" s="70"/>
    </row>
    <row r="24" spans="1:5" x14ac:dyDescent="0.2">
      <c r="A24" s="70"/>
      <c r="B24" s="13" t="s">
        <v>86</v>
      </c>
      <c r="C24" s="5" t="s">
        <v>122</v>
      </c>
      <c r="D24" s="70"/>
      <c r="E24" s="70"/>
    </row>
    <row r="25" spans="1:5" x14ac:dyDescent="0.2">
      <c r="A25" s="70"/>
      <c r="B25" s="13" t="s">
        <v>78</v>
      </c>
      <c r="C25" s="5" t="s">
        <v>58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58</v>
      </c>
      <c r="D27" s="70"/>
      <c r="E27" s="70"/>
    </row>
    <row r="28" spans="1:5" x14ac:dyDescent="0.2">
      <c r="A28" s="70"/>
      <c r="B28" s="4" t="s">
        <v>80</v>
      </c>
      <c r="C28" s="3" t="s">
        <v>58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147</v>
      </c>
      <c r="D32" s="70"/>
      <c r="E32" s="70"/>
    </row>
    <row r="33" spans="1:5" x14ac:dyDescent="0.2">
      <c r="A33" s="70"/>
      <c r="B33" s="13" t="s">
        <v>35</v>
      </c>
      <c r="C33" s="5" t="s">
        <v>224</v>
      </c>
      <c r="D33" s="70"/>
      <c r="E33" s="70"/>
    </row>
    <row r="34" spans="1:5" x14ac:dyDescent="0.2">
      <c r="A34" s="70"/>
      <c r="B34" s="13" t="s">
        <v>36</v>
      </c>
      <c r="C34" s="5" t="s">
        <v>224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206</v>
      </c>
      <c r="D39" s="67"/>
      <c r="E39" s="68"/>
    </row>
    <row r="40" spans="1:5" x14ac:dyDescent="0.2">
      <c r="A40" s="67" t="s">
        <v>105</v>
      </c>
      <c r="B40" s="68"/>
      <c r="C40" s="3" t="s">
        <v>207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39" priority="1"/>
  </conditionalFormatting>
  <conditionalFormatting sqref="B31">
    <cfRule type="duplicateValues" dxfId="38" priority="7"/>
  </conditionalFormatting>
  <conditionalFormatting sqref="B37">
    <cfRule type="duplicateValues" dxfId="37" priority="3"/>
  </conditionalFormatting>
  <conditionalFormatting sqref="B38">
    <cfRule type="duplicateValues" dxfId="36" priority="2"/>
  </conditionalFormatting>
  <conditionalFormatting sqref="B39">
    <cfRule type="duplicateValues" dxfId="35" priority="6"/>
  </conditionalFormatting>
  <conditionalFormatting sqref="B40">
    <cfRule type="duplicateValues" dxfId="34" priority="5"/>
  </conditionalFormatting>
  <conditionalFormatting sqref="B41">
    <cfRule type="duplicateValues" dxfId="33" priority="4"/>
  </conditionalFormatting>
  <conditionalFormatting sqref="B55:B1048576 B12:B27 B4:B10 B32:B36 B42:B46 B29:B30">
    <cfRule type="duplicateValues" dxfId="32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9B083-2ADF-47BC-A8B2-4DCF25691EF4}">
  <sheetPr codeName="Sheet67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497</v>
      </c>
    </row>
    <row r="4" spans="1:5" x14ac:dyDescent="0.2">
      <c r="A4" s="84" t="s">
        <v>61</v>
      </c>
      <c r="B4" s="84"/>
      <c r="C4" s="2" t="s">
        <v>205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140</v>
      </c>
      <c r="D5" s="70"/>
      <c r="E5" s="70"/>
    </row>
    <row r="6" spans="1:5" x14ac:dyDescent="0.2">
      <c r="A6" s="69" t="s">
        <v>14</v>
      </c>
      <c r="B6" s="69"/>
      <c r="C6" s="5" t="s">
        <v>57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Corrosive HC service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 t="s">
        <v>51</v>
      </c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430.9 @ -46°C' 355.4 @ 200°C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ht="24" x14ac:dyDescent="0.2">
      <c r="A13" s="69" t="s">
        <v>20</v>
      </c>
      <c r="B13" s="69"/>
      <c r="C13" s="5" t="s">
        <v>83</v>
      </c>
      <c r="D13" s="70"/>
      <c r="E13" s="70"/>
    </row>
    <row r="14" spans="1:5" ht="36" x14ac:dyDescent="0.2">
      <c r="A14" s="69" t="s">
        <v>22</v>
      </c>
      <c r="B14" s="69"/>
      <c r="C14" s="5" t="s">
        <v>226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112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64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ht="24" x14ac:dyDescent="0.2">
      <c r="A21" s="69" t="s">
        <v>30</v>
      </c>
      <c r="B21" s="69"/>
      <c r="C21" s="5" t="s">
        <v>118</v>
      </c>
      <c r="D21" s="70"/>
      <c r="E21" s="70"/>
    </row>
    <row r="22" spans="1:5" ht="36" x14ac:dyDescent="0.2">
      <c r="A22" s="70" t="s">
        <v>31</v>
      </c>
      <c r="B22" s="13" t="s">
        <v>76</v>
      </c>
      <c r="C22" s="5" t="s">
        <v>94</v>
      </c>
      <c r="D22" s="70"/>
      <c r="E22" s="70"/>
    </row>
    <row r="23" spans="1:5" x14ac:dyDescent="0.2">
      <c r="A23" s="70"/>
      <c r="B23" s="13" t="s">
        <v>81</v>
      </c>
      <c r="C23" s="5" t="s">
        <v>58</v>
      </c>
      <c r="D23" s="70"/>
      <c r="E23" s="70"/>
    </row>
    <row r="24" spans="1:5" x14ac:dyDescent="0.2">
      <c r="A24" s="70"/>
      <c r="B24" s="13" t="s">
        <v>86</v>
      </c>
      <c r="C24" s="5" t="s">
        <v>122</v>
      </c>
      <c r="D24" s="70"/>
      <c r="E24" s="70"/>
    </row>
    <row r="25" spans="1:5" x14ac:dyDescent="0.2">
      <c r="A25" s="70"/>
      <c r="B25" s="13" t="s">
        <v>78</v>
      </c>
      <c r="C25" s="5" t="s">
        <v>58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58</v>
      </c>
      <c r="D27" s="70"/>
      <c r="E27" s="70"/>
    </row>
    <row r="28" spans="1:5" x14ac:dyDescent="0.2">
      <c r="A28" s="70"/>
      <c r="B28" s="4" t="s">
        <v>80</v>
      </c>
      <c r="C28" s="3" t="s">
        <v>58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147</v>
      </c>
      <c r="D32" s="70"/>
      <c r="E32" s="70"/>
    </row>
    <row r="33" spans="1:5" x14ac:dyDescent="0.2">
      <c r="A33" s="70"/>
      <c r="B33" s="13" t="s">
        <v>35</v>
      </c>
      <c r="C33" s="5" t="s">
        <v>224</v>
      </c>
      <c r="D33" s="70"/>
      <c r="E33" s="70"/>
    </row>
    <row r="34" spans="1:5" x14ac:dyDescent="0.2">
      <c r="A34" s="70"/>
      <c r="B34" s="13" t="s">
        <v>36</v>
      </c>
      <c r="C34" s="5" t="s">
        <v>224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206</v>
      </c>
      <c r="D39" s="67"/>
      <c r="E39" s="68"/>
    </row>
    <row r="40" spans="1:5" x14ac:dyDescent="0.2">
      <c r="A40" s="67" t="s">
        <v>105</v>
      </c>
      <c r="B40" s="68"/>
      <c r="C40" s="3" t="s">
        <v>207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92</v>
      </c>
      <c r="B54" s="58"/>
      <c r="C54" s="58"/>
      <c r="D54" s="58"/>
      <c r="E54" s="59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31" priority="1"/>
  </conditionalFormatting>
  <conditionalFormatting sqref="B31">
    <cfRule type="duplicateValues" dxfId="30" priority="7"/>
  </conditionalFormatting>
  <conditionalFormatting sqref="B37">
    <cfRule type="duplicateValues" dxfId="29" priority="3"/>
  </conditionalFormatting>
  <conditionalFormatting sqref="B38">
    <cfRule type="duplicateValues" dxfId="28" priority="2"/>
  </conditionalFormatting>
  <conditionalFormatting sqref="B39">
    <cfRule type="duplicateValues" dxfId="27" priority="6"/>
  </conditionalFormatting>
  <conditionalFormatting sqref="B40">
    <cfRule type="duplicateValues" dxfId="26" priority="5"/>
  </conditionalFormatting>
  <conditionalFormatting sqref="B41">
    <cfRule type="duplicateValues" dxfId="25" priority="4"/>
  </conditionalFormatting>
  <conditionalFormatting sqref="B55:B1048576 B12:B27 B4:B10 B32:B36 B42:B46 B29:B30">
    <cfRule type="duplicateValues" dxfId="24" priority="8"/>
  </conditionalFormatting>
  <pageMargins left="0.7" right="0.7" top="0.75" bottom="0.75" header="0.3" footer="0.3"/>
  <pageSetup paperSize="9" scale="86" orientation="portrait" horizontalDpi="4294967295" verticalDpi="4294967295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E11EC-743D-465F-8FB1-7F96258934C4}">
  <sheetPr codeName="Sheet68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498</v>
      </c>
    </row>
    <row r="4" spans="1:5" x14ac:dyDescent="0.2">
      <c r="A4" s="84" t="s">
        <v>61</v>
      </c>
      <c r="B4" s="84"/>
      <c r="C4" s="2" t="s">
        <v>380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385</v>
      </c>
      <c r="D5" s="70"/>
      <c r="E5" s="70"/>
    </row>
    <row r="6" spans="1:5" x14ac:dyDescent="0.2">
      <c r="A6" s="69" t="s">
        <v>14</v>
      </c>
      <c r="B6" s="69"/>
      <c r="C6" s="5" t="s">
        <v>384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Chemical Injection (Except Hypochlorite)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/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125 @ 0°C' 116 @ 60°C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x14ac:dyDescent="0.2">
      <c r="A13" s="69" t="s">
        <v>20</v>
      </c>
      <c r="B13" s="69"/>
      <c r="C13" s="5" t="s">
        <v>21</v>
      </c>
      <c r="D13" s="70"/>
      <c r="E13" s="70"/>
    </row>
    <row r="14" spans="1:5" ht="24" x14ac:dyDescent="0.2">
      <c r="A14" s="69" t="s">
        <v>22</v>
      </c>
      <c r="B14" s="69"/>
      <c r="C14" s="5" t="s">
        <v>379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381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1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145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216</v>
      </c>
      <c r="D39" s="67"/>
      <c r="E39" s="68"/>
    </row>
    <row r="40" spans="1:5" x14ac:dyDescent="0.2">
      <c r="A40" s="67" t="s">
        <v>105</v>
      </c>
      <c r="B40" s="68"/>
      <c r="C40" s="3" t="s">
        <v>217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93</v>
      </c>
      <c r="B54" s="58"/>
      <c r="C54" s="58"/>
      <c r="D54" s="58"/>
      <c r="E54" s="59"/>
    </row>
  </sheetData>
  <mergeCells count="73">
    <mergeCell ref="A54:E54"/>
    <mergeCell ref="A44:B44"/>
    <mergeCell ref="A47:E48"/>
    <mergeCell ref="A49:E49"/>
    <mergeCell ref="A50:E51"/>
    <mergeCell ref="A52:E52"/>
    <mergeCell ref="A53:E53"/>
    <mergeCell ref="A41:B41"/>
    <mergeCell ref="D41:E41"/>
    <mergeCell ref="A42:B42"/>
    <mergeCell ref="D42:E42"/>
    <mergeCell ref="A43:B43"/>
    <mergeCell ref="D43:E43"/>
    <mergeCell ref="A38:B38"/>
    <mergeCell ref="D38:E38"/>
    <mergeCell ref="A39:B39"/>
    <mergeCell ref="D39:E39"/>
    <mergeCell ref="A40:B40"/>
    <mergeCell ref="D40:E40"/>
    <mergeCell ref="A35:B35"/>
    <mergeCell ref="D35:E35"/>
    <mergeCell ref="A36:B36"/>
    <mergeCell ref="D36:E36"/>
    <mergeCell ref="A37:B37"/>
    <mergeCell ref="D37:E37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8">
    <cfRule type="duplicateValues" dxfId="23" priority="1"/>
  </conditionalFormatting>
  <conditionalFormatting sqref="B31">
    <cfRule type="duplicateValues" dxfId="22" priority="7"/>
  </conditionalFormatting>
  <conditionalFormatting sqref="B37">
    <cfRule type="duplicateValues" dxfId="21" priority="3"/>
  </conditionalFormatting>
  <conditionalFormatting sqref="B38">
    <cfRule type="duplicateValues" dxfId="20" priority="2"/>
  </conditionalFormatting>
  <conditionalFormatting sqref="B39">
    <cfRule type="duplicateValues" dxfId="19" priority="6"/>
  </conditionalFormatting>
  <conditionalFormatting sqref="B40">
    <cfRule type="duplicateValues" dxfId="18" priority="5"/>
  </conditionalFormatting>
  <conditionalFormatting sqref="B41">
    <cfRule type="duplicateValues" dxfId="17" priority="4"/>
  </conditionalFormatting>
  <conditionalFormatting sqref="B55:B1048576 B12:B27 B4:B10 B32:B36 B42:B46 B29:B30">
    <cfRule type="duplicateValues" dxfId="16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759F8-0112-4309-9170-279FBC7B7017}">
  <sheetPr codeName="Sheet69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499</v>
      </c>
    </row>
    <row r="4" spans="1:5" x14ac:dyDescent="0.2">
      <c r="A4" s="84" t="s">
        <v>61</v>
      </c>
      <c r="B4" s="84"/>
      <c r="C4" s="2" t="s">
        <v>382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398</v>
      </c>
      <c r="D5" s="70"/>
      <c r="E5" s="70"/>
    </row>
    <row r="6" spans="1:5" x14ac:dyDescent="0.2">
      <c r="A6" s="69" t="s">
        <v>14</v>
      </c>
      <c r="B6" s="69"/>
      <c r="C6" s="5" t="s">
        <v>384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Chemical Injection (Except Hypochlorite)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/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206 @ 0°C' 200 @ 60°C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x14ac:dyDescent="0.2">
      <c r="A13" s="69" t="s">
        <v>20</v>
      </c>
      <c r="B13" s="69"/>
      <c r="C13" s="5" t="s">
        <v>21</v>
      </c>
      <c r="D13" s="70"/>
      <c r="E13" s="70"/>
    </row>
    <row r="14" spans="1:5" ht="24" x14ac:dyDescent="0.2">
      <c r="A14" s="69" t="s">
        <v>22</v>
      </c>
      <c r="B14" s="69"/>
      <c r="C14" s="5" t="s">
        <v>379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381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1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145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214</v>
      </c>
      <c r="D39" s="67"/>
      <c r="E39" s="68"/>
    </row>
    <row r="40" spans="1:5" x14ac:dyDescent="0.2">
      <c r="A40" s="67" t="s">
        <v>105</v>
      </c>
      <c r="B40" s="68"/>
      <c r="C40" s="3" t="s">
        <v>215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93</v>
      </c>
      <c r="B54" s="58"/>
      <c r="C54" s="58"/>
      <c r="D54" s="58"/>
      <c r="E54" s="59"/>
    </row>
  </sheetData>
  <mergeCells count="73">
    <mergeCell ref="A54:E54"/>
    <mergeCell ref="A44:B44"/>
    <mergeCell ref="A47:E48"/>
    <mergeCell ref="A49:E49"/>
    <mergeCell ref="A50:E51"/>
    <mergeCell ref="A52:E52"/>
    <mergeCell ref="A53:E53"/>
    <mergeCell ref="A41:B41"/>
    <mergeCell ref="D41:E41"/>
    <mergeCell ref="A42:B42"/>
    <mergeCell ref="D42:E42"/>
    <mergeCell ref="A43:B43"/>
    <mergeCell ref="D43:E43"/>
    <mergeCell ref="A38:B38"/>
    <mergeCell ref="D38:E38"/>
    <mergeCell ref="A39:B39"/>
    <mergeCell ref="D39:E39"/>
    <mergeCell ref="A40:B40"/>
    <mergeCell ref="D40:E40"/>
    <mergeCell ref="A35:B35"/>
    <mergeCell ref="D35:E35"/>
    <mergeCell ref="A36:B36"/>
    <mergeCell ref="D36:E36"/>
    <mergeCell ref="A37:B37"/>
    <mergeCell ref="D37:E37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8">
    <cfRule type="duplicateValues" dxfId="15" priority="1"/>
  </conditionalFormatting>
  <conditionalFormatting sqref="B31">
    <cfRule type="duplicateValues" dxfId="14" priority="7"/>
  </conditionalFormatting>
  <conditionalFormatting sqref="B37">
    <cfRule type="duplicateValues" dxfId="13" priority="3"/>
  </conditionalFormatting>
  <conditionalFormatting sqref="B38">
    <cfRule type="duplicateValues" dxfId="12" priority="2"/>
  </conditionalFormatting>
  <conditionalFormatting sqref="B39">
    <cfRule type="duplicateValues" dxfId="11" priority="6"/>
  </conditionalFormatting>
  <conditionalFormatting sqref="B40">
    <cfRule type="duplicateValues" dxfId="10" priority="5"/>
  </conditionalFormatting>
  <conditionalFormatting sqref="B41">
    <cfRule type="duplicateValues" dxfId="9" priority="4"/>
  </conditionalFormatting>
  <conditionalFormatting sqref="B55:B1048576 B12:B27 B4:B10 B32:B36 B42:B46 B29:B30">
    <cfRule type="duplicateValues" dxfId="8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C46DF-9B75-4575-A719-F9628D2C7FC7}">
  <sheetPr codeName="Sheet70">
    <tabColor theme="5" tint="0.39997558519241921"/>
    <pageSetUpPr fitToPage="1"/>
  </sheetPr>
  <dimension ref="A1:E54"/>
  <sheetViews>
    <sheetView zoomScaleNormal="100" workbookViewId="0">
      <selection sqref="A1:B3"/>
    </sheetView>
  </sheetViews>
  <sheetFormatPr defaultColWidth="8.85546875" defaultRowHeight="12" x14ac:dyDescent="0.2"/>
  <cols>
    <col min="1" max="1" width="12.5703125" style="1" customWidth="1"/>
    <col min="2" max="2" width="13.5703125" style="1" bestFit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5" t="e" vm="1">
        <v>#VALUE!</v>
      </c>
      <c r="B1" s="76"/>
      <c r="C1" s="81" t="s">
        <v>98</v>
      </c>
      <c r="D1" s="14" t="s">
        <v>96</v>
      </c>
      <c r="E1" s="14" t="s">
        <v>406</v>
      </c>
    </row>
    <row r="2" spans="1:5" s="15" customFormat="1" ht="30" customHeight="1" x14ac:dyDescent="0.25">
      <c r="A2" s="77"/>
      <c r="B2" s="78"/>
      <c r="C2" s="82"/>
      <c r="D2" s="16" t="s">
        <v>95</v>
      </c>
      <c r="E2" s="17" t="str">
        <f>VLOOKUP(C4,Index!B:J,9,FALSE)</f>
        <v>C0</v>
      </c>
    </row>
    <row r="3" spans="1:5" s="15" customFormat="1" ht="30" customHeight="1" x14ac:dyDescent="0.25">
      <c r="A3" s="79"/>
      <c r="B3" s="80"/>
      <c r="C3" s="83"/>
      <c r="D3" s="16" t="s">
        <v>97</v>
      </c>
      <c r="E3" s="18">
        <f>VLOOKUP(C4,Index!B:I,8,FALSE)</f>
        <v>500</v>
      </c>
    </row>
    <row r="4" spans="1:5" x14ac:dyDescent="0.2">
      <c r="A4" s="84" t="s">
        <v>61</v>
      </c>
      <c r="B4" s="84"/>
      <c r="C4" s="2" t="s">
        <v>383</v>
      </c>
      <c r="D4" s="84" t="s">
        <v>46</v>
      </c>
      <c r="E4" s="84"/>
    </row>
    <row r="5" spans="1:5" x14ac:dyDescent="0.2">
      <c r="A5" s="69" t="s">
        <v>13</v>
      </c>
      <c r="B5" s="69"/>
      <c r="C5" s="5" t="s">
        <v>399</v>
      </c>
      <c r="D5" s="70"/>
      <c r="E5" s="70"/>
    </row>
    <row r="6" spans="1:5" x14ac:dyDescent="0.2">
      <c r="A6" s="69" t="s">
        <v>14</v>
      </c>
      <c r="B6" s="69"/>
      <c r="C6" s="5" t="s">
        <v>384</v>
      </c>
      <c r="D6" s="70"/>
      <c r="E6" s="70"/>
    </row>
    <row r="7" spans="1:5" ht="24" x14ac:dyDescent="0.2">
      <c r="A7" s="69" t="s">
        <v>15</v>
      </c>
      <c r="B7" s="69"/>
      <c r="C7" s="5" t="s">
        <v>114</v>
      </c>
      <c r="D7" s="70"/>
      <c r="E7" s="70"/>
    </row>
    <row r="8" spans="1:5" x14ac:dyDescent="0.2">
      <c r="A8" s="69" t="s">
        <v>16</v>
      </c>
      <c r="B8" s="69"/>
      <c r="C8" s="5" t="str">
        <f>VLOOKUP(C5,Index!N:W,6,FALSE)</f>
        <v>Chemical Injection (Except Hypochlorite)</v>
      </c>
      <c r="D8" s="70"/>
      <c r="E8" s="70"/>
    </row>
    <row r="9" spans="1:5" x14ac:dyDescent="0.2">
      <c r="A9" s="69" t="s">
        <v>17</v>
      </c>
      <c r="B9" s="69"/>
      <c r="C9" s="5" t="s">
        <v>66</v>
      </c>
      <c r="D9" s="70"/>
      <c r="E9" s="70"/>
    </row>
    <row r="10" spans="1:5" x14ac:dyDescent="0.2">
      <c r="A10" s="69" t="s">
        <v>18</v>
      </c>
      <c r="B10" s="69"/>
      <c r="C10" s="5"/>
      <c r="D10" s="70"/>
      <c r="E10" s="70"/>
    </row>
    <row r="11" spans="1:5" ht="11.45" customHeight="1" x14ac:dyDescent="0.2">
      <c r="A11" s="71" t="s">
        <v>103</v>
      </c>
      <c r="B11" s="72"/>
      <c r="C11" s="12" t="str">
        <f>VLOOKUP(C5,Index!N:W,10,FALSE)</f>
        <v>325 @ 0°C' 325 @ 60°C</v>
      </c>
      <c r="D11" s="73"/>
      <c r="E11" s="74"/>
    </row>
    <row r="12" spans="1:5" x14ac:dyDescent="0.2">
      <c r="A12" s="69" t="s">
        <v>19</v>
      </c>
      <c r="B12" s="69"/>
      <c r="C12" s="5" t="str">
        <f>VLOOKUP(C5,Index!N:W,5,FALSE)</f>
        <v>NIL</v>
      </c>
      <c r="D12" s="70"/>
      <c r="E12" s="70"/>
    </row>
    <row r="13" spans="1:5" x14ac:dyDescent="0.2">
      <c r="A13" s="69" t="s">
        <v>20</v>
      </c>
      <c r="B13" s="69"/>
      <c r="C13" s="5" t="s">
        <v>21</v>
      </c>
      <c r="D13" s="70"/>
      <c r="E13" s="70"/>
    </row>
    <row r="14" spans="1:5" ht="24" x14ac:dyDescent="0.2">
      <c r="A14" s="69" t="s">
        <v>22</v>
      </c>
      <c r="B14" s="69"/>
      <c r="C14" s="5" t="s">
        <v>379</v>
      </c>
      <c r="D14" s="70"/>
      <c r="E14" s="70"/>
    </row>
    <row r="15" spans="1:5" x14ac:dyDescent="0.2">
      <c r="A15" s="69" t="s">
        <v>23</v>
      </c>
      <c r="B15" s="69"/>
      <c r="C15" s="5" t="s">
        <v>52</v>
      </c>
      <c r="D15" s="70"/>
      <c r="E15" s="70"/>
    </row>
    <row r="16" spans="1:5" x14ac:dyDescent="0.2">
      <c r="A16" s="70" t="s">
        <v>24</v>
      </c>
      <c r="B16" s="13" t="s">
        <v>25</v>
      </c>
      <c r="C16" s="5" t="s">
        <v>72</v>
      </c>
      <c r="D16" s="70"/>
      <c r="E16" s="70"/>
    </row>
    <row r="17" spans="1:5" x14ac:dyDescent="0.2">
      <c r="A17" s="70"/>
      <c r="B17" s="13" t="s">
        <v>26</v>
      </c>
      <c r="C17" s="5" t="s">
        <v>27</v>
      </c>
      <c r="D17" s="70"/>
      <c r="E17" s="70"/>
    </row>
    <row r="18" spans="1:5" x14ac:dyDescent="0.2">
      <c r="A18" s="70"/>
      <c r="B18" s="13" t="s">
        <v>28</v>
      </c>
      <c r="C18" s="5" t="s">
        <v>381</v>
      </c>
      <c r="D18" s="70"/>
      <c r="E18" s="70"/>
    </row>
    <row r="19" spans="1:5" ht="24" x14ac:dyDescent="0.2">
      <c r="A19" s="70"/>
      <c r="B19" s="13" t="s">
        <v>53</v>
      </c>
      <c r="C19" s="5" t="s">
        <v>70</v>
      </c>
      <c r="D19" s="70"/>
      <c r="E19" s="70"/>
    </row>
    <row r="20" spans="1:5" ht="24" x14ac:dyDescent="0.2">
      <c r="A20" s="70"/>
      <c r="B20" s="13" t="s">
        <v>29</v>
      </c>
      <c r="C20" s="5" t="s">
        <v>71</v>
      </c>
      <c r="D20" s="70"/>
      <c r="E20" s="70"/>
    </row>
    <row r="21" spans="1:5" x14ac:dyDescent="0.2">
      <c r="A21" s="69" t="s">
        <v>30</v>
      </c>
      <c r="B21" s="69"/>
      <c r="C21" s="5" t="s">
        <v>117</v>
      </c>
      <c r="D21" s="70"/>
      <c r="E21" s="70"/>
    </row>
    <row r="22" spans="1:5" x14ac:dyDescent="0.2">
      <c r="A22" s="70" t="s">
        <v>31</v>
      </c>
      <c r="B22" s="13" t="s">
        <v>76</v>
      </c>
      <c r="C22" s="5" t="s">
        <v>1</v>
      </c>
      <c r="D22" s="70"/>
      <c r="E22" s="70"/>
    </row>
    <row r="23" spans="1:5" x14ac:dyDescent="0.2">
      <c r="A23" s="70"/>
      <c r="B23" s="13" t="s">
        <v>81</v>
      </c>
      <c r="C23" s="5" t="s">
        <v>89</v>
      </c>
      <c r="D23" s="70"/>
      <c r="E23" s="70"/>
    </row>
    <row r="24" spans="1:5" x14ac:dyDescent="0.2">
      <c r="A24" s="70"/>
      <c r="B24" s="13" t="s">
        <v>86</v>
      </c>
      <c r="C24" s="5" t="s">
        <v>120</v>
      </c>
      <c r="D24" s="70"/>
      <c r="E24" s="70"/>
    </row>
    <row r="25" spans="1:5" x14ac:dyDescent="0.2">
      <c r="A25" s="70"/>
      <c r="B25" s="13" t="s">
        <v>78</v>
      </c>
      <c r="C25" s="5" t="s">
        <v>90</v>
      </c>
      <c r="D25" s="70"/>
      <c r="E25" s="70"/>
    </row>
    <row r="26" spans="1:5" x14ac:dyDescent="0.2">
      <c r="A26" s="70"/>
      <c r="B26" s="13" t="s">
        <v>79</v>
      </c>
      <c r="C26" s="5" t="s">
        <v>47</v>
      </c>
      <c r="D26" s="70"/>
      <c r="E26" s="70"/>
    </row>
    <row r="27" spans="1:5" x14ac:dyDescent="0.2">
      <c r="A27" s="70"/>
      <c r="B27" s="13" t="s">
        <v>77</v>
      </c>
      <c r="C27" s="5" t="s">
        <v>90</v>
      </c>
      <c r="D27" s="70"/>
      <c r="E27" s="70"/>
    </row>
    <row r="28" spans="1:5" x14ac:dyDescent="0.2">
      <c r="A28" s="70"/>
      <c r="B28" s="4" t="s">
        <v>80</v>
      </c>
      <c r="C28" s="3" t="s">
        <v>90</v>
      </c>
      <c r="D28" s="70"/>
      <c r="E28" s="70"/>
    </row>
    <row r="29" spans="1:5" ht="36" x14ac:dyDescent="0.2">
      <c r="A29" s="70"/>
      <c r="B29" s="13" t="s">
        <v>32</v>
      </c>
      <c r="C29" s="5" t="s">
        <v>111</v>
      </c>
      <c r="D29" s="70"/>
      <c r="E29" s="70"/>
    </row>
    <row r="30" spans="1:5" x14ac:dyDescent="0.2">
      <c r="A30" s="70"/>
      <c r="B30" s="6" t="s">
        <v>55</v>
      </c>
      <c r="C30" s="5" t="s">
        <v>33</v>
      </c>
      <c r="D30" s="70"/>
      <c r="E30" s="70"/>
    </row>
    <row r="31" spans="1:5" ht="24" x14ac:dyDescent="0.2">
      <c r="A31" s="70"/>
      <c r="B31" s="6" t="s">
        <v>84</v>
      </c>
      <c r="C31" s="5" t="s">
        <v>85</v>
      </c>
      <c r="D31" s="70"/>
      <c r="E31" s="70"/>
    </row>
    <row r="32" spans="1:5" ht="24" x14ac:dyDescent="0.2">
      <c r="A32" s="70"/>
      <c r="B32" s="13" t="s">
        <v>34</v>
      </c>
      <c r="C32" s="5" t="s">
        <v>145</v>
      </c>
      <c r="D32" s="70"/>
      <c r="E32" s="70"/>
    </row>
    <row r="33" spans="1:5" ht="36" x14ac:dyDescent="0.2">
      <c r="A33" s="70"/>
      <c r="B33" s="13" t="s">
        <v>35</v>
      </c>
      <c r="C33" s="5" t="s">
        <v>149</v>
      </c>
      <c r="D33" s="70"/>
      <c r="E33" s="70"/>
    </row>
    <row r="34" spans="1:5" ht="36" x14ac:dyDescent="0.2">
      <c r="A34" s="70"/>
      <c r="B34" s="13" t="s">
        <v>36</v>
      </c>
      <c r="C34" s="5" t="s">
        <v>143</v>
      </c>
      <c r="D34" s="70"/>
      <c r="E34" s="70"/>
    </row>
    <row r="35" spans="1:5" ht="36" x14ac:dyDescent="0.2">
      <c r="A35" s="69" t="s">
        <v>37</v>
      </c>
      <c r="B35" s="69"/>
      <c r="C35" s="5" t="s">
        <v>38</v>
      </c>
      <c r="D35" s="70"/>
      <c r="E35" s="70"/>
    </row>
    <row r="36" spans="1:5" x14ac:dyDescent="0.2">
      <c r="A36" s="69" t="s">
        <v>39</v>
      </c>
      <c r="B36" s="69"/>
      <c r="C36" s="5" t="s">
        <v>40</v>
      </c>
      <c r="D36" s="70"/>
      <c r="E36" s="70"/>
    </row>
    <row r="37" spans="1:5" x14ac:dyDescent="0.2">
      <c r="A37" s="70" t="s">
        <v>109</v>
      </c>
      <c r="B37" s="70"/>
      <c r="C37" s="3" t="s">
        <v>41</v>
      </c>
      <c r="D37" s="70"/>
      <c r="E37" s="70"/>
    </row>
    <row r="38" spans="1:5" x14ac:dyDescent="0.2">
      <c r="A38" s="70" t="s">
        <v>108</v>
      </c>
      <c r="B38" s="70"/>
      <c r="C38" s="3" t="s">
        <v>107</v>
      </c>
      <c r="D38" s="70"/>
      <c r="E38" s="70"/>
    </row>
    <row r="39" spans="1:5" x14ac:dyDescent="0.2">
      <c r="A39" s="67" t="s">
        <v>104</v>
      </c>
      <c r="B39" s="68"/>
      <c r="C39" s="3" t="s">
        <v>212</v>
      </c>
      <c r="D39" s="67"/>
      <c r="E39" s="68"/>
    </row>
    <row r="40" spans="1:5" x14ac:dyDescent="0.2">
      <c r="A40" s="67" t="s">
        <v>105</v>
      </c>
      <c r="B40" s="68"/>
      <c r="C40" s="3" t="s">
        <v>213</v>
      </c>
      <c r="D40" s="67"/>
      <c r="E40" s="68"/>
    </row>
    <row r="41" spans="1:5" x14ac:dyDescent="0.2">
      <c r="A41" s="67" t="s">
        <v>106</v>
      </c>
      <c r="B41" s="68"/>
      <c r="C41" s="3" t="s">
        <v>150</v>
      </c>
      <c r="D41" s="67"/>
      <c r="E41" s="68"/>
    </row>
    <row r="42" spans="1:5" ht="24" x14ac:dyDescent="0.2">
      <c r="A42" s="69" t="s">
        <v>42</v>
      </c>
      <c r="B42" s="69"/>
      <c r="C42" s="5" t="s">
        <v>43</v>
      </c>
      <c r="D42" s="70"/>
      <c r="E42" s="70"/>
    </row>
    <row r="43" spans="1:5" ht="24" x14ac:dyDescent="0.2">
      <c r="A43" s="69" t="s">
        <v>44</v>
      </c>
      <c r="B43" s="69"/>
      <c r="C43" s="5" t="s">
        <v>113</v>
      </c>
      <c r="D43" s="70"/>
      <c r="E43" s="70"/>
    </row>
    <row r="44" spans="1:5" ht="24" x14ac:dyDescent="0.2">
      <c r="A44" s="60" t="s">
        <v>45</v>
      </c>
      <c r="B44" s="60"/>
      <c r="C44" s="12" t="s">
        <v>407</v>
      </c>
      <c r="D44" s="8"/>
      <c r="E44" s="9"/>
    </row>
    <row r="45" spans="1:5" x14ac:dyDescent="0.2">
      <c r="A45" s="7"/>
      <c r="B45" s="8"/>
      <c r="C45" s="8"/>
      <c r="D45" s="8"/>
      <c r="E45" s="9"/>
    </row>
    <row r="46" spans="1:5" x14ac:dyDescent="0.2">
      <c r="A46" s="10" t="s">
        <v>48</v>
      </c>
      <c r="E46" s="11"/>
    </row>
    <row r="47" spans="1:5" x14ac:dyDescent="0.2">
      <c r="A47" s="61" t="s">
        <v>54</v>
      </c>
      <c r="B47" s="62"/>
      <c r="C47" s="62"/>
      <c r="D47" s="62"/>
      <c r="E47" s="63"/>
    </row>
    <row r="48" spans="1:5" x14ac:dyDescent="0.2">
      <c r="A48" s="61"/>
      <c r="B48" s="62"/>
      <c r="C48" s="62"/>
      <c r="D48" s="62"/>
      <c r="E48" s="63"/>
    </row>
    <row r="49" spans="1:5" x14ac:dyDescent="0.2">
      <c r="A49" s="61" t="s">
        <v>408</v>
      </c>
      <c r="B49" s="62"/>
      <c r="C49" s="62"/>
      <c r="D49" s="62"/>
      <c r="E49" s="63"/>
    </row>
    <row r="50" spans="1:5" x14ac:dyDescent="0.2">
      <c r="A50" s="61" t="s">
        <v>82</v>
      </c>
      <c r="B50" s="62"/>
      <c r="C50" s="62"/>
      <c r="D50" s="62"/>
      <c r="E50" s="63"/>
    </row>
    <row r="51" spans="1:5" x14ac:dyDescent="0.2">
      <c r="A51" s="61"/>
      <c r="B51" s="62"/>
      <c r="C51" s="62"/>
      <c r="D51" s="62"/>
      <c r="E51" s="63"/>
    </row>
    <row r="52" spans="1:5" x14ac:dyDescent="0.2">
      <c r="A52" s="64" t="s">
        <v>115</v>
      </c>
      <c r="B52" s="65"/>
      <c r="C52" s="65"/>
      <c r="D52" s="65"/>
      <c r="E52" s="66"/>
    </row>
    <row r="53" spans="1:5" x14ac:dyDescent="0.2">
      <c r="A53" s="61" t="s">
        <v>116</v>
      </c>
      <c r="B53" s="62"/>
      <c r="C53" s="62"/>
      <c r="D53" s="62"/>
      <c r="E53" s="63"/>
    </row>
    <row r="54" spans="1:5" x14ac:dyDescent="0.2">
      <c r="A54" s="57" t="s">
        <v>93</v>
      </c>
      <c r="B54" s="58"/>
      <c r="C54" s="58"/>
      <c r="D54" s="58"/>
      <c r="E54" s="59"/>
    </row>
  </sheetData>
  <mergeCells count="73">
    <mergeCell ref="A54:E54"/>
    <mergeCell ref="A44:B44"/>
    <mergeCell ref="A47:E48"/>
    <mergeCell ref="A49:E49"/>
    <mergeCell ref="A50:E51"/>
    <mergeCell ref="A52:E52"/>
    <mergeCell ref="A53:E53"/>
    <mergeCell ref="A41:B41"/>
    <mergeCell ref="D41:E41"/>
    <mergeCell ref="A42:B42"/>
    <mergeCell ref="D42:E42"/>
    <mergeCell ref="A43:B43"/>
    <mergeCell ref="D43:E43"/>
    <mergeCell ref="A38:B38"/>
    <mergeCell ref="D38:E38"/>
    <mergeCell ref="A39:B39"/>
    <mergeCell ref="D39:E39"/>
    <mergeCell ref="A40:B40"/>
    <mergeCell ref="D40:E40"/>
    <mergeCell ref="A35:B35"/>
    <mergeCell ref="D35:E35"/>
    <mergeCell ref="A36:B36"/>
    <mergeCell ref="D36:E36"/>
    <mergeCell ref="A37:B37"/>
    <mergeCell ref="D37:E37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8">
    <cfRule type="duplicateValues" dxfId="7" priority="1"/>
  </conditionalFormatting>
  <conditionalFormatting sqref="B31">
    <cfRule type="duplicateValues" dxfId="6" priority="7"/>
  </conditionalFormatting>
  <conditionalFormatting sqref="B37">
    <cfRule type="duplicateValues" dxfId="5" priority="3"/>
  </conditionalFormatting>
  <conditionalFormatting sqref="B38">
    <cfRule type="duplicateValues" dxfId="4" priority="2"/>
  </conditionalFormatting>
  <conditionalFormatting sqref="B39">
    <cfRule type="duplicateValues" dxfId="3" priority="6"/>
  </conditionalFormatting>
  <conditionalFormatting sqref="B40">
    <cfRule type="duplicateValues" dxfId="2" priority="5"/>
  </conditionalFormatting>
  <conditionalFormatting sqref="B41">
    <cfRule type="duplicateValues" dxfId="1" priority="4"/>
  </conditionalFormatting>
  <conditionalFormatting sqref="B55:B1048576 B12:B27 B4:B10 B32:B36 B42:B46 B29:B30">
    <cfRule type="duplicateValues" dxfId="0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</vt:i4>
      </vt:variant>
      <vt:variant>
        <vt:lpstr>Named Ranges</vt:lpstr>
      </vt:variant>
      <vt:variant>
        <vt:i4>2</vt:i4>
      </vt:variant>
    </vt:vector>
  </HeadingPairs>
  <TitlesOfParts>
    <vt:vector size="63" baseType="lpstr">
      <vt:lpstr>Index</vt:lpstr>
      <vt:lpstr>DSRE1JT</vt:lpstr>
      <vt:lpstr>DSRE1J</vt:lpstr>
      <vt:lpstr>DSRF1JT</vt:lpstr>
      <vt:lpstr>DSRF1J</vt:lpstr>
      <vt:lpstr>DSRG1JT</vt:lpstr>
      <vt:lpstr>DSRG1J</vt:lpstr>
      <vt:lpstr>DSRE1NJT</vt:lpstr>
      <vt:lpstr>DSRE1NJ</vt:lpstr>
      <vt:lpstr>DSRF1NJT</vt:lpstr>
      <vt:lpstr>DSRF1NJ</vt:lpstr>
      <vt:lpstr>DSRG1NJT</vt:lpstr>
      <vt:lpstr>DSRG1NJ</vt:lpstr>
      <vt:lpstr>DSRMG1NJ</vt:lpstr>
      <vt:lpstr>DSRE2NJT</vt:lpstr>
      <vt:lpstr>DSRE2NJ</vt:lpstr>
      <vt:lpstr>DSRF2NJT</vt:lpstr>
      <vt:lpstr>DSRF2NJ</vt:lpstr>
      <vt:lpstr>DSRG2NJT</vt:lpstr>
      <vt:lpstr>DSRG2NJ</vt:lpstr>
      <vt:lpstr>DSRE1LNJT</vt:lpstr>
      <vt:lpstr>DSRE1LNJ</vt:lpstr>
      <vt:lpstr>DSRF1LNJT</vt:lpstr>
      <vt:lpstr>DSRF1LNJ</vt:lpstr>
      <vt:lpstr>DSRG1LNJT</vt:lpstr>
      <vt:lpstr>DSRG1LNJ</vt:lpstr>
      <vt:lpstr>DSRMG1LNJ</vt:lpstr>
      <vt:lpstr>DSRE2LNJT</vt:lpstr>
      <vt:lpstr>DSRE2LNJ</vt:lpstr>
      <vt:lpstr>DSRF2LNJT</vt:lpstr>
      <vt:lpstr>DSRF2LNJ</vt:lpstr>
      <vt:lpstr>DSRG2LNJT</vt:lpstr>
      <vt:lpstr>DSRG2LNJ</vt:lpstr>
      <vt:lpstr>DSRE10JT</vt:lpstr>
      <vt:lpstr>DSRE10J</vt:lpstr>
      <vt:lpstr>DSRF10JT</vt:lpstr>
      <vt:lpstr>DSRF10J</vt:lpstr>
      <vt:lpstr>DSRG10JT</vt:lpstr>
      <vt:lpstr>DSRG10J</vt:lpstr>
      <vt:lpstr>DSRE10NJT</vt:lpstr>
      <vt:lpstr>DSRE10NJ</vt:lpstr>
      <vt:lpstr>DSRF10NJT</vt:lpstr>
      <vt:lpstr>DSRF10NJ</vt:lpstr>
      <vt:lpstr>DSRG10NJT</vt:lpstr>
      <vt:lpstr>DSRG10NJ</vt:lpstr>
      <vt:lpstr>DSRE20NJT</vt:lpstr>
      <vt:lpstr>DSRE20NJ</vt:lpstr>
      <vt:lpstr>DSRF20NJT</vt:lpstr>
      <vt:lpstr>DSRF20NJ</vt:lpstr>
      <vt:lpstr>DSRG20NJT</vt:lpstr>
      <vt:lpstr>DSRG20NJ</vt:lpstr>
      <vt:lpstr>DSRMG20NJ</vt:lpstr>
      <vt:lpstr>DSRE25NJT</vt:lpstr>
      <vt:lpstr>DSRE25NJ</vt:lpstr>
      <vt:lpstr>DSRF25NJT</vt:lpstr>
      <vt:lpstr>DSRF25NJ</vt:lpstr>
      <vt:lpstr>DSRG25NJT</vt:lpstr>
      <vt:lpstr>DSRG25NJ</vt:lpstr>
      <vt:lpstr>DSFT50AJT</vt:lpstr>
      <vt:lpstr>DSFT50BJT</vt:lpstr>
      <vt:lpstr>DSFT50CJT</vt:lpstr>
      <vt:lpstr>Index!Print_Area</vt:lpstr>
      <vt:lpstr>Index!Print_Titles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Feroz Ahmad</dc:creator>
  <cp:lastModifiedBy>Feroz Ahmad</cp:lastModifiedBy>
  <cp:lastPrinted>2025-05-30T06:40:42Z</cp:lastPrinted>
  <dcterms:created xsi:type="dcterms:W3CDTF">2015-06-05T18:17:20Z</dcterms:created>
  <dcterms:modified xsi:type="dcterms:W3CDTF">2025-12-31T06:31:05Z</dcterms:modified>
</cp:coreProperties>
</file>