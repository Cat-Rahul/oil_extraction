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N:\Piping\Sonangol UM 6-7 FPSO\07. Piping Spec\03. Valve Material Specification\IFR\Native\"/>
    </mc:Choice>
  </mc:AlternateContent>
  <xr:revisionPtr revIDLastSave="0" documentId="13_ncr:1_{4A0739B5-89B0-4B34-A5A4-3BBEC3701DCB}" xr6:coauthVersionLast="47" xr6:coauthVersionMax="47" xr10:uidLastSave="{00000000-0000-0000-0000-000000000000}"/>
  <bookViews>
    <workbookView xWindow="-28920" yWindow="-120" windowWidth="29040" windowHeight="15720" tabRatio="714" xr2:uid="{00000000-000D-0000-FFFF-FFFF00000000}"/>
  </bookViews>
  <sheets>
    <sheet name="Index" sheetId="172" r:id="rId1"/>
    <sheet name="CHPA1R" sheetId="29" r:id="rId2"/>
    <sheet name="CSWA1R" sheetId="30" r:id="rId3"/>
    <sheet name="CDPA1R" sheetId="31" r:id="rId4"/>
    <sheet name="CHPB1R" sheetId="32" r:id="rId5"/>
    <sheet name="CSWB1R" sheetId="33" r:id="rId6"/>
    <sheet name="CDPB1R" sheetId="34" r:id="rId7"/>
    <sheet name="CHPD1R" sheetId="35" r:id="rId8"/>
    <sheet name="CSWD1R" sheetId="36" r:id="rId9"/>
    <sheet name="CDPD1R" sheetId="37" r:id="rId10"/>
    <sheet name="CHPE1J" sheetId="38" r:id="rId11"/>
    <sheet name="CSWE1J" sheetId="39" r:id="rId12"/>
    <sheet name="CSWF1J" sheetId="40" r:id="rId13"/>
    <sheet name="CDPF1R" sheetId="41" r:id="rId14"/>
    <sheet name="CSWG1J" sheetId="42" r:id="rId15"/>
    <sheet name="CDPG1R" sheetId="43" r:id="rId16"/>
    <sheet name="CHPA2NR" sheetId="44" r:id="rId17"/>
    <sheet name="CSWA2NR" sheetId="45" r:id="rId18"/>
    <sheet name="CDPA2NR" sheetId="46" r:id="rId19"/>
    <sheet name="CHPB2NR" sheetId="47" r:id="rId20"/>
    <sheet name="CSWB2NR" sheetId="48" r:id="rId21"/>
    <sheet name="CDPB2NR" sheetId="49" r:id="rId22"/>
    <sheet name="CHPD2NR" sheetId="50" r:id="rId23"/>
    <sheet name="CSWD2NR" sheetId="51" r:id="rId24"/>
    <sheet name="CHPE2NJ" sheetId="52" r:id="rId25"/>
    <sheet name="CSWE2NJ" sheetId="53" r:id="rId26"/>
    <sheet name="CHPF2NJ" sheetId="54" r:id="rId27"/>
    <sheet name="CSWF2NJ" sheetId="55" r:id="rId28"/>
    <sheet name="CHPG2NJ" sheetId="56" r:id="rId29"/>
    <sheet name="CSWG2NJ" sheetId="57" r:id="rId30"/>
    <sheet name="CHPA1LNR" sheetId="58" r:id="rId31"/>
    <sheet name="CSWA1LNR" sheetId="59" r:id="rId32"/>
    <sheet name="CDPA1LNR" sheetId="60" r:id="rId33"/>
    <sheet name="CHPB1LNR" sheetId="61" r:id="rId34"/>
    <sheet name="CSWB1LNR" sheetId="62" r:id="rId35"/>
    <sheet name="CDPB1LNR" sheetId="63" r:id="rId36"/>
    <sheet name="CHPD1LNR" sheetId="64" r:id="rId37"/>
    <sheet name="CSWD1LNR" sheetId="65" r:id="rId38"/>
    <sheet name="CDPD1LNR" sheetId="66" r:id="rId39"/>
    <sheet name="CHPE1LNJ" sheetId="67" r:id="rId40"/>
    <sheet name="CSWE1LNJ" sheetId="68" r:id="rId41"/>
    <sheet name="CDPE1LNR" sheetId="69" r:id="rId42"/>
    <sheet name="CHPF1LNJ" sheetId="70" r:id="rId43"/>
    <sheet name="CSWF1LNJ" sheetId="71" r:id="rId44"/>
    <sheet name="CDPF1LNR" sheetId="72" r:id="rId45"/>
    <sheet name="CHPG1LNJ" sheetId="73" r:id="rId46"/>
    <sheet name="CSWG1LNJ" sheetId="74" r:id="rId47"/>
    <sheet name="CDPG1LNR" sheetId="75" r:id="rId48"/>
    <sheet name="CHPA1NR" sheetId="76" r:id="rId49"/>
    <sheet name="CSWA1NR" sheetId="77" r:id="rId50"/>
    <sheet name="CDPA1NR" sheetId="78" r:id="rId51"/>
    <sheet name="CHPB1NR" sheetId="79" r:id="rId52"/>
    <sheet name="CSWB1NR" sheetId="80" r:id="rId53"/>
    <sheet name="CDPB1NR" sheetId="81" r:id="rId54"/>
    <sheet name="CHPD1NR" sheetId="82" r:id="rId55"/>
    <sheet name="CSWD1NR" sheetId="83" r:id="rId56"/>
    <sheet name="CHPE1NJ" sheetId="84" r:id="rId57"/>
    <sheet name="CSWE1NJ" sheetId="85" r:id="rId58"/>
    <sheet name="CHPF1NJ" sheetId="86" r:id="rId59"/>
    <sheet name="CSWF1NJ" sheetId="87" r:id="rId60"/>
    <sheet name="CHPG1NJ" sheetId="88" r:id="rId61"/>
    <sheet name="CSWG1NJ" sheetId="89" r:id="rId62"/>
    <sheet name="CDPG1NR" sheetId="90" r:id="rId63"/>
    <sheet name="CHPA2LNR" sheetId="93" r:id="rId64"/>
    <sheet name="CSWA2LNR" sheetId="94" r:id="rId65"/>
    <sheet name="CDPA2LNR" sheetId="95" r:id="rId66"/>
    <sheet name="CHPB2LNR" sheetId="96" r:id="rId67"/>
    <sheet name="CSWB2LNR" sheetId="97" r:id="rId68"/>
    <sheet name="CDPB2LNR" sheetId="98" r:id="rId69"/>
    <sheet name="CHPD2LNR" sheetId="99" r:id="rId70"/>
    <sheet name="CSWD2LNR" sheetId="100" r:id="rId71"/>
    <sheet name="CDPD2LNR" sheetId="101" r:id="rId72"/>
    <sheet name="CHPE2LNJ" sheetId="102" r:id="rId73"/>
    <sheet name="CSWE2LNJ" sheetId="103" r:id="rId74"/>
    <sheet name="CDPE2LNR" sheetId="104" r:id="rId75"/>
    <sheet name="CHPF2LNJ" sheetId="105" r:id="rId76"/>
    <sheet name="CSWF2LNJ" sheetId="106" r:id="rId77"/>
    <sheet name="CDPF2LNR" sheetId="107" r:id="rId78"/>
    <sheet name="CHPG2LNJ" sheetId="108" r:id="rId79"/>
    <sheet name="CSWG2LNJ" sheetId="109" r:id="rId80"/>
    <sheet name="CDPG2LNR" sheetId="110" r:id="rId81"/>
    <sheet name="CSWA10R" sheetId="111" r:id="rId82"/>
    <sheet name="CHPA10R" sheetId="112" r:id="rId83"/>
    <sheet name="CDPA10R" sheetId="113" r:id="rId84"/>
    <sheet name="CSWB10R" sheetId="114" r:id="rId85"/>
    <sheet name="CHPB10R" sheetId="115" r:id="rId86"/>
    <sheet name="CSWD10R" sheetId="116" r:id="rId87"/>
    <sheet name="CHPD10R" sheetId="117" r:id="rId88"/>
    <sheet name="CSWE10J" sheetId="118" r:id="rId89"/>
    <sheet name="CHPE10J" sheetId="119" r:id="rId90"/>
    <sheet name="CSWF10J" sheetId="120" r:id="rId91"/>
    <sheet name="CHPF10J" sheetId="121" r:id="rId92"/>
    <sheet name="CSWG10J" sheetId="122" r:id="rId93"/>
    <sheet name="CHPG10J" sheetId="123" r:id="rId94"/>
    <sheet name="CHPA10NR" sheetId="124" r:id="rId95"/>
    <sheet name="CSWA10NR" sheetId="125" r:id="rId96"/>
    <sheet name="CHPB10NR" sheetId="126" r:id="rId97"/>
    <sheet name="CSWB10NR" sheetId="127" r:id="rId98"/>
    <sheet name="CDPB10NR" sheetId="128" r:id="rId99"/>
    <sheet name="CHPD10NR" sheetId="129" r:id="rId100"/>
    <sheet name="CSWD10NR" sheetId="130" r:id="rId101"/>
    <sheet name="CDPD10NR" sheetId="131" r:id="rId102"/>
    <sheet name="CHPE10NJ" sheetId="132" r:id="rId103"/>
    <sheet name="CSWE10NJ" sheetId="133" r:id="rId104"/>
    <sheet name="CHPF10NJ" sheetId="134" r:id="rId105"/>
    <sheet name="CSWF10NJ" sheetId="135" r:id="rId106"/>
    <sheet name="CHPG10NJ" sheetId="136" r:id="rId107"/>
    <sheet name="CSWG10NJ" sheetId="137" r:id="rId108"/>
    <sheet name="CSWA20NR" sheetId="138" r:id="rId109"/>
    <sheet name="CHPA20NR" sheetId="139" r:id="rId110"/>
    <sheet name="CHPB20NR" sheetId="140" r:id="rId111"/>
    <sheet name="CSWB20NR" sheetId="141" r:id="rId112"/>
    <sheet name="CDPB20NR" sheetId="142" r:id="rId113"/>
    <sheet name="CHPD20NR" sheetId="143" r:id="rId114"/>
    <sheet name="CSWD20NR" sheetId="144" r:id="rId115"/>
    <sheet name="CHPE20NJ" sheetId="145" r:id="rId116"/>
    <sheet name="CSWE20NJ" sheetId="146" r:id="rId117"/>
    <sheet name="CHPF20NJ" sheetId="147" r:id="rId118"/>
    <sheet name="CSWF20NJ" sheetId="148" r:id="rId119"/>
    <sheet name="CHPG20NJ" sheetId="149" r:id="rId120"/>
    <sheet name="CSWG20NJ" sheetId="150" r:id="rId121"/>
    <sheet name="CSWA25R" sheetId="164" r:id="rId122"/>
    <sheet name="CHPA25R" sheetId="165" r:id="rId123"/>
    <sheet name="CSWG25R" sheetId="166" r:id="rId124"/>
    <sheet name="CHPG25R" sheetId="167" r:id="rId125"/>
    <sheet name="CSWA25NR" sheetId="151" r:id="rId126"/>
    <sheet name="CHPA25NR" sheetId="152" r:id="rId127"/>
    <sheet name="CSWB25NR" sheetId="153" r:id="rId128"/>
    <sheet name="CHPB25NR" sheetId="154" r:id="rId129"/>
    <sheet name="CSWD25NR" sheetId="155" r:id="rId130"/>
    <sheet name="CHPD25NR" sheetId="156" r:id="rId131"/>
    <sheet name="CSWE25NR" sheetId="157" r:id="rId132"/>
    <sheet name="CHPE25NR" sheetId="158" r:id="rId133"/>
    <sheet name="CSWF25NR" sheetId="159" r:id="rId134"/>
    <sheet name="CHPF25NR" sheetId="160" r:id="rId135"/>
    <sheet name="CSWG25NR" sheetId="161" r:id="rId136"/>
    <sheet name="CHPG25NR" sheetId="162" r:id="rId137"/>
    <sheet name="CHPA30F" sheetId="91" r:id="rId138"/>
    <sheet name="CSWA30F" sheetId="92" r:id="rId139"/>
    <sheet name="CHPA31F" sheetId="170" r:id="rId140"/>
    <sheet name="CSWA31F" sheetId="171" r:id="rId141"/>
    <sheet name="CHPT50AJ" sheetId="173" r:id="rId142"/>
    <sheet name="CHPT50BJ" sheetId="174" r:id="rId143"/>
    <sheet name="CHPT50CJ" sheetId="175" r:id="rId144"/>
  </sheets>
  <definedNames>
    <definedName name="_xlnm.Print_Area" localSheetId="0">Index!$A$1:$I$146</definedName>
    <definedName name="_xlnm.Print_Titles" localSheetId="0">Index!$1:$3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30" l="1"/>
  <c r="E2" i="31"/>
  <c r="E2" i="32"/>
  <c r="E2" i="33"/>
  <c r="E2" i="34"/>
  <c r="E2" i="35"/>
  <c r="E2" i="36"/>
  <c r="E2" i="37"/>
  <c r="E2" i="38"/>
  <c r="E2" i="39"/>
  <c r="E2" i="40"/>
  <c r="E2" i="41"/>
  <c r="E2" i="42"/>
  <c r="E2" i="43"/>
  <c r="E2" i="44"/>
  <c r="E2" i="45"/>
  <c r="E2" i="46"/>
  <c r="E2" i="47"/>
  <c r="E2" i="48"/>
  <c r="E2" i="49"/>
  <c r="E2" i="50"/>
  <c r="E2" i="51"/>
  <c r="E2" i="52"/>
  <c r="E2" i="53"/>
  <c r="E2" i="54"/>
  <c r="E2" i="55"/>
  <c r="E2" i="56"/>
  <c r="E2" i="57"/>
  <c r="E2" i="58"/>
  <c r="E2" i="59"/>
  <c r="E2" i="60"/>
  <c r="E2" i="61"/>
  <c r="E2" i="62"/>
  <c r="E2" i="63"/>
  <c r="E2" i="64"/>
  <c r="E2" i="65"/>
  <c r="E2" i="66"/>
  <c r="E2" i="67"/>
  <c r="E2" i="68"/>
  <c r="E2" i="69"/>
  <c r="E2" i="70"/>
  <c r="E2" i="71"/>
  <c r="E2" i="72"/>
  <c r="E2" i="73"/>
  <c r="E2" i="74"/>
  <c r="E2" i="75"/>
  <c r="E2" i="76"/>
  <c r="E2" i="77"/>
  <c r="E2" i="78"/>
  <c r="E2" i="79"/>
  <c r="E2" i="80"/>
  <c r="E2" i="81"/>
  <c r="E2" i="82"/>
  <c r="E2" i="83"/>
  <c r="E2" i="84"/>
  <c r="E2" i="85"/>
  <c r="E2" i="86"/>
  <c r="E2" i="87"/>
  <c r="E2" i="88"/>
  <c r="E2" i="89"/>
  <c r="E2" i="90"/>
  <c r="E2" i="93"/>
  <c r="E2" i="94"/>
  <c r="E2" i="95"/>
  <c r="E2" i="96"/>
  <c r="E2" i="97"/>
  <c r="E2" i="98"/>
  <c r="E2" i="99"/>
  <c r="E2" i="100"/>
  <c r="E2" i="101"/>
  <c r="E2" i="102"/>
  <c r="E2" i="103"/>
  <c r="E2" i="104"/>
  <c r="E2" i="105"/>
  <c r="E2" i="106"/>
  <c r="E2" i="107"/>
  <c r="E2" i="108"/>
  <c r="E2" i="109"/>
  <c r="E2" i="110"/>
  <c r="E2" i="111"/>
  <c r="E2" i="112"/>
  <c r="E2" i="113"/>
  <c r="E2" i="114"/>
  <c r="E2" i="115"/>
  <c r="E2" i="116"/>
  <c r="E2" i="117"/>
  <c r="E2" i="118"/>
  <c r="E2" i="119"/>
  <c r="E2" i="120"/>
  <c r="E2" i="121"/>
  <c r="E2" i="122"/>
  <c r="E2" i="123"/>
  <c r="E2" i="124"/>
  <c r="E2" i="125"/>
  <c r="E2" i="126"/>
  <c r="E2" i="127"/>
  <c r="E2" i="128"/>
  <c r="E2" i="129"/>
  <c r="E2" i="130"/>
  <c r="E2" i="131"/>
  <c r="E2" i="132"/>
  <c r="E2" i="133"/>
  <c r="E2" i="134"/>
  <c r="E2" i="135"/>
  <c r="E2" i="136"/>
  <c r="E2" i="137"/>
  <c r="E2" i="138"/>
  <c r="E2" i="139"/>
  <c r="E2" i="140"/>
  <c r="E2" i="141"/>
  <c r="E2" i="142"/>
  <c r="E2" i="143"/>
  <c r="E2" i="144"/>
  <c r="E2" i="145"/>
  <c r="E2" i="146"/>
  <c r="E2" i="147"/>
  <c r="E2" i="148"/>
  <c r="E2" i="149"/>
  <c r="E2" i="150"/>
  <c r="E2" i="164"/>
  <c r="E2" i="165"/>
  <c r="E2" i="166"/>
  <c r="E2" i="167"/>
  <c r="E2" i="151"/>
  <c r="E2" i="152"/>
  <c r="E2" i="153"/>
  <c r="E2" i="154"/>
  <c r="E2" i="155"/>
  <c r="E2" i="156"/>
  <c r="E2" i="157"/>
  <c r="E2" i="158"/>
  <c r="E2" i="159"/>
  <c r="E2" i="160"/>
  <c r="E2" i="161"/>
  <c r="E2" i="162"/>
  <c r="E2" i="91"/>
  <c r="E2" i="92"/>
  <c r="E2" i="170"/>
  <c r="E2" i="171"/>
  <c r="E2" i="173"/>
  <c r="E2" i="174"/>
  <c r="E2" i="175"/>
  <c r="E2" i="29"/>
  <c r="V71" i="172"/>
  <c r="V72" i="172"/>
  <c r="V73" i="172"/>
  <c r="V74" i="172"/>
  <c r="V75" i="172"/>
  <c r="V76" i="172"/>
  <c r="C12" i="175"/>
  <c r="C11" i="175"/>
  <c r="C8" i="175"/>
  <c r="E3" i="175"/>
  <c r="C12" i="174"/>
  <c r="C11" i="174"/>
  <c r="C8" i="174"/>
  <c r="E3" i="174"/>
  <c r="C12" i="173"/>
  <c r="C11" i="173"/>
  <c r="C8" i="173"/>
  <c r="E3" i="173"/>
  <c r="C8" i="92"/>
  <c r="C8" i="91"/>
  <c r="C12" i="30"/>
  <c r="C12" i="31"/>
  <c r="C12" i="32"/>
  <c r="C12" i="33"/>
  <c r="C12" i="34"/>
  <c r="C12" i="35"/>
  <c r="C12" i="36"/>
  <c r="C12" i="37"/>
  <c r="C12" i="38"/>
  <c r="C12" i="39"/>
  <c r="C12" i="40"/>
  <c r="C12" i="41"/>
  <c r="C12" i="42"/>
  <c r="C12" i="43"/>
  <c r="C12" i="44"/>
  <c r="C12" i="45"/>
  <c r="C12" i="46"/>
  <c r="C12" i="47"/>
  <c r="C12" i="48"/>
  <c r="C12" i="49"/>
  <c r="C12" i="50"/>
  <c r="C12" i="51"/>
  <c r="C12" i="52"/>
  <c r="C12" i="53"/>
  <c r="C12" i="54"/>
  <c r="C12" i="55"/>
  <c r="C12" i="56"/>
  <c r="C12" i="57"/>
  <c r="C12" i="58"/>
  <c r="C12" i="59"/>
  <c r="C12" i="60"/>
  <c r="C12" i="61"/>
  <c r="C12" i="62"/>
  <c r="C12" i="63"/>
  <c r="C12" i="64"/>
  <c r="C12" i="65"/>
  <c r="C12" i="66"/>
  <c r="C12" i="67"/>
  <c r="C12" i="68"/>
  <c r="C12" i="69"/>
  <c r="C12" i="70"/>
  <c r="C12" i="71"/>
  <c r="C12" i="72"/>
  <c r="C12" i="73"/>
  <c r="C12" i="74"/>
  <c r="C12" i="75"/>
  <c r="C12" i="76"/>
  <c r="C12" i="77"/>
  <c r="C12" i="78"/>
  <c r="C12" i="79"/>
  <c r="C12" i="80"/>
  <c r="C12" i="81"/>
  <c r="C12" i="82"/>
  <c r="C12" i="83"/>
  <c r="C12" i="84"/>
  <c r="C12" i="85"/>
  <c r="C12" i="86"/>
  <c r="C12" i="87"/>
  <c r="C12" i="88"/>
  <c r="C12" i="89"/>
  <c r="C12" i="90"/>
  <c r="C12" i="93"/>
  <c r="C12" i="94"/>
  <c r="C12" i="95"/>
  <c r="C12" i="96"/>
  <c r="C12" i="97"/>
  <c r="C12" i="98"/>
  <c r="C12" i="99"/>
  <c r="C12" i="100"/>
  <c r="C12" i="101"/>
  <c r="C12" i="102"/>
  <c r="C12" i="103"/>
  <c r="C12" i="104"/>
  <c r="C12" i="105"/>
  <c r="C12" i="106"/>
  <c r="C12" i="107"/>
  <c r="C12" i="108"/>
  <c r="C12" i="109"/>
  <c r="C12" i="110"/>
  <c r="C12" i="111"/>
  <c r="C12" i="112"/>
  <c r="C12" i="113"/>
  <c r="C12" i="114"/>
  <c r="C12" i="115"/>
  <c r="C12" i="116"/>
  <c r="C12" i="117"/>
  <c r="C12" i="118"/>
  <c r="C12" i="119"/>
  <c r="C12" i="120"/>
  <c r="C12" i="121"/>
  <c r="C12" i="122"/>
  <c r="C12" i="123"/>
  <c r="C12" i="124"/>
  <c r="C12" i="125"/>
  <c r="C12" i="126"/>
  <c r="C12" i="127"/>
  <c r="C12" i="128"/>
  <c r="C12" i="129"/>
  <c r="C12" i="130"/>
  <c r="C12" i="131"/>
  <c r="C12" i="132"/>
  <c r="C12" i="133"/>
  <c r="C12" i="134"/>
  <c r="C12" i="135"/>
  <c r="C12" i="136"/>
  <c r="C12" i="137"/>
  <c r="C12" i="138"/>
  <c r="C12" i="139"/>
  <c r="C12" i="140"/>
  <c r="C12" i="141"/>
  <c r="C12" i="142"/>
  <c r="C12" i="143"/>
  <c r="C12" i="144"/>
  <c r="C12" i="145"/>
  <c r="C12" i="146"/>
  <c r="C12" i="147"/>
  <c r="C12" i="148"/>
  <c r="C12" i="149"/>
  <c r="C12" i="150"/>
  <c r="C12" i="164"/>
  <c r="C12" i="165"/>
  <c r="C12" i="166"/>
  <c r="C12" i="167"/>
  <c r="C12" i="151"/>
  <c r="C12" i="152"/>
  <c r="C12" i="153"/>
  <c r="C12" i="154"/>
  <c r="C12" i="155"/>
  <c r="C12" i="156"/>
  <c r="C12" i="157"/>
  <c r="C12" i="158"/>
  <c r="C12" i="159"/>
  <c r="C12" i="160"/>
  <c r="C12" i="161"/>
  <c r="C12" i="162"/>
  <c r="C12" i="91"/>
  <c r="C12" i="92"/>
  <c r="C12" i="170"/>
  <c r="C12" i="171"/>
  <c r="C12" i="29"/>
  <c r="C8" i="30"/>
  <c r="C8" i="31"/>
  <c r="C8" i="32"/>
  <c r="C8" i="33"/>
  <c r="C8" i="34"/>
  <c r="C8" i="35"/>
  <c r="C8" i="36"/>
  <c r="C8" i="37"/>
  <c r="C8" i="38"/>
  <c r="C8" i="39"/>
  <c r="C8" i="40"/>
  <c r="C8" i="41"/>
  <c r="C8" i="42"/>
  <c r="C8" i="43"/>
  <c r="C8" i="44"/>
  <c r="C8" i="45"/>
  <c r="C8" i="46"/>
  <c r="C8" i="47"/>
  <c r="C8" i="48"/>
  <c r="C8" i="49"/>
  <c r="C8" i="50"/>
  <c r="C8" i="51"/>
  <c r="C8" i="52"/>
  <c r="C8" i="53"/>
  <c r="C8" i="54"/>
  <c r="C8" i="55"/>
  <c r="C8" i="56"/>
  <c r="C8" i="57"/>
  <c r="C8" i="58"/>
  <c r="C8" i="59"/>
  <c r="C8" i="60"/>
  <c r="C8" i="61"/>
  <c r="C8" i="62"/>
  <c r="C8" i="63"/>
  <c r="C8" i="64"/>
  <c r="C8" i="65"/>
  <c r="C8" i="66"/>
  <c r="C8" i="67"/>
  <c r="C8" i="68"/>
  <c r="C8" i="69"/>
  <c r="C8" i="70"/>
  <c r="C8" i="71"/>
  <c r="C8" i="72"/>
  <c r="C8" i="73"/>
  <c r="C8" i="74"/>
  <c r="C8" i="75"/>
  <c r="C8" i="76"/>
  <c r="C8" i="77"/>
  <c r="C8" i="78"/>
  <c r="C8" i="79"/>
  <c r="C8" i="80"/>
  <c r="C8" i="81"/>
  <c r="C8" i="82"/>
  <c r="C8" i="83"/>
  <c r="C8" i="84"/>
  <c r="C8" i="85"/>
  <c r="C8" i="86"/>
  <c r="C8" i="87"/>
  <c r="C8" i="88"/>
  <c r="C8" i="89"/>
  <c r="C8" i="90"/>
  <c r="C8" i="93"/>
  <c r="C8" i="94"/>
  <c r="C8" i="95"/>
  <c r="C8" i="96"/>
  <c r="C8" i="97"/>
  <c r="C8" i="98"/>
  <c r="C8" i="99"/>
  <c r="C8" i="100"/>
  <c r="C8" i="101"/>
  <c r="C8" i="102"/>
  <c r="C8" i="103"/>
  <c r="C8" i="104"/>
  <c r="C8" i="105"/>
  <c r="C8" i="106"/>
  <c r="C8" i="107"/>
  <c r="C8" i="108"/>
  <c r="C8" i="109"/>
  <c r="C8" i="110"/>
  <c r="C8" i="111"/>
  <c r="C8" i="112"/>
  <c r="C8" i="113"/>
  <c r="C8" i="114"/>
  <c r="C8" i="115"/>
  <c r="C8" i="116"/>
  <c r="C8" i="117"/>
  <c r="C8" i="118"/>
  <c r="C8" i="119"/>
  <c r="C8" i="120"/>
  <c r="C8" i="121"/>
  <c r="C8" i="122"/>
  <c r="C8" i="123"/>
  <c r="C8" i="124"/>
  <c r="C8" i="125"/>
  <c r="C8" i="126"/>
  <c r="C8" i="127"/>
  <c r="C8" i="128"/>
  <c r="C8" i="129"/>
  <c r="C8" i="130"/>
  <c r="C8" i="131"/>
  <c r="C8" i="132"/>
  <c r="C8" i="133"/>
  <c r="C8" i="134"/>
  <c r="C8" i="135"/>
  <c r="C8" i="136"/>
  <c r="C8" i="137"/>
  <c r="C8" i="138"/>
  <c r="C8" i="139"/>
  <c r="C8" i="140"/>
  <c r="C8" i="141"/>
  <c r="C8" i="142"/>
  <c r="C8" i="143"/>
  <c r="C8" i="144"/>
  <c r="C8" i="145"/>
  <c r="C8" i="146"/>
  <c r="C8" i="147"/>
  <c r="C8" i="148"/>
  <c r="C8" i="149"/>
  <c r="C8" i="150"/>
  <c r="C8" i="164"/>
  <c r="C8" i="165"/>
  <c r="C8" i="166"/>
  <c r="C8" i="167"/>
  <c r="C8" i="151"/>
  <c r="C8" i="152"/>
  <c r="C8" i="153"/>
  <c r="C8" i="154"/>
  <c r="C8" i="155"/>
  <c r="C8" i="156"/>
  <c r="C8" i="157"/>
  <c r="C8" i="158"/>
  <c r="C8" i="159"/>
  <c r="C8" i="160"/>
  <c r="C8" i="161"/>
  <c r="C8" i="162"/>
  <c r="C8" i="170"/>
  <c r="C8" i="171"/>
  <c r="C8" i="29"/>
  <c r="V4" i="172"/>
  <c r="C11" i="33"/>
  <c r="V5" i="172"/>
  <c r="C11" i="37"/>
  <c r="V6" i="172"/>
  <c r="C11" i="38"/>
  <c r="V7" i="172"/>
  <c r="C11" i="40"/>
  <c r="V8" i="172"/>
  <c r="C11" i="42"/>
  <c r="V9" i="172"/>
  <c r="C11" i="77"/>
  <c r="V10" i="172"/>
  <c r="C11" i="79"/>
  <c r="V11" i="172"/>
  <c r="C11" i="83"/>
  <c r="V12" i="172"/>
  <c r="C11" i="85"/>
  <c r="V13" i="172"/>
  <c r="C11" i="87"/>
  <c r="V14" i="172"/>
  <c r="C11" i="88"/>
  <c r="V15" i="172"/>
  <c r="V16" i="172"/>
  <c r="C11" i="45"/>
  <c r="V17" i="172"/>
  <c r="C11" i="47"/>
  <c r="V18" i="172"/>
  <c r="C11" i="50"/>
  <c r="V19" i="172"/>
  <c r="C11" i="53"/>
  <c r="V20" i="172"/>
  <c r="C11" i="54"/>
  <c r="V21" i="172"/>
  <c r="C11" i="56"/>
  <c r="V22" i="172"/>
  <c r="C11" i="58"/>
  <c r="V23" i="172"/>
  <c r="C11" i="61"/>
  <c r="V24" i="172"/>
  <c r="C11" i="64"/>
  <c r="V25" i="172"/>
  <c r="C11" i="69"/>
  <c r="V26" i="172"/>
  <c r="C11" i="70"/>
  <c r="V27" i="172"/>
  <c r="C11" i="73"/>
  <c r="V28" i="172"/>
  <c r="C11" i="95"/>
  <c r="V29" i="172"/>
  <c r="C11" i="97"/>
  <c r="V30" i="172"/>
  <c r="C11" i="99"/>
  <c r="V31" i="172"/>
  <c r="C11" i="103"/>
  <c r="V32" i="172"/>
  <c r="C11" i="105"/>
  <c r="V33" i="172"/>
  <c r="C11" i="109"/>
  <c r="V34" i="172"/>
  <c r="V35" i="172"/>
  <c r="V36" i="172"/>
  <c r="V37" i="172"/>
  <c r="V38" i="172"/>
  <c r="V39" i="172"/>
  <c r="V40" i="172"/>
  <c r="C11" i="111"/>
  <c r="V41" i="172"/>
  <c r="C11" i="115"/>
  <c r="V42" i="172"/>
  <c r="C11" i="116"/>
  <c r="V43" i="172"/>
  <c r="C11" i="119"/>
  <c r="V44" i="172"/>
  <c r="C11" i="120"/>
  <c r="V45" i="172"/>
  <c r="C11" i="122"/>
  <c r="V46" i="172"/>
  <c r="C11" i="125"/>
  <c r="V47" i="172"/>
  <c r="C11" i="127"/>
  <c r="V48" i="172"/>
  <c r="C11" i="129"/>
  <c r="V49" i="172"/>
  <c r="C11" i="133"/>
  <c r="V50" i="172"/>
  <c r="C11" i="135"/>
  <c r="V51" i="172"/>
  <c r="C11" i="136"/>
  <c r="V52" i="172"/>
  <c r="C11" i="139"/>
  <c r="V53" i="172"/>
  <c r="C11" i="140"/>
  <c r="V54" i="172"/>
  <c r="C11" i="143"/>
  <c r="V55" i="172"/>
  <c r="C11" i="145"/>
  <c r="V56" i="172"/>
  <c r="C11" i="147"/>
  <c r="V57" i="172"/>
  <c r="C11" i="149"/>
  <c r="V58" i="172"/>
  <c r="C11" i="164"/>
  <c r="V59" i="172"/>
  <c r="C11" i="166"/>
  <c r="V60" i="172"/>
  <c r="C11" i="151"/>
  <c r="V61" i="172"/>
  <c r="C11" i="154"/>
  <c r="V62" i="172"/>
  <c r="C11" i="155"/>
  <c r="V63" i="172"/>
  <c r="C11" i="157"/>
  <c r="V64" i="172"/>
  <c r="C11" i="159"/>
  <c r="V65" i="172"/>
  <c r="C11" i="161"/>
  <c r="V66" i="172"/>
  <c r="C11" i="91"/>
  <c r="V67" i="172"/>
  <c r="C11" i="170"/>
  <c r="V68" i="172"/>
  <c r="V69" i="172"/>
  <c r="V70" i="172"/>
  <c r="V3" i="172"/>
  <c r="C11" i="31"/>
  <c r="E3" i="30"/>
  <c r="E3" i="31"/>
  <c r="E3" i="32"/>
  <c r="E3" i="33"/>
  <c r="E3" i="34"/>
  <c r="E3" i="35"/>
  <c r="E3" i="36"/>
  <c r="E3" i="37"/>
  <c r="E3" i="38"/>
  <c r="E3" i="39"/>
  <c r="E3" i="40"/>
  <c r="E3" i="41"/>
  <c r="E3" i="42"/>
  <c r="E3" i="43"/>
  <c r="E3" i="44"/>
  <c r="E3" i="45"/>
  <c r="E3" i="46"/>
  <c r="E3" i="47"/>
  <c r="E3" i="48"/>
  <c r="E3" i="49"/>
  <c r="E3" i="50"/>
  <c r="E3" i="51"/>
  <c r="E3" i="52"/>
  <c r="E3" i="53"/>
  <c r="E3" i="54"/>
  <c r="E3" i="55"/>
  <c r="E3" i="56"/>
  <c r="E3" i="57"/>
  <c r="E3" i="58"/>
  <c r="E3" i="59"/>
  <c r="E3" i="60"/>
  <c r="E3" i="61"/>
  <c r="E3" i="62"/>
  <c r="E3" i="63"/>
  <c r="E3" i="64"/>
  <c r="E3" i="65"/>
  <c r="E3" i="66"/>
  <c r="E3" i="67"/>
  <c r="E3" i="68"/>
  <c r="E3" i="69"/>
  <c r="E3" i="70"/>
  <c r="E3" i="71"/>
  <c r="E3" i="72"/>
  <c r="E3" i="73"/>
  <c r="E3" i="74"/>
  <c r="E3" i="75"/>
  <c r="E3" i="76"/>
  <c r="E3" i="77"/>
  <c r="E3" i="78"/>
  <c r="E3" i="79"/>
  <c r="E3" i="80"/>
  <c r="E3" i="81"/>
  <c r="E3" i="82"/>
  <c r="E3" i="83"/>
  <c r="E3" i="84"/>
  <c r="E3" i="85"/>
  <c r="E3" i="86"/>
  <c r="E3" i="87"/>
  <c r="E3" i="88"/>
  <c r="E3" i="89"/>
  <c r="E3" i="90"/>
  <c r="E3" i="93"/>
  <c r="E3" i="94"/>
  <c r="E3" i="95"/>
  <c r="E3" i="96"/>
  <c r="E3" i="97"/>
  <c r="E3" i="98"/>
  <c r="E3" i="99"/>
  <c r="E3" i="100"/>
  <c r="E3" i="101"/>
  <c r="E3" i="102"/>
  <c r="E3" i="103"/>
  <c r="E3" i="104"/>
  <c r="E3" i="105"/>
  <c r="E3" i="106"/>
  <c r="E3" i="107"/>
  <c r="E3" i="108"/>
  <c r="E3" i="109"/>
  <c r="E3" i="110"/>
  <c r="E3" i="111"/>
  <c r="E3" i="112"/>
  <c r="E3" i="113"/>
  <c r="E3" i="114"/>
  <c r="E3" i="115"/>
  <c r="E3" i="116"/>
  <c r="E3" i="117"/>
  <c r="E3" i="118"/>
  <c r="E3" i="119"/>
  <c r="E3" i="120"/>
  <c r="E3" i="121"/>
  <c r="E3" i="122"/>
  <c r="E3" i="123"/>
  <c r="E3" i="124"/>
  <c r="E3" i="125"/>
  <c r="E3" i="126"/>
  <c r="E3" i="127"/>
  <c r="E3" i="128"/>
  <c r="E3" i="129"/>
  <c r="E3" i="130"/>
  <c r="E3" i="131"/>
  <c r="E3" i="132"/>
  <c r="E3" i="133"/>
  <c r="E3" i="134"/>
  <c r="E3" i="135"/>
  <c r="E3" i="136"/>
  <c r="E3" i="137"/>
  <c r="E3" i="138"/>
  <c r="E3" i="139"/>
  <c r="E3" i="140"/>
  <c r="E3" i="141"/>
  <c r="E3" i="142"/>
  <c r="E3" i="143"/>
  <c r="E3" i="144"/>
  <c r="E3" i="145"/>
  <c r="E3" i="146"/>
  <c r="E3" i="147"/>
  <c r="E3" i="148"/>
  <c r="E3" i="149"/>
  <c r="E3" i="150"/>
  <c r="E3" i="164"/>
  <c r="E3" i="165"/>
  <c r="E3" i="166"/>
  <c r="E3" i="167"/>
  <c r="E3" i="151"/>
  <c r="E3" i="152"/>
  <c r="E3" i="153"/>
  <c r="E3" i="154"/>
  <c r="E3" i="155"/>
  <c r="E3" i="156"/>
  <c r="E3" i="157"/>
  <c r="E3" i="158"/>
  <c r="E3" i="159"/>
  <c r="E3" i="160"/>
  <c r="E3" i="161"/>
  <c r="E3" i="162"/>
  <c r="E3" i="91"/>
  <c r="E3" i="92"/>
  <c r="E3" i="170"/>
  <c r="E3" i="171"/>
  <c r="E3" i="29"/>
  <c r="C11" i="29"/>
  <c r="C11" i="66"/>
  <c r="C11" i="131"/>
  <c r="C11" i="104"/>
  <c r="C11" i="90"/>
  <c r="C11" i="46"/>
  <c r="C11" i="152"/>
  <c r="C11" i="128"/>
  <c r="C11" i="102"/>
  <c r="C11" i="65"/>
  <c r="C11" i="35"/>
  <c r="C11" i="148"/>
  <c r="C11" i="126"/>
  <c r="C11" i="100"/>
  <c r="C11" i="62"/>
  <c r="C11" i="30"/>
  <c r="C11" i="124"/>
  <c r="C11" i="96"/>
  <c r="C11" i="57"/>
  <c r="C11" i="36"/>
  <c r="C11" i="142"/>
  <c r="C11" i="123"/>
  <c r="C11" i="160"/>
  <c r="C11" i="141"/>
  <c r="C11" i="112"/>
  <c r="C11" i="86"/>
  <c r="C11" i="44"/>
  <c r="C11" i="153"/>
  <c r="C11" i="108"/>
  <c r="C11" i="82"/>
  <c r="C11" i="43"/>
  <c r="C11" i="132"/>
  <c r="C11" i="107"/>
  <c r="C11" i="74"/>
  <c r="C11" i="41"/>
  <c r="C11" i="162"/>
  <c r="C11" i="150"/>
  <c r="C11" i="134"/>
  <c r="C11" i="118"/>
  <c r="C11" i="110"/>
  <c r="C11" i="94"/>
  <c r="C11" i="84"/>
  <c r="C11" i="76"/>
  <c r="C11" i="68"/>
  <c r="C11" i="60"/>
  <c r="C11" i="52"/>
  <c r="C11" i="117"/>
  <c r="C11" i="101"/>
  <c r="C11" i="93"/>
  <c r="C11" i="75"/>
  <c r="C11" i="67"/>
  <c r="C11" i="59"/>
  <c r="C11" i="51"/>
  <c r="C11" i="34"/>
  <c r="C11" i="89"/>
  <c r="C11" i="49"/>
  <c r="C11" i="171"/>
  <c r="C11" i="158"/>
  <c r="C11" i="167"/>
  <c r="C11" i="146"/>
  <c r="C11" i="138"/>
  <c r="C11" i="130"/>
  <c r="C11" i="114"/>
  <c r="C11" i="106"/>
  <c r="C11" i="98"/>
  <c r="C11" i="80"/>
  <c r="C11" i="72"/>
  <c r="C11" i="48"/>
  <c r="C11" i="32"/>
  <c r="C11" i="81"/>
  <c r="C11" i="137"/>
  <c r="C11" i="121"/>
  <c r="C11" i="113"/>
  <c r="C11" i="71"/>
  <c r="C11" i="63"/>
  <c r="C11" i="55"/>
  <c r="C11" i="39"/>
  <c r="C11" i="92"/>
  <c r="C11" i="156"/>
  <c r="C11" i="165"/>
  <c r="C11" i="144"/>
  <c r="C11" i="78"/>
  <c r="D146" i="172"/>
  <c r="H137" i="172"/>
  <c r="G97" i="172"/>
  <c r="G119" i="172"/>
  <c r="H21" i="172"/>
  <c r="C55" i="172"/>
  <c r="F111" i="172"/>
  <c r="H18" i="172"/>
  <c r="G33" i="172"/>
  <c r="E138" i="172"/>
  <c r="C112" i="172"/>
  <c r="F11" i="172"/>
  <c r="G26" i="172"/>
  <c r="H129" i="172"/>
  <c r="D59" i="172"/>
  <c r="G19" i="172"/>
  <c r="C113" i="172"/>
  <c r="F55" i="172"/>
  <c r="D36" i="172"/>
  <c r="D108" i="172"/>
  <c r="H53" i="172"/>
  <c r="E39" i="172"/>
  <c r="E104" i="172"/>
  <c r="D117" i="172"/>
  <c r="G85" i="172"/>
  <c r="E52" i="172"/>
  <c r="G110" i="172"/>
  <c r="G81" i="172"/>
  <c r="C130" i="172"/>
  <c r="H138" i="172"/>
  <c r="C67" i="172"/>
  <c r="F42" i="172"/>
  <c r="D30" i="172"/>
  <c r="D72" i="172"/>
  <c r="C96" i="172"/>
  <c r="C136" i="172"/>
  <c r="D19" i="172"/>
  <c r="D124" i="172"/>
  <c r="C119" i="172"/>
  <c r="H35" i="172"/>
  <c r="H13" i="172"/>
  <c r="H24" i="172"/>
  <c r="C51" i="172"/>
  <c r="E9" i="172"/>
  <c r="E32" i="172"/>
  <c r="E41" i="172"/>
  <c r="C7" i="172"/>
  <c r="H134" i="172"/>
  <c r="E22" i="172"/>
  <c r="F144" i="172"/>
  <c r="H88" i="172"/>
  <c r="D142" i="172"/>
  <c r="C12" i="172"/>
  <c r="H54" i="172"/>
  <c r="C68" i="172"/>
  <c r="C15" i="172"/>
  <c r="E58" i="172"/>
  <c r="D86" i="172"/>
  <c r="C128" i="172"/>
  <c r="E16" i="172"/>
  <c r="F50" i="172"/>
  <c r="F84" i="172"/>
  <c r="F8" i="172"/>
  <c r="F138" i="172"/>
  <c r="C78" i="172"/>
  <c r="H127" i="172"/>
  <c r="F140" i="172"/>
  <c r="E83" i="172"/>
  <c r="H113" i="172"/>
  <c r="F79" i="172"/>
  <c r="C39" i="172"/>
  <c r="C89" i="172"/>
  <c r="G93" i="172"/>
  <c r="E20" i="172"/>
  <c r="H139" i="172"/>
  <c r="D60" i="172"/>
  <c r="C16" i="172"/>
  <c r="H143" i="172"/>
  <c r="E63" i="172"/>
  <c r="D89" i="172"/>
  <c r="D46" i="172"/>
  <c r="H46" i="172"/>
  <c r="H69" i="172"/>
  <c r="G90" i="172"/>
  <c r="F13" i="172"/>
  <c r="G58" i="172"/>
  <c r="D68" i="172"/>
  <c r="D116" i="172"/>
  <c r="E128" i="172"/>
  <c r="C69" i="172"/>
  <c r="D28" i="172"/>
  <c r="F36" i="172"/>
  <c r="H12" i="172"/>
  <c r="G134" i="172"/>
  <c r="G138" i="172"/>
  <c r="G129" i="172"/>
  <c r="F76" i="172"/>
  <c r="D126" i="172"/>
  <c r="G71" i="172"/>
  <c r="D49" i="172"/>
  <c r="D95" i="172"/>
  <c r="F49" i="172"/>
  <c r="C99" i="172"/>
  <c r="E94" i="172"/>
  <c r="F15" i="172"/>
  <c r="C29" i="172"/>
  <c r="G91" i="172"/>
  <c r="F68" i="172"/>
  <c r="D42" i="172"/>
  <c r="C19" i="172"/>
  <c r="D104" i="172"/>
  <c r="G29" i="172"/>
  <c r="C35" i="172"/>
  <c r="D55" i="172"/>
  <c r="G62" i="172"/>
  <c r="F94" i="172"/>
  <c r="C38" i="172"/>
  <c r="D96" i="172"/>
  <c r="H23" i="172"/>
  <c r="G6" i="172"/>
  <c r="F80" i="172"/>
  <c r="H59" i="172"/>
  <c r="E77" i="172"/>
  <c r="C121" i="172"/>
  <c r="C100" i="172"/>
  <c r="D26" i="172"/>
  <c r="D83" i="172"/>
  <c r="H117" i="172"/>
  <c r="E96" i="172"/>
  <c r="C40" i="172"/>
  <c r="D53" i="172"/>
  <c r="F59" i="172"/>
  <c r="F31" i="172"/>
  <c r="E40" i="172"/>
  <c r="C61" i="172"/>
  <c r="E82" i="172"/>
  <c r="H17" i="172"/>
  <c r="D119" i="172"/>
  <c r="H114" i="172"/>
  <c r="D74" i="172"/>
  <c r="H123" i="172"/>
  <c r="E127" i="172"/>
  <c r="E103" i="172"/>
  <c r="G9" i="172"/>
  <c r="C104" i="172"/>
  <c r="H116" i="172"/>
  <c r="G109" i="172"/>
  <c r="G46" i="172"/>
  <c r="E110" i="172"/>
  <c r="H63" i="172"/>
  <c r="E98" i="172"/>
  <c r="C10" i="172"/>
  <c r="G31" i="172"/>
  <c r="E117" i="172"/>
  <c r="G39" i="172"/>
  <c r="E47" i="172"/>
  <c r="D37" i="172"/>
  <c r="H80" i="172"/>
  <c r="E29" i="172"/>
  <c r="G87" i="172"/>
  <c r="H131" i="172"/>
  <c r="D65" i="172"/>
  <c r="H95" i="172"/>
  <c r="D84" i="172"/>
  <c r="G102" i="172"/>
  <c r="E25" i="172"/>
  <c r="D35" i="172"/>
  <c r="C71" i="172"/>
  <c r="C14" i="172"/>
  <c r="H60" i="172"/>
  <c r="H77" i="172"/>
  <c r="G140" i="172"/>
  <c r="G30" i="172"/>
  <c r="G89" i="172"/>
  <c r="G131" i="172"/>
  <c r="C84" i="172"/>
  <c r="E145" i="172"/>
  <c r="H10" i="172"/>
  <c r="E49" i="172"/>
  <c r="E106" i="172"/>
  <c r="H92" i="172"/>
  <c r="F110" i="172"/>
  <c r="G74" i="172"/>
  <c r="H70" i="172"/>
  <c r="G43" i="172"/>
  <c r="G28" i="172"/>
  <c r="F133" i="172"/>
  <c r="E33" i="172"/>
  <c r="G133" i="172"/>
  <c r="F91" i="172"/>
  <c r="E121" i="172"/>
  <c r="G123" i="172"/>
  <c r="E93" i="172"/>
  <c r="C75" i="172"/>
  <c r="F101" i="172"/>
  <c r="D16" i="172"/>
  <c r="D6" i="172"/>
  <c r="D8" i="172"/>
  <c r="H83" i="172"/>
  <c r="D12" i="172"/>
  <c r="H36" i="172"/>
  <c r="G10" i="172"/>
  <c r="H84" i="172"/>
  <c r="H85" i="172"/>
  <c r="D137" i="172"/>
  <c r="C92" i="172"/>
  <c r="H71" i="172"/>
  <c r="D21" i="172"/>
  <c r="D112" i="172"/>
  <c r="G40" i="172"/>
  <c r="H52" i="172"/>
  <c r="F72" i="172"/>
  <c r="D17" i="172"/>
  <c r="G48" i="172"/>
  <c r="G136" i="172"/>
  <c r="D141" i="172"/>
  <c r="F43" i="172"/>
  <c r="G18" i="172"/>
  <c r="F70" i="172"/>
  <c r="D105" i="172"/>
  <c r="F63" i="172"/>
  <c r="E66" i="172"/>
  <c r="C41" i="172"/>
  <c r="C17" i="172"/>
  <c r="H112" i="172"/>
  <c r="D80" i="172"/>
  <c r="D11" i="172"/>
  <c r="E14" i="172"/>
  <c r="E8" i="172"/>
  <c r="F27" i="172"/>
  <c r="C60" i="172"/>
  <c r="G49" i="172"/>
  <c r="F39" i="172"/>
  <c r="C6" i="172"/>
  <c r="D75" i="172"/>
  <c r="D90" i="172"/>
  <c r="G84" i="172"/>
  <c r="E112" i="172"/>
  <c r="H101" i="172"/>
  <c r="D132" i="172"/>
  <c r="G27" i="172"/>
  <c r="E65" i="172"/>
  <c r="G130" i="172"/>
  <c r="H43" i="172"/>
  <c r="E18" i="172"/>
  <c r="H108" i="172"/>
  <c r="E45" i="172"/>
  <c r="C20" i="172"/>
  <c r="G118" i="172"/>
  <c r="E135" i="172"/>
  <c r="F23" i="172"/>
  <c r="E60" i="172"/>
  <c r="C77" i="172"/>
  <c r="F93" i="172"/>
  <c r="D73" i="172"/>
  <c r="G38" i="172"/>
  <c r="G142" i="172"/>
  <c r="D22" i="172"/>
  <c r="E114" i="172"/>
  <c r="H14" i="172"/>
  <c r="E38" i="172"/>
  <c r="H42" i="172"/>
  <c r="D99" i="172"/>
  <c r="G146" i="172"/>
  <c r="H28" i="172"/>
  <c r="F30" i="172"/>
  <c r="G76" i="172"/>
  <c r="F18" i="172"/>
  <c r="D45" i="172"/>
  <c r="H6" i="172"/>
  <c r="F116" i="172"/>
  <c r="D44" i="172"/>
  <c r="G21" i="172"/>
  <c r="E136" i="172"/>
  <c r="G144" i="172"/>
  <c r="G15" i="172"/>
  <c r="C43" i="172"/>
  <c r="F130" i="172"/>
  <c r="G36" i="172"/>
  <c r="F142" i="172"/>
  <c r="H64" i="172"/>
  <c r="F19" i="172"/>
  <c r="H124" i="172"/>
  <c r="G78" i="172"/>
  <c r="G70" i="172"/>
  <c r="F22" i="172"/>
  <c r="F122" i="172"/>
  <c r="H107" i="172"/>
  <c r="F86" i="172"/>
  <c r="F143" i="172"/>
  <c r="G145" i="172"/>
  <c r="E131" i="172"/>
  <c r="D106" i="172"/>
  <c r="C108" i="172"/>
  <c r="G59" i="172"/>
  <c r="G53" i="172"/>
  <c r="H73" i="172"/>
  <c r="G135" i="172"/>
  <c r="G80" i="172"/>
  <c r="C111" i="172"/>
  <c r="F35" i="172"/>
  <c r="D144" i="172"/>
  <c r="F128" i="172"/>
  <c r="E90" i="172"/>
  <c r="E5" i="172"/>
  <c r="C132" i="172"/>
  <c r="E15" i="172"/>
  <c r="D20" i="172"/>
  <c r="H82" i="172"/>
  <c r="D118" i="172"/>
  <c r="F134" i="172"/>
  <c r="D127" i="172"/>
  <c r="D77" i="172"/>
  <c r="G139" i="172"/>
  <c r="E17" i="172"/>
  <c r="D115" i="172"/>
  <c r="E34" i="172"/>
  <c r="D18" i="172"/>
  <c r="F100" i="172"/>
  <c r="H51" i="172"/>
  <c r="D79" i="172"/>
  <c r="H119" i="172"/>
  <c r="C74" i="172"/>
  <c r="D43" i="172"/>
  <c r="D14" i="172"/>
  <c r="D9" i="172"/>
  <c r="H29" i="172"/>
  <c r="G77" i="172"/>
  <c r="H98" i="172"/>
  <c r="H93" i="172"/>
  <c r="C66" i="172"/>
  <c r="G132" i="172"/>
  <c r="F69" i="172"/>
  <c r="E100" i="172"/>
  <c r="H9" i="172"/>
  <c r="F107" i="172"/>
  <c r="D64" i="172"/>
  <c r="D111" i="172"/>
  <c r="G16" i="172"/>
  <c r="E125" i="172"/>
  <c r="E19" i="172"/>
  <c r="E81" i="172"/>
  <c r="D136" i="172"/>
  <c r="F141" i="172"/>
  <c r="F44" i="172"/>
  <c r="F96" i="172"/>
  <c r="G141" i="172"/>
  <c r="D57" i="172"/>
  <c r="H26" i="172"/>
  <c r="E43" i="172"/>
  <c r="F45" i="172"/>
  <c r="D122" i="172"/>
  <c r="G103" i="172"/>
  <c r="E143" i="172"/>
  <c r="C142" i="172"/>
  <c r="G12" i="172"/>
  <c r="E88" i="172"/>
  <c r="F87" i="172"/>
  <c r="C57" i="172"/>
  <c r="C95" i="172"/>
  <c r="G61" i="172"/>
  <c r="C50" i="172"/>
  <c r="E75" i="172"/>
  <c r="F119" i="172"/>
  <c r="D93" i="172"/>
  <c r="G86" i="172"/>
  <c r="F66" i="172"/>
  <c r="D94" i="172"/>
  <c r="F108" i="172"/>
  <c r="E69" i="172"/>
  <c r="F102" i="172"/>
  <c r="H66" i="172"/>
  <c r="F12" i="172"/>
  <c r="H30" i="172"/>
  <c r="H79" i="172"/>
  <c r="E71" i="172"/>
  <c r="G96" i="172"/>
  <c r="G98" i="172"/>
  <c r="F82" i="172"/>
  <c r="G104" i="172"/>
  <c r="H40" i="172"/>
  <c r="E142" i="172"/>
  <c r="H19" i="172"/>
  <c r="G13" i="172"/>
  <c r="H39" i="172"/>
  <c r="D87" i="172"/>
  <c r="H56" i="172"/>
  <c r="D51" i="172"/>
  <c r="G17" i="172"/>
  <c r="H144" i="172"/>
  <c r="G47" i="172"/>
  <c r="D66" i="172"/>
  <c r="C58" i="172"/>
  <c r="H74" i="172"/>
  <c r="D97" i="172"/>
  <c r="C90" i="172"/>
  <c r="E31" i="172"/>
  <c r="G32" i="172"/>
  <c r="G113" i="172"/>
  <c r="D10" i="172"/>
  <c r="G50" i="172"/>
  <c r="H125" i="172"/>
  <c r="E72" i="172"/>
  <c r="D129" i="172"/>
  <c r="F105" i="172"/>
  <c r="G126" i="172"/>
  <c r="D7" i="172"/>
  <c r="G5" i="172"/>
  <c r="C120" i="172"/>
  <c r="E130" i="172"/>
  <c r="C48" i="172"/>
  <c r="E37" i="172"/>
  <c r="E48" i="172"/>
  <c r="G8" i="172"/>
  <c r="C114" i="172"/>
  <c r="H133" i="172"/>
  <c r="C83" i="172"/>
  <c r="E73" i="172"/>
  <c r="E78" i="172"/>
  <c r="E140" i="172"/>
  <c r="G95" i="172"/>
  <c r="G41" i="172"/>
  <c r="E59" i="172"/>
  <c r="H55" i="172"/>
  <c r="C33" i="172"/>
  <c r="G143" i="172"/>
  <c r="C85" i="172"/>
  <c r="C28" i="172"/>
  <c r="E144" i="172"/>
  <c r="E24" i="172"/>
  <c r="D103" i="172"/>
  <c r="D56" i="172"/>
  <c r="G108" i="172"/>
  <c r="D123" i="172"/>
  <c r="D29" i="172"/>
  <c r="E122" i="172"/>
  <c r="D135" i="172"/>
  <c r="G128" i="172"/>
  <c r="G100" i="172"/>
  <c r="F132" i="172"/>
  <c r="F56" i="172"/>
  <c r="F26" i="172"/>
  <c r="C13" i="172"/>
  <c r="D54" i="172"/>
  <c r="E86" i="172"/>
  <c r="D133" i="172"/>
  <c r="D23" i="172"/>
  <c r="H122" i="172"/>
  <c r="C76" i="172"/>
  <c r="D76" i="172"/>
  <c r="C53" i="172"/>
  <c r="D31" i="172"/>
  <c r="C65" i="172"/>
  <c r="H89" i="172"/>
  <c r="F106" i="172"/>
  <c r="F16" i="172"/>
  <c r="G73" i="172"/>
  <c r="C46" i="172"/>
  <c r="G121" i="172"/>
  <c r="F113" i="172"/>
  <c r="F97" i="172"/>
  <c r="F58" i="172"/>
  <c r="D91" i="172"/>
  <c r="H102" i="172"/>
  <c r="C123" i="172"/>
  <c r="E102" i="172"/>
  <c r="E118" i="172"/>
  <c r="H27" i="172"/>
  <c r="C11" i="172"/>
  <c r="H8" i="172"/>
  <c r="C32" i="172"/>
  <c r="D139" i="172"/>
  <c r="H76" i="172"/>
  <c r="H104" i="172"/>
  <c r="D15" i="172"/>
  <c r="C73" i="172"/>
  <c r="E119" i="172"/>
  <c r="E64" i="172"/>
  <c r="G66" i="172"/>
  <c r="C25" i="172"/>
  <c r="D145" i="172"/>
  <c r="G105" i="172"/>
  <c r="G52" i="172"/>
  <c r="D110" i="172"/>
  <c r="F53" i="172"/>
  <c r="G44" i="172"/>
  <c r="F81" i="172"/>
  <c r="D120" i="172"/>
  <c r="E123" i="172"/>
  <c r="G137" i="172"/>
  <c r="F104" i="172"/>
  <c r="G7" i="172"/>
  <c r="E13" i="172"/>
  <c r="E124" i="172"/>
  <c r="E23" i="172"/>
  <c r="E101" i="172"/>
  <c r="C36" i="172"/>
  <c r="D113" i="172"/>
  <c r="F9" i="172"/>
  <c r="G106" i="172"/>
  <c r="E79" i="172"/>
  <c r="H103" i="172"/>
  <c r="D48" i="172"/>
  <c r="D32" i="172"/>
  <c r="E95" i="172"/>
  <c r="C88" i="172"/>
  <c r="H7" i="172"/>
  <c r="F32" i="172"/>
  <c r="C118" i="172"/>
  <c r="C31" i="172"/>
  <c r="C126" i="172"/>
  <c r="H34" i="172"/>
  <c r="C131" i="172"/>
  <c r="F54" i="172"/>
  <c r="E137" i="172"/>
  <c r="F95" i="172"/>
  <c r="D100" i="172"/>
  <c r="C127" i="172"/>
  <c r="E46" i="172"/>
  <c r="C146" i="172"/>
  <c r="C91" i="172"/>
  <c r="H115" i="172"/>
  <c r="G64" i="172"/>
  <c r="F118" i="172"/>
  <c r="G56" i="172"/>
  <c r="G79" i="172"/>
  <c r="C133" i="172"/>
  <c r="D27" i="172"/>
  <c r="D33" i="172"/>
  <c r="H49" i="172"/>
  <c r="C116" i="172"/>
  <c r="D125" i="172"/>
  <c r="D85" i="172"/>
  <c r="E57" i="172"/>
  <c r="E87" i="172"/>
  <c r="D25" i="172"/>
  <c r="E67" i="172"/>
  <c r="E68" i="172"/>
  <c r="D138" i="172"/>
  <c r="H58" i="172"/>
  <c r="C27" i="172"/>
  <c r="F62" i="172"/>
  <c r="C23" i="172"/>
  <c r="G117" i="172"/>
  <c r="G112" i="172"/>
  <c r="G37" i="172"/>
  <c r="C109" i="172"/>
  <c r="C139" i="172"/>
  <c r="C5" i="172"/>
  <c r="H99" i="172"/>
  <c r="F145" i="172"/>
  <c r="C34" i="172"/>
  <c r="D5" i="172"/>
  <c r="C81" i="172"/>
  <c r="E44" i="172"/>
  <c r="E74" i="172"/>
  <c r="E50" i="172"/>
  <c r="F57" i="172"/>
  <c r="D88" i="172"/>
  <c r="G107" i="172"/>
  <c r="F7" i="172"/>
  <c r="E120" i="172"/>
  <c r="H61" i="172"/>
  <c r="C102" i="172"/>
  <c r="F78" i="172"/>
  <c r="F61" i="172"/>
  <c r="C97" i="172"/>
  <c r="E99" i="172"/>
  <c r="H126" i="172"/>
  <c r="F115" i="172"/>
  <c r="E26" i="172"/>
  <c r="H111" i="172"/>
  <c r="G120" i="172"/>
  <c r="C49" i="172"/>
  <c r="G25" i="172"/>
  <c r="G122" i="172"/>
  <c r="E12" i="172"/>
  <c r="G99" i="172"/>
  <c r="F117" i="172"/>
  <c r="F65" i="172"/>
  <c r="D13" i="172"/>
  <c r="C82" i="172"/>
  <c r="F6" i="172"/>
  <c r="G57" i="172"/>
  <c r="E91" i="172"/>
  <c r="D98" i="172"/>
  <c r="C117" i="172"/>
  <c r="D92" i="172"/>
  <c r="F40" i="172"/>
  <c r="E70" i="172"/>
  <c r="F146" i="172"/>
  <c r="C125" i="172"/>
  <c r="F52" i="172"/>
  <c r="H97" i="172"/>
  <c r="D69" i="172"/>
  <c r="E51" i="172"/>
  <c r="C52" i="172"/>
  <c r="H90" i="172"/>
  <c r="H20" i="172"/>
  <c r="E107" i="172"/>
  <c r="F74" i="172"/>
  <c r="D24" i="172"/>
  <c r="E108" i="172"/>
  <c r="E129" i="172"/>
  <c r="G60" i="172"/>
  <c r="F25" i="172"/>
  <c r="F71" i="172"/>
  <c r="G94" i="172"/>
  <c r="G115" i="172"/>
  <c r="C87" i="172"/>
  <c r="H44" i="172"/>
  <c r="C8" i="172"/>
  <c r="F17" i="172"/>
  <c r="H87" i="172"/>
  <c r="F139" i="172"/>
  <c r="D102" i="172"/>
  <c r="H72" i="172"/>
  <c r="G69" i="172"/>
  <c r="H78" i="172"/>
  <c r="H41" i="172"/>
  <c r="H32" i="172"/>
  <c r="D70" i="172"/>
  <c r="C63" i="172"/>
  <c r="F89" i="172"/>
  <c r="H22" i="172"/>
  <c r="C106" i="172"/>
  <c r="C138" i="172"/>
  <c r="H33" i="172"/>
  <c r="D101" i="172"/>
  <c r="E84" i="172"/>
  <c r="E146" i="172"/>
  <c r="D130" i="172"/>
  <c r="C9" i="172"/>
  <c r="G92" i="172"/>
  <c r="C45" i="172"/>
  <c r="H128" i="172"/>
  <c r="F24" i="172"/>
  <c r="E134" i="172"/>
  <c r="D41" i="172"/>
  <c r="D131" i="172"/>
  <c r="E111" i="172"/>
  <c r="H142" i="172"/>
  <c r="F14" i="172"/>
  <c r="D78" i="172"/>
  <c r="E133" i="172"/>
  <c r="H37" i="172"/>
  <c r="F90" i="172"/>
  <c r="G114" i="172"/>
  <c r="H141" i="172"/>
  <c r="F127" i="172"/>
  <c r="G127" i="172"/>
  <c r="H47" i="172"/>
  <c r="F112" i="172"/>
  <c r="D4" i="172"/>
  <c r="F136" i="172"/>
  <c r="F37" i="172"/>
  <c r="H100" i="172"/>
  <c r="E30" i="172"/>
  <c r="F125" i="172"/>
  <c r="F28" i="172"/>
  <c r="G11" i="172"/>
  <c r="E113" i="172"/>
  <c r="C134" i="172"/>
  <c r="D61" i="172"/>
  <c r="C72" i="172"/>
  <c r="C110" i="172"/>
  <c r="C64" i="172"/>
  <c r="D39" i="172"/>
  <c r="D107" i="172"/>
  <c r="F10" i="172"/>
  <c r="H146" i="172"/>
  <c r="H65" i="172"/>
  <c r="G20" i="172"/>
  <c r="F20" i="172"/>
  <c r="F135" i="172"/>
  <c r="H110" i="172"/>
  <c r="D47" i="172"/>
  <c r="H91" i="172"/>
  <c r="H106" i="172"/>
  <c r="F92" i="172"/>
  <c r="E56" i="172"/>
  <c r="C137" i="172"/>
  <c r="G124" i="172"/>
  <c r="F123" i="172"/>
  <c r="F38" i="172"/>
  <c r="E42" i="172"/>
  <c r="F99" i="172"/>
  <c r="C143" i="172"/>
  <c r="G65" i="172"/>
  <c r="E35" i="172"/>
  <c r="F129" i="172"/>
  <c r="C54" i="172"/>
  <c r="F114" i="172"/>
  <c r="G111" i="172"/>
  <c r="H38" i="172"/>
  <c r="C140" i="172"/>
  <c r="E109" i="172"/>
  <c r="C59" i="172"/>
  <c r="H57" i="172"/>
  <c r="E36" i="172"/>
  <c r="D81" i="172"/>
  <c r="G24" i="172"/>
  <c r="D82" i="172"/>
  <c r="D34" i="172"/>
  <c r="H50" i="172"/>
  <c r="D140" i="172"/>
  <c r="E28" i="172"/>
  <c r="F75" i="172"/>
  <c r="H118" i="172"/>
  <c r="C93" i="172"/>
  <c r="H121" i="172"/>
  <c r="F67" i="172"/>
  <c r="E6" i="172"/>
  <c r="C103" i="172"/>
  <c r="G45" i="172"/>
  <c r="E97" i="172"/>
  <c r="F109" i="172"/>
  <c r="H140" i="172"/>
  <c r="E21" i="172"/>
  <c r="G116" i="172"/>
  <c r="E61" i="172"/>
  <c r="G72" i="172"/>
  <c r="D63" i="172"/>
  <c r="C135" i="172"/>
  <c r="G42" i="172"/>
  <c r="C44" i="172"/>
  <c r="E53" i="172"/>
  <c r="F29" i="172"/>
  <c r="H15" i="172"/>
  <c r="C4" i="172"/>
  <c r="E126" i="172"/>
  <c r="F83" i="172"/>
  <c r="H25" i="172"/>
  <c r="F64" i="172"/>
  <c r="F73" i="172"/>
  <c r="F103" i="172"/>
  <c r="E27" i="172"/>
  <c r="G125" i="172"/>
  <c r="D52" i="172"/>
  <c r="H16" i="172"/>
  <c r="C145" i="172"/>
  <c r="C98" i="172"/>
  <c r="G68" i="172"/>
  <c r="E7" i="172"/>
  <c r="C22" i="172"/>
  <c r="H5" i="172"/>
  <c r="D128" i="172"/>
  <c r="C30" i="172"/>
  <c r="H48" i="172"/>
  <c r="G55" i="172"/>
  <c r="D38" i="172"/>
  <c r="H75" i="172"/>
  <c r="F124" i="172"/>
  <c r="G54" i="172"/>
  <c r="H135" i="172"/>
  <c r="G67" i="172"/>
  <c r="D71" i="172"/>
  <c r="F51" i="172"/>
  <c r="G14" i="172"/>
  <c r="G75" i="172"/>
  <c r="D134" i="172"/>
  <c r="G4" i="172"/>
  <c r="F131" i="172"/>
  <c r="E85" i="172"/>
  <c r="E76" i="172"/>
  <c r="G88" i="172"/>
  <c r="E62" i="172"/>
  <c r="F98" i="172"/>
  <c r="F121" i="172"/>
  <c r="C122" i="172"/>
  <c r="G35" i="172"/>
  <c r="H120" i="172"/>
  <c r="C24" i="172"/>
  <c r="F47" i="172"/>
  <c r="F48" i="172"/>
  <c r="F85" i="172"/>
  <c r="C62" i="172"/>
  <c r="D114" i="172"/>
  <c r="C115" i="172"/>
  <c r="D50" i="172"/>
  <c r="E55" i="172"/>
  <c r="E54" i="172"/>
  <c r="F5" i="172"/>
  <c r="H67" i="172"/>
  <c r="E105" i="172"/>
  <c r="H11" i="172"/>
  <c r="G83" i="172"/>
  <c r="H81" i="172"/>
  <c r="C56" i="172"/>
  <c r="C107" i="172"/>
  <c r="F46" i="172"/>
  <c r="C129" i="172"/>
  <c r="C26" i="172"/>
  <c r="E132" i="172"/>
  <c r="H31" i="172"/>
  <c r="H132" i="172"/>
  <c r="D121" i="172"/>
  <c r="C105" i="172"/>
  <c r="D40" i="172"/>
  <c r="F60" i="172"/>
  <c r="H145" i="172"/>
  <c r="H4" i="172"/>
  <c r="D58" i="172"/>
  <c r="C79" i="172"/>
  <c r="C94" i="172"/>
  <c r="D67" i="172"/>
  <c r="E141" i="172"/>
  <c r="H136" i="172"/>
  <c r="H94" i="172"/>
  <c r="C144" i="172"/>
  <c r="F77" i="172"/>
  <c r="H96" i="172"/>
  <c r="G63" i="172"/>
  <c r="H68" i="172"/>
  <c r="C42" i="172"/>
  <c r="H62" i="172"/>
  <c r="F126" i="172"/>
  <c r="C21" i="172"/>
  <c r="D109" i="172"/>
  <c r="F88" i="172"/>
  <c r="F137" i="172"/>
  <c r="E4" i="172"/>
  <c r="G101" i="172"/>
  <c r="D143" i="172"/>
  <c r="C70" i="172"/>
  <c r="H109" i="172"/>
  <c r="D62" i="172"/>
  <c r="F33" i="172"/>
  <c r="F4" i="172"/>
  <c r="C47" i="172"/>
  <c r="E11" i="172"/>
  <c r="C141" i="172"/>
  <c r="E92" i="172"/>
  <c r="F21" i="172"/>
  <c r="G51" i="172"/>
  <c r="C101" i="172"/>
  <c r="E80" i="172"/>
  <c r="C86" i="172"/>
  <c r="C124" i="172"/>
  <c r="H105" i="172"/>
  <c r="E115" i="172"/>
  <c r="E89" i="172"/>
  <c r="H130" i="172"/>
  <c r="C37" i="172"/>
  <c r="C18" i="172"/>
  <c r="E116" i="172"/>
  <c r="G34" i="172"/>
  <c r="F34" i="172"/>
  <c r="F41" i="172"/>
  <c r="G23" i="172"/>
  <c r="E10" i="172"/>
  <c r="G82" i="172"/>
  <c r="H86" i="172"/>
  <c r="C80" i="172"/>
  <c r="H45" i="172"/>
  <c r="E139" i="172"/>
  <c r="F120" i="172"/>
  <c r="G22" i="17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<sst xmlns="http://schemas.openxmlformats.org/spreadsheetml/2006/main" count="13132" uniqueCount="556">
  <si>
    <t>A1</t>
  </si>
  <si>
    <t>Monel K500</t>
  </si>
  <si>
    <t>ASTM A351 CF3M</t>
  </si>
  <si>
    <t>ASTM A182 F316L</t>
  </si>
  <si>
    <t>A1LN</t>
  </si>
  <si>
    <t>A1N</t>
  </si>
  <si>
    <t>ASTM A182 F60</t>
  </si>
  <si>
    <t>ASTM A182 F53</t>
  </si>
  <si>
    <t>A25N</t>
  </si>
  <si>
    <t>B1</t>
  </si>
  <si>
    <t>B10</t>
  </si>
  <si>
    <t>B1LN</t>
  </si>
  <si>
    <t>B1N</t>
  </si>
  <si>
    <t>D1N</t>
  </si>
  <si>
    <t>E1N</t>
  </si>
  <si>
    <t>F1N</t>
  </si>
  <si>
    <t>G1N</t>
  </si>
  <si>
    <t>D10</t>
  </si>
  <si>
    <t>D1LN</t>
  </si>
  <si>
    <t>E1</t>
  </si>
  <si>
    <t>E10</t>
  </si>
  <si>
    <t>E1LN</t>
  </si>
  <si>
    <t>F10</t>
  </si>
  <si>
    <t>F1LN</t>
  </si>
  <si>
    <t>G10</t>
  </si>
  <si>
    <t>G1LN</t>
  </si>
  <si>
    <t>F1</t>
  </si>
  <si>
    <t>D1</t>
  </si>
  <si>
    <t>B25N</t>
  </si>
  <si>
    <t>D25N</t>
  </si>
  <si>
    <t>Piping Class</t>
  </si>
  <si>
    <t>Size Range</t>
  </si>
  <si>
    <t>Valve type</t>
  </si>
  <si>
    <t>Service</t>
  </si>
  <si>
    <t>Valve Standard</t>
  </si>
  <si>
    <t>Pressure Class</t>
  </si>
  <si>
    <t>Corrosion Allowance</t>
  </si>
  <si>
    <t>Sour Service Requirements</t>
  </si>
  <si>
    <t>-</t>
  </si>
  <si>
    <t>End Connections</t>
  </si>
  <si>
    <t>Face to Face Dimension</t>
  </si>
  <si>
    <t>Construction</t>
  </si>
  <si>
    <t>Body</t>
  </si>
  <si>
    <t>Operation</t>
  </si>
  <si>
    <t xml:space="preserve">Material </t>
  </si>
  <si>
    <t>PTFE</t>
  </si>
  <si>
    <t>Inconel 750</t>
  </si>
  <si>
    <t>Gaskets</t>
  </si>
  <si>
    <t>Bolts</t>
  </si>
  <si>
    <t>Nuts</t>
  </si>
  <si>
    <t>Marking - Purchaser’s Specification</t>
  </si>
  <si>
    <t>Hard marked with Valve Type on a stainless steel label, attached using tamper resistant stainless steel fastener, and with Unique Valve Tag Number</t>
  </si>
  <si>
    <t>Marking – Manufacturer</t>
  </si>
  <si>
    <t>MSS-SP-25</t>
  </si>
  <si>
    <t>ASME B16.34, API 598</t>
  </si>
  <si>
    <t>Material Certification</t>
  </si>
  <si>
    <t>Pressure Retaining Parts EN 10204 3.2, Other parts EN 10204 3.1</t>
  </si>
  <si>
    <t>Fire Rating</t>
  </si>
  <si>
    <t>Finish</t>
  </si>
  <si>
    <t>Vendor Offer</t>
  </si>
  <si>
    <t>ASME B16.34 Class 150</t>
  </si>
  <si>
    <t>Flanged ASME B16.5 FF</t>
  </si>
  <si>
    <t>Note.</t>
  </si>
  <si>
    <t>ASME B16.34 Class 300</t>
  </si>
  <si>
    <t>ASME B16.34 Class 600</t>
  </si>
  <si>
    <t>ASME B16.34 Class 900</t>
  </si>
  <si>
    <t>Flanged ASME B16.5 RTJ</t>
  </si>
  <si>
    <t>ASME B16.34 Class 1500</t>
  </si>
  <si>
    <t>ASME B16.34 Class 2500</t>
  </si>
  <si>
    <t>Class 150</t>
  </si>
  <si>
    <t>Manufacturer Standard</t>
  </si>
  <si>
    <t>ASME B16.10</t>
  </si>
  <si>
    <t>Disc</t>
  </si>
  <si>
    <t>Seat</t>
  </si>
  <si>
    <t>1. This data sheet shall be completed and returned with the quotation. Failure to return the completed data sheet will deem the offer technically not acceptable.</t>
  </si>
  <si>
    <t>Spring</t>
  </si>
  <si>
    <t>ASTM A350 LF2</t>
  </si>
  <si>
    <t>Horizontal and vertical upward flow</t>
  </si>
  <si>
    <t>2" - 24"</t>
  </si>
  <si>
    <t>API 594</t>
  </si>
  <si>
    <t>Forged - ASTM A182 F53</t>
  </si>
  <si>
    <t>Spring assisted for horizontal and vertical upward flow</t>
  </si>
  <si>
    <t xml:space="preserve">ASTM A352 LCC </t>
  </si>
  <si>
    <t>ASTM A105N</t>
  </si>
  <si>
    <t>VDS No</t>
  </si>
  <si>
    <t xml:space="preserve">3" - 24" </t>
  </si>
  <si>
    <t xml:space="preserve">2" - 16" </t>
  </si>
  <si>
    <t>1/2" - 1 1/2"</t>
  </si>
  <si>
    <t xml:space="preserve">2" - 8" </t>
  </si>
  <si>
    <t>A2N</t>
  </si>
  <si>
    <t>3 mm</t>
  </si>
  <si>
    <t>6 mm</t>
  </si>
  <si>
    <t>NIL</t>
  </si>
  <si>
    <t>API 594 Type A</t>
  </si>
  <si>
    <t>ASTM A105N (1.5” and below), ASTM A216 WCB (2” &amp; Above)</t>
  </si>
  <si>
    <t>ASTM A 193 GR B7M, XYLAR 2 + XYLAN 1070</t>
  </si>
  <si>
    <t>ASTM A 194 GR 2HM, XYLAR 2 + XYLAN 1070</t>
  </si>
  <si>
    <r>
      <t>Body</t>
    </r>
    <r>
      <rPr>
        <sz val="9"/>
        <color theme="0"/>
        <rFont val="Arial"/>
        <family val="2"/>
      </rPr>
      <t xml:space="preserve"> Material</t>
    </r>
  </si>
  <si>
    <r>
      <t>Disc</t>
    </r>
    <r>
      <rPr>
        <sz val="9"/>
        <color theme="0"/>
        <rFont val="Arial"/>
        <family val="2"/>
      </rPr>
      <t xml:space="preserve"> Material</t>
    </r>
  </si>
  <si>
    <r>
      <t>Trim</t>
    </r>
    <r>
      <rPr>
        <sz val="9"/>
        <color theme="0"/>
        <rFont val="Arial"/>
        <family val="2"/>
      </rPr>
      <t xml:space="preserve"> Material</t>
    </r>
  </si>
  <si>
    <r>
      <t>Seat</t>
    </r>
    <r>
      <rPr>
        <sz val="9"/>
        <color theme="0"/>
        <rFont val="Arial"/>
        <family val="2"/>
      </rPr>
      <t xml:space="preserve"> Material</t>
    </r>
  </si>
  <si>
    <r>
      <t xml:space="preserve">Seal </t>
    </r>
    <r>
      <rPr>
        <sz val="9"/>
        <color theme="0"/>
        <rFont val="Arial"/>
        <family val="2"/>
      </rPr>
      <t>Material</t>
    </r>
  </si>
  <si>
    <t>Integral Flanged, Bolted Cover</t>
  </si>
  <si>
    <t>Integral Flanged End, Bolted Cover, Integral Hinge</t>
  </si>
  <si>
    <t>3. Hydrostatic shell test pressure shall be 1.5 times of Max. design pressure, and hydraulic seat test shall be 1.1 times of Max. design pressure for seats.</t>
  </si>
  <si>
    <t>NACE MR0175 /ISO 15156-1/2/3, SSC Region 3, Non-exposed, internal only</t>
  </si>
  <si>
    <t>ASTM B148 C95800</t>
  </si>
  <si>
    <t>ASTM B148 C95800, 5% Ni-Al Bronze BS1400 AB2C</t>
  </si>
  <si>
    <r>
      <t>Cover</t>
    </r>
    <r>
      <rPr>
        <sz val="9"/>
        <color theme="0"/>
        <rFont val="Arial"/>
        <family val="2"/>
      </rPr>
      <t xml:space="preserve"> Material</t>
    </r>
  </si>
  <si>
    <t>Spring assisted Dual plate, Hard Faced</t>
  </si>
  <si>
    <t>Spring assisted piston type</t>
  </si>
  <si>
    <t>Swing type</t>
  </si>
  <si>
    <t>Forged - ASTM A182 F53, Hard Faced</t>
  </si>
  <si>
    <t>Forged ASTM A182 F316, Stellite Hard Faced</t>
  </si>
  <si>
    <t xml:space="preserve">Swing type, Full hard faced </t>
  </si>
  <si>
    <t>Spring assisted piston type, Full hard faced</t>
  </si>
  <si>
    <t>Forged - ASTM A182 F60</t>
  </si>
  <si>
    <t>Forged - ASTM A182 F316L</t>
  </si>
  <si>
    <t>Forged - ASTM A182 F316</t>
  </si>
  <si>
    <t>Metal to metal, Renewable seat ring</t>
  </si>
  <si>
    <t>Spring assisted Metal to metal, Renewable Seat Ring</t>
  </si>
  <si>
    <t>6. Valve shall be in accordance with NACE MR0175 /ISO 15156-1/2/3.</t>
  </si>
  <si>
    <t>Forged - ASTM A182 F316L, Stellite Hard Faced</t>
  </si>
  <si>
    <t xml:space="preserve">  </t>
  </si>
  <si>
    <t>SDSS - UNS S32750, Forged - ASTM A182 F53 (1.5” and below), Cast - ASTM A995 5A UNS J93404 (2” and above)</t>
  </si>
  <si>
    <t>DSS - UNS S32205,  Forged - ASTM A182 F60 (1.5” and below)</t>
  </si>
  <si>
    <t>SDSS - UNS S32750, Forged - ASTM A182 F53</t>
  </si>
  <si>
    <t xml:space="preserve">Rev No : </t>
  </si>
  <si>
    <t xml:space="preserve">Doc. No : </t>
  </si>
  <si>
    <t>Page No.:</t>
  </si>
  <si>
    <t>CHECK VALVE DATASHEET</t>
  </si>
  <si>
    <t>B2N</t>
  </si>
  <si>
    <t>D2N</t>
  </si>
  <si>
    <t>E2N</t>
  </si>
  <si>
    <t>F2N</t>
  </si>
  <si>
    <t>G2N</t>
  </si>
  <si>
    <t>DSS - UNS S32205,  Forged - ASTM A182 F60 (1.5” and below), Cast - A995 4A UNS J92205 (2” &amp; Above)</t>
  </si>
  <si>
    <t>Design Pressure</t>
  </si>
  <si>
    <t>Hydrotest Shell Test Pressure</t>
  </si>
  <si>
    <t>Hydrotest Closure Test Pressure</t>
  </si>
  <si>
    <t>Pneumatic LP Test Pressure</t>
  </si>
  <si>
    <t>As per API 598</t>
  </si>
  <si>
    <t>Leakage Rate</t>
  </si>
  <si>
    <t>Inspection – Testing</t>
  </si>
  <si>
    <t>Forged - ASTM A182 F53, Stellite Hard faced</t>
  </si>
  <si>
    <t>Forged - ASTM A182 F60, Stellite Hard faced</t>
  </si>
  <si>
    <t>Forged - ASTM A105N</t>
  </si>
  <si>
    <t>Forged - ASTM A182 F316, Stellite Hard Faced</t>
  </si>
  <si>
    <t>Forged - ASTM A350 LF2</t>
  </si>
  <si>
    <t>Forged - ASTM A182 F53, Stellite Hard Faced</t>
  </si>
  <si>
    <t>Forged - ASTM A182 F60, Stellite Hard Faced</t>
  </si>
  <si>
    <t>Check Valve, Piston Type</t>
  </si>
  <si>
    <t>Check Valve, Swing type</t>
  </si>
  <si>
    <t>Monel K500, hard faced</t>
  </si>
  <si>
    <t>API 602 / BS EN ISO 15761/ BS 1868</t>
  </si>
  <si>
    <t>BS EN ISO 15761/ API 602/ API 594/ BS 1868</t>
  </si>
  <si>
    <t>2" - 12"</t>
  </si>
  <si>
    <t>API 607 / API 6FA / BS EN ISO 10497</t>
  </si>
  <si>
    <t>Viton AED</t>
  </si>
  <si>
    <t>Forged ASTM A182 F316L, Stellite Hard Faced</t>
  </si>
  <si>
    <t>Hinge/ Hinge Pin</t>
  </si>
  <si>
    <t>ASTM A105N/ ASTM A216 WCB (2” &amp; Above)</t>
  </si>
  <si>
    <t>DSS - UNS S32205,  Forged - ASTM A182 F60 / Cast - A995 4A UNS J92205 (2” &amp; Above)</t>
  </si>
  <si>
    <t>4. Flow direction shall be marked on Valve Body.</t>
  </si>
  <si>
    <t>5. All stud bolts and nuts shall be XYLAR 2 + XYLAN 1070 coated with minimum combined thickness of 50μm.</t>
  </si>
  <si>
    <t>Wafer Lugged to suit ASME B16.5 RF Flanges</t>
  </si>
  <si>
    <t xml:space="preserve">2" - 20" </t>
  </si>
  <si>
    <t>2" - 18"</t>
  </si>
  <si>
    <t>2" - 8"</t>
  </si>
  <si>
    <t>G1</t>
  </si>
  <si>
    <t>Glycol, FG, HC service</t>
  </si>
  <si>
    <t>Corrosive HC service</t>
  </si>
  <si>
    <t>Flare, Corrosive HC service (Low Temp)</t>
  </si>
  <si>
    <t>Corrosive HC service (Low Temp)</t>
  </si>
  <si>
    <t>Gas Lift, Corrosive HC service (Low Temp)</t>
  </si>
  <si>
    <t>A2LN</t>
  </si>
  <si>
    <t>B2LN</t>
  </si>
  <si>
    <t>D2LN</t>
  </si>
  <si>
    <t>E2LN</t>
  </si>
  <si>
    <t>F2LN</t>
  </si>
  <si>
    <t>G2LN</t>
  </si>
  <si>
    <t>A10N</t>
  </si>
  <si>
    <t>Glycol, Corrosive HC service</t>
  </si>
  <si>
    <t>B10N</t>
  </si>
  <si>
    <t>D10N</t>
  </si>
  <si>
    <t>E10N</t>
  </si>
  <si>
    <t>F10N</t>
  </si>
  <si>
    <t>G10N</t>
  </si>
  <si>
    <t>A20N</t>
  </si>
  <si>
    <t>B20N</t>
  </si>
  <si>
    <t>D20N</t>
  </si>
  <si>
    <t>E20N</t>
  </si>
  <si>
    <t>F20N</t>
  </si>
  <si>
    <t>G20N</t>
  </si>
  <si>
    <t>E25N</t>
  </si>
  <si>
    <t>F25N</t>
  </si>
  <si>
    <t>G25N</t>
  </si>
  <si>
    <t>ASTM A 194 Gr. 2HM, XYLAR 2 + XYLAN 1070 coated with minimum combined thickness of 50μm</t>
  </si>
  <si>
    <t>ASME B 16.20, 4.5mm, SS316/SS316L Spiral Wound with Flexible Graphite (F.G.) filler</t>
  </si>
  <si>
    <t>ASME B 16.20, OCT ring of Soft Iron with Max. Hardness of 90 BHN, HDG</t>
  </si>
  <si>
    <t>ASTM A 194 Gr. 7ML, XYLAR 2 + XYLAN 1070 coated with minimum combined thickness of 50μm</t>
  </si>
  <si>
    <t>ASME B 16.20, 4.5 mm, SS316/SS316L Spiral Wound with Flexible Graphite (F.G.) filler</t>
  </si>
  <si>
    <t>ASME B 16.20, OCT Ring of Soft Iron with Max. Hardness 90 BHN</t>
  </si>
  <si>
    <t>ASME B 16.20, OCT ring of SS316L with Max. Hardness of 160 BHN</t>
  </si>
  <si>
    <t>ASME B 16.20, 4.5mm, DSS UNS S31803 Spiral Wound with Flexible Graphite (F.G.) filler</t>
  </si>
  <si>
    <t>ASME B 16.20, OCT ring of UNS S 31803 with Max. Hardness of 22 HRC</t>
  </si>
  <si>
    <t>ASME B 16.20, 4.5mm, DSS UNS S32750 Spiral Wound with Flexible Graphite (F.G.) filler</t>
  </si>
  <si>
    <t>ASME B 16.20, OCT ring of UNS S 332750 with Max. Hardness of 22 HRC</t>
  </si>
  <si>
    <t>ASTM A 193 Gr. B7M, XYLAR 2 + XYLAN 1070 coated with minimum combined thickness of 50μm</t>
  </si>
  <si>
    <t>EPDM Rubber Full Face Gasket with SS insert Shore A Hardness 70 ± 5, #150 (e.g. Kroll &amp; Ziller G-ST/PS )</t>
  </si>
  <si>
    <t>ASTM A 320 Gr. L7M, XYLAR 2 + XYLAN 1070 coated with minimum combined thickness of 50μm</t>
  </si>
  <si>
    <t>5.5 barg</t>
  </si>
  <si>
    <t>CHPA1R</t>
  </si>
  <si>
    <t>CHPB1R</t>
  </si>
  <si>
    <t>CHPD1R</t>
  </si>
  <si>
    <t>CHPE1J</t>
  </si>
  <si>
    <t>CHPA2NR</t>
  </si>
  <si>
    <t>CHPB2NR</t>
  </si>
  <si>
    <t>CHPD2NR</t>
  </si>
  <si>
    <t>CHPE2NJ</t>
  </si>
  <si>
    <t>CHPF2NJ</t>
  </si>
  <si>
    <t>CHPG2NJ</t>
  </si>
  <si>
    <t>CHPA1LNR</t>
  </si>
  <si>
    <t>CHPB1LNR</t>
  </si>
  <si>
    <t>CHPD1LNR</t>
  </si>
  <si>
    <t>CHPE1LNJ</t>
  </si>
  <si>
    <t>CHPF1LNJ</t>
  </si>
  <si>
    <t>CHPG1LNJ</t>
  </si>
  <si>
    <t>CHPA1NR</t>
  </si>
  <si>
    <t>CHPB1NR</t>
  </si>
  <si>
    <t>CHPD1NR</t>
  </si>
  <si>
    <t>CHPE1NJ</t>
  </si>
  <si>
    <t>CHPF1NJ</t>
  </si>
  <si>
    <t>CHPG1NJ</t>
  </si>
  <si>
    <t>CHPA2LNR</t>
  </si>
  <si>
    <t>CHPB2LNR</t>
  </si>
  <si>
    <t>CHPD2LNR</t>
  </si>
  <si>
    <t>CHPE2LNJ</t>
  </si>
  <si>
    <t>CHPF2LNJ</t>
  </si>
  <si>
    <t>CHPG2LNJ</t>
  </si>
  <si>
    <t>CHPA10NR</t>
  </si>
  <si>
    <t>CHPB10NR</t>
  </si>
  <si>
    <t>CHPD10NR</t>
  </si>
  <si>
    <t>CHPE10NJ</t>
  </si>
  <si>
    <t>CHPF10NJ</t>
  </si>
  <si>
    <t>CHPG10NJ</t>
  </si>
  <si>
    <t>CHPA10R</t>
  </si>
  <si>
    <t>CHPB10R</t>
  </si>
  <si>
    <t>CHPD10R</t>
  </si>
  <si>
    <t>CHPE10J</t>
  </si>
  <si>
    <t>CHPA20NR</t>
  </si>
  <si>
    <t>CHPB20NR</t>
  </si>
  <si>
    <t>CHPD20NR</t>
  </si>
  <si>
    <t>CHPE20NJ</t>
  </si>
  <si>
    <t>CHPF20NJ</t>
  </si>
  <si>
    <t>CHPG20NJ</t>
  </si>
  <si>
    <t>CHPA25NR</t>
  </si>
  <si>
    <t>CHPB25NR</t>
  </si>
  <si>
    <t>CHPD25NR</t>
  </si>
  <si>
    <t>ASTM A105N (1.5” and below), ASTM A105N/ASTM A216 WCB (2” &amp; Above)</t>
  </si>
  <si>
    <t>Flanged ASME B16.5 RF</t>
  </si>
  <si>
    <t>Check Valve, Dual Plate, Wafer Threaded lug type</t>
  </si>
  <si>
    <t>Wafer Type, Solid Fully Lugged, Threaded Lug, Retainerless</t>
  </si>
  <si>
    <t>CHPF10J</t>
  </si>
  <si>
    <t>CHPG10J</t>
  </si>
  <si>
    <t>CHPE25NR</t>
  </si>
  <si>
    <t>CHPF25NR</t>
  </si>
  <si>
    <t>CHPG25NR</t>
  </si>
  <si>
    <t>Forged ASTM A182 F316</t>
  </si>
  <si>
    <t>Forged ASTM A182 F316L</t>
  </si>
  <si>
    <t>CSWA1R</t>
  </si>
  <si>
    <t>CSWB1R</t>
  </si>
  <si>
    <t>CSWD1R</t>
  </si>
  <si>
    <t>CSWE1J</t>
  </si>
  <si>
    <t>CSWF1J</t>
  </si>
  <si>
    <t>CSWG1J</t>
  </si>
  <si>
    <t>CSWA2NR</t>
  </si>
  <si>
    <t>CSWB2NR</t>
  </si>
  <si>
    <t>CSWD2NR</t>
  </si>
  <si>
    <t>CSWE2NJ</t>
  </si>
  <si>
    <t>CSWF2NJ</t>
  </si>
  <si>
    <t>CSWG2NJ</t>
  </si>
  <si>
    <t>CSWA1LNR</t>
  </si>
  <si>
    <t>CSWB1LNR</t>
  </si>
  <si>
    <t>CSWD1LNR</t>
  </si>
  <si>
    <t>CSWE1LNJ</t>
  </si>
  <si>
    <t>CSWF1LNJ</t>
  </si>
  <si>
    <t>CSWG1LNJ</t>
  </si>
  <si>
    <t>CSWA1NR</t>
  </si>
  <si>
    <t>CSWB1NR</t>
  </si>
  <si>
    <t>CSWD1NR</t>
  </si>
  <si>
    <t>CSWE1NJ</t>
  </si>
  <si>
    <t>CSWF1NJ</t>
  </si>
  <si>
    <t>CSWG1NJ</t>
  </si>
  <si>
    <t>CSWA2LNR</t>
  </si>
  <si>
    <t>CSWB2LNR</t>
  </si>
  <si>
    <t>CSWD2LNR</t>
  </si>
  <si>
    <t>CSWE2LNJ</t>
  </si>
  <si>
    <t>CSWF2LNJ</t>
  </si>
  <si>
    <t>CSWG2LNJ</t>
  </si>
  <si>
    <t>CSWA10R</t>
  </si>
  <si>
    <t>CSWB10R</t>
  </si>
  <si>
    <t>CSWD10R</t>
  </si>
  <si>
    <t>CSWE10J</t>
  </si>
  <si>
    <t>CSWF10J</t>
  </si>
  <si>
    <t>CSWG10J</t>
  </si>
  <si>
    <t>CSWA10NR</t>
  </si>
  <si>
    <t>CSWB10NR</t>
  </si>
  <si>
    <t>CSWD10NR</t>
  </si>
  <si>
    <t>CSWE10NJ</t>
  </si>
  <si>
    <t>CSWF10NJ</t>
  </si>
  <si>
    <t>CSWG10NJ</t>
  </si>
  <si>
    <t>CSWA20NR</t>
  </si>
  <si>
    <t>CSWB20NR</t>
  </si>
  <si>
    <t>CSWD20NR</t>
  </si>
  <si>
    <t>CSWE20NJ</t>
  </si>
  <si>
    <t>CSWF20NJ</t>
  </si>
  <si>
    <t>CSWG20NJ</t>
  </si>
  <si>
    <t>CSWA25NR</t>
  </si>
  <si>
    <t>CSWB25NR</t>
  </si>
  <si>
    <t>CSWD25NR</t>
  </si>
  <si>
    <t>CSWE25NR</t>
  </si>
  <si>
    <t>CSWF25NR</t>
  </si>
  <si>
    <t>CSWG25NR</t>
  </si>
  <si>
    <t>646.35 barg</t>
  </si>
  <si>
    <t>473.99 barg</t>
  </si>
  <si>
    <t>387.9 barg</t>
  </si>
  <si>
    <t>284.46 barg</t>
  </si>
  <si>
    <t>232.65 barg</t>
  </si>
  <si>
    <t>170.61 barg</t>
  </si>
  <si>
    <t>155.1 barg</t>
  </si>
  <si>
    <t>113.74 barg</t>
  </si>
  <si>
    <t>77.55 barg</t>
  </si>
  <si>
    <t>56.87 barg</t>
  </si>
  <si>
    <t>30 barg</t>
  </si>
  <si>
    <t>22 barg</t>
  </si>
  <si>
    <t>517.05 barg</t>
  </si>
  <si>
    <t>379.17 barg</t>
  </si>
  <si>
    <t>310.2 barg</t>
  </si>
  <si>
    <t>227.48 barg</t>
  </si>
  <si>
    <t>186.15 barg</t>
  </si>
  <si>
    <t>136.51 barg</t>
  </si>
  <si>
    <t>124.05 barg</t>
  </si>
  <si>
    <t>90.97 barg</t>
  </si>
  <si>
    <t>62.1 barg</t>
  </si>
  <si>
    <t>45.54 barg</t>
  </si>
  <si>
    <t>23.85 barg</t>
  </si>
  <si>
    <t>17.49 barg</t>
  </si>
  <si>
    <t>638.25 barg</t>
  </si>
  <si>
    <t>468.05 barg</t>
  </si>
  <si>
    <t>382.95 barg</t>
  </si>
  <si>
    <t>280.83 barg</t>
  </si>
  <si>
    <t>229.8 barg</t>
  </si>
  <si>
    <t>168.52 barg</t>
  </si>
  <si>
    <t>153.15 barg</t>
  </si>
  <si>
    <t>112.31 barg</t>
  </si>
  <si>
    <t>76.65 barg</t>
  </si>
  <si>
    <t>56.21 barg</t>
  </si>
  <si>
    <t>29.4 barg</t>
  </si>
  <si>
    <t>21.56 barg</t>
  </si>
  <si>
    <t>ASTM A 453 Gr. 660</t>
  </si>
  <si>
    <t>A3, A4, A5, A6, A10</t>
  </si>
  <si>
    <t>CDPA1R</t>
  </si>
  <si>
    <t>CDPB1R</t>
  </si>
  <si>
    <t>CDPD1R</t>
  </si>
  <si>
    <t>CDPF1R</t>
  </si>
  <si>
    <t>CDPG1R</t>
  </si>
  <si>
    <t>CDPA2NR</t>
  </si>
  <si>
    <t>CDPB2NR</t>
  </si>
  <si>
    <t>CDPA1LNR</t>
  </si>
  <si>
    <t>CDPB1LNR</t>
  </si>
  <si>
    <t>CDPD1LNR</t>
  </si>
  <si>
    <t>CDPE1LNR</t>
  </si>
  <si>
    <t>CDPF1LNR</t>
  </si>
  <si>
    <t>CDPG1LNR</t>
  </si>
  <si>
    <t>CDPA1NR</t>
  </si>
  <si>
    <t>CDPB1NR</t>
  </si>
  <si>
    <t>CDPG1NR</t>
  </si>
  <si>
    <t>CDPA2LNR</t>
  </si>
  <si>
    <t>CDPB2LNR</t>
  </si>
  <si>
    <t>CDPD2LNR</t>
  </si>
  <si>
    <t>CDPE2LNR</t>
  </si>
  <si>
    <t>CDPF2LNR</t>
  </si>
  <si>
    <t>CDPG2LNR</t>
  </si>
  <si>
    <t>CDPA10R</t>
  </si>
  <si>
    <t>CDPB10NR</t>
  </si>
  <si>
    <t>CDPD10NR</t>
  </si>
  <si>
    <t>CDPB20NR</t>
  </si>
  <si>
    <t>CSWA25R</t>
  </si>
  <si>
    <t>A25</t>
  </si>
  <si>
    <t>CHPA25R</t>
  </si>
  <si>
    <t>G25</t>
  </si>
  <si>
    <t>CSWG25R</t>
  </si>
  <si>
    <t>CHPG25R</t>
  </si>
  <si>
    <t>Topside Seawater and Water Injection</t>
  </si>
  <si>
    <t>CHPA30F</t>
  </si>
  <si>
    <t>A30, A40, A41, A42</t>
  </si>
  <si>
    <t>CSWA30F</t>
  </si>
  <si>
    <t>CHPA31F</t>
  </si>
  <si>
    <t>A31</t>
  </si>
  <si>
    <t>Brazed with 100mm Nipples on both sides</t>
  </si>
  <si>
    <t>ASTM B61 UNS C92200</t>
  </si>
  <si>
    <t>Forged - ASTM B61</t>
  </si>
  <si>
    <t>Forged - ASTM B124 UNS NO C 37700</t>
  </si>
  <si>
    <t>ASTM B124 UNS NO C 37700</t>
  </si>
  <si>
    <t>23.5 barg</t>
  </si>
  <si>
    <t>17.3 barg</t>
  </si>
  <si>
    <t>CSWA31F</t>
  </si>
  <si>
    <t>2" - 4"</t>
  </si>
  <si>
    <t>Sheet Index</t>
  </si>
  <si>
    <t>S. No</t>
  </si>
  <si>
    <t>VDS</t>
  </si>
  <si>
    <t>Trim Material</t>
  </si>
  <si>
    <t>Seat Material</t>
  </si>
  <si>
    <t>Page No</t>
  </si>
  <si>
    <t>CHECK VALVE</t>
  </si>
  <si>
    <t>Flanged ASME B16.5 RTJ / Compact Flange / Hub Connector (As per PMS)</t>
  </si>
  <si>
    <t>SL No.</t>
  </si>
  <si>
    <t>SPEC</t>
  </si>
  <si>
    <t>RATING</t>
  </si>
  <si>
    <t>ASME MATERIAL GROUP</t>
  </si>
  <si>
    <t>PIPE MATERIAL</t>
  </si>
  <si>
    <t>CORROSION ALLOWANCE</t>
  </si>
  <si>
    <t>SERVICE</t>
  </si>
  <si>
    <t>Sheet No.</t>
  </si>
  <si>
    <t>150#</t>
  </si>
  <si>
    <t>CS</t>
  </si>
  <si>
    <r>
      <t>Cooling Water, Diesel, Steam,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Fresh Water, Hydraulic, Nitrogen, Exhaust, Fuel Oil, Tank Air Vent</t>
    </r>
  </si>
  <si>
    <t>19.6 @ -29°C</t>
  </si>
  <si>
    <t>13.8 @ 200°C</t>
  </si>
  <si>
    <t>300#</t>
  </si>
  <si>
    <r>
      <t>Cooling Water, 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</si>
  <si>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51.1 @ -29°C</t>
  </si>
  <si>
    <t>43.8 @ 200°C</t>
  </si>
  <si>
    <t>600#</t>
  </si>
  <si>
    <t>102.1 @ -29°C</t>
  </si>
  <si>
    <t>87.6 @ 200°C</t>
  </si>
  <si>
    <t>900#</t>
  </si>
  <si>
    <r>
      <t>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</si>
  <si>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153.2 @ -29°C</t>
  </si>
  <si>
    <t>131.4 @ 200°C</t>
  </si>
  <si>
    <t>1500#</t>
  </si>
  <si>
    <t>255.3 @ -29°C</t>
  </si>
  <si>
    <t>219 @ 200°C</t>
  </si>
  <si>
    <t>2500#</t>
  </si>
  <si>
    <t>HC with low CO2 and H2S, Steam, Hydraulic</t>
  </si>
  <si>
    <t>399.8 @ -29°C</t>
  </si>
  <si>
    <t>342.9 @ 200°C</t>
  </si>
  <si>
    <t>CS NACE</t>
  </si>
  <si>
    <t>13.8 @ 250°C</t>
  </si>
  <si>
    <t>43.8 @ 250°C</t>
  </si>
  <si>
    <t>87.6 @ 250°C</t>
  </si>
  <si>
    <t>131.4 @ 250°C</t>
  </si>
  <si>
    <t>A2</t>
  </si>
  <si>
    <t>Crude Oil</t>
  </si>
  <si>
    <t>LTCS NACE</t>
  </si>
  <si>
    <t>19.6 @ -45°C</t>
  </si>
  <si>
    <t>51.1 @ -45°C</t>
  </si>
  <si>
    <t>102.1 @ -45°C</t>
  </si>
  <si>
    <t>153.2 @ -45°C</t>
  </si>
  <si>
    <t>255.3 @ -45°C</t>
  </si>
  <si>
    <t>A3</t>
  </si>
  <si>
    <t>CS GALV (Valve: SS)</t>
  </si>
  <si>
    <t>Utility Water</t>
  </si>
  <si>
    <t>19 @ -29°C</t>
  </si>
  <si>
    <t xml:space="preserve"> 16.2 @ 100°C</t>
  </si>
  <si>
    <t>A4</t>
  </si>
  <si>
    <t>1.5 mm</t>
  </si>
  <si>
    <t>Bilge, drain, sewage, produced water, C02 Gas</t>
  </si>
  <si>
    <t>B4</t>
  </si>
  <si>
    <t>D4</t>
  </si>
  <si>
    <t>A5</t>
  </si>
  <si>
    <t>CS GALV</t>
  </si>
  <si>
    <t>Chemical (penetration), Firewater (penetration), Seawater (penetration), Ballast, Inert Gas, COW/Tank Cleaning, Slop, Stripping, Seawater</t>
  </si>
  <si>
    <t>A6</t>
  </si>
  <si>
    <t>CS - Epoxy Lined</t>
  </si>
  <si>
    <t>Ballast, Inert Gas, COW/Tank Cleaning, Slop, Seawater, Firewater</t>
  </si>
  <si>
    <t>SS316L</t>
  </si>
  <si>
    <t>15.9 @ -100°C</t>
  </si>
  <si>
    <t>11.2 @ 200°C</t>
  </si>
  <si>
    <t>Air, Nitrogen, Lube oil, Chemical, Foam, Hydraulic, Instrument Air, Diesel Fuel</t>
  </si>
  <si>
    <t>41.4 @ -100°C</t>
  </si>
  <si>
    <t>29.2 @ 200°C</t>
  </si>
  <si>
    <t>Air, Nitrogen, Lube oil, Chemical, Hydraulic</t>
  </si>
  <si>
    <t>82.7 @ -100°C</t>
  </si>
  <si>
    <t>58.3 @ 200°C</t>
  </si>
  <si>
    <t>124.1 @ -100°C</t>
  </si>
  <si>
    <t>87.5 @ 200°C</t>
  </si>
  <si>
    <t>206.8 @ -100°C</t>
  </si>
  <si>
    <t>145.8 @ 200°C</t>
  </si>
  <si>
    <t>344.7 @ -100°C</t>
  </si>
  <si>
    <t>243 @ 200°C</t>
  </si>
  <si>
    <t>SS316L NACE</t>
  </si>
  <si>
    <t>DSS NACE</t>
  </si>
  <si>
    <t>20 @ -46°C</t>
  </si>
  <si>
    <t>51.7 @ -46°C</t>
  </si>
  <si>
    <t>42.7 @ 200°C</t>
  </si>
  <si>
    <t>103.4 @ -46°C</t>
  </si>
  <si>
    <t>85.3 @ 200°C</t>
  </si>
  <si>
    <t>155.1 @ -46°C</t>
  </si>
  <si>
    <t>128 @ 200°C</t>
  </si>
  <si>
    <t>258.6 @ -46°C</t>
  </si>
  <si>
    <t>213.3 @ 200°C</t>
  </si>
  <si>
    <t>430.9 @ -46°C</t>
  </si>
  <si>
    <t>355.4 @ 200°C</t>
  </si>
  <si>
    <t>SDSS</t>
  </si>
  <si>
    <t>Firewater, Raw Seawater and Topsides Seawater</t>
  </si>
  <si>
    <t>SDSS NACE</t>
  </si>
  <si>
    <t>EEMUA 20 bar</t>
  </si>
  <si>
    <t>CuNi (Valve: NAB)</t>
  </si>
  <si>
    <t>20 @ 0°C</t>
  </si>
  <si>
    <t>17.3 @ 100°C</t>
  </si>
  <si>
    <t>Copper</t>
  </si>
  <si>
    <t>Potable Water</t>
  </si>
  <si>
    <t>A40</t>
  </si>
  <si>
    <t>GRE (Valve: NAB)</t>
  </si>
  <si>
    <t>Raw Sea Water</t>
  </si>
  <si>
    <t>20 @ 90°C</t>
  </si>
  <si>
    <t>A41</t>
  </si>
  <si>
    <t>Hypochlorite</t>
  </si>
  <si>
    <t>16.32 @ 0°C</t>
  </si>
  <si>
    <t>16.32 @ 82°C</t>
  </si>
  <si>
    <t>A42</t>
  </si>
  <si>
    <t>CPVC (Valve: NAB)</t>
  </si>
  <si>
    <t>Sewage, Hypochlorite</t>
  </si>
  <si>
    <t>MaxPressure @ Min Temp (barg)</t>
  </si>
  <si>
    <t>MaxPressure @ Max Temp (barg)</t>
  </si>
  <si>
    <t>Raw Sea Water, Fire Water, Hypochlorite, Sewage</t>
  </si>
  <si>
    <t>Air, Nitrogen, Lube oil, Chemical, Foam, hydraulic, IA, Diesel Fuel, UW, Bilge, Drain, Sewage, PW, CO2 Gas, Ballast, IG, COW/Tank Cleaning, Slop, Fire Water</t>
  </si>
  <si>
    <t>CHPT50AJ</t>
  </si>
  <si>
    <t>T50A, T60A</t>
  </si>
  <si>
    <t>CHPT50BJ</t>
  </si>
  <si>
    <t>T50B, T60B</t>
  </si>
  <si>
    <t>CHPT50CJ</t>
  </si>
  <si>
    <t>T50C, T60C</t>
  </si>
  <si>
    <t>OD Tube Connection / NPT Female</t>
  </si>
  <si>
    <t>SS 316 / 316L (Tubing)</t>
  </si>
  <si>
    <t>Chemical Injection (Except Hypochlorite)</t>
  </si>
  <si>
    <t>125 @ 0°C</t>
  </si>
  <si>
    <t>116 @ 60°C</t>
  </si>
  <si>
    <t>206 @ 0°C</t>
  </si>
  <si>
    <t>200 @ 60°C</t>
  </si>
  <si>
    <t>325 @ 0°C</t>
  </si>
  <si>
    <t>325 @ 60°C</t>
  </si>
  <si>
    <t>T60A</t>
  </si>
  <si>
    <t>6 MO Tubing</t>
  </si>
  <si>
    <t>T60B</t>
  </si>
  <si>
    <t>T60C</t>
  </si>
  <si>
    <t xml:space="preserve">Rev </t>
  </si>
  <si>
    <t>50501-SPE-80000-PP-ET-0002</t>
  </si>
  <si>
    <t>General Specification for Paint and Protective Coating doc : 50501-SPE-80000-ME-ET-0006</t>
  </si>
  <si>
    <t>2. Data sheet shall be read in conjunction with Piping Material Specification, Doc No. 50501-SPE-80000-PP-ET-0001.</t>
  </si>
  <si>
    <t>50502-SPE-80000-PP-SP-0002</t>
  </si>
  <si>
    <t>General Specification for Paint and Protective Coating doc : 50502-SPE-80000-ME-SP-XXXX</t>
  </si>
  <si>
    <t>2. Data sheet shall be read in conjunction with Piping Material Specification, Doc No. 50502-SPE-80000-PP-SP-0001.</t>
  </si>
  <si>
    <t>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</si>
</sst>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10"/>
      <name val="Arial"/>
      <family val="2"/>
    </font>
    <font>
      <b/>
      <sz val="14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Times New Roman"/>
      <family val="1"/>
    </font>
    <font>
      <u/>
      <sz val="10"/>
      <color theme="10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0" fontId="6" fillId="0" borderId="0"/>
    <xf numFmtId="0" fontId="8" fillId="0" borderId="0" applyNumberFormat="0" applyFill="0" applyBorder="0" applyAlignment="0" applyProtection="0"/>
    <xf numFmtId="0" fontId="16" fillId="0" borderId="0"/>
    <xf numFmtId="0" fontId="15" fillId="0" borderId="0"/>
    <xf numFmtId="0" fontId="6" fillId="0" borderId="0"/>
    <xf numFmtId="0" fontId="6" fillId="0" borderId="0"/>
    <xf numFmtId="0" fontId="15" fillId="0" borderId="0"/>
    <xf numFmtId="0" fontId="6" fillId="0" borderId="0"/>
    <xf numFmtId="0" fontId="15" fillId="0" borderId="0"/>
    <xf numFmtId="0" fontId="18" fillId="0" borderId="0" applyNumberFormat="0" applyFill="0" applyBorder="0" applyAlignment="0" applyProtection="0"/>
    <xf numFmtId="0" fontId="17" fillId="0" borderId="11" applyBorder="0" applyProtection="0">
      <alignment horizontal="left" vertical="center" wrapText="1"/>
    </xf>
    <xf numFmtId="0" fontId="6" fillId="0" borderId="0"/>
  </cellStyleXfs>
  <cellXfs count="85">
    <xf numFmtId="0" fontId="0" fillId="0" borderId="0" xfId="0"/>
    <xf numFmtId="0" fontId="4" fillId="0" borderId="0" xfId="0" applyFont="1"/>
    <xf numFmtId="0" fontId="2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center" wrapText="1" inden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4" fillId="0" borderId="1" xfId="0" applyFont="1" applyBorder="1"/>
    <xf numFmtId="0" fontId="4" fillId="0" borderId="2" xfId="0" applyFont="1" applyBorder="1"/>
    <xf numFmtId="0" fontId="4" fillId="0" borderId="14" xfId="0" applyFont="1" applyBorder="1"/>
    <xf numFmtId="0" fontId="4" fillId="0" borderId="3" xfId="0" applyFont="1" applyBorder="1"/>
    <xf numFmtId="0" fontId="4" fillId="0" borderId="11" xfId="0" applyFont="1" applyBorder="1"/>
    <xf numFmtId="0" fontId="4" fillId="0" borderId="12" xfId="0" applyFont="1" applyBorder="1"/>
    <xf numFmtId="0" fontId="3" fillId="0" borderId="6" xfId="0" applyFont="1" applyBorder="1" applyAlignment="1" applyProtection="1">
      <alignment horizontal="left" vertical="top" wrapText="1" indent="1"/>
      <protection locked="0"/>
    </xf>
    <xf numFmtId="0" fontId="1" fillId="0" borderId="1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" xfId="0" quotePrefix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11" fillId="0" borderId="20" xfId="2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2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shrinkToFit="1"/>
    </xf>
    <xf numFmtId="0" fontId="9" fillId="0" borderId="1" xfId="0" quotePrefix="1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3" fillId="0" borderId="15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9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 wrapText="1"/>
    </xf>
    <xf numFmtId="0" fontId="9" fillId="0" borderId="1" xfId="3" applyFont="1" applyBorder="1" applyAlignment="1">
      <alignment horizontal="center" vertical="center"/>
    </xf>
    <xf numFmtId="0" fontId="9" fillId="0" borderId="23" xfId="3" applyFont="1" applyBorder="1" applyAlignment="1">
      <alignment horizontal="center" vertical="center"/>
    </xf>
    <xf numFmtId="0" fontId="9" fillId="0" borderId="24" xfId="3" applyFont="1" applyBorder="1" applyAlignment="1">
      <alignment horizontal="center" vertical="center"/>
    </xf>
    <xf numFmtId="0" fontId="9" fillId="0" borderId="25" xfId="3" applyFont="1" applyBorder="1" applyAlignment="1">
      <alignment horizontal="center" vertical="center"/>
    </xf>
    <xf numFmtId="0" fontId="9" fillId="0" borderId="26" xfId="3" applyFont="1" applyBorder="1" applyAlignment="1">
      <alignment horizontal="center" vertical="center"/>
    </xf>
    <xf numFmtId="0" fontId="9" fillId="0" borderId="26" xfId="3" applyFont="1" applyBorder="1" applyAlignment="1">
      <alignment horizontal="center" vertical="center" wrapText="1"/>
    </xf>
    <xf numFmtId="0" fontId="9" fillId="0" borderId="27" xfId="3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3" fillId="0" borderId="3" xfId="0" applyFont="1" applyBorder="1" applyAlignment="1" applyProtection="1">
      <alignment horizontal="left" vertical="center" wrapText="1"/>
      <protection locked="0"/>
    </xf>
    <xf numFmtId="0" fontId="3" fillId="0" borderId="8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1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</cellXfs>
  <cellStyles count="13">
    <cellStyle name="Hyperlink" xfId="2" builtinId="8"/>
    <cellStyle name="Hyperlink 2" xfId="10" xr:uid="{BA6DDC34-8895-4C8B-A134-9AE2C41F0C9F}"/>
    <cellStyle name="Normal" xfId="0" builtinId="0"/>
    <cellStyle name="Normal 2" xfId="4" xr:uid="{00A5332A-0CED-41AE-875C-3DF9002CB43D}"/>
    <cellStyle name="Normal 2 2" xfId="1" xr:uid="{5AF5B683-F745-4AA8-B0F4-A1AB6FF701B5}"/>
    <cellStyle name="Normal 2 3" xfId="5" xr:uid="{16628F43-20BD-4ECF-A767-FE1129F21DCB}"/>
    <cellStyle name="Normal 2 4" xfId="6" xr:uid="{FC0F0A48-7C7E-4A46-A926-FD8FF59D1EBF}"/>
    <cellStyle name="Normal 2 4 2" xfId="8" xr:uid="{47ECFC27-1142-4119-A307-0A03837D50F2}"/>
    <cellStyle name="Normal 2 5" xfId="7" xr:uid="{088BC70E-551B-4262-A756-33C2EFB09C33}"/>
    <cellStyle name="Normal 2 6 2" xfId="12" xr:uid="{AB3C31A1-4DF8-42A5-86D6-56D399B4D9BB}"/>
    <cellStyle name="Normal 3" xfId="9" xr:uid="{6D1EB662-52EC-4650-89A0-F8600DFA9E6F}"/>
    <cellStyle name="Normal 4" xfId="3" xr:uid="{5843CD90-35CE-4C64-8B39-8451FEAFB9BD}"/>
    <cellStyle name="Style 1" xfId="11" xr:uid="{39DDFAFB-485A-4C55-93D3-C9E8E77EBBE9}"/>
  </cellStyles>
  <dxfs count="100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C0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microsoft.com/office/2022/10/relationships/richValueRel" Target="richData/richValueRel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microsoft.com/office/2017/06/relationships/rdRichValue" Target="richData/rdrichvalue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microsoft.com/office/2017/06/relationships/rdRichValueStructure" Target="richData/rdrichvaluestructure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microsoft.com/office/2017/06/relationships/rdRichValueTypes" Target="richData/rdRichValueTyp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5DD99-EE8C-4017-9AA5-AFDBEACE407B}">
  <sheetPr codeName="Sheet1">
    <pageSetUpPr fitToPage="1"/>
  </sheetPr>
  <dimension ref="A1:V146"/>
  <sheetViews>
    <sheetView tabSelected="1" view="pageBreakPreview" topLeftCell="F1" zoomScaleNormal="100" zoomScaleSheetLayoutView="100" workbookViewId="0">
      <selection activeCell="M140" sqref="M140"/>
    </sheetView>
  </sheetViews>
  <sheetFormatPr defaultRowHeight="15" x14ac:dyDescent="0.25"/>
  <cols>
    <col min="1" max="1" width="8.42578125" style="17" bestFit="1" customWidth="1"/>
    <col min="2" max="2" width="19.85546875" style="17" bestFit="1" customWidth="1"/>
    <col min="3" max="3" width="15" style="17" bestFit="1" customWidth="1"/>
    <col min="4" max="4" width="49.85546875" style="17" bestFit="1" customWidth="1"/>
    <col min="5" max="5" width="64.140625" style="17" bestFit="1" customWidth="1"/>
    <col min="6" max="6" width="31" style="17" bestFit="1" customWidth="1"/>
    <col min="7" max="7" width="48.28515625" style="17" bestFit="1" customWidth="1"/>
    <col min="8" max="8" width="20" style="17" bestFit="1" customWidth="1"/>
    <col min="9" max="9" width="12.28515625" style="17" bestFit="1" customWidth="1"/>
    <col min="10" max="11" width="8.85546875" style="17"/>
    <col min="12" max="12" width="6.28515625" style="17" bestFit="1" customWidth="1"/>
    <col min="13" max="13" width="20" style="17" bestFit="1" customWidth="1"/>
    <col min="14" max="14" width="12.7109375" style="17" bestFit="1" customWidth="1"/>
    <col min="15" max="15" width="22.28515625" style="17" bestFit="1" customWidth="1"/>
    <col min="16" max="16" width="17.85546875" style="17" bestFit="1" customWidth="1"/>
    <col min="17" max="17" width="23.28515625" style="17" bestFit="1" customWidth="1"/>
    <col min="18" max="18" width="160.42578125" style="46" customWidth="1"/>
    <col min="19" max="19" width="29" style="17" bestFit="1" customWidth="1"/>
    <col min="20" max="20" width="29.28515625" style="17" bestFit="1" customWidth="1"/>
    <col min="21" max="21" width="9.42578125" style="17" customWidth="1"/>
    <col min="22" max="22" width="30.42578125" bestFit="1" customWidth="1"/>
  </cols>
  <sheetData>
    <row r="1" spans="1:22" ht="18" customHeight="1" thickBot="1" x14ac:dyDescent="0.3">
      <c r="A1" s="18" t="s">
        <v>410</v>
      </c>
      <c r="B1" s="19" t="s">
        <v>411</v>
      </c>
      <c r="C1" s="19" t="s">
        <v>31</v>
      </c>
      <c r="D1" s="19" t="s">
        <v>32</v>
      </c>
      <c r="E1" s="19" t="s">
        <v>39</v>
      </c>
      <c r="F1" s="19" t="s">
        <v>412</v>
      </c>
      <c r="G1" s="19" t="s">
        <v>413</v>
      </c>
      <c r="H1" s="19" t="s">
        <v>30</v>
      </c>
      <c r="I1" s="20" t="s">
        <v>414</v>
      </c>
      <c r="J1" s="17" t="s">
        <v>548</v>
      </c>
      <c r="L1" s="47"/>
      <c r="M1" s="48"/>
      <c r="N1" s="48"/>
      <c r="O1" s="48"/>
      <c r="P1" s="48"/>
      <c r="Q1" s="48"/>
      <c r="R1" s="48"/>
      <c r="S1" s="48"/>
      <c r="T1" s="48"/>
      <c r="U1" s="49"/>
    </row>
    <row r="2" spans="1:22" ht="20.45" customHeight="1" thickBot="1" x14ac:dyDescent="0.3">
      <c r="A2" s="21"/>
      <c r="B2" s="60" t="s">
        <v>415</v>
      </c>
      <c r="C2" s="60"/>
      <c r="D2" s="60"/>
      <c r="E2" s="60"/>
      <c r="F2" s="60"/>
      <c r="G2" s="60"/>
      <c r="H2" s="60"/>
      <c r="I2" s="22"/>
      <c r="L2" s="35" t="s">
        <v>417</v>
      </c>
      <c r="M2" s="36" t="s">
        <v>418</v>
      </c>
      <c r="N2" s="36" t="s">
        <v>419</v>
      </c>
      <c r="O2" s="36" t="s">
        <v>420</v>
      </c>
      <c r="P2" s="36" t="s">
        <v>421</v>
      </c>
      <c r="Q2" s="36" t="s">
        <v>422</v>
      </c>
      <c r="R2" s="36" t="s">
        <v>423</v>
      </c>
      <c r="S2" s="36" t="s">
        <v>525</v>
      </c>
      <c r="T2" s="36" t="s">
        <v>526</v>
      </c>
      <c r="U2" s="37" t="s">
        <v>424</v>
      </c>
    </row>
    <row r="3" spans="1:22" ht="18.75" thickBot="1" x14ac:dyDescent="0.3">
      <c r="A3" s="50"/>
      <c r="B3" s="61" t="s">
        <v>409</v>
      </c>
      <c r="I3" s="51"/>
      <c r="L3" s="27">
        <v>1</v>
      </c>
      <c r="M3" s="23" t="s">
        <v>0</v>
      </c>
      <c r="N3" s="23" t="s">
        <v>425</v>
      </c>
      <c r="O3" s="23">
        <v>1.1000000000000001</v>
      </c>
      <c r="P3" s="23" t="s">
        <v>426</v>
      </c>
      <c r="Q3" s="23" t="s">
        <v>90</v>
      </c>
      <c r="R3" s="38" t="s">
        <v>427</v>
      </c>
      <c r="S3" s="23" t="s">
        <v>428</v>
      </c>
      <c r="T3" s="23" t="s">
        <v>429</v>
      </c>
      <c r="U3" s="39">
        <v>23</v>
      </c>
      <c r="V3" t="str">
        <f>S3&amp;"' "&amp;T3</f>
        <v>19.6 @ -29°C' 13.8 @ 200°C</v>
      </c>
    </row>
    <row r="4" spans="1:22" ht="18" x14ac:dyDescent="0.25">
      <c r="A4" s="27">
        <v>1</v>
      </c>
      <c r="B4" s="28" t="s">
        <v>212</v>
      </c>
      <c r="C4" s="23" t="str">
        <f ca="1">VLOOKUP($C$1,INDIRECT(""&amp;B4&amp;"!$A$5:$C$15"),3,FALSE)</f>
        <v>1/2" - 1 1/2"</v>
      </c>
      <c r="D4" s="23" t="str">
        <f ca="1">VLOOKUP($D$1,INDIRECT(""&amp;B4&amp;"!$A$5:$C$15"),3,FALSE)</f>
        <v>Check Valve, Piston Type</v>
      </c>
      <c r="E4" s="23" t="str">
        <f ca="1">VLOOKUP($E$1,INDIRECT(""&amp;B4&amp;"!$A$5:$C$15"),3,FALSE)</f>
        <v>Flanged ASME B16.5 RF</v>
      </c>
      <c r="F4" s="23" t="str">
        <f ca="1">VLOOKUP($F$1,INDIRECT(""&amp;B4&amp;"!$B$5:$C$35"),2,FALSE)</f>
        <v>Forged ASTM A182 F316</v>
      </c>
      <c r="G4" s="23" t="str">
        <f ca="1">VLOOKUP($G$1,INDIRECT(""&amp;B4&amp;"!$B$5:$C$35"),2,FALSE)</f>
        <v>Forged - ASTM A182 F316, Stellite Hard Faced</v>
      </c>
      <c r="H4" s="23" t="str">
        <f ca="1">VLOOKUP($H$1,INDIRECT(""&amp;B4&amp;"!$A$5:$C$15"),3,FALSE)</f>
        <v>A1</v>
      </c>
      <c r="I4" s="24">
        <v>176</v>
      </c>
      <c r="J4" s="17" t="s">
        <v>555</v>
      </c>
      <c r="L4" s="29">
        <v>2</v>
      </c>
      <c r="M4" s="25" t="s">
        <v>9</v>
      </c>
      <c r="N4" s="25" t="s">
        <v>430</v>
      </c>
      <c r="O4" s="25">
        <v>1.1000000000000001</v>
      </c>
      <c r="P4" s="25" t="s">
        <v>426</v>
      </c>
      <c r="Q4" s="25" t="s">
        <v>90</v>
      </c>
      <c r="R4" s="40" t="s">
        <v>431</v>
      </c>
      <c r="S4" s="25" t="s">
        <v>432</v>
      </c>
      <c r="T4" s="25" t="s">
        <v>433</v>
      </c>
      <c r="U4" s="41">
        <v>24</v>
      </c>
      <c r="V4" t="str">
        <f t="shared" ref="V4:V67" si="0">S4&amp;"' "&amp;T4</f>
        <v>51.1 @ -29°C' 43.8 @ 200°C</v>
      </c>
    </row>
    <row r="5" spans="1:22" ht="18" x14ac:dyDescent="0.25">
      <c r="A5" s="29">
        <v>2</v>
      </c>
      <c r="B5" s="26" t="s">
        <v>270</v>
      </c>
      <c r="C5" s="25" t="str">
        <f t="shared" ref="C5:C68" ca="1" si="1">VLOOKUP($C$1,INDIRECT(""&amp;B5&amp;"!$A$5:$C$15"),3,FALSE)</f>
        <v>2" - 24"</v>
      </c>
      <c r="D5" s="25" t="str">
        <f t="shared" ref="D5:D68" ca="1" si="2">VLOOKUP($D$1,INDIRECT(""&amp;B5&amp;"!$A$5:$C$15"),3,FALSE)</f>
        <v>Check Valve, Swing type</v>
      </c>
      <c r="E5" s="25" t="str">
        <f t="shared" ref="E5:E68" ca="1" si="3">VLOOKUP($E$1,INDIRECT(""&amp;B5&amp;"!$A$5:$C$15"),3,FALSE)</f>
        <v>Flanged ASME B16.5 RF</v>
      </c>
      <c r="F5" s="25" t="str">
        <f t="shared" ref="F5:F68" ca="1" si="4">VLOOKUP($F$1,INDIRECT(""&amp;B5&amp;"!$B$5:$C$35"),2,FALSE)</f>
        <v>Forged ASTM A182 F316</v>
      </c>
      <c r="G5" s="25" t="str">
        <f t="shared" ref="G5:G68" ca="1" si="5">VLOOKUP($G$1,INDIRECT(""&amp;B5&amp;"!$B$5:$C$35"),2,FALSE)</f>
        <v>Forged - ASTM A182 F316, Stellite Hard Faced</v>
      </c>
      <c r="H5" s="25" t="str">
        <f t="shared" ref="H5:H68" ca="1" si="6">VLOOKUP($H$1,INDIRECT(""&amp;B5&amp;"!$A$5:$C$15"),3,FALSE)</f>
        <v>A1</v>
      </c>
      <c r="I5" s="30">
        <v>177</v>
      </c>
      <c r="J5" s="17" t="s">
        <v>555</v>
      </c>
      <c r="L5" s="29">
        <v>3</v>
      </c>
      <c r="M5" s="25" t="s">
        <v>27</v>
      </c>
      <c r="N5" s="25" t="s">
        <v>434</v>
      </c>
      <c r="O5" s="25">
        <v>1.1000000000000001</v>
      </c>
      <c r="P5" s="25" t="s">
        <v>426</v>
      </c>
      <c r="Q5" s="25" t="s">
        <v>90</v>
      </c>
      <c r="R5" s="40" t="s">
        <v>431</v>
      </c>
      <c r="S5" s="25" t="s">
        <v>435</v>
      </c>
      <c r="T5" s="25" t="s">
        <v>436</v>
      </c>
      <c r="U5" s="41">
        <v>25</v>
      </c>
      <c r="V5" t="str">
        <f t="shared" si="0"/>
        <v>102.1 @ -29°C' 87.6 @ 200°C</v>
      </c>
    </row>
    <row r="6" spans="1:22" ht="18" x14ac:dyDescent="0.25">
      <c r="A6" s="29">
        <v>3</v>
      </c>
      <c r="B6" s="26" t="s">
        <v>362</v>
      </c>
      <c r="C6" s="25" t="str">
        <f t="shared" ca="1" si="1"/>
        <v>2" - 24"</v>
      </c>
      <c r="D6" s="25" t="str">
        <f t="shared" ca="1" si="2"/>
        <v>Check Valve, Dual Plate, Wafer Threaded lug type</v>
      </c>
      <c r="E6" s="25" t="str">
        <f t="shared" ca="1" si="3"/>
        <v>Wafer Lugged to suit ASME B16.5 RF Flanges</v>
      </c>
      <c r="F6" s="25" t="str">
        <f t="shared" ca="1" si="4"/>
        <v>Forged ASTM A182 F316</v>
      </c>
      <c r="G6" s="25" t="str">
        <f t="shared" ca="1" si="5"/>
        <v>Forged - ASTM A182 F316, Stellite Hard Faced</v>
      </c>
      <c r="H6" s="25" t="str">
        <f t="shared" ca="1" si="6"/>
        <v>A1</v>
      </c>
      <c r="I6" s="30">
        <v>178</v>
      </c>
      <c r="J6" s="17" t="s">
        <v>555</v>
      </c>
      <c r="L6" s="29">
        <v>4</v>
      </c>
      <c r="M6" s="25" t="s">
        <v>19</v>
      </c>
      <c r="N6" s="25" t="s">
        <v>437</v>
      </c>
      <c r="O6" s="25">
        <v>1.1000000000000001</v>
      </c>
      <c r="P6" s="25" t="s">
        <v>426</v>
      </c>
      <c r="Q6" s="25" t="s">
        <v>90</v>
      </c>
      <c r="R6" s="40" t="s">
        <v>438</v>
      </c>
      <c r="S6" s="25" t="s">
        <v>439</v>
      </c>
      <c r="T6" s="25" t="s">
        <v>440</v>
      </c>
      <c r="U6" s="41">
        <v>26</v>
      </c>
      <c r="V6" t="str">
        <f t="shared" si="0"/>
        <v>153.2 @ -29°C' 131.4 @ 200°C</v>
      </c>
    </row>
    <row r="7" spans="1:22" ht="18" x14ac:dyDescent="0.25">
      <c r="A7" s="29">
        <v>4</v>
      </c>
      <c r="B7" s="26" t="s">
        <v>213</v>
      </c>
      <c r="C7" s="25" t="str">
        <f t="shared" ca="1" si="1"/>
        <v>1/2" - 1 1/2"</v>
      </c>
      <c r="D7" s="25" t="str">
        <f t="shared" ca="1" si="2"/>
        <v>Check Valve, Piston Type</v>
      </c>
      <c r="E7" s="25" t="str">
        <f t="shared" ca="1" si="3"/>
        <v>Flanged ASME B16.5 RF</v>
      </c>
      <c r="F7" s="25" t="str">
        <f t="shared" ca="1" si="4"/>
        <v>Forged ASTM A182 F316</v>
      </c>
      <c r="G7" s="25" t="str">
        <f t="shared" ca="1" si="5"/>
        <v>Forged - ASTM A182 F316, Stellite Hard Faced</v>
      </c>
      <c r="H7" s="25" t="str">
        <f t="shared" ca="1" si="6"/>
        <v>B1</v>
      </c>
      <c r="I7" s="30">
        <v>179</v>
      </c>
      <c r="J7" s="17" t="s">
        <v>555</v>
      </c>
      <c r="L7" s="29">
        <v>5</v>
      </c>
      <c r="M7" s="25" t="s">
        <v>26</v>
      </c>
      <c r="N7" s="25" t="s">
        <v>441</v>
      </c>
      <c r="O7" s="25">
        <v>1.1000000000000001</v>
      </c>
      <c r="P7" s="25" t="s">
        <v>426</v>
      </c>
      <c r="Q7" s="25" t="s">
        <v>90</v>
      </c>
      <c r="R7" s="40" t="s">
        <v>438</v>
      </c>
      <c r="S7" s="25" t="s">
        <v>442</v>
      </c>
      <c r="T7" s="25" t="s">
        <v>443</v>
      </c>
      <c r="U7" s="41">
        <v>27</v>
      </c>
      <c r="V7" t="str">
        <f t="shared" si="0"/>
        <v>255.3 @ -29°C' 219 @ 200°C</v>
      </c>
    </row>
    <row r="8" spans="1:22" x14ac:dyDescent="0.25">
      <c r="A8" s="29">
        <v>5</v>
      </c>
      <c r="B8" s="26" t="s">
        <v>271</v>
      </c>
      <c r="C8" s="25" t="str">
        <f t="shared" ca="1" si="1"/>
        <v>2" - 24"</v>
      </c>
      <c r="D8" s="25" t="str">
        <f t="shared" ca="1" si="2"/>
        <v>Check Valve, Swing type</v>
      </c>
      <c r="E8" s="25" t="str">
        <f t="shared" ca="1" si="3"/>
        <v>Flanged ASME B16.5 RF</v>
      </c>
      <c r="F8" s="25" t="str">
        <f t="shared" ca="1" si="4"/>
        <v>Forged ASTM A182 F316</v>
      </c>
      <c r="G8" s="25" t="str">
        <f t="shared" ca="1" si="5"/>
        <v>Forged - ASTM A182 F316, Stellite Hard Faced</v>
      </c>
      <c r="H8" s="25" t="str">
        <f t="shared" ca="1" si="6"/>
        <v>B1</v>
      </c>
      <c r="I8" s="30">
        <v>180</v>
      </c>
      <c r="J8" s="17" t="s">
        <v>555</v>
      </c>
      <c r="L8" s="29">
        <v>6</v>
      </c>
      <c r="M8" s="25" t="s">
        <v>169</v>
      </c>
      <c r="N8" s="25" t="s">
        <v>444</v>
      </c>
      <c r="O8" s="25">
        <v>1.1000000000000001</v>
      </c>
      <c r="P8" s="25" t="s">
        <v>426</v>
      </c>
      <c r="Q8" s="25" t="s">
        <v>90</v>
      </c>
      <c r="R8" s="40" t="s">
        <v>445</v>
      </c>
      <c r="S8" s="25" t="s">
        <v>446</v>
      </c>
      <c r="T8" s="25" t="s">
        <v>447</v>
      </c>
      <c r="U8" s="41">
        <v>28</v>
      </c>
      <c r="V8" t="str">
        <f t="shared" si="0"/>
        <v>399.8 @ -29°C' 342.9 @ 200°C</v>
      </c>
    </row>
    <row r="9" spans="1:22" x14ac:dyDescent="0.25">
      <c r="A9" s="29">
        <v>6</v>
      </c>
      <c r="B9" s="26" t="s">
        <v>363</v>
      </c>
      <c r="C9" s="25" t="str">
        <f t="shared" ca="1" si="1"/>
        <v>2" - 24"</v>
      </c>
      <c r="D9" s="25" t="str">
        <f t="shared" ca="1" si="2"/>
        <v>Check Valve, Dual Plate, Wafer Threaded lug type</v>
      </c>
      <c r="E9" s="25" t="str">
        <f t="shared" ca="1" si="3"/>
        <v>Wafer Lugged to suit ASME B16.5 RF Flanges</v>
      </c>
      <c r="F9" s="25" t="str">
        <f t="shared" ca="1" si="4"/>
        <v>Forged ASTM A182 F316</v>
      </c>
      <c r="G9" s="25" t="str">
        <f t="shared" ca="1" si="5"/>
        <v>Forged - ASTM A182 F316, Stellite Hard Faced</v>
      </c>
      <c r="H9" s="25" t="str">
        <f t="shared" ca="1" si="6"/>
        <v>B1</v>
      </c>
      <c r="I9" s="30">
        <v>181</v>
      </c>
      <c r="J9" s="17" t="s">
        <v>555</v>
      </c>
      <c r="L9" s="29">
        <v>7</v>
      </c>
      <c r="M9" s="25" t="s">
        <v>5</v>
      </c>
      <c r="N9" s="25" t="s">
        <v>425</v>
      </c>
      <c r="O9" s="25">
        <v>1.1000000000000001</v>
      </c>
      <c r="P9" s="25" t="s">
        <v>448</v>
      </c>
      <c r="Q9" s="25" t="s">
        <v>90</v>
      </c>
      <c r="R9" s="40" t="s">
        <v>170</v>
      </c>
      <c r="S9" s="25" t="s">
        <v>428</v>
      </c>
      <c r="T9" s="25" t="s">
        <v>449</v>
      </c>
      <c r="U9" s="41">
        <v>29</v>
      </c>
      <c r="V9" t="str">
        <f t="shared" si="0"/>
        <v>19.6 @ -29°C' 13.8 @ 250°C</v>
      </c>
    </row>
    <row r="10" spans="1:22" x14ac:dyDescent="0.25">
      <c r="A10" s="29">
        <v>7</v>
      </c>
      <c r="B10" s="26" t="s">
        <v>214</v>
      </c>
      <c r="C10" s="25" t="str">
        <f t="shared" ca="1" si="1"/>
        <v>1/2" - 1 1/2"</v>
      </c>
      <c r="D10" s="25" t="str">
        <f t="shared" ca="1" si="2"/>
        <v>Check Valve, Piston Type</v>
      </c>
      <c r="E10" s="25" t="str">
        <f t="shared" ca="1" si="3"/>
        <v>Flanged ASME B16.5 RF</v>
      </c>
      <c r="F10" s="25" t="str">
        <f t="shared" ca="1" si="4"/>
        <v>Forged ASTM A182 F316</v>
      </c>
      <c r="G10" s="25" t="str">
        <f t="shared" ca="1" si="5"/>
        <v>Forged - ASTM A182 F316, Stellite Hard Faced</v>
      </c>
      <c r="H10" s="25" t="str">
        <f t="shared" ca="1" si="6"/>
        <v>D1</v>
      </c>
      <c r="I10" s="30">
        <v>182</v>
      </c>
      <c r="J10" s="17" t="s">
        <v>555</v>
      </c>
      <c r="L10" s="29">
        <v>8</v>
      </c>
      <c r="M10" s="25" t="s">
        <v>12</v>
      </c>
      <c r="N10" s="25" t="s">
        <v>430</v>
      </c>
      <c r="O10" s="25">
        <v>1.1000000000000001</v>
      </c>
      <c r="P10" s="25" t="s">
        <v>448</v>
      </c>
      <c r="Q10" s="25" t="s">
        <v>90</v>
      </c>
      <c r="R10" s="40" t="s">
        <v>170</v>
      </c>
      <c r="S10" s="25" t="s">
        <v>432</v>
      </c>
      <c r="T10" s="25" t="s">
        <v>450</v>
      </c>
      <c r="U10" s="41">
        <v>30</v>
      </c>
      <c r="V10" t="str">
        <f t="shared" si="0"/>
        <v>51.1 @ -29°C' 43.8 @ 250°C</v>
      </c>
    </row>
    <row r="11" spans="1:22" x14ac:dyDescent="0.25">
      <c r="A11" s="29">
        <v>8</v>
      </c>
      <c r="B11" s="26" t="s">
        <v>272</v>
      </c>
      <c r="C11" s="25" t="str">
        <f t="shared" ca="1" si="1"/>
        <v>2" - 24"</v>
      </c>
      <c r="D11" s="25" t="str">
        <f t="shared" ca="1" si="2"/>
        <v>Check Valve, Swing type</v>
      </c>
      <c r="E11" s="25" t="str">
        <f t="shared" ca="1" si="3"/>
        <v>Flanged ASME B16.5 RF</v>
      </c>
      <c r="F11" s="25" t="str">
        <f t="shared" ca="1" si="4"/>
        <v>Forged ASTM A182 F316</v>
      </c>
      <c r="G11" s="25" t="str">
        <f t="shared" ca="1" si="5"/>
        <v>Forged - ASTM A182 F316, Stellite Hard Faced</v>
      </c>
      <c r="H11" s="25" t="str">
        <f t="shared" ca="1" si="6"/>
        <v>D1</v>
      </c>
      <c r="I11" s="30">
        <v>183</v>
      </c>
      <c r="J11" s="17" t="s">
        <v>555</v>
      </c>
      <c r="L11" s="29">
        <v>9</v>
      </c>
      <c r="M11" s="25" t="s">
        <v>13</v>
      </c>
      <c r="N11" s="25" t="s">
        <v>434</v>
      </c>
      <c r="O11" s="25">
        <v>1.1000000000000001</v>
      </c>
      <c r="P11" s="25" t="s">
        <v>448</v>
      </c>
      <c r="Q11" s="25" t="s">
        <v>90</v>
      </c>
      <c r="R11" s="40" t="s">
        <v>170</v>
      </c>
      <c r="S11" s="25" t="s">
        <v>435</v>
      </c>
      <c r="T11" s="25" t="s">
        <v>451</v>
      </c>
      <c r="U11" s="41">
        <v>31</v>
      </c>
      <c r="V11" t="str">
        <f t="shared" si="0"/>
        <v>102.1 @ -29°C' 87.6 @ 250°C</v>
      </c>
    </row>
    <row r="12" spans="1:22" x14ac:dyDescent="0.25">
      <c r="A12" s="29">
        <v>9</v>
      </c>
      <c r="B12" s="26" t="s">
        <v>364</v>
      </c>
      <c r="C12" s="25" t="str">
        <f t="shared" ca="1" si="1"/>
        <v>2" - 24"</v>
      </c>
      <c r="D12" s="25" t="str">
        <f t="shared" ca="1" si="2"/>
        <v>Check Valve, Dual Plate, Wafer Threaded lug type</v>
      </c>
      <c r="E12" s="25" t="str">
        <f t="shared" ca="1" si="3"/>
        <v>Wafer Lugged to suit ASME B16.5 RF Flanges</v>
      </c>
      <c r="F12" s="25" t="str">
        <f t="shared" ca="1" si="4"/>
        <v>Forged ASTM A182 F316</v>
      </c>
      <c r="G12" s="25" t="str">
        <f t="shared" ca="1" si="5"/>
        <v>Forged - ASTM A182 F316, Stellite Hard Faced</v>
      </c>
      <c r="H12" s="25" t="str">
        <f t="shared" ca="1" si="6"/>
        <v>D1</v>
      </c>
      <c r="I12" s="30">
        <v>184</v>
      </c>
      <c r="J12" s="17" t="s">
        <v>555</v>
      </c>
      <c r="L12" s="29">
        <v>10</v>
      </c>
      <c r="M12" s="25" t="s">
        <v>14</v>
      </c>
      <c r="N12" s="25" t="s">
        <v>437</v>
      </c>
      <c r="O12" s="25">
        <v>1.1000000000000001</v>
      </c>
      <c r="P12" s="25" t="s">
        <v>448</v>
      </c>
      <c r="Q12" s="25" t="s">
        <v>90</v>
      </c>
      <c r="R12" s="40" t="s">
        <v>170</v>
      </c>
      <c r="S12" s="25" t="s">
        <v>439</v>
      </c>
      <c r="T12" s="25" t="s">
        <v>452</v>
      </c>
      <c r="U12" s="41">
        <v>32</v>
      </c>
      <c r="V12" t="str">
        <f t="shared" si="0"/>
        <v>153.2 @ -29°C' 131.4 @ 250°C</v>
      </c>
    </row>
    <row r="13" spans="1:22" x14ac:dyDescent="0.25">
      <c r="A13" s="29">
        <v>10</v>
      </c>
      <c r="B13" s="26" t="s">
        <v>215</v>
      </c>
      <c r="C13" s="25" t="str">
        <f t="shared" ca="1" si="1"/>
        <v>1/2" - 1 1/2"</v>
      </c>
      <c r="D13" s="25" t="str">
        <f t="shared" ca="1" si="2"/>
        <v>Check Valve, Piston Type</v>
      </c>
      <c r="E13" s="25" t="str">
        <f t="shared" ca="1" si="3"/>
        <v>Flanged ASME B16.5 RTJ</v>
      </c>
      <c r="F13" s="25" t="str">
        <f t="shared" ca="1" si="4"/>
        <v>Forged ASTM A182 F316</v>
      </c>
      <c r="G13" s="25" t="str">
        <f t="shared" ca="1" si="5"/>
        <v>Forged - ASTM A182 F316, Stellite Hard Faced</v>
      </c>
      <c r="H13" s="25" t="str">
        <f t="shared" ca="1" si="6"/>
        <v>E1</v>
      </c>
      <c r="I13" s="30">
        <v>185</v>
      </c>
      <c r="J13" s="17" t="s">
        <v>555</v>
      </c>
      <c r="L13" s="29">
        <v>11</v>
      </c>
      <c r="M13" s="25" t="s">
        <v>15</v>
      </c>
      <c r="N13" s="25" t="s">
        <v>441</v>
      </c>
      <c r="O13" s="25">
        <v>1.1000000000000001</v>
      </c>
      <c r="P13" s="25" t="s">
        <v>448</v>
      </c>
      <c r="Q13" s="25" t="s">
        <v>90</v>
      </c>
      <c r="R13" s="40" t="s">
        <v>170</v>
      </c>
      <c r="S13" s="25" t="s">
        <v>442</v>
      </c>
      <c r="T13" s="25" t="s">
        <v>443</v>
      </c>
      <c r="U13" s="41">
        <v>33</v>
      </c>
      <c r="V13" t="str">
        <f t="shared" si="0"/>
        <v>255.3 @ -29°C' 219 @ 200°C</v>
      </c>
    </row>
    <row r="14" spans="1:22" x14ac:dyDescent="0.25">
      <c r="A14" s="29">
        <v>11</v>
      </c>
      <c r="B14" s="26" t="s">
        <v>273</v>
      </c>
      <c r="C14" s="25" t="str">
        <f t="shared" ca="1" si="1"/>
        <v>2" - 24"</v>
      </c>
      <c r="D14" s="25" t="str">
        <f t="shared" ca="1" si="2"/>
        <v>Check Valve, Swing type</v>
      </c>
      <c r="E14" s="25" t="str">
        <f t="shared" ca="1" si="3"/>
        <v>Flanged ASME B16.5 RTJ</v>
      </c>
      <c r="F14" s="25" t="str">
        <f t="shared" ca="1" si="4"/>
        <v>Forged ASTM A182 F316</v>
      </c>
      <c r="G14" s="25" t="str">
        <f t="shared" ca="1" si="5"/>
        <v>Forged - ASTM A182 F316, Stellite Hard Faced</v>
      </c>
      <c r="H14" s="25" t="str">
        <f t="shared" ca="1" si="6"/>
        <v>E1</v>
      </c>
      <c r="I14" s="30">
        <v>186</v>
      </c>
      <c r="J14" s="17" t="s">
        <v>555</v>
      </c>
      <c r="L14" s="29">
        <v>12</v>
      </c>
      <c r="M14" s="25" t="s">
        <v>16</v>
      </c>
      <c r="N14" s="25" t="s">
        <v>444</v>
      </c>
      <c r="O14" s="25">
        <v>1.1000000000000001</v>
      </c>
      <c r="P14" s="25" t="s">
        <v>448</v>
      </c>
      <c r="Q14" s="25" t="s">
        <v>90</v>
      </c>
      <c r="R14" s="40" t="s">
        <v>170</v>
      </c>
      <c r="S14" s="25" t="s">
        <v>446</v>
      </c>
      <c r="T14" s="25" t="s">
        <v>447</v>
      </c>
      <c r="U14" s="41">
        <v>34</v>
      </c>
      <c r="V14" t="str">
        <f t="shared" si="0"/>
        <v>399.8 @ -29°C' 342.9 @ 200°C</v>
      </c>
    </row>
    <row r="15" spans="1:22" x14ac:dyDescent="0.25">
      <c r="A15" s="29">
        <v>12</v>
      </c>
      <c r="B15" s="26" t="s">
        <v>274</v>
      </c>
      <c r="C15" s="25" t="str">
        <f t="shared" ca="1" si="1"/>
        <v>2" - 24"</v>
      </c>
      <c r="D15" s="25" t="str">
        <f t="shared" ca="1" si="2"/>
        <v>Check Valve, Swing type</v>
      </c>
      <c r="E15" s="25" t="str">
        <f t="shared" ca="1" si="3"/>
        <v>Flanged ASME B16.5 RTJ / Compact Flange / Hub Connector (As per PMS)</v>
      </c>
      <c r="F15" s="25" t="str">
        <f t="shared" ca="1" si="4"/>
        <v>Forged ASTM A182 F316</v>
      </c>
      <c r="G15" s="25" t="str">
        <f t="shared" ca="1" si="5"/>
        <v>Forged - ASTM A182 F316, Stellite Hard Faced</v>
      </c>
      <c r="H15" s="25" t="str">
        <f t="shared" ca="1" si="6"/>
        <v>F1</v>
      </c>
      <c r="I15" s="30">
        <v>187</v>
      </c>
      <c r="J15" s="17" t="s">
        <v>555</v>
      </c>
      <c r="L15" s="29">
        <v>13</v>
      </c>
      <c r="M15" s="25" t="s">
        <v>453</v>
      </c>
      <c r="N15" s="25" t="s">
        <v>425</v>
      </c>
      <c r="O15" s="25">
        <v>1.1000000000000001</v>
      </c>
      <c r="P15" s="25" t="s">
        <v>426</v>
      </c>
      <c r="Q15" s="25" t="s">
        <v>91</v>
      </c>
      <c r="R15" s="40" t="s">
        <v>454</v>
      </c>
      <c r="S15" s="25" t="s">
        <v>428</v>
      </c>
      <c r="T15" s="25" t="s">
        <v>429</v>
      </c>
      <c r="U15" s="41">
        <v>35</v>
      </c>
      <c r="V15" t="str">
        <f t="shared" si="0"/>
        <v>19.6 @ -29°C' 13.8 @ 200°C</v>
      </c>
    </row>
    <row r="16" spans="1:22" x14ac:dyDescent="0.25">
      <c r="A16" s="29">
        <v>13</v>
      </c>
      <c r="B16" s="26" t="s">
        <v>365</v>
      </c>
      <c r="C16" s="25" t="str">
        <f t="shared" ca="1" si="1"/>
        <v>2" - 24"</v>
      </c>
      <c r="D16" s="25" t="str">
        <f t="shared" ca="1" si="2"/>
        <v>Check Valve, Dual Plate, Wafer Threaded lug type</v>
      </c>
      <c r="E16" s="25" t="str">
        <f t="shared" ca="1" si="3"/>
        <v>Flanged ASME B16.5 RTJ / Compact Flange / Hub Connector (As per PMS)</v>
      </c>
      <c r="F16" s="25" t="str">
        <f t="shared" ca="1" si="4"/>
        <v>Forged ASTM A182 F316</v>
      </c>
      <c r="G16" s="25" t="str">
        <f t="shared" ca="1" si="5"/>
        <v>Forged - ASTM A182 F316, Stellite Hard Faced</v>
      </c>
      <c r="H16" s="25" t="str">
        <f t="shared" ca="1" si="6"/>
        <v>F1</v>
      </c>
      <c r="I16" s="30">
        <v>188</v>
      </c>
      <c r="J16" s="17" t="s">
        <v>555</v>
      </c>
      <c r="L16" s="29">
        <v>14</v>
      </c>
      <c r="M16" s="25" t="s">
        <v>89</v>
      </c>
      <c r="N16" s="25" t="s">
        <v>425</v>
      </c>
      <c r="O16" s="25">
        <v>1.1000000000000001</v>
      </c>
      <c r="P16" s="25" t="s">
        <v>448</v>
      </c>
      <c r="Q16" s="25" t="s">
        <v>91</v>
      </c>
      <c r="R16" s="40" t="s">
        <v>171</v>
      </c>
      <c r="S16" s="25" t="s">
        <v>428</v>
      </c>
      <c r="T16" s="25" t="s">
        <v>429</v>
      </c>
      <c r="U16" s="41">
        <v>36</v>
      </c>
      <c r="V16" t="str">
        <f t="shared" si="0"/>
        <v>19.6 @ -29°C' 13.8 @ 200°C</v>
      </c>
    </row>
    <row r="17" spans="1:22" x14ac:dyDescent="0.25">
      <c r="A17" s="29">
        <v>14</v>
      </c>
      <c r="B17" s="26" t="s">
        <v>275</v>
      </c>
      <c r="C17" s="25" t="str">
        <f t="shared" ca="1" si="1"/>
        <v>2" - 24"</v>
      </c>
      <c r="D17" s="25" t="str">
        <f t="shared" ca="1" si="2"/>
        <v>Check Valve, Swing type</v>
      </c>
      <c r="E17" s="25" t="str">
        <f t="shared" ca="1" si="3"/>
        <v>Flanged ASME B16.5 RTJ / Compact Flange / Hub Connector (As per PMS)</v>
      </c>
      <c r="F17" s="25" t="str">
        <f t="shared" ca="1" si="4"/>
        <v>Forged ASTM A182 F316</v>
      </c>
      <c r="G17" s="25" t="str">
        <f t="shared" ca="1" si="5"/>
        <v>Forged - ASTM A182 F316, Stellite Hard Faced</v>
      </c>
      <c r="H17" s="25" t="str">
        <f t="shared" ca="1" si="6"/>
        <v>G1</v>
      </c>
      <c r="I17" s="30">
        <v>189</v>
      </c>
      <c r="J17" s="17" t="s">
        <v>555</v>
      </c>
      <c r="L17" s="29">
        <v>15</v>
      </c>
      <c r="M17" s="25" t="s">
        <v>131</v>
      </c>
      <c r="N17" s="25" t="s">
        <v>430</v>
      </c>
      <c r="O17" s="25">
        <v>1.1000000000000001</v>
      </c>
      <c r="P17" s="25" t="s">
        <v>448</v>
      </c>
      <c r="Q17" s="25" t="s">
        <v>91</v>
      </c>
      <c r="R17" s="40" t="s">
        <v>171</v>
      </c>
      <c r="S17" s="25" t="s">
        <v>432</v>
      </c>
      <c r="T17" s="25" t="s">
        <v>433</v>
      </c>
      <c r="U17" s="41">
        <v>37</v>
      </c>
      <c r="V17" t="str">
        <f t="shared" si="0"/>
        <v>51.1 @ -29°C' 43.8 @ 200°C</v>
      </c>
    </row>
    <row r="18" spans="1:22" x14ac:dyDescent="0.25">
      <c r="A18" s="29">
        <v>15</v>
      </c>
      <c r="B18" s="26" t="s">
        <v>366</v>
      </c>
      <c r="C18" s="25" t="str">
        <f t="shared" ca="1" si="1"/>
        <v>2" - 24"</v>
      </c>
      <c r="D18" s="25" t="str">
        <f t="shared" ca="1" si="2"/>
        <v>Check Valve, Dual Plate, Wafer Threaded lug type</v>
      </c>
      <c r="E18" s="25" t="str">
        <f t="shared" ca="1" si="3"/>
        <v>Flanged ASME B16.5 RTJ / Compact Flange / Hub Connector (As per PMS)</v>
      </c>
      <c r="F18" s="25" t="str">
        <f t="shared" ca="1" si="4"/>
        <v>Forged ASTM A182 F316</v>
      </c>
      <c r="G18" s="25" t="str">
        <f t="shared" ca="1" si="5"/>
        <v>Forged - ASTM A182 F316, Stellite Hard Faced</v>
      </c>
      <c r="H18" s="25" t="str">
        <f t="shared" ca="1" si="6"/>
        <v>G1</v>
      </c>
      <c r="I18" s="30">
        <v>190</v>
      </c>
      <c r="J18" s="17" t="s">
        <v>555</v>
      </c>
      <c r="L18" s="29">
        <v>16</v>
      </c>
      <c r="M18" s="25" t="s">
        <v>132</v>
      </c>
      <c r="N18" s="25" t="s">
        <v>434</v>
      </c>
      <c r="O18" s="25">
        <v>1.1000000000000001</v>
      </c>
      <c r="P18" s="25" t="s">
        <v>448</v>
      </c>
      <c r="Q18" s="25" t="s">
        <v>91</v>
      </c>
      <c r="R18" s="40" t="s">
        <v>171</v>
      </c>
      <c r="S18" s="25" t="s">
        <v>435</v>
      </c>
      <c r="T18" s="25" t="s">
        <v>436</v>
      </c>
      <c r="U18" s="41">
        <v>38</v>
      </c>
      <c r="V18" t="str">
        <f t="shared" si="0"/>
        <v>102.1 @ -29°C' 87.6 @ 200°C</v>
      </c>
    </row>
    <row r="19" spans="1:22" x14ac:dyDescent="0.25">
      <c r="A19" s="29">
        <v>16</v>
      </c>
      <c r="B19" s="26" t="s">
        <v>216</v>
      </c>
      <c r="C19" s="25" t="str">
        <f t="shared" ca="1" si="1"/>
        <v>1/2" - 1 1/2"</v>
      </c>
      <c r="D19" s="25" t="str">
        <f t="shared" ca="1" si="2"/>
        <v>Check Valve, Piston Type</v>
      </c>
      <c r="E19" s="25" t="str">
        <f t="shared" ca="1" si="3"/>
        <v>Flanged ASME B16.5 RF</v>
      </c>
      <c r="F19" s="25" t="str">
        <f t="shared" ca="1" si="4"/>
        <v>Forged ASTM A182 F316L</v>
      </c>
      <c r="G19" s="25" t="str">
        <f t="shared" ca="1" si="5"/>
        <v>Forged - ASTM A182 F316L, Stellite Hard Faced</v>
      </c>
      <c r="H19" s="25" t="str">
        <f t="shared" ca="1" si="6"/>
        <v>A2N</v>
      </c>
      <c r="I19" s="30">
        <v>191</v>
      </c>
      <c r="J19" s="17" t="s">
        <v>555</v>
      </c>
      <c r="L19" s="29">
        <v>17</v>
      </c>
      <c r="M19" s="25" t="s">
        <v>133</v>
      </c>
      <c r="N19" s="25" t="s">
        <v>437</v>
      </c>
      <c r="O19" s="25">
        <v>1.1000000000000001</v>
      </c>
      <c r="P19" s="25" t="s">
        <v>448</v>
      </c>
      <c r="Q19" s="25" t="s">
        <v>91</v>
      </c>
      <c r="R19" s="40" t="s">
        <v>171</v>
      </c>
      <c r="S19" s="25" t="s">
        <v>439</v>
      </c>
      <c r="T19" s="25" t="s">
        <v>440</v>
      </c>
      <c r="U19" s="41">
        <v>39</v>
      </c>
      <c r="V19" t="str">
        <f t="shared" si="0"/>
        <v>153.2 @ -29°C' 131.4 @ 200°C</v>
      </c>
    </row>
    <row r="20" spans="1:22" x14ac:dyDescent="0.25">
      <c r="A20" s="29">
        <v>17</v>
      </c>
      <c r="B20" s="26" t="s">
        <v>276</v>
      </c>
      <c r="C20" s="25" t="str">
        <f t="shared" ca="1" si="1"/>
        <v>2" - 24"</v>
      </c>
      <c r="D20" s="25" t="str">
        <f t="shared" ca="1" si="2"/>
        <v>Check Valve, Swing type</v>
      </c>
      <c r="E20" s="25" t="str">
        <f t="shared" ca="1" si="3"/>
        <v>Flanged ASME B16.5 RF</v>
      </c>
      <c r="F20" s="25" t="str">
        <f t="shared" ca="1" si="4"/>
        <v>Forged ASTM A182 F316L</v>
      </c>
      <c r="G20" s="25" t="str">
        <f t="shared" ca="1" si="5"/>
        <v>Forged - ASTM A182 F316L, Stellite Hard Faced</v>
      </c>
      <c r="H20" s="25" t="str">
        <f t="shared" ca="1" si="6"/>
        <v>A2N</v>
      </c>
      <c r="I20" s="30">
        <v>192</v>
      </c>
      <c r="J20" s="17" t="s">
        <v>555</v>
      </c>
      <c r="L20" s="29">
        <v>18</v>
      </c>
      <c r="M20" s="25" t="s">
        <v>134</v>
      </c>
      <c r="N20" s="25" t="s">
        <v>441</v>
      </c>
      <c r="O20" s="25">
        <v>1.1000000000000001</v>
      </c>
      <c r="P20" s="25" t="s">
        <v>448</v>
      </c>
      <c r="Q20" s="25" t="s">
        <v>91</v>
      </c>
      <c r="R20" s="40" t="s">
        <v>171</v>
      </c>
      <c r="S20" s="25" t="s">
        <v>442</v>
      </c>
      <c r="T20" s="25" t="s">
        <v>443</v>
      </c>
      <c r="U20" s="41">
        <v>40</v>
      </c>
      <c r="V20" t="str">
        <f t="shared" si="0"/>
        <v>255.3 @ -29°C' 219 @ 200°C</v>
      </c>
    </row>
    <row r="21" spans="1:22" x14ac:dyDescent="0.25">
      <c r="A21" s="29">
        <v>18</v>
      </c>
      <c r="B21" s="26" t="s">
        <v>367</v>
      </c>
      <c r="C21" s="25" t="str">
        <f t="shared" ca="1" si="1"/>
        <v>2" - 24"</v>
      </c>
      <c r="D21" s="25" t="str">
        <f t="shared" ca="1" si="2"/>
        <v>Check Valve, Dual Plate, Wafer Threaded lug type</v>
      </c>
      <c r="E21" s="25" t="str">
        <f t="shared" ca="1" si="3"/>
        <v>Wafer Lugged to suit ASME B16.5 RF Flanges</v>
      </c>
      <c r="F21" s="25" t="str">
        <f t="shared" ca="1" si="4"/>
        <v>Forged ASTM A182 F316L</v>
      </c>
      <c r="G21" s="25" t="str">
        <f t="shared" ca="1" si="5"/>
        <v>Forged - ASTM A182 F316L, Stellite Hard Faced</v>
      </c>
      <c r="H21" s="25" t="str">
        <f t="shared" ca="1" si="6"/>
        <v>A2N</v>
      </c>
      <c r="I21" s="30">
        <v>193</v>
      </c>
      <c r="J21" s="17" t="s">
        <v>555</v>
      </c>
      <c r="L21" s="29">
        <v>19</v>
      </c>
      <c r="M21" s="25" t="s">
        <v>135</v>
      </c>
      <c r="N21" s="25" t="s">
        <v>444</v>
      </c>
      <c r="O21" s="25">
        <v>1.1000000000000001</v>
      </c>
      <c r="P21" s="25" t="s">
        <v>448</v>
      </c>
      <c r="Q21" s="25" t="s">
        <v>91</v>
      </c>
      <c r="R21" s="40" t="s">
        <v>171</v>
      </c>
      <c r="S21" s="25" t="s">
        <v>446</v>
      </c>
      <c r="T21" s="25" t="s">
        <v>447</v>
      </c>
      <c r="U21" s="41">
        <v>41</v>
      </c>
      <c r="V21" t="str">
        <f t="shared" si="0"/>
        <v>399.8 @ -29°C' 342.9 @ 200°C</v>
      </c>
    </row>
    <row r="22" spans="1:22" x14ac:dyDescent="0.25">
      <c r="A22" s="29">
        <v>19</v>
      </c>
      <c r="B22" s="26" t="s">
        <v>217</v>
      </c>
      <c r="C22" s="25" t="str">
        <f t="shared" ca="1" si="1"/>
        <v>1/2" - 1 1/2"</v>
      </c>
      <c r="D22" s="25" t="str">
        <f t="shared" ca="1" si="2"/>
        <v>Check Valve, Piston Type</v>
      </c>
      <c r="E22" s="25" t="str">
        <f t="shared" ca="1" si="3"/>
        <v>Flanged ASME B16.5 RF</v>
      </c>
      <c r="F22" s="25" t="str">
        <f t="shared" ca="1" si="4"/>
        <v>Forged ASTM A182 F316L</v>
      </c>
      <c r="G22" s="25" t="str">
        <f t="shared" ca="1" si="5"/>
        <v>Forged - ASTM A182 F316L, Stellite Hard Faced</v>
      </c>
      <c r="H22" s="25" t="str">
        <f t="shared" ca="1" si="6"/>
        <v>B2N</v>
      </c>
      <c r="I22" s="30">
        <v>194</v>
      </c>
      <c r="J22" s="17" t="s">
        <v>555</v>
      </c>
      <c r="L22" s="29">
        <v>20</v>
      </c>
      <c r="M22" s="25" t="s">
        <v>4</v>
      </c>
      <c r="N22" s="25" t="s">
        <v>425</v>
      </c>
      <c r="O22" s="25">
        <v>1.1000000000000001</v>
      </c>
      <c r="P22" s="25" t="s">
        <v>455</v>
      </c>
      <c r="Q22" s="25" t="s">
        <v>90</v>
      </c>
      <c r="R22" s="42" t="s">
        <v>172</v>
      </c>
      <c r="S22" s="25" t="s">
        <v>456</v>
      </c>
      <c r="T22" s="25" t="s">
        <v>429</v>
      </c>
      <c r="U22" s="41">
        <v>42</v>
      </c>
      <c r="V22" t="str">
        <f t="shared" si="0"/>
        <v>19.6 @ -45°C' 13.8 @ 200°C</v>
      </c>
    </row>
    <row r="23" spans="1:22" x14ac:dyDescent="0.25">
      <c r="A23" s="29">
        <v>20</v>
      </c>
      <c r="B23" s="26" t="s">
        <v>277</v>
      </c>
      <c r="C23" s="25" t="str">
        <f t="shared" ca="1" si="1"/>
        <v>2" - 24"</v>
      </c>
      <c r="D23" s="25" t="str">
        <f t="shared" ca="1" si="2"/>
        <v>Check Valve, Swing type</v>
      </c>
      <c r="E23" s="25" t="str">
        <f t="shared" ca="1" si="3"/>
        <v>Flanged ASME B16.5 RF</v>
      </c>
      <c r="F23" s="25" t="str">
        <f t="shared" ca="1" si="4"/>
        <v>Forged ASTM A182 F316L</v>
      </c>
      <c r="G23" s="25" t="str">
        <f t="shared" ca="1" si="5"/>
        <v>Forged - ASTM A182 F316L, Stellite Hard Faced</v>
      </c>
      <c r="H23" s="25" t="str">
        <f t="shared" ca="1" si="6"/>
        <v>B2N</v>
      </c>
      <c r="I23" s="30">
        <v>195</v>
      </c>
      <c r="J23" s="17" t="s">
        <v>555</v>
      </c>
      <c r="L23" s="29">
        <v>21</v>
      </c>
      <c r="M23" s="25" t="s">
        <v>11</v>
      </c>
      <c r="N23" s="25" t="s">
        <v>430</v>
      </c>
      <c r="O23" s="25">
        <v>1.1000000000000001</v>
      </c>
      <c r="P23" s="25" t="s">
        <v>455</v>
      </c>
      <c r="Q23" s="25" t="s">
        <v>90</v>
      </c>
      <c r="R23" s="42" t="s">
        <v>172</v>
      </c>
      <c r="S23" s="25" t="s">
        <v>457</v>
      </c>
      <c r="T23" s="25" t="s">
        <v>433</v>
      </c>
      <c r="U23" s="41">
        <v>43</v>
      </c>
      <c r="V23" t="str">
        <f t="shared" si="0"/>
        <v>51.1 @ -45°C' 43.8 @ 200°C</v>
      </c>
    </row>
    <row r="24" spans="1:22" x14ac:dyDescent="0.25">
      <c r="A24" s="29">
        <v>21</v>
      </c>
      <c r="B24" s="26" t="s">
        <v>368</v>
      </c>
      <c r="C24" s="25" t="str">
        <f t="shared" ca="1" si="1"/>
        <v>2" - 24"</v>
      </c>
      <c r="D24" s="25" t="str">
        <f t="shared" ca="1" si="2"/>
        <v>Check Valve, Dual Plate, Wafer Threaded lug type</v>
      </c>
      <c r="E24" s="25" t="str">
        <f t="shared" ca="1" si="3"/>
        <v>Wafer Lugged to suit ASME B16.5 RF Flanges</v>
      </c>
      <c r="F24" s="25" t="str">
        <f t="shared" ca="1" si="4"/>
        <v>Forged ASTM A182 F316L</v>
      </c>
      <c r="G24" s="25" t="str">
        <f t="shared" ca="1" si="5"/>
        <v>Forged - ASTM A182 F316L, Stellite Hard Faced</v>
      </c>
      <c r="H24" s="25" t="str">
        <f t="shared" ca="1" si="6"/>
        <v>B2N</v>
      </c>
      <c r="I24" s="30">
        <v>196</v>
      </c>
      <c r="J24" s="17" t="s">
        <v>555</v>
      </c>
      <c r="L24" s="29">
        <v>22</v>
      </c>
      <c r="M24" s="25" t="s">
        <v>18</v>
      </c>
      <c r="N24" s="25" t="s">
        <v>434</v>
      </c>
      <c r="O24" s="25">
        <v>1.1000000000000001</v>
      </c>
      <c r="P24" s="25" t="s">
        <v>455</v>
      </c>
      <c r="Q24" s="25" t="s">
        <v>90</v>
      </c>
      <c r="R24" s="42" t="s">
        <v>173</v>
      </c>
      <c r="S24" s="25" t="s">
        <v>458</v>
      </c>
      <c r="T24" s="25" t="s">
        <v>436</v>
      </c>
      <c r="U24" s="41">
        <v>44</v>
      </c>
      <c r="V24" t="str">
        <f t="shared" si="0"/>
        <v>102.1 @ -45°C' 87.6 @ 200°C</v>
      </c>
    </row>
    <row r="25" spans="1:22" x14ac:dyDescent="0.25">
      <c r="A25" s="29">
        <v>22</v>
      </c>
      <c r="B25" s="26" t="s">
        <v>218</v>
      </c>
      <c r="C25" s="25" t="str">
        <f t="shared" ca="1" si="1"/>
        <v>1/2" - 1 1/2"</v>
      </c>
      <c r="D25" s="25" t="str">
        <f t="shared" ca="1" si="2"/>
        <v>Check Valve, Piston Type</v>
      </c>
      <c r="E25" s="25" t="str">
        <f t="shared" ca="1" si="3"/>
        <v>Flanged ASME B16.5 RF</v>
      </c>
      <c r="F25" s="25" t="str">
        <f t="shared" ca="1" si="4"/>
        <v>Forged ASTM A182 F316L</v>
      </c>
      <c r="G25" s="25" t="str">
        <f t="shared" ca="1" si="5"/>
        <v>Forged - ASTM A182 F316L, Stellite Hard Faced</v>
      </c>
      <c r="H25" s="25" t="str">
        <f t="shared" ca="1" si="6"/>
        <v>D2N</v>
      </c>
      <c r="I25" s="30">
        <v>197</v>
      </c>
      <c r="J25" s="17" t="s">
        <v>555</v>
      </c>
      <c r="L25" s="29">
        <v>23</v>
      </c>
      <c r="M25" s="25" t="s">
        <v>21</v>
      </c>
      <c r="N25" s="25" t="s">
        <v>437</v>
      </c>
      <c r="O25" s="25">
        <v>1.1000000000000001</v>
      </c>
      <c r="P25" s="25" t="s">
        <v>455</v>
      </c>
      <c r="Q25" s="25" t="s">
        <v>90</v>
      </c>
      <c r="R25" s="42" t="s">
        <v>173</v>
      </c>
      <c r="S25" s="25" t="s">
        <v>459</v>
      </c>
      <c r="T25" s="25" t="s">
        <v>440</v>
      </c>
      <c r="U25" s="41">
        <v>45</v>
      </c>
      <c r="V25" t="str">
        <f t="shared" si="0"/>
        <v>153.2 @ -45°C' 131.4 @ 200°C</v>
      </c>
    </row>
    <row r="26" spans="1:22" x14ac:dyDescent="0.25">
      <c r="A26" s="29">
        <v>23</v>
      </c>
      <c r="B26" s="26" t="s">
        <v>278</v>
      </c>
      <c r="C26" s="25" t="str">
        <f t="shared" ca="1" si="1"/>
        <v>2" - 24"</v>
      </c>
      <c r="D26" s="25" t="str">
        <f t="shared" ca="1" si="2"/>
        <v>Check Valve, Swing type</v>
      </c>
      <c r="E26" s="25" t="str">
        <f t="shared" ca="1" si="3"/>
        <v>Flanged ASME B16.5 RF</v>
      </c>
      <c r="F26" s="25" t="str">
        <f t="shared" ca="1" si="4"/>
        <v>Forged ASTM A182 F316L</v>
      </c>
      <c r="G26" s="25" t="str">
        <f t="shared" ca="1" si="5"/>
        <v>Forged - ASTM A182 F316L, Stellite Hard Faced</v>
      </c>
      <c r="H26" s="25" t="str">
        <f t="shared" ca="1" si="6"/>
        <v>D2N</v>
      </c>
      <c r="I26" s="30">
        <v>198</v>
      </c>
      <c r="J26" s="17" t="s">
        <v>555</v>
      </c>
      <c r="L26" s="29">
        <v>24</v>
      </c>
      <c r="M26" s="25" t="s">
        <v>23</v>
      </c>
      <c r="N26" s="25" t="s">
        <v>441</v>
      </c>
      <c r="O26" s="25">
        <v>1.1000000000000001</v>
      </c>
      <c r="P26" s="25" t="s">
        <v>455</v>
      </c>
      <c r="Q26" s="25" t="s">
        <v>90</v>
      </c>
      <c r="R26" s="42" t="s">
        <v>173</v>
      </c>
      <c r="S26" s="25" t="s">
        <v>460</v>
      </c>
      <c r="T26" s="25" t="s">
        <v>443</v>
      </c>
      <c r="U26" s="41">
        <v>46</v>
      </c>
      <c r="V26" t="str">
        <f t="shared" si="0"/>
        <v>255.3 @ -45°C' 219 @ 200°C</v>
      </c>
    </row>
    <row r="27" spans="1:22" x14ac:dyDescent="0.25">
      <c r="A27" s="29">
        <v>24</v>
      </c>
      <c r="B27" s="26" t="s">
        <v>219</v>
      </c>
      <c r="C27" s="25" t="str">
        <f t="shared" ca="1" si="1"/>
        <v>1/2" - 1 1/2"</v>
      </c>
      <c r="D27" s="25" t="str">
        <f t="shared" ca="1" si="2"/>
        <v>Check Valve, Piston Type</v>
      </c>
      <c r="E27" s="25" t="str">
        <f t="shared" ca="1" si="3"/>
        <v>Flanged ASME B16.5 RTJ</v>
      </c>
      <c r="F27" s="25" t="str">
        <f t="shared" ca="1" si="4"/>
        <v>Forged ASTM A182 F316L</v>
      </c>
      <c r="G27" s="25" t="str">
        <f t="shared" ca="1" si="5"/>
        <v>Forged - ASTM A182 F316L, Stellite Hard Faced</v>
      </c>
      <c r="H27" s="25" t="str">
        <f t="shared" ca="1" si="6"/>
        <v>E2N</v>
      </c>
      <c r="I27" s="30">
        <v>199</v>
      </c>
      <c r="J27" s="17" t="s">
        <v>555</v>
      </c>
      <c r="L27" s="29">
        <v>25</v>
      </c>
      <c r="M27" s="25" t="s">
        <v>25</v>
      </c>
      <c r="N27" s="25" t="s">
        <v>444</v>
      </c>
      <c r="O27" s="25">
        <v>1.1000000000000001</v>
      </c>
      <c r="P27" s="25" t="s">
        <v>455</v>
      </c>
      <c r="Q27" s="25" t="s">
        <v>90</v>
      </c>
      <c r="R27" s="42" t="s">
        <v>174</v>
      </c>
      <c r="S27" s="25" t="s">
        <v>446</v>
      </c>
      <c r="T27" s="25" t="s">
        <v>447</v>
      </c>
      <c r="U27" s="41">
        <v>47</v>
      </c>
      <c r="V27" t="str">
        <f t="shared" si="0"/>
        <v>399.8 @ -29°C' 342.9 @ 200°C</v>
      </c>
    </row>
    <row r="28" spans="1:22" x14ac:dyDescent="0.25">
      <c r="A28" s="29">
        <v>25</v>
      </c>
      <c r="B28" s="26" t="s">
        <v>279</v>
      </c>
      <c r="C28" s="25" t="str">
        <f t="shared" ca="1" si="1"/>
        <v>2" - 24"</v>
      </c>
      <c r="D28" s="25" t="str">
        <f t="shared" ca="1" si="2"/>
        <v>Check Valve, Swing type</v>
      </c>
      <c r="E28" s="25" t="str">
        <f t="shared" ca="1" si="3"/>
        <v>Flanged ASME B16.5 RTJ</v>
      </c>
      <c r="F28" s="25" t="str">
        <f t="shared" ca="1" si="4"/>
        <v>Forged ASTM A182 F316L</v>
      </c>
      <c r="G28" s="25" t="str">
        <f t="shared" ca="1" si="5"/>
        <v>Forged - ASTM A182 F316L, Stellite Hard Faced</v>
      </c>
      <c r="H28" s="25" t="str">
        <f t="shared" ca="1" si="6"/>
        <v>E2N</v>
      </c>
      <c r="I28" s="30">
        <v>200</v>
      </c>
      <c r="J28" s="17" t="s">
        <v>555</v>
      </c>
      <c r="L28" s="29">
        <v>26</v>
      </c>
      <c r="M28" s="25" t="s">
        <v>175</v>
      </c>
      <c r="N28" s="25" t="s">
        <v>425</v>
      </c>
      <c r="O28" s="25">
        <v>1.1000000000000001</v>
      </c>
      <c r="P28" s="25" t="s">
        <v>455</v>
      </c>
      <c r="Q28" s="25" t="s">
        <v>91</v>
      </c>
      <c r="R28" s="42" t="s">
        <v>173</v>
      </c>
      <c r="S28" s="25" t="s">
        <v>456</v>
      </c>
      <c r="T28" s="25" t="s">
        <v>429</v>
      </c>
      <c r="U28" s="41">
        <v>48</v>
      </c>
      <c r="V28" t="str">
        <f t="shared" si="0"/>
        <v>19.6 @ -45°C' 13.8 @ 200°C</v>
      </c>
    </row>
    <row r="29" spans="1:22" x14ac:dyDescent="0.25">
      <c r="A29" s="29">
        <v>26</v>
      </c>
      <c r="B29" s="26" t="s">
        <v>220</v>
      </c>
      <c r="C29" s="25" t="str">
        <f t="shared" ca="1" si="1"/>
        <v>1/2" - 1 1/2"</v>
      </c>
      <c r="D29" s="25" t="str">
        <f t="shared" ca="1" si="2"/>
        <v>Check Valve, Piston Type</v>
      </c>
      <c r="E29" s="25" t="str">
        <f t="shared" ca="1" si="3"/>
        <v>Flanged ASME B16.5 RTJ / Compact Flange / Hub Connector (As per PMS)</v>
      </c>
      <c r="F29" s="25" t="str">
        <f t="shared" ca="1" si="4"/>
        <v>Forged ASTM A182 F316L</v>
      </c>
      <c r="G29" s="25" t="str">
        <f t="shared" ca="1" si="5"/>
        <v>Forged - ASTM A182 F316L, Stellite Hard Faced</v>
      </c>
      <c r="H29" s="25" t="str">
        <f t="shared" ca="1" si="6"/>
        <v>F2N</v>
      </c>
      <c r="I29" s="30">
        <v>201</v>
      </c>
      <c r="J29" s="17" t="s">
        <v>555</v>
      </c>
      <c r="L29" s="29">
        <v>27</v>
      </c>
      <c r="M29" s="25" t="s">
        <v>176</v>
      </c>
      <c r="N29" s="25" t="s">
        <v>430</v>
      </c>
      <c r="O29" s="25">
        <v>1.1000000000000001</v>
      </c>
      <c r="P29" s="25" t="s">
        <v>455</v>
      </c>
      <c r="Q29" s="25" t="s">
        <v>91</v>
      </c>
      <c r="R29" s="42" t="s">
        <v>173</v>
      </c>
      <c r="S29" s="25" t="s">
        <v>457</v>
      </c>
      <c r="T29" s="25" t="s">
        <v>433</v>
      </c>
      <c r="U29" s="41">
        <v>49</v>
      </c>
      <c r="V29" t="str">
        <f t="shared" si="0"/>
        <v>51.1 @ -45°C' 43.8 @ 200°C</v>
      </c>
    </row>
    <row r="30" spans="1:22" x14ac:dyDescent="0.25">
      <c r="A30" s="29">
        <v>27</v>
      </c>
      <c r="B30" s="26" t="s">
        <v>280</v>
      </c>
      <c r="C30" s="25" t="str">
        <f t="shared" ca="1" si="1"/>
        <v>2" - 24"</v>
      </c>
      <c r="D30" s="25" t="str">
        <f t="shared" ca="1" si="2"/>
        <v>Check Valve, Swing type</v>
      </c>
      <c r="E30" s="25" t="str">
        <f t="shared" ca="1" si="3"/>
        <v>Flanged ASME B16.5 RTJ / Compact Flange / Hub Connector (As per PMS)</v>
      </c>
      <c r="F30" s="25" t="str">
        <f t="shared" ca="1" si="4"/>
        <v>Forged ASTM A182 F316L</v>
      </c>
      <c r="G30" s="25" t="str">
        <f t="shared" ca="1" si="5"/>
        <v>Forged - ASTM A182 F316L, Stellite Hard Faced</v>
      </c>
      <c r="H30" s="25" t="str">
        <f t="shared" ca="1" si="6"/>
        <v>F2N</v>
      </c>
      <c r="I30" s="30">
        <v>202</v>
      </c>
      <c r="J30" s="17" t="s">
        <v>555</v>
      </c>
      <c r="L30" s="29">
        <v>28</v>
      </c>
      <c r="M30" s="25" t="s">
        <v>177</v>
      </c>
      <c r="N30" s="25" t="s">
        <v>434</v>
      </c>
      <c r="O30" s="25">
        <v>1.1000000000000001</v>
      </c>
      <c r="P30" s="25" t="s">
        <v>455</v>
      </c>
      <c r="Q30" s="25" t="s">
        <v>91</v>
      </c>
      <c r="R30" s="42" t="s">
        <v>173</v>
      </c>
      <c r="S30" s="25" t="s">
        <v>458</v>
      </c>
      <c r="T30" s="25" t="s">
        <v>436</v>
      </c>
      <c r="U30" s="41">
        <v>50</v>
      </c>
      <c r="V30" t="str">
        <f t="shared" si="0"/>
        <v>102.1 @ -45°C' 87.6 @ 200°C</v>
      </c>
    </row>
    <row r="31" spans="1:22" x14ac:dyDescent="0.25">
      <c r="A31" s="29">
        <v>28</v>
      </c>
      <c r="B31" s="26" t="s">
        <v>221</v>
      </c>
      <c r="C31" s="25" t="str">
        <f t="shared" ca="1" si="1"/>
        <v>1/2" - 1 1/2"</v>
      </c>
      <c r="D31" s="25" t="str">
        <f t="shared" ca="1" si="2"/>
        <v>Check Valve, Piston Type</v>
      </c>
      <c r="E31" s="25" t="str">
        <f t="shared" ca="1" si="3"/>
        <v>Flanged ASME B16.5 RTJ / Compact Flange / Hub Connector (As per PMS)</v>
      </c>
      <c r="F31" s="25" t="str">
        <f t="shared" ca="1" si="4"/>
        <v>Forged ASTM A182 F316L</v>
      </c>
      <c r="G31" s="25" t="str">
        <f t="shared" ca="1" si="5"/>
        <v>Forged - ASTM A182 F316L, Stellite Hard Faced</v>
      </c>
      <c r="H31" s="25" t="str">
        <f t="shared" ca="1" si="6"/>
        <v>G2N</v>
      </c>
      <c r="I31" s="30">
        <v>203</v>
      </c>
      <c r="J31" s="17" t="s">
        <v>555</v>
      </c>
      <c r="L31" s="29">
        <v>29</v>
      </c>
      <c r="M31" s="25" t="s">
        <v>178</v>
      </c>
      <c r="N31" s="25" t="s">
        <v>437</v>
      </c>
      <c r="O31" s="25">
        <v>1.1000000000000001</v>
      </c>
      <c r="P31" s="25" t="s">
        <v>455</v>
      </c>
      <c r="Q31" s="25" t="s">
        <v>91</v>
      </c>
      <c r="R31" s="42" t="s">
        <v>173</v>
      </c>
      <c r="S31" s="25" t="s">
        <v>459</v>
      </c>
      <c r="T31" s="25" t="s">
        <v>440</v>
      </c>
      <c r="U31" s="41">
        <v>51</v>
      </c>
      <c r="V31" t="str">
        <f t="shared" si="0"/>
        <v>153.2 @ -45°C' 131.4 @ 200°C</v>
      </c>
    </row>
    <row r="32" spans="1:22" x14ac:dyDescent="0.25">
      <c r="A32" s="29">
        <v>29</v>
      </c>
      <c r="B32" s="26" t="s">
        <v>281</v>
      </c>
      <c r="C32" s="25" t="str">
        <f t="shared" ca="1" si="1"/>
        <v>2" - 12"</v>
      </c>
      <c r="D32" s="25" t="str">
        <f t="shared" ca="1" si="2"/>
        <v>Check Valve, Swing type</v>
      </c>
      <c r="E32" s="25" t="str">
        <f t="shared" ca="1" si="3"/>
        <v>Flanged ASME B16.5 RTJ / Compact Flange / Hub Connector (As per PMS)</v>
      </c>
      <c r="F32" s="25" t="str">
        <f t="shared" ca="1" si="4"/>
        <v>Forged ASTM A182 F316L</v>
      </c>
      <c r="G32" s="25" t="str">
        <f t="shared" ca="1" si="5"/>
        <v>Forged - ASTM A182 F316L, Stellite Hard Faced</v>
      </c>
      <c r="H32" s="25" t="str">
        <f t="shared" ca="1" si="6"/>
        <v>G2N</v>
      </c>
      <c r="I32" s="30">
        <v>204</v>
      </c>
      <c r="J32" s="17" t="s">
        <v>555</v>
      </c>
      <c r="L32" s="29">
        <v>30</v>
      </c>
      <c r="M32" s="25" t="s">
        <v>179</v>
      </c>
      <c r="N32" s="25" t="s">
        <v>441</v>
      </c>
      <c r="O32" s="25">
        <v>1.1000000000000001</v>
      </c>
      <c r="P32" s="25" t="s">
        <v>455</v>
      </c>
      <c r="Q32" s="25" t="s">
        <v>91</v>
      </c>
      <c r="R32" s="42" t="s">
        <v>173</v>
      </c>
      <c r="S32" s="25" t="s">
        <v>460</v>
      </c>
      <c r="T32" s="25" t="s">
        <v>443</v>
      </c>
      <c r="U32" s="41">
        <v>52</v>
      </c>
      <c r="V32" t="str">
        <f t="shared" si="0"/>
        <v>255.3 @ -45°C' 219 @ 200°C</v>
      </c>
    </row>
    <row r="33" spans="1:22" x14ac:dyDescent="0.25">
      <c r="A33" s="29">
        <v>30</v>
      </c>
      <c r="B33" s="26" t="s">
        <v>222</v>
      </c>
      <c r="C33" s="25" t="str">
        <f t="shared" ca="1" si="1"/>
        <v>1/2" - 1 1/2"</v>
      </c>
      <c r="D33" s="25" t="str">
        <f t="shared" ca="1" si="2"/>
        <v>Check Valve, Piston Type</v>
      </c>
      <c r="E33" s="25" t="str">
        <f t="shared" ca="1" si="3"/>
        <v>Flanged ASME B16.5 RF</v>
      </c>
      <c r="F33" s="25" t="str">
        <f t="shared" ca="1" si="4"/>
        <v>Forged ASTM A182 F316L</v>
      </c>
      <c r="G33" s="25" t="str">
        <f t="shared" ca="1" si="5"/>
        <v>Forged - ASTM A182 F316L, Stellite Hard Faced</v>
      </c>
      <c r="H33" s="25" t="str">
        <f t="shared" ca="1" si="6"/>
        <v>A1LN</v>
      </c>
      <c r="I33" s="30">
        <v>205</v>
      </c>
      <c r="J33" s="17" t="s">
        <v>555</v>
      </c>
      <c r="L33" s="29">
        <v>31</v>
      </c>
      <c r="M33" s="25" t="s">
        <v>180</v>
      </c>
      <c r="N33" s="25" t="s">
        <v>444</v>
      </c>
      <c r="O33" s="25">
        <v>1.1000000000000001</v>
      </c>
      <c r="P33" s="25" t="s">
        <v>455</v>
      </c>
      <c r="Q33" s="25" t="s">
        <v>91</v>
      </c>
      <c r="R33" s="42" t="s">
        <v>173</v>
      </c>
      <c r="S33" s="25" t="s">
        <v>446</v>
      </c>
      <c r="T33" s="25" t="s">
        <v>447</v>
      </c>
      <c r="U33" s="41">
        <v>53</v>
      </c>
      <c r="V33" t="str">
        <f t="shared" si="0"/>
        <v>399.8 @ -29°C' 342.9 @ 200°C</v>
      </c>
    </row>
    <row r="34" spans="1:22" x14ac:dyDescent="0.25">
      <c r="A34" s="29">
        <v>31</v>
      </c>
      <c r="B34" s="26" t="s">
        <v>282</v>
      </c>
      <c r="C34" s="25" t="str">
        <f t="shared" ca="1" si="1"/>
        <v>2" - 24"</v>
      </c>
      <c r="D34" s="25" t="str">
        <f t="shared" ca="1" si="2"/>
        <v>Check Valve, Swing type</v>
      </c>
      <c r="E34" s="25" t="str">
        <f t="shared" ca="1" si="3"/>
        <v>Flanged ASME B16.5 RF</v>
      </c>
      <c r="F34" s="25" t="str">
        <f t="shared" ca="1" si="4"/>
        <v>Forged ASTM A182 F316L</v>
      </c>
      <c r="G34" s="25" t="str">
        <f t="shared" ca="1" si="5"/>
        <v>Forged - ASTM A182 F316L, Stellite Hard Faced</v>
      </c>
      <c r="H34" s="25" t="str">
        <f t="shared" ca="1" si="6"/>
        <v>A1LN</v>
      </c>
      <c r="I34" s="30">
        <v>206</v>
      </c>
      <c r="J34" s="17" t="s">
        <v>555</v>
      </c>
      <c r="L34" s="29">
        <v>32</v>
      </c>
      <c r="M34" s="25" t="s">
        <v>461</v>
      </c>
      <c r="N34" s="25" t="s">
        <v>425</v>
      </c>
      <c r="O34" s="25">
        <v>1.1000000000000001</v>
      </c>
      <c r="P34" s="25" t="s">
        <v>462</v>
      </c>
      <c r="Q34" s="25" t="s">
        <v>90</v>
      </c>
      <c r="R34" s="40" t="s">
        <v>463</v>
      </c>
      <c r="S34" s="25" t="s">
        <v>464</v>
      </c>
      <c r="T34" s="25" t="s">
        <v>465</v>
      </c>
      <c r="U34" s="41">
        <v>54</v>
      </c>
      <c r="V34" t="str">
        <f t="shared" si="0"/>
        <v>19 @ -29°C'  16.2 @ 100°C</v>
      </c>
    </row>
    <row r="35" spans="1:22" x14ac:dyDescent="0.25">
      <c r="A35" s="29">
        <v>32</v>
      </c>
      <c r="B35" s="26" t="s">
        <v>369</v>
      </c>
      <c r="C35" s="25" t="str">
        <f t="shared" ca="1" si="1"/>
        <v>2" - 24"</v>
      </c>
      <c r="D35" s="25" t="str">
        <f t="shared" ca="1" si="2"/>
        <v>Check Valve, Dual Plate, Wafer Threaded lug type</v>
      </c>
      <c r="E35" s="25" t="str">
        <f t="shared" ca="1" si="3"/>
        <v>Wafer Lugged to suit ASME B16.5 RF Flanges</v>
      </c>
      <c r="F35" s="25" t="str">
        <f t="shared" ca="1" si="4"/>
        <v>Forged ASTM A182 F316L</v>
      </c>
      <c r="G35" s="25" t="str">
        <f t="shared" ca="1" si="5"/>
        <v>Forged - ASTM A182 F316L, Stellite Hard Faced</v>
      </c>
      <c r="H35" s="25" t="str">
        <f t="shared" ca="1" si="6"/>
        <v>A1LN</v>
      </c>
      <c r="I35" s="30">
        <v>207</v>
      </c>
      <c r="J35" s="17" t="s">
        <v>555</v>
      </c>
      <c r="L35" s="29">
        <v>33</v>
      </c>
      <c r="M35" s="25" t="s">
        <v>466</v>
      </c>
      <c r="N35" s="25" t="s">
        <v>425</v>
      </c>
      <c r="O35" s="25">
        <v>1.1000000000000001</v>
      </c>
      <c r="P35" s="25" t="s">
        <v>462</v>
      </c>
      <c r="Q35" s="25" t="s">
        <v>467</v>
      </c>
      <c r="R35" s="42" t="s">
        <v>468</v>
      </c>
      <c r="S35" s="25" t="s">
        <v>464</v>
      </c>
      <c r="T35" s="25" t="s">
        <v>465</v>
      </c>
      <c r="U35" s="41">
        <v>55</v>
      </c>
      <c r="V35" t="str">
        <f t="shared" si="0"/>
        <v>19 @ -29°C'  16.2 @ 100°C</v>
      </c>
    </row>
    <row r="36" spans="1:22" x14ac:dyDescent="0.25">
      <c r="A36" s="29">
        <v>33</v>
      </c>
      <c r="B36" s="26" t="s">
        <v>223</v>
      </c>
      <c r="C36" s="25" t="str">
        <f t="shared" ca="1" si="1"/>
        <v>1/2" - 1 1/2"</v>
      </c>
      <c r="D36" s="25" t="str">
        <f t="shared" ca="1" si="2"/>
        <v>Check Valve, Piston Type</v>
      </c>
      <c r="E36" s="25" t="str">
        <f t="shared" ca="1" si="3"/>
        <v>Flanged ASME B16.5 RF</v>
      </c>
      <c r="F36" s="25" t="str">
        <f t="shared" ca="1" si="4"/>
        <v>Forged ASTM A182 F316L</v>
      </c>
      <c r="G36" s="25" t="str">
        <f t="shared" ca="1" si="5"/>
        <v>Forged - ASTM A182 F316L, Stellite Hard Faced</v>
      </c>
      <c r="H36" s="25" t="str">
        <f t="shared" ca="1" si="6"/>
        <v>B1LN</v>
      </c>
      <c r="I36" s="30">
        <v>208</v>
      </c>
      <c r="J36" s="17" t="s">
        <v>555</v>
      </c>
      <c r="L36" s="29">
        <v>34</v>
      </c>
      <c r="M36" s="25" t="s">
        <v>469</v>
      </c>
      <c r="N36" s="25" t="s">
        <v>430</v>
      </c>
      <c r="O36" s="25">
        <v>1.1000000000000001</v>
      </c>
      <c r="P36" s="25" t="s">
        <v>462</v>
      </c>
      <c r="Q36" s="25" t="s">
        <v>467</v>
      </c>
      <c r="R36" s="42" t="s">
        <v>468</v>
      </c>
      <c r="S36" s="25" t="s">
        <v>432</v>
      </c>
      <c r="T36" s="25" t="s">
        <v>450</v>
      </c>
      <c r="U36" s="41">
        <v>56</v>
      </c>
      <c r="V36" t="str">
        <f t="shared" si="0"/>
        <v>51.1 @ -29°C' 43.8 @ 250°C</v>
      </c>
    </row>
    <row r="37" spans="1:22" x14ac:dyDescent="0.25">
      <c r="A37" s="29">
        <v>34</v>
      </c>
      <c r="B37" s="26" t="s">
        <v>283</v>
      </c>
      <c r="C37" s="25" t="str">
        <f t="shared" ca="1" si="1"/>
        <v>2" - 24"</v>
      </c>
      <c r="D37" s="25" t="str">
        <f t="shared" ca="1" si="2"/>
        <v>Check Valve, Swing type</v>
      </c>
      <c r="E37" s="25" t="str">
        <f t="shared" ca="1" si="3"/>
        <v>Flanged ASME B16.5 RF</v>
      </c>
      <c r="F37" s="25" t="str">
        <f t="shared" ca="1" si="4"/>
        <v>Forged ASTM A182 F316L</v>
      </c>
      <c r="G37" s="25" t="str">
        <f t="shared" ca="1" si="5"/>
        <v>Forged - ASTM A182 F316L, Stellite Hard Faced</v>
      </c>
      <c r="H37" s="25" t="str">
        <f t="shared" ca="1" si="6"/>
        <v>B1LN</v>
      </c>
      <c r="I37" s="30">
        <v>209</v>
      </c>
      <c r="J37" s="17" t="s">
        <v>555</v>
      </c>
      <c r="L37" s="29">
        <v>35</v>
      </c>
      <c r="M37" s="25" t="s">
        <v>470</v>
      </c>
      <c r="N37" s="25" t="s">
        <v>434</v>
      </c>
      <c r="O37" s="25">
        <v>1.1000000000000001</v>
      </c>
      <c r="P37" s="25" t="s">
        <v>462</v>
      </c>
      <c r="Q37" s="25" t="s">
        <v>467</v>
      </c>
      <c r="R37" s="42" t="s">
        <v>468</v>
      </c>
      <c r="S37" s="25" t="s">
        <v>435</v>
      </c>
      <c r="T37" s="25" t="s">
        <v>451</v>
      </c>
      <c r="U37" s="41">
        <v>57</v>
      </c>
      <c r="V37" t="str">
        <f t="shared" si="0"/>
        <v>102.1 @ -29°C' 87.6 @ 250°C</v>
      </c>
    </row>
    <row r="38" spans="1:22" x14ac:dyDescent="0.25">
      <c r="A38" s="29">
        <v>35</v>
      </c>
      <c r="B38" s="26" t="s">
        <v>370</v>
      </c>
      <c r="C38" s="25" t="str">
        <f t="shared" ca="1" si="1"/>
        <v>2" - 24"</v>
      </c>
      <c r="D38" s="25" t="str">
        <f t="shared" ca="1" si="2"/>
        <v>Check Valve, Dual Plate, Wafer Threaded lug type</v>
      </c>
      <c r="E38" s="25" t="str">
        <f t="shared" ca="1" si="3"/>
        <v>Wafer Lugged to suit ASME B16.5 RF Flanges</v>
      </c>
      <c r="F38" s="25" t="str">
        <f t="shared" ca="1" si="4"/>
        <v>Forged ASTM A182 F316L</v>
      </c>
      <c r="G38" s="25" t="str">
        <f t="shared" ca="1" si="5"/>
        <v>Forged - ASTM A182 F316L, Stellite Hard Faced</v>
      </c>
      <c r="H38" s="25" t="str">
        <f t="shared" ca="1" si="6"/>
        <v>B1LN</v>
      </c>
      <c r="I38" s="30">
        <v>210</v>
      </c>
      <c r="J38" s="17" t="s">
        <v>555</v>
      </c>
      <c r="L38" s="29">
        <v>36</v>
      </c>
      <c r="M38" s="25" t="s">
        <v>471</v>
      </c>
      <c r="N38" s="25" t="s">
        <v>425</v>
      </c>
      <c r="O38" s="25">
        <v>1.1000000000000001</v>
      </c>
      <c r="P38" s="25" t="s">
        <v>472</v>
      </c>
      <c r="Q38" s="25" t="s">
        <v>91</v>
      </c>
      <c r="R38" s="40" t="s">
        <v>473</v>
      </c>
      <c r="S38" s="25" t="s">
        <v>464</v>
      </c>
      <c r="T38" s="25" t="s">
        <v>465</v>
      </c>
      <c r="U38" s="41">
        <v>58</v>
      </c>
      <c r="V38" t="str">
        <f t="shared" si="0"/>
        <v>19 @ -29°C'  16.2 @ 100°C</v>
      </c>
    </row>
    <row r="39" spans="1:22" x14ac:dyDescent="0.25">
      <c r="A39" s="29">
        <v>36</v>
      </c>
      <c r="B39" s="26" t="s">
        <v>224</v>
      </c>
      <c r="C39" s="25" t="str">
        <f t="shared" ca="1" si="1"/>
        <v>1/2" - 1 1/2"</v>
      </c>
      <c r="D39" s="25" t="str">
        <f t="shared" ca="1" si="2"/>
        <v>Check Valve, Piston Type</v>
      </c>
      <c r="E39" s="25" t="str">
        <f t="shared" ca="1" si="3"/>
        <v>Flanged ASME B16.5 RF</v>
      </c>
      <c r="F39" s="25" t="str">
        <f t="shared" ca="1" si="4"/>
        <v>Forged ASTM A182 F316L</v>
      </c>
      <c r="G39" s="25" t="str">
        <f t="shared" ca="1" si="5"/>
        <v>Forged - ASTM A182 F316L, Stellite Hard Faced</v>
      </c>
      <c r="H39" s="25" t="str">
        <f t="shared" ca="1" si="6"/>
        <v>D1LN</v>
      </c>
      <c r="I39" s="30">
        <v>211</v>
      </c>
      <c r="J39" s="17" t="s">
        <v>555</v>
      </c>
      <c r="L39" s="29">
        <v>37</v>
      </c>
      <c r="M39" s="25" t="s">
        <v>474</v>
      </c>
      <c r="N39" s="25" t="s">
        <v>425</v>
      </c>
      <c r="O39" s="25">
        <v>1.1000000000000001</v>
      </c>
      <c r="P39" s="25" t="s">
        <v>475</v>
      </c>
      <c r="Q39" s="25" t="s">
        <v>91</v>
      </c>
      <c r="R39" s="40" t="s">
        <v>476</v>
      </c>
      <c r="S39" s="25" t="s">
        <v>464</v>
      </c>
      <c r="T39" s="25" t="s">
        <v>465</v>
      </c>
      <c r="U39" s="41">
        <v>59</v>
      </c>
      <c r="V39" t="str">
        <f t="shared" si="0"/>
        <v>19 @ -29°C'  16.2 @ 100°C</v>
      </c>
    </row>
    <row r="40" spans="1:22" x14ac:dyDescent="0.25">
      <c r="A40" s="29">
        <v>37</v>
      </c>
      <c r="B40" s="26" t="s">
        <v>284</v>
      </c>
      <c r="C40" s="25" t="str">
        <f t="shared" ca="1" si="1"/>
        <v xml:space="preserve">2" - 20" </v>
      </c>
      <c r="D40" s="25" t="str">
        <f t="shared" ca="1" si="2"/>
        <v>Check Valve, Swing type</v>
      </c>
      <c r="E40" s="25" t="str">
        <f t="shared" ca="1" si="3"/>
        <v>Flanged ASME B16.5 RF</v>
      </c>
      <c r="F40" s="25" t="str">
        <f t="shared" ca="1" si="4"/>
        <v>Forged ASTM A182 F316L</v>
      </c>
      <c r="G40" s="25" t="str">
        <f t="shared" ca="1" si="5"/>
        <v>Forged - ASTM A182 F316L, Stellite Hard Faced</v>
      </c>
      <c r="H40" s="25" t="str">
        <f t="shared" ca="1" si="6"/>
        <v>D1LN</v>
      </c>
      <c r="I40" s="30">
        <v>212</v>
      </c>
      <c r="J40" s="17" t="s">
        <v>555</v>
      </c>
      <c r="L40" s="29">
        <v>38</v>
      </c>
      <c r="M40" s="25" t="s">
        <v>361</v>
      </c>
      <c r="N40" s="25" t="s">
        <v>425</v>
      </c>
      <c r="O40" s="25">
        <v>2.2999999999999998</v>
      </c>
      <c r="P40" s="25" t="s">
        <v>477</v>
      </c>
      <c r="Q40" s="25" t="s">
        <v>92</v>
      </c>
      <c r="R40" s="40" t="s">
        <v>528</v>
      </c>
      <c r="S40" s="25" t="s">
        <v>478</v>
      </c>
      <c r="T40" s="25" t="s">
        <v>479</v>
      </c>
      <c r="U40" s="41">
        <v>60</v>
      </c>
      <c r="V40" t="str">
        <f t="shared" si="0"/>
        <v>15.9 @ -100°C' 11.2 @ 200°C</v>
      </c>
    </row>
    <row r="41" spans="1:22" x14ac:dyDescent="0.25">
      <c r="A41" s="29">
        <v>38</v>
      </c>
      <c r="B41" s="26" t="s">
        <v>371</v>
      </c>
      <c r="C41" s="25" t="str">
        <f t="shared" ca="1" si="1"/>
        <v>2" - 24"</v>
      </c>
      <c r="D41" s="25" t="str">
        <f t="shared" ca="1" si="2"/>
        <v>Check Valve, Dual Plate, Wafer Threaded lug type</v>
      </c>
      <c r="E41" s="25" t="str">
        <f t="shared" ca="1" si="3"/>
        <v>Wafer Lugged to suit ASME B16.5 RF Flanges</v>
      </c>
      <c r="F41" s="25" t="str">
        <f t="shared" ca="1" si="4"/>
        <v>Forged ASTM A182 F316L</v>
      </c>
      <c r="G41" s="25" t="str">
        <f t="shared" ca="1" si="5"/>
        <v>Forged - ASTM A182 F316L, Stellite Hard Faced</v>
      </c>
      <c r="H41" s="25" t="str">
        <f t="shared" ca="1" si="6"/>
        <v>D1LN</v>
      </c>
      <c r="I41" s="30">
        <v>213</v>
      </c>
      <c r="J41" s="17" t="s">
        <v>555</v>
      </c>
      <c r="L41" s="29">
        <v>39</v>
      </c>
      <c r="M41" s="25" t="s">
        <v>10</v>
      </c>
      <c r="N41" s="25" t="s">
        <v>430</v>
      </c>
      <c r="O41" s="25">
        <v>2.2999999999999998</v>
      </c>
      <c r="P41" s="25" t="s">
        <v>477</v>
      </c>
      <c r="Q41" s="25" t="s">
        <v>92</v>
      </c>
      <c r="R41" s="40" t="s">
        <v>480</v>
      </c>
      <c r="S41" s="25" t="s">
        <v>481</v>
      </c>
      <c r="T41" s="25" t="s">
        <v>482</v>
      </c>
      <c r="U41" s="41">
        <v>61</v>
      </c>
      <c r="V41" t="str">
        <f t="shared" si="0"/>
        <v>41.4 @ -100°C' 29.2 @ 200°C</v>
      </c>
    </row>
    <row r="42" spans="1:22" x14ac:dyDescent="0.25">
      <c r="A42" s="29">
        <v>39</v>
      </c>
      <c r="B42" s="26" t="s">
        <v>225</v>
      </c>
      <c r="C42" s="25" t="str">
        <f t="shared" ca="1" si="1"/>
        <v>1/2" - 1 1/2"</v>
      </c>
      <c r="D42" s="25" t="str">
        <f t="shared" ca="1" si="2"/>
        <v>Check Valve, Piston Type</v>
      </c>
      <c r="E42" s="25" t="str">
        <f t="shared" ca="1" si="3"/>
        <v>Flanged ASME B16.5 RTJ</v>
      </c>
      <c r="F42" s="25" t="str">
        <f t="shared" ca="1" si="4"/>
        <v>Forged ASTM A182 F316L</v>
      </c>
      <c r="G42" s="25" t="str">
        <f t="shared" ca="1" si="5"/>
        <v>Forged - ASTM A182 F316L, Stellite Hard Faced</v>
      </c>
      <c r="H42" s="25" t="str">
        <f t="shared" ca="1" si="6"/>
        <v>E1LN</v>
      </c>
      <c r="I42" s="30">
        <v>214</v>
      </c>
      <c r="J42" s="17" t="s">
        <v>555</v>
      </c>
      <c r="L42" s="29">
        <v>40</v>
      </c>
      <c r="M42" s="25" t="s">
        <v>17</v>
      </c>
      <c r="N42" s="25" t="s">
        <v>434</v>
      </c>
      <c r="O42" s="25">
        <v>2.2999999999999998</v>
      </c>
      <c r="P42" s="25" t="s">
        <v>477</v>
      </c>
      <c r="Q42" s="25" t="s">
        <v>92</v>
      </c>
      <c r="R42" s="42" t="s">
        <v>483</v>
      </c>
      <c r="S42" s="25" t="s">
        <v>484</v>
      </c>
      <c r="T42" s="25" t="s">
        <v>485</v>
      </c>
      <c r="U42" s="41">
        <v>62</v>
      </c>
      <c r="V42" t="str">
        <f t="shared" si="0"/>
        <v>82.7 @ -100°C' 58.3 @ 200°C</v>
      </c>
    </row>
    <row r="43" spans="1:22" x14ac:dyDescent="0.25">
      <c r="A43" s="29">
        <v>40</v>
      </c>
      <c r="B43" s="26" t="s">
        <v>285</v>
      </c>
      <c r="C43" s="25" t="str">
        <f t="shared" ca="1" si="1"/>
        <v xml:space="preserve">2" - 16" </v>
      </c>
      <c r="D43" s="25" t="str">
        <f t="shared" ca="1" si="2"/>
        <v>Check Valve, Swing type</v>
      </c>
      <c r="E43" s="25" t="str">
        <f t="shared" ca="1" si="3"/>
        <v>Flanged ASME B16.5 RTJ</v>
      </c>
      <c r="F43" s="25" t="str">
        <f t="shared" ca="1" si="4"/>
        <v>Forged ASTM A182 F316L</v>
      </c>
      <c r="G43" s="25" t="str">
        <f t="shared" ca="1" si="5"/>
        <v>Forged - ASTM A182 F316L, Stellite Hard Faced</v>
      </c>
      <c r="H43" s="25" t="str">
        <f t="shared" ca="1" si="6"/>
        <v>E1LN</v>
      </c>
      <c r="I43" s="30">
        <v>215</v>
      </c>
      <c r="J43" s="17" t="s">
        <v>555</v>
      </c>
      <c r="L43" s="29">
        <v>41</v>
      </c>
      <c r="M43" s="25" t="s">
        <v>20</v>
      </c>
      <c r="N43" s="25" t="s">
        <v>437</v>
      </c>
      <c r="O43" s="25">
        <v>2.2999999999999998</v>
      </c>
      <c r="P43" s="25" t="s">
        <v>477</v>
      </c>
      <c r="Q43" s="25" t="s">
        <v>92</v>
      </c>
      <c r="R43" s="42" t="s">
        <v>483</v>
      </c>
      <c r="S43" s="25" t="s">
        <v>486</v>
      </c>
      <c r="T43" s="25" t="s">
        <v>487</v>
      </c>
      <c r="U43" s="41">
        <v>63</v>
      </c>
      <c r="V43" t="str">
        <f t="shared" si="0"/>
        <v>124.1 @ -100°C' 87.5 @ 200°C</v>
      </c>
    </row>
    <row r="44" spans="1:22" x14ac:dyDescent="0.25">
      <c r="A44" s="29">
        <v>41</v>
      </c>
      <c r="B44" s="26" t="s">
        <v>372</v>
      </c>
      <c r="C44" s="25" t="str">
        <f t="shared" ca="1" si="1"/>
        <v>2" - 24"</v>
      </c>
      <c r="D44" s="25" t="str">
        <f t="shared" ca="1" si="2"/>
        <v>Check Valve, Dual Plate, Wafer Threaded lug type</v>
      </c>
      <c r="E44" s="25" t="str">
        <f t="shared" ca="1" si="3"/>
        <v>Wafer Lugged to suit ASME B16.5 RF Flanges</v>
      </c>
      <c r="F44" s="25" t="str">
        <f t="shared" ca="1" si="4"/>
        <v>Forged ASTM A182 F316L</v>
      </c>
      <c r="G44" s="25" t="str">
        <f t="shared" ca="1" si="5"/>
        <v>Forged - ASTM A182 F316L, Stellite Hard Faced</v>
      </c>
      <c r="H44" s="25" t="str">
        <f t="shared" ca="1" si="6"/>
        <v>E1LN</v>
      </c>
      <c r="I44" s="30">
        <v>216</v>
      </c>
      <c r="J44" s="17" t="s">
        <v>555</v>
      </c>
      <c r="L44" s="29">
        <v>42</v>
      </c>
      <c r="M44" s="25" t="s">
        <v>22</v>
      </c>
      <c r="N44" s="25" t="s">
        <v>441</v>
      </c>
      <c r="O44" s="25">
        <v>2.2999999999999998</v>
      </c>
      <c r="P44" s="25" t="s">
        <v>477</v>
      </c>
      <c r="Q44" s="25" t="s">
        <v>92</v>
      </c>
      <c r="R44" s="42" t="s">
        <v>483</v>
      </c>
      <c r="S44" s="25" t="s">
        <v>488</v>
      </c>
      <c r="T44" s="25" t="s">
        <v>489</v>
      </c>
      <c r="U44" s="41">
        <v>64</v>
      </c>
      <c r="V44" t="str">
        <f t="shared" si="0"/>
        <v>206.8 @ -100°C' 145.8 @ 200°C</v>
      </c>
    </row>
    <row r="45" spans="1:22" x14ac:dyDescent="0.25">
      <c r="A45" s="29">
        <v>42</v>
      </c>
      <c r="B45" s="26" t="s">
        <v>226</v>
      </c>
      <c r="C45" s="25" t="str">
        <f t="shared" ca="1" si="1"/>
        <v>1/2" - 1 1/2"</v>
      </c>
      <c r="D45" s="25" t="str">
        <f t="shared" ca="1" si="2"/>
        <v>Check Valve, Piston Type</v>
      </c>
      <c r="E45" s="25" t="str">
        <f t="shared" ca="1" si="3"/>
        <v>Flanged ASME B16.5 RTJ / Compact Flange / Hub Connector (As per PMS)</v>
      </c>
      <c r="F45" s="25" t="str">
        <f t="shared" ca="1" si="4"/>
        <v>Forged ASTM A182 F316L</v>
      </c>
      <c r="G45" s="25" t="str">
        <f t="shared" ca="1" si="5"/>
        <v>Forged - ASTM A182 F316L, Stellite Hard Faced</v>
      </c>
      <c r="H45" s="25" t="str">
        <f t="shared" ca="1" si="6"/>
        <v>F1LN</v>
      </c>
      <c r="I45" s="30">
        <v>217</v>
      </c>
      <c r="J45" s="17" t="s">
        <v>555</v>
      </c>
      <c r="L45" s="29">
        <v>43</v>
      </c>
      <c r="M45" s="25" t="s">
        <v>24</v>
      </c>
      <c r="N45" s="25" t="s">
        <v>444</v>
      </c>
      <c r="O45" s="25">
        <v>2.2999999999999998</v>
      </c>
      <c r="P45" s="25" t="s">
        <v>477</v>
      </c>
      <c r="Q45" s="25" t="s">
        <v>92</v>
      </c>
      <c r="R45" s="42" t="s">
        <v>483</v>
      </c>
      <c r="S45" s="25" t="s">
        <v>490</v>
      </c>
      <c r="T45" s="25" t="s">
        <v>491</v>
      </c>
      <c r="U45" s="41">
        <v>65</v>
      </c>
      <c r="V45" t="str">
        <f t="shared" si="0"/>
        <v>344.7 @ -100°C' 243 @ 200°C</v>
      </c>
    </row>
    <row r="46" spans="1:22" x14ac:dyDescent="0.25">
      <c r="A46" s="29">
        <v>43</v>
      </c>
      <c r="B46" s="26" t="s">
        <v>286</v>
      </c>
      <c r="C46" s="25" t="str">
        <f t="shared" ca="1" si="1"/>
        <v xml:space="preserve">2" - 16" </v>
      </c>
      <c r="D46" s="25" t="str">
        <f t="shared" ca="1" si="2"/>
        <v>Check Valve, Swing type</v>
      </c>
      <c r="E46" s="25" t="str">
        <f t="shared" ca="1" si="3"/>
        <v>Flanged ASME B16.5 RTJ / Compact Flange / Hub Connector (As per PMS)</v>
      </c>
      <c r="F46" s="25" t="str">
        <f t="shared" ca="1" si="4"/>
        <v>Forged ASTM A182 F316L</v>
      </c>
      <c r="G46" s="25" t="str">
        <f t="shared" ca="1" si="5"/>
        <v>Forged - ASTM A182 F316L, Stellite Hard Faced</v>
      </c>
      <c r="H46" s="25" t="str">
        <f t="shared" ca="1" si="6"/>
        <v>F1LN</v>
      </c>
      <c r="I46" s="30">
        <v>218</v>
      </c>
      <c r="J46" s="17" t="s">
        <v>555</v>
      </c>
      <c r="L46" s="29">
        <v>44</v>
      </c>
      <c r="M46" s="25" t="s">
        <v>181</v>
      </c>
      <c r="N46" s="25" t="s">
        <v>425</v>
      </c>
      <c r="O46" s="25">
        <v>2.2999999999999998</v>
      </c>
      <c r="P46" s="25" t="s">
        <v>492</v>
      </c>
      <c r="Q46" s="25" t="s">
        <v>92</v>
      </c>
      <c r="R46" s="42" t="s">
        <v>182</v>
      </c>
      <c r="S46" s="25" t="s">
        <v>478</v>
      </c>
      <c r="T46" s="25" t="s">
        <v>479</v>
      </c>
      <c r="U46" s="41">
        <v>66</v>
      </c>
      <c r="V46" t="str">
        <f t="shared" si="0"/>
        <v>15.9 @ -100°C' 11.2 @ 200°C</v>
      </c>
    </row>
    <row r="47" spans="1:22" x14ac:dyDescent="0.25">
      <c r="A47" s="29">
        <v>44</v>
      </c>
      <c r="B47" s="26" t="s">
        <v>373</v>
      </c>
      <c r="C47" s="25" t="str">
        <f t="shared" ca="1" si="1"/>
        <v>2" - 24"</v>
      </c>
      <c r="D47" s="25" t="str">
        <f t="shared" ca="1" si="2"/>
        <v>Check Valve, Dual Plate, Wafer Threaded lug type</v>
      </c>
      <c r="E47" s="25" t="str">
        <f t="shared" ca="1" si="3"/>
        <v>Flanged ASME B16.5 RTJ / Compact Flange / Hub Connector (As per PMS)</v>
      </c>
      <c r="F47" s="25" t="str">
        <f t="shared" ca="1" si="4"/>
        <v>Forged ASTM A182 F316L</v>
      </c>
      <c r="G47" s="25" t="str">
        <f t="shared" ca="1" si="5"/>
        <v>Forged - ASTM A182 F316L, Stellite Hard Faced</v>
      </c>
      <c r="H47" s="25" t="str">
        <f t="shared" ca="1" si="6"/>
        <v>F1LN</v>
      </c>
      <c r="I47" s="30">
        <v>219</v>
      </c>
      <c r="J47" s="17" t="s">
        <v>555</v>
      </c>
      <c r="L47" s="29">
        <v>45</v>
      </c>
      <c r="M47" s="25" t="s">
        <v>183</v>
      </c>
      <c r="N47" s="25" t="s">
        <v>430</v>
      </c>
      <c r="O47" s="25">
        <v>2.2999999999999998</v>
      </c>
      <c r="P47" s="25" t="s">
        <v>492</v>
      </c>
      <c r="Q47" s="25" t="s">
        <v>92</v>
      </c>
      <c r="R47" s="42" t="s">
        <v>182</v>
      </c>
      <c r="S47" s="25" t="s">
        <v>481</v>
      </c>
      <c r="T47" s="25" t="s">
        <v>482</v>
      </c>
      <c r="U47" s="41">
        <v>67</v>
      </c>
      <c r="V47" t="str">
        <f t="shared" si="0"/>
        <v>41.4 @ -100°C' 29.2 @ 200°C</v>
      </c>
    </row>
    <row r="48" spans="1:22" x14ac:dyDescent="0.25">
      <c r="A48" s="29">
        <v>45</v>
      </c>
      <c r="B48" s="26" t="s">
        <v>227</v>
      </c>
      <c r="C48" s="25" t="str">
        <f t="shared" ca="1" si="1"/>
        <v>1/2" - 1 1/2"</v>
      </c>
      <c r="D48" s="25" t="str">
        <f t="shared" ca="1" si="2"/>
        <v>Check Valve, Piston Type</v>
      </c>
      <c r="E48" s="25" t="str">
        <f t="shared" ca="1" si="3"/>
        <v>Flanged ASME B16.5 RTJ / Compact Flange / Hub Connector (As per PMS)</v>
      </c>
      <c r="F48" s="25" t="str">
        <f t="shared" ca="1" si="4"/>
        <v>Forged ASTM A182 F316L</v>
      </c>
      <c r="G48" s="25" t="str">
        <f t="shared" ca="1" si="5"/>
        <v>Forged - ASTM A182 F316L, Stellite Hard Faced</v>
      </c>
      <c r="H48" s="25" t="str">
        <f t="shared" ca="1" si="6"/>
        <v>G1LN</v>
      </c>
      <c r="I48" s="30">
        <v>220</v>
      </c>
      <c r="J48" s="17" t="s">
        <v>555</v>
      </c>
      <c r="L48" s="29">
        <v>46</v>
      </c>
      <c r="M48" s="25" t="s">
        <v>184</v>
      </c>
      <c r="N48" s="25" t="s">
        <v>434</v>
      </c>
      <c r="O48" s="25">
        <v>2.2999999999999998</v>
      </c>
      <c r="P48" s="25" t="s">
        <v>492</v>
      </c>
      <c r="Q48" s="25" t="s">
        <v>92</v>
      </c>
      <c r="R48" s="42" t="s">
        <v>182</v>
      </c>
      <c r="S48" s="25" t="s">
        <v>484</v>
      </c>
      <c r="T48" s="25" t="s">
        <v>485</v>
      </c>
      <c r="U48" s="41">
        <v>68</v>
      </c>
      <c r="V48" t="str">
        <f t="shared" si="0"/>
        <v>82.7 @ -100°C' 58.3 @ 200°C</v>
      </c>
    </row>
    <row r="49" spans="1:22" x14ac:dyDescent="0.25">
      <c r="A49" s="29">
        <v>46</v>
      </c>
      <c r="B49" s="26" t="s">
        <v>287</v>
      </c>
      <c r="C49" s="25" t="str">
        <f t="shared" ca="1" si="1"/>
        <v>2" - 12"</v>
      </c>
      <c r="D49" s="25" t="str">
        <f t="shared" ca="1" si="2"/>
        <v>Check Valve, Swing type</v>
      </c>
      <c r="E49" s="25" t="str">
        <f t="shared" ca="1" si="3"/>
        <v>Flanged ASME B16.5 RTJ / Compact Flange / Hub Connector (As per PMS)</v>
      </c>
      <c r="F49" s="25" t="str">
        <f t="shared" ca="1" si="4"/>
        <v>Forged ASTM A182 F316L</v>
      </c>
      <c r="G49" s="25" t="str">
        <f t="shared" ca="1" si="5"/>
        <v>Forged - ASTM A182 F316L, Stellite Hard Faced</v>
      </c>
      <c r="H49" s="25" t="str">
        <f t="shared" ca="1" si="6"/>
        <v>G1LN</v>
      </c>
      <c r="I49" s="30">
        <v>221</v>
      </c>
      <c r="J49" s="17" t="s">
        <v>555</v>
      </c>
      <c r="L49" s="29">
        <v>47</v>
      </c>
      <c r="M49" s="25" t="s">
        <v>185</v>
      </c>
      <c r="N49" s="25" t="s">
        <v>437</v>
      </c>
      <c r="O49" s="25">
        <v>2.2999999999999998</v>
      </c>
      <c r="P49" s="25" t="s">
        <v>492</v>
      </c>
      <c r="Q49" s="25" t="s">
        <v>92</v>
      </c>
      <c r="R49" s="42" t="s">
        <v>182</v>
      </c>
      <c r="S49" s="25" t="s">
        <v>486</v>
      </c>
      <c r="T49" s="25" t="s">
        <v>487</v>
      </c>
      <c r="U49" s="41">
        <v>69</v>
      </c>
      <c r="V49" t="str">
        <f t="shared" si="0"/>
        <v>124.1 @ -100°C' 87.5 @ 200°C</v>
      </c>
    </row>
    <row r="50" spans="1:22" x14ac:dyDescent="0.25">
      <c r="A50" s="29">
        <v>47</v>
      </c>
      <c r="B50" s="26" t="s">
        <v>374</v>
      </c>
      <c r="C50" s="25" t="str">
        <f t="shared" ca="1" si="1"/>
        <v>2" - 24"</v>
      </c>
      <c r="D50" s="25" t="str">
        <f t="shared" ca="1" si="2"/>
        <v>Check Valve, Dual Plate, Wafer Threaded lug type</v>
      </c>
      <c r="E50" s="25" t="str">
        <f t="shared" ca="1" si="3"/>
        <v>Flanged ASME B16.5 RTJ / Compact Flange / Hub Connector (As per PMS)</v>
      </c>
      <c r="F50" s="25" t="str">
        <f t="shared" ca="1" si="4"/>
        <v>Forged ASTM A182 F316L</v>
      </c>
      <c r="G50" s="25" t="str">
        <f t="shared" ca="1" si="5"/>
        <v>Forged - ASTM A182 F316L, Stellite Hard Faced</v>
      </c>
      <c r="H50" s="25" t="str">
        <f t="shared" ca="1" si="6"/>
        <v>G1LN</v>
      </c>
      <c r="I50" s="30">
        <v>222</v>
      </c>
      <c r="J50" s="17" t="s">
        <v>555</v>
      </c>
      <c r="L50" s="29">
        <v>48</v>
      </c>
      <c r="M50" s="25" t="s">
        <v>186</v>
      </c>
      <c r="N50" s="25" t="s">
        <v>441</v>
      </c>
      <c r="O50" s="25">
        <v>2.2999999999999998</v>
      </c>
      <c r="P50" s="25" t="s">
        <v>492</v>
      </c>
      <c r="Q50" s="25" t="s">
        <v>92</v>
      </c>
      <c r="R50" s="42" t="s">
        <v>182</v>
      </c>
      <c r="S50" s="25" t="s">
        <v>488</v>
      </c>
      <c r="T50" s="25" t="s">
        <v>489</v>
      </c>
      <c r="U50" s="41">
        <v>70</v>
      </c>
      <c r="V50" t="str">
        <f t="shared" si="0"/>
        <v>206.8 @ -100°C' 145.8 @ 200°C</v>
      </c>
    </row>
    <row r="51" spans="1:22" x14ac:dyDescent="0.25">
      <c r="A51" s="29">
        <v>48</v>
      </c>
      <c r="B51" s="26" t="s">
        <v>228</v>
      </c>
      <c r="C51" s="25" t="str">
        <f t="shared" ca="1" si="1"/>
        <v>1/2" - 1 1/2"</v>
      </c>
      <c r="D51" s="25" t="str">
        <f t="shared" ca="1" si="2"/>
        <v>Check Valve, Piston Type</v>
      </c>
      <c r="E51" s="25" t="str">
        <f t="shared" ca="1" si="3"/>
        <v>Flanged ASME B16.5 RF</v>
      </c>
      <c r="F51" s="25" t="str">
        <f t="shared" ca="1" si="4"/>
        <v>Forged ASTM A182 F316L</v>
      </c>
      <c r="G51" s="25" t="str">
        <f t="shared" ca="1" si="5"/>
        <v>Forged - ASTM A182 F316L, Stellite Hard Faced</v>
      </c>
      <c r="H51" s="25" t="str">
        <f t="shared" ca="1" si="6"/>
        <v>A1N</v>
      </c>
      <c r="I51" s="30">
        <v>223</v>
      </c>
      <c r="J51" s="17" t="s">
        <v>555</v>
      </c>
      <c r="L51" s="29">
        <v>49</v>
      </c>
      <c r="M51" s="25" t="s">
        <v>187</v>
      </c>
      <c r="N51" s="25" t="s">
        <v>444</v>
      </c>
      <c r="O51" s="25">
        <v>2.2999999999999998</v>
      </c>
      <c r="P51" s="25" t="s">
        <v>492</v>
      </c>
      <c r="Q51" s="25" t="s">
        <v>92</v>
      </c>
      <c r="R51" s="42" t="s">
        <v>182</v>
      </c>
      <c r="S51" s="25" t="s">
        <v>490</v>
      </c>
      <c r="T51" s="25" t="s">
        <v>491</v>
      </c>
      <c r="U51" s="41">
        <v>71</v>
      </c>
      <c r="V51" t="str">
        <f t="shared" si="0"/>
        <v>344.7 @ -100°C' 243 @ 200°C</v>
      </c>
    </row>
    <row r="52" spans="1:22" x14ac:dyDescent="0.25">
      <c r="A52" s="29">
        <v>49</v>
      </c>
      <c r="B52" s="26" t="s">
        <v>288</v>
      </c>
      <c r="C52" s="25" t="str">
        <f t="shared" ca="1" si="1"/>
        <v>2" - 24"</v>
      </c>
      <c r="D52" s="25" t="str">
        <f t="shared" ca="1" si="2"/>
        <v>Check Valve, Swing type</v>
      </c>
      <c r="E52" s="25" t="str">
        <f t="shared" ca="1" si="3"/>
        <v>Flanged ASME B16.5 RF</v>
      </c>
      <c r="F52" s="25" t="str">
        <f t="shared" ca="1" si="4"/>
        <v>Forged ASTM A182 F316L</v>
      </c>
      <c r="G52" s="25" t="str">
        <f t="shared" ca="1" si="5"/>
        <v>Forged - ASTM A182 F316L, Stellite Hard Faced</v>
      </c>
      <c r="H52" s="25" t="str">
        <f t="shared" ca="1" si="6"/>
        <v>A1N</v>
      </c>
      <c r="I52" s="30">
        <v>224</v>
      </c>
      <c r="J52" s="17" t="s">
        <v>555</v>
      </c>
      <c r="L52" s="29">
        <v>50</v>
      </c>
      <c r="M52" s="25" t="s">
        <v>188</v>
      </c>
      <c r="N52" s="25" t="s">
        <v>425</v>
      </c>
      <c r="O52" s="25">
        <v>2.8</v>
      </c>
      <c r="P52" s="25" t="s">
        <v>493</v>
      </c>
      <c r="Q52" s="25" t="s">
        <v>92</v>
      </c>
      <c r="R52" s="40" t="s">
        <v>171</v>
      </c>
      <c r="S52" s="25" t="s">
        <v>494</v>
      </c>
      <c r="T52" s="25" t="s">
        <v>429</v>
      </c>
      <c r="U52" s="41">
        <v>72</v>
      </c>
      <c r="V52" t="str">
        <f t="shared" si="0"/>
        <v>20 @ -46°C' 13.8 @ 200°C</v>
      </c>
    </row>
    <row r="53" spans="1:22" x14ac:dyDescent="0.25">
      <c r="A53" s="29">
        <v>50</v>
      </c>
      <c r="B53" s="26" t="s">
        <v>375</v>
      </c>
      <c r="C53" s="25" t="str">
        <f t="shared" ca="1" si="1"/>
        <v>2" - 24"</v>
      </c>
      <c r="D53" s="25" t="str">
        <f t="shared" ca="1" si="2"/>
        <v>Check Valve, Dual Plate, Wafer Threaded lug type</v>
      </c>
      <c r="E53" s="25" t="str">
        <f t="shared" ca="1" si="3"/>
        <v>Wafer Lugged to suit ASME B16.5 RF Flanges</v>
      </c>
      <c r="F53" s="25" t="str">
        <f t="shared" ca="1" si="4"/>
        <v>Forged ASTM A182 F316L</v>
      </c>
      <c r="G53" s="25" t="str">
        <f t="shared" ca="1" si="5"/>
        <v>Forged - ASTM A182 F316L, Stellite Hard Faced</v>
      </c>
      <c r="H53" s="25" t="str">
        <f t="shared" ca="1" si="6"/>
        <v>A1N</v>
      </c>
      <c r="I53" s="30">
        <v>225</v>
      </c>
      <c r="J53" s="17" t="s">
        <v>555</v>
      </c>
      <c r="L53" s="29">
        <v>51</v>
      </c>
      <c r="M53" s="25" t="s">
        <v>189</v>
      </c>
      <c r="N53" s="25" t="s">
        <v>430</v>
      </c>
      <c r="O53" s="25">
        <v>2.8</v>
      </c>
      <c r="P53" s="25" t="s">
        <v>493</v>
      </c>
      <c r="Q53" s="25" t="s">
        <v>92</v>
      </c>
      <c r="R53" s="40" t="s">
        <v>171</v>
      </c>
      <c r="S53" s="25" t="s">
        <v>495</v>
      </c>
      <c r="T53" s="25" t="s">
        <v>496</v>
      </c>
      <c r="U53" s="41">
        <v>73</v>
      </c>
      <c r="V53" t="str">
        <f t="shared" si="0"/>
        <v>51.7 @ -46°C' 42.7 @ 200°C</v>
      </c>
    </row>
    <row r="54" spans="1:22" x14ac:dyDescent="0.25">
      <c r="A54" s="29">
        <v>51</v>
      </c>
      <c r="B54" s="26" t="s">
        <v>229</v>
      </c>
      <c r="C54" s="25" t="str">
        <f t="shared" ca="1" si="1"/>
        <v>1/2" - 1 1/2"</v>
      </c>
      <c r="D54" s="25" t="str">
        <f t="shared" ca="1" si="2"/>
        <v>Check Valve, Piston Type</v>
      </c>
      <c r="E54" s="25" t="str">
        <f t="shared" ca="1" si="3"/>
        <v>Flanged ASME B16.5 RF</v>
      </c>
      <c r="F54" s="25" t="str">
        <f t="shared" ca="1" si="4"/>
        <v>Forged ASTM A182 F316L</v>
      </c>
      <c r="G54" s="25" t="str">
        <f t="shared" ca="1" si="5"/>
        <v>Forged - ASTM A182 F316L, Stellite Hard Faced</v>
      </c>
      <c r="H54" s="25" t="str">
        <f t="shared" ca="1" si="6"/>
        <v>B1N</v>
      </c>
      <c r="I54" s="30">
        <v>226</v>
      </c>
      <c r="J54" s="17" t="s">
        <v>555</v>
      </c>
      <c r="L54" s="29">
        <v>52</v>
      </c>
      <c r="M54" s="25" t="s">
        <v>190</v>
      </c>
      <c r="N54" s="25" t="s">
        <v>434</v>
      </c>
      <c r="O54" s="25">
        <v>2.8</v>
      </c>
      <c r="P54" s="25" t="s">
        <v>493</v>
      </c>
      <c r="Q54" s="25" t="s">
        <v>92</v>
      </c>
      <c r="R54" s="40" t="s">
        <v>171</v>
      </c>
      <c r="S54" s="25" t="s">
        <v>497</v>
      </c>
      <c r="T54" s="25" t="s">
        <v>498</v>
      </c>
      <c r="U54" s="41">
        <v>74</v>
      </c>
      <c r="V54" t="str">
        <f t="shared" si="0"/>
        <v>103.4 @ -46°C' 85.3 @ 200°C</v>
      </c>
    </row>
    <row r="55" spans="1:22" x14ac:dyDescent="0.25">
      <c r="A55" s="29">
        <v>52</v>
      </c>
      <c r="B55" s="26" t="s">
        <v>289</v>
      </c>
      <c r="C55" s="25" t="str">
        <f t="shared" ca="1" si="1"/>
        <v>2" - 24"</v>
      </c>
      <c r="D55" s="25" t="str">
        <f t="shared" ca="1" si="2"/>
        <v>Check Valve, Swing type</v>
      </c>
      <c r="E55" s="25" t="str">
        <f t="shared" ca="1" si="3"/>
        <v>Flanged ASME B16.5 RF</v>
      </c>
      <c r="F55" s="25" t="str">
        <f t="shared" ca="1" si="4"/>
        <v>Forged ASTM A182 F316L</v>
      </c>
      <c r="G55" s="25" t="str">
        <f t="shared" ca="1" si="5"/>
        <v>Forged - ASTM A182 F316L, Stellite Hard Faced</v>
      </c>
      <c r="H55" s="25" t="str">
        <f t="shared" ca="1" si="6"/>
        <v>B1N</v>
      </c>
      <c r="I55" s="30">
        <v>227</v>
      </c>
      <c r="J55" s="17" t="s">
        <v>555</v>
      </c>
      <c r="L55" s="29">
        <v>53</v>
      </c>
      <c r="M55" s="25" t="s">
        <v>191</v>
      </c>
      <c r="N55" s="25" t="s">
        <v>437</v>
      </c>
      <c r="O55" s="25">
        <v>2.8</v>
      </c>
      <c r="P55" s="25" t="s">
        <v>493</v>
      </c>
      <c r="Q55" s="25" t="s">
        <v>92</v>
      </c>
      <c r="R55" s="40" t="s">
        <v>171</v>
      </c>
      <c r="S55" s="25" t="s">
        <v>499</v>
      </c>
      <c r="T55" s="25" t="s">
        <v>500</v>
      </c>
      <c r="U55" s="41">
        <v>75</v>
      </c>
      <c r="V55" t="str">
        <f t="shared" si="0"/>
        <v>155.1 @ -46°C' 128 @ 200°C</v>
      </c>
    </row>
    <row r="56" spans="1:22" x14ac:dyDescent="0.25">
      <c r="A56" s="29">
        <v>53</v>
      </c>
      <c r="B56" s="26" t="s">
        <v>376</v>
      </c>
      <c r="C56" s="25" t="str">
        <f t="shared" ca="1" si="1"/>
        <v>2" - 24"</v>
      </c>
      <c r="D56" s="25" t="str">
        <f t="shared" ca="1" si="2"/>
        <v>Check Valve, Dual Plate, Wafer Threaded lug type</v>
      </c>
      <c r="E56" s="25" t="str">
        <f t="shared" ca="1" si="3"/>
        <v>Wafer Lugged to suit ASME B16.5 RF Flanges</v>
      </c>
      <c r="F56" s="25" t="str">
        <f t="shared" ca="1" si="4"/>
        <v>Forged ASTM A182 F316L</v>
      </c>
      <c r="G56" s="25" t="str">
        <f t="shared" ca="1" si="5"/>
        <v>Forged - ASTM A182 F316L, Stellite Hard Faced</v>
      </c>
      <c r="H56" s="25" t="str">
        <f t="shared" ca="1" si="6"/>
        <v>B1N</v>
      </c>
      <c r="I56" s="30">
        <v>228</v>
      </c>
      <c r="J56" s="17" t="s">
        <v>555</v>
      </c>
      <c r="L56" s="29">
        <v>54</v>
      </c>
      <c r="M56" s="25" t="s">
        <v>192</v>
      </c>
      <c r="N56" s="25" t="s">
        <v>441</v>
      </c>
      <c r="O56" s="25">
        <v>2.8</v>
      </c>
      <c r="P56" s="25" t="s">
        <v>493</v>
      </c>
      <c r="Q56" s="25" t="s">
        <v>92</v>
      </c>
      <c r="R56" s="40" t="s">
        <v>171</v>
      </c>
      <c r="S56" s="25" t="s">
        <v>501</v>
      </c>
      <c r="T56" s="25" t="s">
        <v>502</v>
      </c>
      <c r="U56" s="41">
        <v>76</v>
      </c>
      <c r="V56" t="str">
        <f t="shared" si="0"/>
        <v>258.6 @ -46°C' 213.3 @ 200°C</v>
      </c>
    </row>
    <row r="57" spans="1:22" x14ac:dyDescent="0.25">
      <c r="A57" s="29">
        <v>54</v>
      </c>
      <c r="B57" s="26" t="s">
        <v>230</v>
      </c>
      <c r="C57" s="25" t="str">
        <f t="shared" ca="1" si="1"/>
        <v>1/2" - 1 1/2"</v>
      </c>
      <c r="D57" s="25" t="str">
        <f t="shared" ca="1" si="2"/>
        <v>Check Valve, Piston Type</v>
      </c>
      <c r="E57" s="25" t="str">
        <f t="shared" ca="1" si="3"/>
        <v>Flanged ASME B16.5 RF</v>
      </c>
      <c r="F57" s="25" t="str">
        <f t="shared" ca="1" si="4"/>
        <v>Forged ASTM A182 F316L</v>
      </c>
      <c r="G57" s="25" t="str">
        <f t="shared" ca="1" si="5"/>
        <v>Forged - ASTM A182 F316L, Stellite Hard Faced</v>
      </c>
      <c r="H57" s="25" t="str">
        <f t="shared" ca="1" si="6"/>
        <v>D1N</v>
      </c>
      <c r="I57" s="30">
        <v>229</v>
      </c>
      <c r="J57" s="17" t="s">
        <v>555</v>
      </c>
      <c r="L57" s="29">
        <v>55</v>
      </c>
      <c r="M57" s="25" t="s">
        <v>193</v>
      </c>
      <c r="N57" s="25" t="s">
        <v>444</v>
      </c>
      <c r="O57" s="25">
        <v>2.8</v>
      </c>
      <c r="P57" s="25" t="s">
        <v>493</v>
      </c>
      <c r="Q57" s="25" t="s">
        <v>92</v>
      </c>
      <c r="R57" s="40" t="s">
        <v>171</v>
      </c>
      <c r="S57" s="25" t="s">
        <v>503</v>
      </c>
      <c r="T57" s="25" t="s">
        <v>504</v>
      </c>
      <c r="U57" s="41">
        <v>77</v>
      </c>
      <c r="V57" t="str">
        <f t="shared" si="0"/>
        <v>430.9 @ -46°C' 355.4 @ 200°C</v>
      </c>
    </row>
    <row r="58" spans="1:22" x14ac:dyDescent="0.25">
      <c r="A58" s="29">
        <v>55</v>
      </c>
      <c r="B58" s="26" t="s">
        <v>290</v>
      </c>
      <c r="C58" s="25" t="str">
        <f t="shared" ca="1" si="1"/>
        <v>2" - 24"</v>
      </c>
      <c r="D58" s="25" t="str">
        <f t="shared" ca="1" si="2"/>
        <v>Check Valve, Swing type</v>
      </c>
      <c r="E58" s="25" t="str">
        <f t="shared" ca="1" si="3"/>
        <v>Flanged ASME B16.5 RF</v>
      </c>
      <c r="F58" s="25" t="str">
        <f t="shared" ca="1" si="4"/>
        <v>Forged ASTM A182 F316L</v>
      </c>
      <c r="G58" s="25" t="str">
        <f t="shared" ca="1" si="5"/>
        <v>Forged - ASTM A182 F316L, Stellite Hard Faced</v>
      </c>
      <c r="H58" s="25" t="str">
        <f t="shared" ca="1" si="6"/>
        <v>D1N</v>
      </c>
      <c r="I58" s="30">
        <v>230</v>
      </c>
      <c r="J58" s="17" t="s">
        <v>555</v>
      </c>
      <c r="L58" s="29">
        <v>56</v>
      </c>
      <c r="M58" s="25" t="s">
        <v>389</v>
      </c>
      <c r="N58" s="25" t="s">
        <v>425</v>
      </c>
      <c r="O58" s="25">
        <v>2.8</v>
      </c>
      <c r="P58" s="25" t="s">
        <v>505</v>
      </c>
      <c r="Q58" s="25" t="s">
        <v>92</v>
      </c>
      <c r="R58" s="40" t="s">
        <v>506</v>
      </c>
      <c r="S58" s="25" t="s">
        <v>494</v>
      </c>
      <c r="T58" s="25" t="s">
        <v>429</v>
      </c>
      <c r="U58" s="41">
        <v>78</v>
      </c>
      <c r="V58" t="str">
        <f t="shared" si="0"/>
        <v>20 @ -46°C' 13.8 @ 200°C</v>
      </c>
    </row>
    <row r="59" spans="1:22" x14ac:dyDescent="0.25">
      <c r="A59" s="29">
        <v>56</v>
      </c>
      <c r="B59" s="26" t="s">
        <v>231</v>
      </c>
      <c r="C59" s="25" t="str">
        <f t="shared" ca="1" si="1"/>
        <v>1/2" - 1 1/2"</v>
      </c>
      <c r="D59" s="25" t="str">
        <f t="shared" ca="1" si="2"/>
        <v>Check Valve, Piston Type</v>
      </c>
      <c r="E59" s="25" t="str">
        <f t="shared" ca="1" si="3"/>
        <v>Flanged ASME B16.5 RTJ</v>
      </c>
      <c r="F59" s="25" t="str">
        <f t="shared" ca="1" si="4"/>
        <v>Forged ASTM A182 F316L</v>
      </c>
      <c r="G59" s="25" t="str">
        <f t="shared" ca="1" si="5"/>
        <v>Forged - ASTM A182 F316L, Stellite Hard Faced</v>
      </c>
      <c r="H59" s="25" t="str">
        <f t="shared" ca="1" si="6"/>
        <v>E1N</v>
      </c>
      <c r="I59" s="30">
        <v>231</v>
      </c>
      <c r="J59" s="17" t="s">
        <v>555</v>
      </c>
      <c r="L59" s="29">
        <v>62</v>
      </c>
      <c r="M59" s="25" t="s">
        <v>391</v>
      </c>
      <c r="N59" s="25" t="s">
        <v>444</v>
      </c>
      <c r="O59" s="25">
        <v>2.8</v>
      </c>
      <c r="P59" s="25" t="s">
        <v>505</v>
      </c>
      <c r="Q59" s="25" t="s">
        <v>92</v>
      </c>
      <c r="R59" s="40" t="s">
        <v>394</v>
      </c>
      <c r="S59" s="25" t="s">
        <v>503</v>
      </c>
      <c r="T59" s="25" t="s">
        <v>504</v>
      </c>
      <c r="U59" s="41">
        <v>79</v>
      </c>
      <c r="V59" t="str">
        <f t="shared" si="0"/>
        <v>430.9 @ -46°C' 355.4 @ 200°C</v>
      </c>
    </row>
    <row r="60" spans="1:22" x14ac:dyDescent="0.25">
      <c r="A60" s="29">
        <v>57</v>
      </c>
      <c r="B60" s="26" t="s">
        <v>291</v>
      </c>
      <c r="C60" s="25" t="str">
        <f t="shared" ca="1" si="1"/>
        <v>2" - 24"</v>
      </c>
      <c r="D60" s="25" t="str">
        <f t="shared" ca="1" si="2"/>
        <v>Check Valve, Swing type</v>
      </c>
      <c r="E60" s="25" t="str">
        <f t="shared" ca="1" si="3"/>
        <v>Flanged ASME B16.5 RTJ</v>
      </c>
      <c r="F60" s="25" t="str">
        <f t="shared" ca="1" si="4"/>
        <v>Forged ASTM A182 F316L</v>
      </c>
      <c r="G60" s="25" t="str">
        <f t="shared" ca="1" si="5"/>
        <v>Forged - ASTM A182 F316L, Stellite Hard Faced</v>
      </c>
      <c r="H60" s="25" t="str">
        <f t="shared" ca="1" si="6"/>
        <v>E1N</v>
      </c>
      <c r="I60" s="30">
        <v>232</v>
      </c>
      <c r="J60" s="17" t="s">
        <v>555</v>
      </c>
      <c r="L60" s="29">
        <v>57</v>
      </c>
      <c r="M60" s="25" t="s">
        <v>8</v>
      </c>
      <c r="N60" s="25" t="s">
        <v>425</v>
      </c>
      <c r="O60" s="25">
        <v>2.8</v>
      </c>
      <c r="P60" s="25" t="s">
        <v>507</v>
      </c>
      <c r="Q60" s="25" t="s">
        <v>92</v>
      </c>
      <c r="R60" s="40" t="s">
        <v>171</v>
      </c>
      <c r="S60" s="25" t="s">
        <v>494</v>
      </c>
      <c r="T60" s="25" t="s">
        <v>429</v>
      </c>
      <c r="U60" s="41">
        <v>80</v>
      </c>
      <c r="V60" t="str">
        <f t="shared" si="0"/>
        <v>20 @ -46°C' 13.8 @ 200°C</v>
      </c>
    </row>
    <row r="61" spans="1:22" x14ac:dyDescent="0.25">
      <c r="A61" s="29">
        <v>58</v>
      </c>
      <c r="B61" s="26" t="s">
        <v>232</v>
      </c>
      <c r="C61" s="25" t="str">
        <f t="shared" ca="1" si="1"/>
        <v>1/2" - 1 1/2"</v>
      </c>
      <c r="D61" s="25" t="str">
        <f t="shared" ca="1" si="2"/>
        <v>Check Valve, Piston Type</v>
      </c>
      <c r="E61" s="25" t="str">
        <f t="shared" ca="1" si="3"/>
        <v>Flanged ASME B16.5 RTJ / Compact Flange / Hub Connector (As per PMS)</v>
      </c>
      <c r="F61" s="25" t="str">
        <f t="shared" ca="1" si="4"/>
        <v>Forged ASTM A182 F316L</v>
      </c>
      <c r="G61" s="25" t="str">
        <f t="shared" ca="1" si="5"/>
        <v>Forged - ASTM A182 F316L, Stellite Hard Faced</v>
      </c>
      <c r="H61" s="25" t="str">
        <f t="shared" ca="1" si="6"/>
        <v>F1N</v>
      </c>
      <c r="I61" s="30">
        <v>233</v>
      </c>
      <c r="J61" s="17" t="s">
        <v>555</v>
      </c>
      <c r="L61" s="29">
        <v>58</v>
      </c>
      <c r="M61" s="25" t="s">
        <v>28</v>
      </c>
      <c r="N61" s="25" t="s">
        <v>430</v>
      </c>
      <c r="O61" s="25">
        <v>2.8</v>
      </c>
      <c r="P61" s="25" t="s">
        <v>507</v>
      </c>
      <c r="Q61" s="25" t="s">
        <v>92</v>
      </c>
      <c r="R61" s="40" t="s">
        <v>171</v>
      </c>
      <c r="S61" s="25" t="s">
        <v>495</v>
      </c>
      <c r="T61" s="25" t="s">
        <v>496</v>
      </c>
      <c r="U61" s="41">
        <v>81</v>
      </c>
      <c r="V61" t="str">
        <f t="shared" si="0"/>
        <v>51.7 @ -46°C' 42.7 @ 200°C</v>
      </c>
    </row>
    <row r="62" spans="1:22" x14ac:dyDescent="0.25">
      <c r="A62" s="29">
        <v>59</v>
      </c>
      <c r="B62" s="26" t="s">
        <v>292</v>
      </c>
      <c r="C62" s="25" t="str">
        <f t="shared" ca="1" si="1"/>
        <v>2" - 24"</v>
      </c>
      <c r="D62" s="25" t="str">
        <f t="shared" ca="1" si="2"/>
        <v>Check Valve, Swing type</v>
      </c>
      <c r="E62" s="25" t="str">
        <f t="shared" ca="1" si="3"/>
        <v>Flanged ASME B16.5 RTJ / Compact Flange / Hub Connector (As per PMS)</v>
      </c>
      <c r="F62" s="25" t="str">
        <f t="shared" ca="1" si="4"/>
        <v>Forged ASTM A182 F316L</v>
      </c>
      <c r="G62" s="25" t="str">
        <f t="shared" ca="1" si="5"/>
        <v>Forged - ASTM A182 F316L, Stellite Hard Faced</v>
      </c>
      <c r="H62" s="25" t="str">
        <f t="shared" ca="1" si="6"/>
        <v>F1N</v>
      </c>
      <c r="I62" s="30">
        <v>234</v>
      </c>
      <c r="J62" s="17" t="s">
        <v>555</v>
      </c>
      <c r="L62" s="29">
        <v>59</v>
      </c>
      <c r="M62" s="25" t="s">
        <v>29</v>
      </c>
      <c r="N62" s="25" t="s">
        <v>434</v>
      </c>
      <c r="O62" s="25">
        <v>2.8</v>
      </c>
      <c r="P62" s="25" t="s">
        <v>507</v>
      </c>
      <c r="Q62" s="25" t="s">
        <v>92</v>
      </c>
      <c r="R62" s="40" t="s">
        <v>171</v>
      </c>
      <c r="S62" s="25" t="s">
        <v>497</v>
      </c>
      <c r="T62" s="25" t="s">
        <v>498</v>
      </c>
      <c r="U62" s="41">
        <v>82</v>
      </c>
      <c r="V62" t="str">
        <f t="shared" si="0"/>
        <v>103.4 @ -46°C' 85.3 @ 200°C</v>
      </c>
    </row>
    <row r="63" spans="1:22" x14ac:dyDescent="0.25">
      <c r="A63" s="29">
        <v>60</v>
      </c>
      <c r="B63" s="26" t="s">
        <v>233</v>
      </c>
      <c r="C63" s="25" t="str">
        <f t="shared" ca="1" si="1"/>
        <v>1/2" - 1 1/2"</v>
      </c>
      <c r="D63" s="25" t="str">
        <f t="shared" ca="1" si="2"/>
        <v>Check Valve, Piston Type</v>
      </c>
      <c r="E63" s="25" t="str">
        <f t="shared" ca="1" si="3"/>
        <v>Flanged ASME B16.5 RTJ / Compact Flange / Hub Connector (As per PMS)</v>
      </c>
      <c r="F63" s="25" t="str">
        <f t="shared" ca="1" si="4"/>
        <v>Forged ASTM A182 F316L</v>
      </c>
      <c r="G63" s="25" t="str">
        <f t="shared" ca="1" si="5"/>
        <v>Forged - ASTM A182 F316L, Stellite Hard Faced</v>
      </c>
      <c r="H63" s="25" t="str">
        <f t="shared" ca="1" si="6"/>
        <v>G1N</v>
      </c>
      <c r="I63" s="30">
        <v>235</v>
      </c>
      <c r="J63" s="17" t="s">
        <v>555</v>
      </c>
      <c r="L63" s="29">
        <v>60</v>
      </c>
      <c r="M63" s="25" t="s">
        <v>194</v>
      </c>
      <c r="N63" s="25" t="s">
        <v>437</v>
      </c>
      <c r="O63" s="25">
        <v>2.8</v>
      </c>
      <c r="P63" s="43" t="s">
        <v>507</v>
      </c>
      <c r="Q63" s="25" t="s">
        <v>92</v>
      </c>
      <c r="R63" s="40" t="s">
        <v>171</v>
      </c>
      <c r="S63" s="25" t="s">
        <v>499</v>
      </c>
      <c r="T63" s="25" t="s">
        <v>500</v>
      </c>
      <c r="U63" s="41">
        <v>83</v>
      </c>
      <c r="V63" t="str">
        <f t="shared" si="0"/>
        <v>155.1 @ -46°C' 128 @ 200°C</v>
      </c>
    </row>
    <row r="64" spans="1:22" x14ac:dyDescent="0.25">
      <c r="A64" s="29">
        <v>61</v>
      </c>
      <c r="B64" s="26" t="s">
        <v>293</v>
      </c>
      <c r="C64" s="25" t="str">
        <f t="shared" ca="1" si="1"/>
        <v>2" - 12"</v>
      </c>
      <c r="D64" s="25" t="str">
        <f t="shared" ca="1" si="2"/>
        <v>Check Valve, Swing type</v>
      </c>
      <c r="E64" s="25" t="str">
        <f t="shared" ca="1" si="3"/>
        <v>Flanged ASME B16.5 RTJ / Compact Flange / Hub Connector (As per PMS)</v>
      </c>
      <c r="F64" s="25" t="str">
        <f t="shared" ca="1" si="4"/>
        <v>Forged ASTM A182 F316L</v>
      </c>
      <c r="G64" s="25" t="str">
        <f t="shared" ca="1" si="5"/>
        <v>Forged - ASTM A182 F316L, Stellite Hard Faced</v>
      </c>
      <c r="H64" s="25" t="str">
        <f t="shared" ca="1" si="6"/>
        <v>G1N</v>
      </c>
      <c r="I64" s="30">
        <v>236</v>
      </c>
      <c r="J64" s="17" t="s">
        <v>555</v>
      </c>
      <c r="L64" s="29">
        <v>61</v>
      </c>
      <c r="M64" s="25" t="s">
        <v>195</v>
      </c>
      <c r="N64" s="25" t="s">
        <v>441</v>
      </c>
      <c r="O64" s="25">
        <v>2.8</v>
      </c>
      <c r="P64" s="25" t="s">
        <v>507</v>
      </c>
      <c r="Q64" s="25" t="s">
        <v>92</v>
      </c>
      <c r="R64" s="40" t="s">
        <v>171</v>
      </c>
      <c r="S64" s="25" t="s">
        <v>501</v>
      </c>
      <c r="T64" s="25" t="s">
        <v>502</v>
      </c>
      <c r="U64" s="41">
        <v>84</v>
      </c>
      <c r="V64" t="str">
        <f t="shared" si="0"/>
        <v>258.6 @ -46°C' 213.3 @ 200°C</v>
      </c>
    </row>
    <row r="65" spans="1:22" x14ac:dyDescent="0.25">
      <c r="A65" s="29">
        <v>62</v>
      </c>
      <c r="B65" s="26" t="s">
        <v>377</v>
      </c>
      <c r="C65" s="25" t="str">
        <f t="shared" ca="1" si="1"/>
        <v>2" - 24"</v>
      </c>
      <c r="D65" s="25" t="str">
        <f t="shared" ca="1" si="2"/>
        <v>Check Valve, Dual Plate, Wafer Threaded lug type</v>
      </c>
      <c r="E65" s="25" t="str">
        <f t="shared" ca="1" si="3"/>
        <v>Flanged ASME B16.5 RTJ / Compact Flange / Hub Connector (As per PMS)</v>
      </c>
      <c r="F65" s="25" t="str">
        <f t="shared" ca="1" si="4"/>
        <v>Forged ASTM A182 F316L</v>
      </c>
      <c r="G65" s="25" t="str">
        <f t="shared" ca="1" si="5"/>
        <v>Forged - ASTM A182 F316L, Stellite Hard Faced</v>
      </c>
      <c r="H65" s="25" t="str">
        <f t="shared" ca="1" si="6"/>
        <v>G1N</v>
      </c>
      <c r="I65" s="30">
        <v>237</v>
      </c>
      <c r="J65" s="17" t="s">
        <v>555</v>
      </c>
      <c r="L65" s="29">
        <v>62</v>
      </c>
      <c r="M65" s="25" t="s">
        <v>196</v>
      </c>
      <c r="N65" s="25" t="s">
        <v>444</v>
      </c>
      <c r="O65" s="25">
        <v>2.8</v>
      </c>
      <c r="P65" s="25" t="s">
        <v>507</v>
      </c>
      <c r="Q65" s="25" t="s">
        <v>92</v>
      </c>
      <c r="R65" s="40" t="s">
        <v>171</v>
      </c>
      <c r="S65" s="25" t="s">
        <v>503</v>
      </c>
      <c r="T65" s="25" t="s">
        <v>504</v>
      </c>
      <c r="U65" s="41">
        <v>85</v>
      </c>
      <c r="V65" t="str">
        <f t="shared" si="0"/>
        <v>430.9 @ -46°C' 355.4 @ 200°C</v>
      </c>
    </row>
    <row r="66" spans="1:22" x14ac:dyDescent="0.25">
      <c r="A66" s="29">
        <v>63</v>
      </c>
      <c r="B66" s="26" t="s">
        <v>234</v>
      </c>
      <c r="C66" s="25" t="str">
        <f t="shared" ca="1" si="1"/>
        <v>1/2" - 1 1/2"</v>
      </c>
      <c r="D66" s="25" t="str">
        <f t="shared" ca="1" si="2"/>
        <v>Check Valve, Piston Type</v>
      </c>
      <c r="E66" s="25" t="str">
        <f t="shared" ca="1" si="3"/>
        <v>Flanged ASME B16.5 RF</v>
      </c>
      <c r="F66" s="25" t="str">
        <f t="shared" ca="1" si="4"/>
        <v>Forged ASTM A182 F316L</v>
      </c>
      <c r="G66" s="25" t="str">
        <f t="shared" ca="1" si="5"/>
        <v>Forged - ASTM A182 F316L, Stellite Hard Faced</v>
      </c>
      <c r="H66" s="25" t="str">
        <f t="shared" ca="1" si="6"/>
        <v>A2LN</v>
      </c>
      <c r="I66" s="30">
        <v>238</v>
      </c>
      <c r="J66" s="17" t="s">
        <v>555</v>
      </c>
      <c r="L66" s="29">
        <v>63</v>
      </c>
      <c r="M66" s="25" t="s">
        <v>396</v>
      </c>
      <c r="N66" s="25" t="s">
        <v>508</v>
      </c>
      <c r="O66" s="25" t="s">
        <v>38</v>
      </c>
      <c r="P66" s="25" t="s">
        <v>509</v>
      </c>
      <c r="Q66" s="25" t="s">
        <v>92</v>
      </c>
      <c r="R66" s="40" t="s">
        <v>527</v>
      </c>
      <c r="S66" s="25" t="s">
        <v>510</v>
      </c>
      <c r="T66" s="25" t="s">
        <v>511</v>
      </c>
      <c r="U66" s="41">
        <v>86</v>
      </c>
      <c r="V66" t="str">
        <f t="shared" si="0"/>
        <v>20 @ 0°C' 17.3 @ 100°C</v>
      </c>
    </row>
    <row r="67" spans="1:22" x14ac:dyDescent="0.25">
      <c r="A67" s="29">
        <v>64</v>
      </c>
      <c r="B67" s="26" t="s">
        <v>294</v>
      </c>
      <c r="C67" s="25" t="str">
        <f t="shared" ca="1" si="1"/>
        <v>2" - 18"</v>
      </c>
      <c r="D67" s="25" t="str">
        <f t="shared" ca="1" si="2"/>
        <v>Check Valve, Swing type</v>
      </c>
      <c r="E67" s="25" t="str">
        <f t="shared" ca="1" si="3"/>
        <v>Flanged ASME B16.5 RF</v>
      </c>
      <c r="F67" s="25" t="str">
        <f t="shared" ca="1" si="4"/>
        <v>Forged ASTM A182 F316L</v>
      </c>
      <c r="G67" s="25" t="str">
        <f t="shared" ca="1" si="5"/>
        <v>Forged - ASTM A182 F316L, Stellite Hard Faced</v>
      </c>
      <c r="H67" s="25" t="str">
        <f t="shared" ca="1" si="6"/>
        <v>A2LN</v>
      </c>
      <c r="I67" s="30">
        <v>239</v>
      </c>
      <c r="J67" s="17" t="s">
        <v>555</v>
      </c>
      <c r="L67" s="29">
        <v>64</v>
      </c>
      <c r="M67" s="25" t="s">
        <v>399</v>
      </c>
      <c r="N67" s="25" t="s">
        <v>425</v>
      </c>
      <c r="O67" s="25" t="s">
        <v>38</v>
      </c>
      <c r="P67" s="25" t="s">
        <v>512</v>
      </c>
      <c r="Q67" s="25" t="s">
        <v>92</v>
      </c>
      <c r="R67" s="40" t="s">
        <v>513</v>
      </c>
      <c r="S67" s="25" t="s">
        <v>510</v>
      </c>
      <c r="T67" s="25" t="s">
        <v>511</v>
      </c>
      <c r="U67" s="41">
        <v>87</v>
      </c>
      <c r="V67" t="str">
        <f t="shared" si="0"/>
        <v>20 @ 0°C' 17.3 @ 100°C</v>
      </c>
    </row>
    <row r="68" spans="1:22" x14ac:dyDescent="0.25">
      <c r="A68" s="29">
        <v>65</v>
      </c>
      <c r="B68" s="26" t="s">
        <v>378</v>
      </c>
      <c r="C68" s="25" t="str">
        <f t="shared" ca="1" si="1"/>
        <v>2" - 24"</v>
      </c>
      <c r="D68" s="25" t="str">
        <f t="shared" ca="1" si="2"/>
        <v>Check Valve, Dual Plate, Wafer Threaded lug type</v>
      </c>
      <c r="E68" s="25" t="str">
        <f t="shared" ca="1" si="3"/>
        <v>Wafer Lugged to suit ASME B16.5 RF Flanges</v>
      </c>
      <c r="F68" s="25" t="str">
        <f t="shared" ca="1" si="4"/>
        <v>Forged ASTM A182 F316L</v>
      </c>
      <c r="G68" s="25" t="str">
        <f t="shared" ca="1" si="5"/>
        <v>Forged - ASTM A182 F316L, Stellite Hard Faced</v>
      </c>
      <c r="H68" s="25" t="str">
        <f t="shared" ca="1" si="6"/>
        <v>A2LN</v>
      </c>
      <c r="I68" s="30">
        <v>240</v>
      </c>
      <c r="J68" s="17" t="s">
        <v>555</v>
      </c>
      <c r="L68" s="29">
        <v>65</v>
      </c>
      <c r="M68" s="25" t="s">
        <v>514</v>
      </c>
      <c r="N68" s="25" t="s">
        <v>425</v>
      </c>
      <c r="O68" s="25" t="s">
        <v>38</v>
      </c>
      <c r="P68" s="25" t="s">
        <v>515</v>
      </c>
      <c r="Q68" s="25" t="s">
        <v>92</v>
      </c>
      <c r="R68" s="40" t="s">
        <v>516</v>
      </c>
      <c r="S68" s="25" t="s">
        <v>510</v>
      </c>
      <c r="T68" s="25" t="s">
        <v>517</v>
      </c>
      <c r="U68" s="41">
        <v>88</v>
      </c>
      <c r="V68" t="str">
        <f t="shared" ref="V68:V76" si="7">S68&amp;"' "&amp;T68</f>
        <v>20 @ 0°C' 20 @ 90°C</v>
      </c>
    </row>
    <row r="69" spans="1:22" x14ac:dyDescent="0.25">
      <c r="A69" s="29">
        <v>66</v>
      </c>
      <c r="B69" s="26" t="s">
        <v>235</v>
      </c>
      <c r="C69" s="25" t="str">
        <f t="shared" ref="C69:C132" ca="1" si="8">VLOOKUP($C$1,INDIRECT(""&amp;B69&amp;"!$A$5:$C$15"),3,FALSE)</f>
        <v>1/2" - 1 1/2"</v>
      </c>
      <c r="D69" s="25" t="str">
        <f t="shared" ref="D69:D132" ca="1" si="9">VLOOKUP($D$1,INDIRECT(""&amp;B69&amp;"!$A$5:$C$15"),3,FALSE)</f>
        <v>Check Valve, Piston Type</v>
      </c>
      <c r="E69" s="25" t="str">
        <f t="shared" ref="E69:E132" ca="1" si="10">VLOOKUP($E$1,INDIRECT(""&amp;B69&amp;"!$A$5:$C$15"),3,FALSE)</f>
        <v>Flanged ASME B16.5 RF</v>
      </c>
      <c r="F69" s="25" t="str">
        <f t="shared" ref="F69:F132" ca="1" si="11">VLOOKUP($F$1,INDIRECT(""&amp;B69&amp;"!$B$5:$C$35"),2,FALSE)</f>
        <v>Forged ASTM A182 F316L</v>
      </c>
      <c r="G69" s="25" t="str">
        <f t="shared" ref="G69:G132" ca="1" si="12">VLOOKUP($G$1,INDIRECT(""&amp;B69&amp;"!$B$5:$C$35"),2,FALSE)</f>
        <v>Forged - ASTM A182 F316L, Stellite Hard Faced</v>
      </c>
      <c r="H69" s="25" t="str">
        <f t="shared" ref="H69:H132" ca="1" si="13">VLOOKUP($H$1,INDIRECT(""&amp;B69&amp;"!$A$5:$C$15"),3,FALSE)</f>
        <v>B2LN</v>
      </c>
      <c r="I69" s="30">
        <v>241</v>
      </c>
      <c r="J69" s="17" t="s">
        <v>555</v>
      </c>
      <c r="L69" s="29">
        <v>65</v>
      </c>
      <c r="M69" s="25" t="s">
        <v>518</v>
      </c>
      <c r="N69" s="25" t="s">
        <v>425</v>
      </c>
      <c r="O69" s="25" t="s">
        <v>38</v>
      </c>
      <c r="P69" s="25" t="s">
        <v>515</v>
      </c>
      <c r="Q69" s="25" t="s">
        <v>92</v>
      </c>
      <c r="R69" s="40" t="s">
        <v>519</v>
      </c>
      <c r="S69" s="25" t="s">
        <v>520</v>
      </c>
      <c r="T69" s="25" t="s">
        <v>521</v>
      </c>
      <c r="U69" s="41">
        <v>89</v>
      </c>
      <c r="V69" t="str">
        <f t="shared" si="7"/>
        <v>16.32 @ 0°C' 16.32 @ 82°C</v>
      </c>
    </row>
    <row r="70" spans="1:22" ht="15.75" thickBot="1" x14ac:dyDescent="0.3">
      <c r="A70" s="29">
        <v>67</v>
      </c>
      <c r="B70" s="26" t="s">
        <v>295</v>
      </c>
      <c r="C70" s="25" t="str">
        <f t="shared" ca="1" si="8"/>
        <v>2" - 24"</v>
      </c>
      <c r="D70" s="25" t="str">
        <f t="shared" ca="1" si="9"/>
        <v>Check Valve, Swing type</v>
      </c>
      <c r="E70" s="25" t="str">
        <f t="shared" ca="1" si="10"/>
        <v>Flanged ASME B16.5 RF</v>
      </c>
      <c r="F70" s="25" t="str">
        <f t="shared" ca="1" si="11"/>
        <v>Forged ASTM A182 F316L</v>
      </c>
      <c r="G70" s="25" t="str">
        <f t="shared" ca="1" si="12"/>
        <v>Forged - ASTM A182 F316L, Stellite Hard Faced</v>
      </c>
      <c r="H70" s="25" t="str">
        <f t="shared" ca="1" si="13"/>
        <v>B2LN</v>
      </c>
      <c r="I70" s="30">
        <v>242</v>
      </c>
      <c r="J70" s="17" t="s">
        <v>555</v>
      </c>
      <c r="L70" s="31">
        <v>66</v>
      </c>
      <c r="M70" s="33" t="s">
        <v>522</v>
      </c>
      <c r="N70" s="33" t="s">
        <v>425</v>
      </c>
      <c r="O70" s="33" t="s">
        <v>38</v>
      </c>
      <c r="P70" s="33" t="s">
        <v>523</v>
      </c>
      <c r="Q70" s="33" t="s">
        <v>92</v>
      </c>
      <c r="R70" s="44" t="s">
        <v>524</v>
      </c>
      <c r="S70" s="33" t="s">
        <v>510</v>
      </c>
      <c r="T70" s="33" t="s">
        <v>517</v>
      </c>
      <c r="U70" s="45">
        <v>90</v>
      </c>
      <c r="V70" t="str">
        <f t="shared" si="7"/>
        <v>20 @ 0°C' 20 @ 90°C</v>
      </c>
    </row>
    <row r="71" spans="1:22" x14ac:dyDescent="0.25">
      <c r="A71" s="29">
        <v>68</v>
      </c>
      <c r="B71" s="26" t="s">
        <v>379</v>
      </c>
      <c r="C71" s="25" t="str">
        <f t="shared" ca="1" si="8"/>
        <v>2" - 24"</v>
      </c>
      <c r="D71" s="25" t="str">
        <f t="shared" ca="1" si="9"/>
        <v>Check Valve, Dual Plate, Wafer Threaded lug type</v>
      </c>
      <c r="E71" s="25" t="str">
        <f t="shared" ca="1" si="10"/>
        <v>Wafer Lugged to suit ASME B16.5 RF Flanges</v>
      </c>
      <c r="F71" s="25" t="str">
        <f t="shared" ca="1" si="11"/>
        <v>Forged ASTM A182 F316L</v>
      </c>
      <c r="G71" s="25" t="str">
        <f t="shared" ca="1" si="12"/>
        <v>Forged - ASTM A182 F316L, Stellite Hard Faced</v>
      </c>
      <c r="H71" s="25" t="str">
        <f t="shared" ca="1" si="13"/>
        <v>B2LN</v>
      </c>
      <c r="I71" s="30">
        <v>243</v>
      </c>
      <c r="J71" s="17" t="s">
        <v>555</v>
      </c>
      <c r="L71" s="54">
        <v>67</v>
      </c>
      <c r="M71" s="53" t="s">
        <v>530</v>
      </c>
      <c r="N71" s="53" t="s">
        <v>38</v>
      </c>
      <c r="O71" s="53" t="s">
        <v>38</v>
      </c>
      <c r="P71" s="53" t="s">
        <v>536</v>
      </c>
      <c r="Q71" s="53" t="s">
        <v>92</v>
      </c>
      <c r="R71" s="52" t="s">
        <v>537</v>
      </c>
      <c r="S71" s="53" t="s">
        <v>538</v>
      </c>
      <c r="T71" s="53" t="s">
        <v>539</v>
      </c>
      <c r="U71" s="55">
        <v>91</v>
      </c>
      <c r="V71" t="str">
        <f t="shared" si="7"/>
        <v>125 @ 0°C' 116 @ 60°C</v>
      </c>
    </row>
    <row r="72" spans="1:22" x14ac:dyDescent="0.25">
      <c r="A72" s="29">
        <v>69</v>
      </c>
      <c r="B72" s="26" t="s">
        <v>236</v>
      </c>
      <c r="C72" s="25" t="str">
        <f t="shared" ca="1" si="8"/>
        <v>1/2" - 1 1/2"</v>
      </c>
      <c r="D72" s="25" t="str">
        <f t="shared" ca="1" si="9"/>
        <v>Check Valve, Piston Type</v>
      </c>
      <c r="E72" s="25" t="str">
        <f t="shared" ca="1" si="10"/>
        <v>Flanged ASME B16.5 RF</v>
      </c>
      <c r="F72" s="25" t="str">
        <f t="shared" ca="1" si="11"/>
        <v>Forged ASTM A182 F316L</v>
      </c>
      <c r="G72" s="25" t="str">
        <f t="shared" ca="1" si="12"/>
        <v>Forged - ASTM A182 F316L, Stellite Hard Faced</v>
      </c>
      <c r="H72" s="25" t="str">
        <f t="shared" ca="1" si="13"/>
        <v>D2LN</v>
      </c>
      <c r="I72" s="30">
        <v>244</v>
      </c>
      <c r="J72" s="17" t="s">
        <v>555</v>
      </c>
      <c r="L72" s="54">
        <v>68</v>
      </c>
      <c r="M72" s="53" t="s">
        <v>532</v>
      </c>
      <c r="N72" s="53" t="s">
        <v>38</v>
      </c>
      <c r="O72" s="53" t="s">
        <v>38</v>
      </c>
      <c r="P72" s="53" t="s">
        <v>536</v>
      </c>
      <c r="Q72" s="53" t="s">
        <v>92</v>
      </c>
      <c r="R72" s="52" t="s">
        <v>537</v>
      </c>
      <c r="S72" s="53" t="s">
        <v>540</v>
      </c>
      <c r="T72" s="53" t="s">
        <v>541</v>
      </c>
      <c r="U72" s="55">
        <v>92</v>
      </c>
      <c r="V72" t="str">
        <f t="shared" si="7"/>
        <v>206 @ 0°C' 200 @ 60°C</v>
      </c>
    </row>
    <row r="73" spans="1:22" x14ac:dyDescent="0.25">
      <c r="A73" s="29">
        <v>70</v>
      </c>
      <c r="B73" s="26" t="s">
        <v>296</v>
      </c>
      <c r="C73" s="25" t="str">
        <f t="shared" ca="1" si="8"/>
        <v xml:space="preserve">2" - 20" </v>
      </c>
      <c r="D73" s="25" t="str">
        <f t="shared" ca="1" si="9"/>
        <v>Check Valve, Swing type</v>
      </c>
      <c r="E73" s="25" t="str">
        <f t="shared" ca="1" si="10"/>
        <v>Flanged ASME B16.5 RF</v>
      </c>
      <c r="F73" s="25" t="str">
        <f t="shared" ca="1" si="11"/>
        <v>Forged ASTM A182 F316L</v>
      </c>
      <c r="G73" s="25" t="str">
        <f t="shared" ca="1" si="12"/>
        <v>Forged - ASTM A182 F316L, Stellite Hard Faced</v>
      </c>
      <c r="H73" s="25" t="str">
        <f t="shared" ca="1" si="13"/>
        <v>D2LN</v>
      </c>
      <c r="I73" s="30">
        <v>245</v>
      </c>
      <c r="J73" s="17" t="s">
        <v>555</v>
      </c>
      <c r="L73" s="54">
        <v>69</v>
      </c>
      <c r="M73" s="53" t="s">
        <v>534</v>
      </c>
      <c r="N73" s="53" t="s">
        <v>38</v>
      </c>
      <c r="O73" s="53" t="s">
        <v>38</v>
      </c>
      <c r="P73" s="53" t="s">
        <v>536</v>
      </c>
      <c r="Q73" s="53" t="s">
        <v>92</v>
      </c>
      <c r="R73" s="52" t="s">
        <v>537</v>
      </c>
      <c r="S73" s="53" t="s">
        <v>542</v>
      </c>
      <c r="T73" s="53" t="s">
        <v>543</v>
      </c>
      <c r="U73" s="55">
        <v>93</v>
      </c>
      <c r="V73" t="str">
        <f t="shared" si="7"/>
        <v>325 @ 0°C' 325 @ 60°C</v>
      </c>
    </row>
    <row r="74" spans="1:22" x14ac:dyDescent="0.25">
      <c r="A74" s="29">
        <v>71</v>
      </c>
      <c r="B74" s="26" t="s">
        <v>380</v>
      </c>
      <c r="C74" s="25" t="str">
        <f t="shared" ca="1" si="8"/>
        <v>2" - 24"</v>
      </c>
      <c r="D74" s="25" t="str">
        <f t="shared" ca="1" si="9"/>
        <v>Check Valve, Dual Plate, Wafer Threaded lug type</v>
      </c>
      <c r="E74" s="25" t="str">
        <f t="shared" ca="1" si="10"/>
        <v>Wafer Lugged to suit ASME B16.5 RF Flanges</v>
      </c>
      <c r="F74" s="25" t="str">
        <f t="shared" ca="1" si="11"/>
        <v>Forged ASTM A182 F316L</v>
      </c>
      <c r="G74" s="25" t="str">
        <f t="shared" ca="1" si="12"/>
        <v>Forged - ASTM A182 F316L, Stellite Hard Faced</v>
      </c>
      <c r="H74" s="25" t="str">
        <f t="shared" ca="1" si="13"/>
        <v>D2LN</v>
      </c>
      <c r="I74" s="30">
        <v>246</v>
      </c>
      <c r="J74" s="17" t="s">
        <v>555</v>
      </c>
      <c r="L74" s="54">
        <v>70</v>
      </c>
      <c r="M74" s="53" t="s">
        <v>544</v>
      </c>
      <c r="N74" s="53" t="s">
        <v>38</v>
      </c>
      <c r="O74" s="53" t="s">
        <v>38</v>
      </c>
      <c r="P74" s="53" t="s">
        <v>545</v>
      </c>
      <c r="Q74" s="53" t="s">
        <v>92</v>
      </c>
      <c r="R74" s="52" t="s">
        <v>537</v>
      </c>
      <c r="S74" s="53" t="s">
        <v>538</v>
      </c>
      <c r="T74" s="53" t="s">
        <v>539</v>
      </c>
      <c r="U74" s="55">
        <v>94</v>
      </c>
      <c r="V74" t="str">
        <f t="shared" si="7"/>
        <v>125 @ 0°C' 116 @ 60°C</v>
      </c>
    </row>
    <row r="75" spans="1:22" x14ac:dyDescent="0.25">
      <c r="A75" s="29">
        <v>72</v>
      </c>
      <c r="B75" s="26" t="s">
        <v>237</v>
      </c>
      <c r="C75" s="25" t="str">
        <f t="shared" ca="1" si="8"/>
        <v>1/2" - 1 1/2"</v>
      </c>
      <c r="D75" s="25" t="str">
        <f t="shared" ca="1" si="9"/>
        <v>Check Valve, Piston Type</v>
      </c>
      <c r="E75" s="25" t="str">
        <f t="shared" ca="1" si="10"/>
        <v>Flanged ASME B16.5 RTJ</v>
      </c>
      <c r="F75" s="25" t="str">
        <f t="shared" ca="1" si="11"/>
        <v>Forged ASTM A182 F316L</v>
      </c>
      <c r="G75" s="25" t="str">
        <f t="shared" ca="1" si="12"/>
        <v>Forged - ASTM A182 F316L, Stellite Hard Faced</v>
      </c>
      <c r="H75" s="25" t="str">
        <f t="shared" ca="1" si="13"/>
        <v>E2LN</v>
      </c>
      <c r="I75" s="30">
        <v>247</v>
      </c>
      <c r="J75" s="17" t="s">
        <v>555</v>
      </c>
      <c r="L75" s="54">
        <v>71</v>
      </c>
      <c r="M75" s="53" t="s">
        <v>546</v>
      </c>
      <c r="N75" s="53" t="s">
        <v>38</v>
      </c>
      <c r="O75" s="53" t="s">
        <v>38</v>
      </c>
      <c r="P75" s="53" t="s">
        <v>545</v>
      </c>
      <c r="Q75" s="53" t="s">
        <v>92</v>
      </c>
      <c r="R75" s="52" t="s">
        <v>537</v>
      </c>
      <c r="S75" s="53" t="s">
        <v>540</v>
      </c>
      <c r="T75" s="53" t="s">
        <v>541</v>
      </c>
      <c r="U75" s="55">
        <v>95</v>
      </c>
      <c r="V75" t="str">
        <f t="shared" si="7"/>
        <v>206 @ 0°C' 200 @ 60°C</v>
      </c>
    </row>
    <row r="76" spans="1:22" ht="15.75" thickBot="1" x14ac:dyDescent="0.3">
      <c r="A76" s="29">
        <v>73</v>
      </c>
      <c r="B76" s="26" t="s">
        <v>297</v>
      </c>
      <c r="C76" s="25" t="str">
        <f t="shared" ca="1" si="8"/>
        <v xml:space="preserve">2" - 16" </v>
      </c>
      <c r="D76" s="25" t="str">
        <f t="shared" ca="1" si="9"/>
        <v>Check Valve, Swing type</v>
      </c>
      <c r="E76" s="25" t="str">
        <f t="shared" ca="1" si="10"/>
        <v>Flanged ASME B16.5 RTJ</v>
      </c>
      <c r="F76" s="25" t="str">
        <f t="shared" ca="1" si="11"/>
        <v>Forged ASTM A182 F316L</v>
      </c>
      <c r="G76" s="25" t="str">
        <f t="shared" ca="1" si="12"/>
        <v>Forged - ASTM A182 F316L, Stellite Hard Faced</v>
      </c>
      <c r="H76" s="25" t="str">
        <f t="shared" ca="1" si="13"/>
        <v>E2LN</v>
      </c>
      <c r="I76" s="30">
        <v>248</v>
      </c>
      <c r="J76" s="17" t="s">
        <v>555</v>
      </c>
      <c r="L76" s="56">
        <v>72</v>
      </c>
      <c r="M76" s="57" t="s">
        <v>547</v>
      </c>
      <c r="N76" s="57" t="s">
        <v>38</v>
      </c>
      <c r="O76" s="57" t="s">
        <v>38</v>
      </c>
      <c r="P76" s="57" t="s">
        <v>545</v>
      </c>
      <c r="Q76" s="57" t="s">
        <v>92</v>
      </c>
      <c r="R76" s="58" t="s">
        <v>537</v>
      </c>
      <c r="S76" s="57" t="s">
        <v>542</v>
      </c>
      <c r="T76" s="57" t="s">
        <v>543</v>
      </c>
      <c r="U76" s="59">
        <v>96</v>
      </c>
      <c r="V76" t="str">
        <f t="shared" si="7"/>
        <v>325 @ 0°C' 325 @ 60°C</v>
      </c>
    </row>
    <row r="77" spans="1:22" x14ac:dyDescent="0.25">
      <c r="A77" s="29">
        <v>74</v>
      </c>
      <c r="B77" s="26" t="s">
        <v>381</v>
      </c>
      <c r="C77" s="25" t="str">
        <f t="shared" ca="1" si="8"/>
        <v>2" - 24"</v>
      </c>
      <c r="D77" s="25" t="str">
        <f t="shared" ca="1" si="9"/>
        <v>Check Valve, Dual Plate, Wafer Threaded lug type</v>
      </c>
      <c r="E77" s="25" t="str">
        <f t="shared" ca="1" si="10"/>
        <v>Wafer Lugged to suit ASME B16.5 RF Flanges</v>
      </c>
      <c r="F77" s="25" t="str">
        <f t="shared" ca="1" si="11"/>
        <v>Forged ASTM A182 F316L</v>
      </c>
      <c r="G77" s="25" t="str">
        <f t="shared" ca="1" si="12"/>
        <v>Forged - ASTM A182 F316L, Stellite Hard Faced</v>
      </c>
      <c r="H77" s="25" t="str">
        <f t="shared" ca="1" si="13"/>
        <v>E2LN</v>
      </c>
      <c r="I77" s="30">
        <v>249</v>
      </c>
      <c r="J77" s="17" t="s">
        <v>555</v>
      </c>
    </row>
    <row r="78" spans="1:22" x14ac:dyDescent="0.25">
      <c r="A78" s="29">
        <v>75</v>
      </c>
      <c r="B78" s="26" t="s">
        <v>238</v>
      </c>
      <c r="C78" s="25" t="str">
        <f t="shared" ca="1" si="8"/>
        <v>1/2" - 1 1/2"</v>
      </c>
      <c r="D78" s="25" t="str">
        <f t="shared" ca="1" si="9"/>
        <v>Check Valve, Piston Type</v>
      </c>
      <c r="E78" s="25" t="str">
        <f t="shared" ca="1" si="10"/>
        <v>Flanged ASME B16.5 RTJ / Compact Flange / Hub Connector (As per PMS)</v>
      </c>
      <c r="F78" s="25" t="str">
        <f t="shared" ca="1" si="11"/>
        <v>Forged ASTM A182 F316L</v>
      </c>
      <c r="G78" s="25" t="str">
        <f t="shared" ca="1" si="12"/>
        <v>Forged - ASTM A182 F316L, Stellite Hard Faced</v>
      </c>
      <c r="H78" s="25" t="str">
        <f t="shared" ca="1" si="13"/>
        <v>F2LN</v>
      </c>
      <c r="I78" s="30">
        <v>250</v>
      </c>
      <c r="J78" s="17" t="s">
        <v>555</v>
      </c>
    </row>
    <row r="79" spans="1:22" x14ac:dyDescent="0.25">
      <c r="A79" s="29">
        <v>76</v>
      </c>
      <c r="B79" s="26" t="s">
        <v>298</v>
      </c>
      <c r="C79" s="25" t="str">
        <f t="shared" ca="1" si="8"/>
        <v xml:space="preserve">2" - 16" </v>
      </c>
      <c r="D79" s="25" t="str">
        <f t="shared" ca="1" si="9"/>
        <v>Check Valve, Swing type</v>
      </c>
      <c r="E79" s="25" t="str">
        <f t="shared" ca="1" si="10"/>
        <v>Flanged ASME B16.5 RTJ / Compact Flange / Hub Connector (As per PMS)</v>
      </c>
      <c r="F79" s="25" t="str">
        <f t="shared" ca="1" si="11"/>
        <v>Forged ASTM A182 F316L</v>
      </c>
      <c r="G79" s="25" t="str">
        <f t="shared" ca="1" si="12"/>
        <v>Forged - ASTM A182 F316L, Stellite Hard Faced</v>
      </c>
      <c r="H79" s="25" t="str">
        <f t="shared" ca="1" si="13"/>
        <v>F2LN</v>
      </c>
      <c r="I79" s="30">
        <v>251</v>
      </c>
      <c r="J79" s="17" t="s">
        <v>555</v>
      </c>
    </row>
    <row r="80" spans="1:22" x14ac:dyDescent="0.25">
      <c r="A80" s="29">
        <v>77</v>
      </c>
      <c r="B80" s="26" t="s">
        <v>382</v>
      </c>
      <c r="C80" s="25" t="str">
        <f t="shared" ca="1" si="8"/>
        <v>2" - 24"</v>
      </c>
      <c r="D80" s="25" t="str">
        <f t="shared" ca="1" si="9"/>
        <v>Check Valve, Dual Plate, Wafer Threaded lug type</v>
      </c>
      <c r="E80" s="25" t="str">
        <f t="shared" ca="1" si="10"/>
        <v>Flanged ASME B16.5 RTJ / Compact Flange / Hub Connector (As per PMS)</v>
      </c>
      <c r="F80" s="25" t="str">
        <f t="shared" ca="1" si="11"/>
        <v>Forged ASTM A182 F316L</v>
      </c>
      <c r="G80" s="25" t="str">
        <f t="shared" ca="1" si="12"/>
        <v>Forged - ASTM A182 F316L, Stellite Hard Faced</v>
      </c>
      <c r="H80" s="25" t="str">
        <f t="shared" ca="1" si="13"/>
        <v>F2LN</v>
      </c>
      <c r="I80" s="30">
        <v>252</v>
      </c>
      <c r="J80" s="17" t="s">
        <v>555</v>
      </c>
    </row>
    <row r="81" spans="1:10" x14ac:dyDescent="0.25">
      <c r="A81" s="29">
        <v>78</v>
      </c>
      <c r="B81" s="26" t="s">
        <v>239</v>
      </c>
      <c r="C81" s="25" t="str">
        <f t="shared" ca="1" si="8"/>
        <v>1/2" - 1 1/2"</v>
      </c>
      <c r="D81" s="25" t="str">
        <f t="shared" ca="1" si="9"/>
        <v>Check Valve, Piston Type</v>
      </c>
      <c r="E81" s="25" t="str">
        <f t="shared" ca="1" si="10"/>
        <v>Flanged ASME B16.5 RTJ / Compact Flange / Hub Connector (As per PMS)</v>
      </c>
      <c r="F81" s="25" t="str">
        <f t="shared" ca="1" si="11"/>
        <v>Forged ASTM A182 F316L</v>
      </c>
      <c r="G81" s="25" t="str">
        <f t="shared" ca="1" si="12"/>
        <v>Forged - ASTM A182 F316L, Stellite Hard Faced</v>
      </c>
      <c r="H81" s="25" t="str">
        <f t="shared" ca="1" si="13"/>
        <v>G2LN</v>
      </c>
      <c r="I81" s="30">
        <v>253</v>
      </c>
      <c r="J81" s="17" t="s">
        <v>555</v>
      </c>
    </row>
    <row r="82" spans="1:10" x14ac:dyDescent="0.25">
      <c r="A82" s="29">
        <v>79</v>
      </c>
      <c r="B82" s="26" t="s">
        <v>299</v>
      </c>
      <c r="C82" s="25" t="str">
        <f t="shared" ca="1" si="8"/>
        <v>2" - 12"</v>
      </c>
      <c r="D82" s="25" t="str">
        <f t="shared" ca="1" si="9"/>
        <v>Check Valve, Swing type</v>
      </c>
      <c r="E82" s="25" t="str">
        <f t="shared" ca="1" si="10"/>
        <v>Flanged ASME B16.5 RTJ / Compact Flange / Hub Connector (As per PMS)</v>
      </c>
      <c r="F82" s="25" t="str">
        <f t="shared" ca="1" si="11"/>
        <v>Forged ASTM A182 F316L</v>
      </c>
      <c r="G82" s="25" t="str">
        <f t="shared" ca="1" si="12"/>
        <v>Forged - ASTM A182 F316L, Stellite Hard Faced</v>
      </c>
      <c r="H82" s="25" t="str">
        <f t="shared" ca="1" si="13"/>
        <v>G2LN</v>
      </c>
      <c r="I82" s="30">
        <v>254</v>
      </c>
      <c r="J82" s="17" t="s">
        <v>555</v>
      </c>
    </row>
    <row r="83" spans="1:10" x14ac:dyDescent="0.25">
      <c r="A83" s="29">
        <v>80</v>
      </c>
      <c r="B83" s="26" t="s">
        <v>383</v>
      </c>
      <c r="C83" s="25" t="str">
        <f t="shared" ca="1" si="8"/>
        <v>2" - 24"</v>
      </c>
      <c r="D83" s="25" t="str">
        <f t="shared" ca="1" si="9"/>
        <v>Check Valve, Dual Plate, Wafer Threaded lug type</v>
      </c>
      <c r="E83" s="25" t="str">
        <f t="shared" ca="1" si="10"/>
        <v>Flanged ASME B16.5 RTJ / Compact Flange / Hub Connector (As per PMS)</v>
      </c>
      <c r="F83" s="25" t="str">
        <f t="shared" ca="1" si="11"/>
        <v>Forged ASTM A182 F316L</v>
      </c>
      <c r="G83" s="25" t="str">
        <f t="shared" ca="1" si="12"/>
        <v>Forged - ASTM A182 F316L, Stellite Hard Faced</v>
      </c>
      <c r="H83" s="25" t="str">
        <f t="shared" ca="1" si="13"/>
        <v>G2LN</v>
      </c>
      <c r="I83" s="30">
        <v>255</v>
      </c>
      <c r="J83" s="17" t="s">
        <v>555</v>
      </c>
    </row>
    <row r="84" spans="1:10" x14ac:dyDescent="0.25">
      <c r="A84" s="29">
        <v>81</v>
      </c>
      <c r="B84" s="26" t="s">
        <v>300</v>
      </c>
      <c r="C84" s="25" t="str">
        <f t="shared" ca="1" si="8"/>
        <v>2" - 24"</v>
      </c>
      <c r="D84" s="25" t="str">
        <f t="shared" ca="1" si="9"/>
        <v>Check Valve, Swing type</v>
      </c>
      <c r="E84" s="25" t="str">
        <f t="shared" ca="1" si="10"/>
        <v>Flanged ASME B16.5 RF</v>
      </c>
      <c r="F84" s="25" t="str">
        <f t="shared" ca="1" si="11"/>
        <v>Forged ASTM A182 F316L</v>
      </c>
      <c r="G84" s="25" t="str">
        <f t="shared" ca="1" si="12"/>
        <v>Forged - ASTM A182 F316L, Stellite Hard Faced</v>
      </c>
      <c r="H84" s="25" t="str">
        <f t="shared" ca="1" si="13"/>
        <v>A3, A4, A5, A6, A10</v>
      </c>
      <c r="I84" s="30">
        <v>256</v>
      </c>
      <c r="J84" s="17" t="s">
        <v>555</v>
      </c>
    </row>
    <row r="85" spans="1:10" x14ac:dyDescent="0.25">
      <c r="A85" s="29">
        <v>82</v>
      </c>
      <c r="B85" s="26" t="s">
        <v>246</v>
      </c>
      <c r="C85" s="25" t="str">
        <f t="shared" ca="1" si="8"/>
        <v>1/2" - 1 1/2"</v>
      </c>
      <c r="D85" s="25" t="str">
        <f t="shared" ca="1" si="9"/>
        <v>Check Valve, Piston Type</v>
      </c>
      <c r="E85" s="25" t="str">
        <f t="shared" ca="1" si="10"/>
        <v>Flanged ASME B16.5 RF</v>
      </c>
      <c r="F85" s="25" t="str">
        <f t="shared" ca="1" si="11"/>
        <v>Forged ASTM A182 F316L</v>
      </c>
      <c r="G85" s="25" t="str">
        <f t="shared" ca="1" si="12"/>
        <v>Forged - ASTM A182 F316L, Stellite Hard Faced</v>
      </c>
      <c r="H85" s="25" t="str">
        <f t="shared" ca="1" si="13"/>
        <v>A3, A4, A5, A6, A10</v>
      </c>
      <c r="I85" s="30">
        <v>257</v>
      </c>
      <c r="J85" s="17" t="s">
        <v>555</v>
      </c>
    </row>
    <row r="86" spans="1:10" x14ac:dyDescent="0.25">
      <c r="A86" s="29">
        <v>83</v>
      </c>
      <c r="B86" s="26" t="s">
        <v>384</v>
      </c>
      <c r="C86" s="25" t="str">
        <f t="shared" ca="1" si="8"/>
        <v>2" - 24"</v>
      </c>
      <c r="D86" s="25" t="str">
        <f t="shared" ca="1" si="9"/>
        <v>Check Valve, Dual Plate, Wafer Threaded lug type</v>
      </c>
      <c r="E86" s="25" t="str">
        <f t="shared" ca="1" si="10"/>
        <v>Wafer Lugged to suit ASME B16.5 RF Flanges</v>
      </c>
      <c r="F86" s="25" t="str">
        <f t="shared" ca="1" si="11"/>
        <v>Forged ASTM A182 F316L</v>
      </c>
      <c r="G86" s="25" t="str">
        <f t="shared" ca="1" si="12"/>
        <v>Forged - ASTM A182 F316L, Stellite Hard Faced</v>
      </c>
      <c r="H86" s="25" t="str">
        <f t="shared" ca="1" si="13"/>
        <v>A3, A4, A5, A6, A10</v>
      </c>
      <c r="I86" s="30">
        <v>258</v>
      </c>
      <c r="J86" s="17" t="s">
        <v>555</v>
      </c>
    </row>
    <row r="87" spans="1:10" x14ac:dyDescent="0.25">
      <c r="A87" s="29">
        <v>84</v>
      </c>
      <c r="B87" s="26" t="s">
        <v>301</v>
      </c>
      <c r="C87" s="25" t="str">
        <f t="shared" ca="1" si="8"/>
        <v>2" - 24"</v>
      </c>
      <c r="D87" s="25" t="str">
        <f t="shared" ca="1" si="9"/>
        <v>Check Valve, Swing type</v>
      </c>
      <c r="E87" s="25" t="str">
        <f t="shared" ca="1" si="10"/>
        <v>Flanged ASME B16.5 RF</v>
      </c>
      <c r="F87" s="25" t="str">
        <f t="shared" ca="1" si="11"/>
        <v>Forged ASTM A182 F316L</v>
      </c>
      <c r="G87" s="25" t="str">
        <f t="shared" ca="1" si="12"/>
        <v>Forged - ASTM A182 F316L, Stellite Hard Faced</v>
      </c>
      <c r="H87" s="25" t="str">
        <f t="shared" ca="1" si="13"/>
        <v>B10</v>
      </c>
      <c r="I87" s="30">
        <v>259</v>
      </c>
      <c r="J87" s="17" t="s">
        <v>555</v>
      </c>
    </row>
    <row r="88" spans="1:10" x14ac:dyDescent="0.25">
      <c r="A88" s="29">
        <v>85</v>
      </c>
      <c r="B88" s="26" t="s">
        <v>247</v>
      </c>
      <c r="C88" s="25" t="str">
        <f t="shared" ca="1" si="8"/>
        <v>1/2" - 1 1/2"</v>
      </c>
      <c r="D88" s="25" t="str">
        <f t="shared" ca="1" si="9"/>
        <v>Check Valve, Piston Type</v>
      </c>
      <c r="E88" s="25" t="str">
        <f t="shared" ca="1" si="10"/>
        <v>Flanged ASME B16.5 RF</v>
      </c>
      <c r="F88" s="25" t="str">
        <f t="shared" ca="1" si="11"/>
        <v>Forged ASTM A182 F316L</v>
      </c>
      <c r="G88" s="25" t="str">
        <f t="shared" ca="1" si="12"/>
        <v>Forged - ASTM A182 F316L, Stellite Hard Faced</v>
      </c>
      <c r="H88" s="25" t="str">
        <f t="shared" ca="1" si="13"/>
        <v>B10</v>
      </c>
      <c r="I88" s="30">
        <v>260</v>
      </c>
      <c r="J88" s="17" t="s">
        <v>555</v>
      </c>
    </row>
    <row r="89" spans="1:10" x14ac:dyDescent="0.25">
      <c r="A89" s="29">
        <v>86</v>
      </c>
      <c r="B89" s="26" t="s">
        <v>302</v>
      </c>
      <c r="C89" s="25" t="str">
        <f t="shared" ca="1" si="8"/>
        <v>2" - 24"</v>
      </c>
      <c r="D89" s="25" t="str">
        <f t="shared" ca="1" si="9"/>
        <v>Check Valve, Swing type</v>
      </c>
      <c r="E89" s="25" t="str">
        <f t="shared" ca="1" si="10"/>
        <v>Flanged ASME B16.5 RF</v>
      </c>
      <c r="F89" s="25" t="str">
        <f t="shared" ca="1" si="11"/>
        <v>Forged ASTM A182 F316L</v>
      </c>
      <c r="G89" s="25" t="str">
        <f t="shared" ca="1" si="12"/>
        <v>Forged - ASTM A182 F316L, Stellite Hard Faced</v>
      </c>
      <c r="H89" s="25" t="str">
        <f t="shared" ca="1" si="13"/>
        <v>D10</v>
      </c>
      <c r="I89" s="30">
        <v>261</v>
      </c>
      <c r="J89" s="17" t="s">
        <v>555</v>
      </c>
    </row>
    <row r="90" spans="1:10" x14ac:dyDescent="0.25">
      <c r="A90" s="29">
        <v>87</v>
      </c>
      <c r="B90" s="26" t="s">
        <v>248</v>
      </c>
      <c r="C90" s="25" t="str">
        <f t="shared" ca="1" si="8"/>
        <v>1/2" - 1 1/2"</v>
      </c>
      <c r="D90" s="25" t="str">
        <f t="shared" ca="1" si="9"/>
        <v>Check Valve, Piston Type</v>
      </c>
      <c r="E90" s="25" t="str">
        <f t="shared" ca="1" si="10"/>
        <v>Flanged ASME B16.5 RF</v>
      </c>
      <c r="F90" s="25" t="str">
        <f t="shared" ca="1" si="11"/>
        <v>Forged ASTM A182 F316L</v>
      </c>
      <c r="G90" s="25" t="str">
        <f t="shared" ca="1" si="12"/>
        <v>Forged - ASTM A182 F316L, Stellite Hard Faced</v>
      </c>
      <c r="H90" s="25" t="str">
        <f t="shared" ca="1" si="13"/>
        <v>D10</v>
      </c>
      <c r="I90" s="30">
        <v>262</v>
      </c>
      <c r="J90" s="17" t="s">
        <v>555</v>
      </c>
    </row>
    <row r="91" spans="1:10" x14ac:dyDescent="0.25">
      <c r="A91" s="29">
        <v>88</v>
      </c>
      <c r="B91" s="26" t="s">
        <v>303</v>
      </c>
      <c r="C91" s="25" t="str">
        <f t="shared" ca="1" si="8"/>
        <v>2" - 24"</v>
      </c>
      <c r="D91" s="25" t="str">
        <f t="shared" ca="1" si="9"/>
        <v>Check Valve, Swing type</v>
      </c>
      <c r="E91" s="25" t="str">
        <f t="shared" ca="1" si="10"/>
        <v>Flanged ASME B16.5 RTJ</v>
      </c>
      <c r="F91" s="25" t="str">
        <f t="shared" ca="1" si="11"/>
        <v>Forged ASTM A182 F316L</v>
      </c>
      <c r="G91" s="25" t="str">
        <f t="shared" ca="1" si="12"/>
        <v>Forged - ASTM A182 F316L, Stellite Hard Faced</v>
      </c>
      <c r="H91" s="25" t="str">
        <f t="shared" ca="1" si="13"/>
        <v>E10</v>
      </c>
      <c r="I91" s="30">
        <v>263</v>
      </c>
      <c r="J91" s="17" t="s">
        <v>555</v>
      </c>
    </row>
    <row r="92" spans="1:10" x14ac:dyDescent="0.25">
      <c r="A92" s="29">
        <v>89</v>
      </c>
      <c r="B92" s="26" t="s">
        <v>249</v>
      </c>
      <c r="C92" s="25" t="str">
        <f t="shared" ca="1" si="8"/>
        <v>1/2" - 1 1/2"</v>
      </c>
      <c r="D92" s="25" t="str">
        <f t="shared" ca="1" si="9"/>
        <v>Check Valve, Piston Type</v>
      </c>
      <c r="E92" s="25" t="str">
        <f t="shared" ca="1" si="10"/>
        <v>Flanged ASME B16.5 RTJ</v>
      </c>
      <c r="F92" s="25" t="str">
        <f t="shared" ca="1" si="11"/>
        <v>Forged ASTM A182 F316L</v>
      </c>
      <c r="G92" s="25" t="str">
        <f t="shared" ca="1" si="12"/>
        <v>Forged - ASTM A182 F316L, Stellite Hard Faced</v>
      </c>
      <c r="H92" s="25" t="str">
        <f t="shared" ca="1" si="13"/>
        <v>E10</v>
      </c>
      <c r="I92" s="30">
        <v>264</v>
      </c>
      <c r="J92" s="17" t="s">
        <v>555</v>
      </c>
    </row>
    <row r="93" spans="1:10" x14ac:dyDescent="0.25">
      <c r="A93" s="29">
        <v>90</v>
      </c>
      <c r="B93" s="26" t="s">
        <v>304</v>
      </c>
      <c r="C93" s="25" t="str">
        <f t="shared" ca="1" si="8"/>
        <v>2" - 24"</v>
      </c>
      <c r="D93" s="25" t="str">
        <f t="shared" ca="1" si="9"/>
        <v>Check Valve, Swing type</v>
      </c>
      <c r="E93" s="25" t="str">
        <f t="shared" ca="1" si="10"/>
        <v>Flanged ASME B16.5 RTJ / Compact Flange / Hub Connector (As per PMS)</v>
      </c>
      <c r="F93" s="25" t="str">
        <f t="shared" ca="1" si="11"/>
        <v>Forged ASTM A182 F316L</v>
      </c>
      <c r="G93" s="25" t="str">
        <f t="shared" ca="1" si="12"/>
        <v>Forged - ASTM A182 F316L, Stellite Hard Faced</v>
      </c>
      <c r="H93" s="25" t="str">
        <f t="shared" ca="1" si="13"/>
        <v>F10</v>
      </c>
      <c r="I93" s="30">
        <v>265</v>
      </c>
      <c r="J93" s="17" t="s">
        <v>555</v>
      </c>
    </row>
    <row r="94" spans="1:10" x14ac:dyDescent="0.25">
      <c r="A94" s="29">
        <v>91</v>
      </c>
      <c r="B94" s="26" t="s">
        <v>263</v>
      </c>
      <c r="C94" s="25" t="str">
        <f t="shared" ca="1" si="8"/>
        <v>1/2" - 1 1/2"</v>
      </c>
      <c r="D94" s="25" t="str">
        <f t="shared" ca="1" si="9"/>
        <v>Check Valve, Piston Type</v>
      </c>
      <c r="E94" s="25" t="str">
        <f t="shared" ca="1" si="10"/>
        <v>Flanged ASME B16.5 RTJ / Compact Flange / Hub Connector (As per PMS)</v>
      </c>
      <c r="F94" s="25" t="str">
        <f t="shared" ca="1" si="11"/>
        <v>Forged ASTM A182 F316L</v>
      </c>
      <c r="G94" s="25" t="str">
        <f t="shared" ca="1" si="12"/>
        <v>Forged - ASTM A182 F316L, Stellite Hard Faced</v>
      </c>
      <c r="H94" s="25" t="str">
        <f t="shared" ca="1" si="13"/>
        <v>F10</v>
      </c>
      <c r="I94" s="30">
        <v>266</v>
      </c>
      <c r="J94" s="17" t="s">
        <v>555</v>
      </c>
    </row>
    <row r="95" spans="1:10" x14ac:dyDescent="0.25">
      <c r="A95" s="29">
        <v>92</v>
      </c>
      <c r="B95" s="26" t="s">
        <v>305</v>
      </c>
      <c r="C95" s="25" t="str">
        <f t="shared" ca="1" si="8"/>
        <v>2" - 24"</v>
      </c>
      <c r="D95" s="25" t="str">
        <f t="shared" ca="1" si="9"/>
        <v>Check Valve, Swing type</v>
      </c>
      <c r="E95" s="25" t="str">
        <f t="shared" ca="1" si="10"/>
        <v>Flanged ASME B16.5 RTJ / Compact Flange / Hub Connector (As per PMS)</v>
      </c>
      <c r="F95" s="25" t="str">
        <f t="shared" ca="1" si="11"/>
        <v>Forged ASTM A182 F316L</v>
      </c>
      <c r="G95" s="25" t="str">
        <f t="shared" ca="1" si="12"/>
        <v>Forged - ASTM A182 F316L, Stellite Hard Faced</v>
      </c>
      <c r="H95" s="25" t="str">
        <f t="shared" ca="1" si="13"/>
        <v>G10</v>
      </c>
      <c r="I95" s="30">
        <v>267</v>
      </c>
      <c r="J95" s="17" t="s">
        <v>555</v>
      </c>
    </row>
    <row r="96" spans="1:10" x14ac:dyDescent="0.25">
      <c r="A96" s="29">
        <v>93</v>
      </c>
      <c r="B96" s="26" t="s">
        <v>264</v>
      </c>
      <c r="C96" s="25" t="str">
        <f t="shared" ca="1" si="8"/>
        <v>1/2" - 1 1/2"</v>
      </c>
      <c r="D96" s="25" t="str">
        <f t="shared" ca="1" si="9"/>
        <v>Check Valve, Piston Type</v>
      </c>
      <c r="E96" s="25" t="str">
        <f t="shared" ca="1" si="10"/>
        <v>Flanged ASME B16.5 RTJ / Compact Flange / Hub Connector (As per PMS)</v>
      </c>
      <c r="F96" s="25" t="str">
        <f t="shared" ca="1" si="11"/>
        <v>Forged ASTM A182 F316L</v>
      </c>
      <c r="G96" s="25" t="str">
        <f t="shared" ca="1" si="12"/>
        <v>Forged - ASTM A182 F316L, Stellite Hard Faced</v>
      </c>
      <c r="H96" s="25" t="str">
        <f t="shared" ca="1" si="13"/>
        <v>G10</v>
      </c>
      <c r="I96" s="30">
        <v>268</v>
      </c>
      <c r="J96" s="17" t="s">
        <v>555</v>
      </c>
    </row>
    <row r="97" spans="1:10" x14ac:dyDescent="0.25">
      <c r="A97" s="29">
        <v>94</v>
      </c>
      <c r="B97" s="26" t="s">
        <v>240</v>
      </c>
      <c r="C97" s="25" t="str">
        <f t="shared" ca="1" si="8"/>
        <v>1/2" - 1 1/2"</v>
      </c>
      <c r="D97" s="25" t="str">
        <f t="shared" ca="1" si="9"/>
        <v>Check Valve, Piston Type</v>
      </c>
      <c r="E97" s="25" t="str">
        <f t="shared" ca="1" si="10"/>
        <v>Flanged ASME B16.5 RF</v>
      </c>
      <c r="F97" s="25" t="str">
        <f t="shared" ca="1" si="11"/>
        <v>Forged ASTM A182 F316L</v>
      </c>
      <c r="G97" s="25" t="str">
        <f t="shared" ca="1" si="12"/>
        <v>Forged - ASTM A182 F316L, Stellite Hard Faced</v>
      </c>
      <c r="H97" s="25" t="str">
        <f t="shared" ca="1" si="13"/>
        <v>A10N</v>
      </c>
      <c r="I97" s="30">
        <v>269</v>
      </c>
      <c r="J97" s="17" t="s">
        <v>555</v>
      </c>
    </row>
    <row r="98" spans="1:10" x14ac:dyDescent="0.25">
      <c r="A98" s="29">
        <v>95</v>
      </c>
      <c r="B98" s="26" t="s">
        <v>306</v>
      </c>
      <c r="C98" s="25" t="str">
        <f t="shared" ca="1" si="8"/>
        <v>2" - 24"</v>
      </c>
      <c r="D98" s="25" t="str">
        <f t="shared" ca="1" si="9"/>
        <v>Check Valve, Swing type</v>
      </c>
      <c r="E98" s="25" t="str">
        <f t="shared" ca="1" si="10"/>
        <v>Flanged ASME B16.5 RF</v>
      </c>
      <c r="F98" s="25" t="str">
        <f t="shared" ca="1" si="11"/>
        <v>Forged ASTM A182 F316L</v>
      </c>
      <c r="G98" s="25" t="str">
        <f t="shared" ca="1" si="12"/>
        <v>Forged - ASTM A182 F316L, Stellite Hard Faced</v>
      </c>
      <c r="H98" s="25" t="str">
        <f t="shared" ca="1" si="13"/>
        <v>A10N</v>
      </c>
      <c r="I98" s="30">
        <v>270</v>
      </c>
      <c r="J98" s="17" t="s">
        <v>555</v>
      </c>
    </row>
    <row r="99" spans="1:10" x14ac:dyDescent="0.25">
      <c r="A99" s="29">
        <v>96</v>
      </c>
      <c r="B99" s="26" t="s">
        <v>241</v>
      </c>
      <c r="C99" s="25" t="str">
        <f t="shared" ca="1" si="8"/>
        <v>1/2" - 1 1/2"</v>
      </c>
      <c r="D99" s="25" t="str">
        <f t="shared" ca="1" si="9"/>
        <v>Check Valve, Piston Type</v>
      </c>
      <c r="E99" s="25" t="str">
        <f t="shared" ca="1" si="10"/>
        <v>Flanged ASME B16.5 RF</v>
      </c>
      <c r="F99" s="25" t="str">
        <f t="shared" ca="1" si="11"/>
        <v>Forged ASTM A182 F316L</v>
      </c>
      <c r="G99" s="25" t="str">
        <f t="shared" ca="1" si="12"/>
        <v>Forged - ASTM A182 F316L, Stellite Hard Faced</v>
      </c>
      <c r="H99" s="25" t="str">
        <f t="shared" ca="1" si="13"/>
        <v>B10N</v>
      </c>
      <c r="I99" s="30">
        <v>271</v>
      </c>
      <c r="J99" s="17" t="s">
        <v>555</v>
      </c>
    </row>
    <row r="100" spans="1:10" x14ac:dyDescent="0.25">
      <c r="A100" s="29">
        <v>97</v>
      </c>
      <c r="B100" s="26" t="s">
        <v>307</v>
      </c>
      <c r="C100" s="25" t="str">
        <f t="shared" ca="1" si="8"/>
        <v>2" - 24"</v>
      </c>
      <c r="D100" s="25" t="str">
        <f t="shared" ca="1" si="9"/>
        <v>Check Valve, Swing type</v>
      </c>
      <c r="E100" s="25" t="str">
        <f t="shared" ca="1" si="10"/>
        <v>Flanged ASME B16.5 RF</v>
      </c>
      <c r="F100" s="25" t="str">
        <f t="shared" ca="1" si="11"/>
        <v>Forged ASTM A182 F316L</v>
      </c>
      <c r="G100" s="25" t="str">
        <f t="shared" ca="1" si="12"/>
        <v>Forged - ASTM A182 F316L, Stellite Hard Faced</v>
      </c>
      <c r="H100" s="25" t="str">
        <f t="shared" ca="1" si="13"/>
        <v>B10N</v>
      </c>
      <c r="I100" s="30">
        <v>272</v>
      </c>
      <c r="J100" s="17" t="s">
        <v>555</v>
      </c>
    </row>
    <row r="101" spans="1:10" x14ac:dyDescent="0.25">
      <c r="A101" s="29">
        <v>98</v>
      </c>
      <c r="B101" s="26" t="s">
        <v>385</v>
      </c>
      <c r="C101" s="25" t="str">
        <f t="shared" ca="1" si="8"/>
        <v>2" - 24"</v>
      </c>
      <c r="D101" s="25" t="str">
        <f t="shared" ca="1" si="9"/>
        <v>Check Valve, Dual Plate, Wafer Threaded lug type</v>
      </c>
      <c r="E101" s="25" t="str">
        <f t="shared" ca="1" si="10"/>
        <v>Wafer Lugged to suit ASME B16.5 RF Flanges</v>
      </c>
      <c r="F101" s="25" t="str">
        <f t="shared" ca="1" si="11"/>
        <v>Forged ASTM A182 F316L</v>
      </c>
      <c r="G101" s="25" t="str">
        <f t="shared" ca="1" si="12"/>
        <v>Forged - ASTM A182 F316L, Stellite Hard Faced</v>
      </c>
      <c r="H101" s="25" t="str">
        <f t="shared" ca="1" si="13"/>
        <v>B10N</v>
      </c>
      <c r="I101" s="30">
        <v>273</v>
      </c>
      <c r="J101" s="17" t="s">
        <v>555</v>
      </c>
    </row>
    <row r="102" spans="1:10" x14ac:dyDescent="0.25">
      <c r="A102" s="29">
        <v>99</v>
      </c>
      <c r="B102" s="26" t="s">
        <v>242</v>
      </c>
      <c r="C102" s="25" t="str">
        <f t="shared" ca="1" si="8"/>
        <v>1/2" - 1 1/2"</v>
      </c>
      <c r="D102" s="25" t="str">
        <f t="shared" ca="1" si="9"/>
        <v>Check Valve, Piston Type</v>
      </c>
      <c r="E102" s="25" t="str">
        <f t="shared" ca="1" si="10"/>
        <v>Flanged ASME B16.5 RF</v>
      </c>
      <c r="F102" s="25" t="str">
        <f t="shared" ca="1" si="11"/>
        <v>Forged ASTM A182 F316L</v>
      </c>
      <c r="G102" s="25" t="str">
        <f t="shared" ca="1" si="12"/>
        <v>Forged - ASTM A182 F316L, Stellite Hard Faced</v>
      </c>
      <c r="H102" s="25" t="str">
        <f t="shared" ca="1" si="13"/>
        <v>D10N</v>
      </c>
      <c r="I102" s="30">
        <v>274</v>
      </c>
      <c r="J102" s="17" t="s">
        <v>555</v>
      </c>
    </row>
    <row r="103" spans="1:10" x14ac:dyDescent="0.25">
      <c r="A103" s="29">
        <v>100</v>
      </c>
      <c r="B103" s="26" t="s">
        <v>308</v>
      </c>
      <c r="C103" s="25" t="str">
        <f t="shared" ca="1" si="8"/>
        <v>2" - 24"</v>
      </c>
      <c r="D103" s="25" t="str">
        <f t="shared" ca="1" si="9"/>
        <v>Check Valve, Swing type</v>
      </c>
      <c r="E103" s="25" t="str">
        <f t="shared" ca="1" si="10"/>
        <v>Flanged ASME B16.5 RF</v>
      </c>
      <c r="F103" s="25" t="str">
        <f t="shared" ca="1" si="11"/>
        <v>Forged ASTM A182 F316L</v>
      </c>
      <c r="G103" s="25" t="str">
        <f t="shared" ca="1" si="12"/>
        <v>Forged - ASTM A182 F316L, Stellite Hard Faced</v>
      </c>
      <c r="H103" s="25" t="str">
        <f t="shared" ca="1" si="13"/>
        <v>D10N</v>
      </c>
      <c r="I103" s="30">
        <v>275</v>
      </c>
      <c r="J103" s="17" t="s">
        <v>555</v>
      </c>
    </row>
    <row r="104" spans="1:10" x14ac:dyDescent="0.25">
      <c r="A104" s="29">
        <v>101</v>
      </c>
      <c r="B104" s="26" t="s">
        <v>386</v>
      </c>
      <c r="C104" s="25" t="str">
        <f t="shared" ca="1" si="8"/>
        <v>2" - 24"</v>
      </c>
      <c r="D104" s="25" t="str">
        <f t="shared" ca="1" si="9"/>
        <v>Check Valve, Dual Plate, Wafer Threaded lug type</v>
      </c>
      <c r="E104" s="25" t="str">
        <f t="shared" ca="1" si="10"/>
        <v>Wafer Lugged to suit ASME B16.5 RF Flanges</v>
      </c>
      <c r="F104" s="25" t="str">
        <f t="shared" ca="1" si="11"/>
        <v>Forged ASTM A182 F316L</v>
      </c>
      <c r="G104" s="25" t="str">
        <f t="shared" ca="1" si="12"/>
        <v>Forged - ASTM A182 F316L, Stellite Hard Faced</v>
      </c>
      <c r="H104" s="25" t="str">
        <f t="shared" ca="1" si="13"/>
        <v>D10N</v>
      </c>
      <c r="I104" s="30">
        <v>276</v>
      </c>
      <c r="J104" s="17" t="s">
        <v>555</v>
      </c>
    </row>
    <row r="105" spans="1:10" x14ac:dyDescent="0.25">
      <c r="A105" s="29">
        <v>102</v>
      </c>
      <c r="B105" s="26" t="s">
        <v>243</v>
      </c>
      <c r="C105" s="25" t="str">
        <f t="shared" ca="1" si="8"/>
        <v>1/2" - 1 1/2"</v>
      </c>
      <c r="D105" s="25" t="str">
        <f t="shared" ca="1" si="9"/>
        <v>Check Valve, Piston Type</v>
      </c>
      <c r="E105" s="25" t="str">
        <f t="shared" ca="1" si="10"/>
        <v>Flanged ASME B16.5 RTJ</v>
      </c>
      <c r="F105" s="25" t="str">
        <f t="shared" ca="1" si="11"/>
        <v>Forged ASTM A182 F316L</v>
      </c>
      <c r="G105" s="25" t="str">
        <f t="shared" ca="1" si="12"/>
        <v>Forged - ASTM A182 F316L, Stellite Hard Faced</v>
      </c>
      <c r="H105" s="25" t="str">
        <f t="shared" ca="1" si="13"/>
        <v>E10N</v>
      </c>
      <c r="I105" s="30">
        <v>277</v>
      </c>
      <c r="J105" s="17" t="s">
        <v>555</v>
      </c>
    </row>
    <row r="106" spans="1:10" x14ac:dyDescent="0.25">
      <c r="A106" s="29">
        <v>103</v>
      </c>
      <c r="B106" s="26" t="s">
        <v>309</v>
      </c>
      <c r="C106" s="25" t="str">
        <f t="shared" ca="1" si="8"/>
        <v>2" - 8"</v>
      </c>
      <c r="D106" s="25" t="str">
        <f t="shared" ca="1" si="9"/>
        <v>Check Valve, Swing type</v>
      </c>
      <c r="E106" s="25" t="str">
        <f t="shared" ca="1" si="10"/>
        <v>Flanged ASME B16.5 RTJ</v>
      </c>
      <c r="F106" s="25" t="str">
        <f t="shared" ca="1" si="11"/>
        <v>Forged ASTM A182 F316L</v>
      </c>
      <c r="G106" s="25" t="str">
        <f t="shared" ca="1" si="12"/>
        <v>Forged - ASTM A182 F316L, Stellite Hard Faced</v>
      </c>
      <c r="H106" s="25" t="str">
        <f t="shared" ca="1" si="13"/>
        <v>E10N</v>
      </c>
      <c r="I106" s="30">
        <v>278</v>
      </c>
      <c r="J106" s="17" t="s">
        <v>555</v>
      </c>
    </row>
    <row r="107" spans="1:10" x14ac:dyDescent="0.25">
      <c r="A107" s="29">
        <v>104</v>
      </c>
      <c r="B107" s="26" t="s">
        <v>244</v>
      </c>
      <c r="C107" s="25" t="str">
        <f t="shared" ca="1" si="8"/>
        <v>1/2" - 1 1/2"</v>
      </c>
      <c r="D107" s="25" t="str">
        <f t="shared" ca="1" si="9"/>
        <v>Check Valve, Piston Type</v>
      </c>
      <c r="E107" s="25" t="str">
        <f t="shared" ca="1" si="10"/>
        <v>Flanged ASME B16.5 RTJ / Compact Flange / Hub Connector (As per PMS)</v>
      </c>
      <c r="F107" s="25" t="str">
        <f t="shared" ca="1" si="11"/>
        <v>Forged ASTM A182 F316L</v>
      </c>
      <c r="G107" s="25" t="str">
        <f t="shared" ca="1" si="12"/>
        <v>Forged - ASTM A182 F316L, Stellite Hard Faced</v>
      </c>
      <c r="H107" s="25" t="str">
        <f t="shared" ca="1" si="13"/>
        <v>F10N</v>
      </c>
      <c r="I107" s="30">
        <v>279</v>
      </c>
      <c r="J107" s="17" t="s">
        <v>555</v>
      </c>
    </row>
    <row r="108" spans="1:10" x14ac:dyDescent="0.25">
      <c r="A108" s="29">
        <v>105</v>
      </c>
      <c r="B108" s="26" t="s">
        <v>310</v>
      </c>
      <c r="C108" s="25" t="str">
        <f t="shared" ca="1" si="8"/>
        <v xml:space="preserve">2" - 8" </v>
      </c>
      <c r="D108" s="25" t="str">
        <f t="shared" ca="1" si="9"/>
        <v>Check Valve, Swing type</v>
      </c>
      <c r="E108" s="25" t="str">
        <f t="shared" ca="1" si="10"/>
        <v>Flanged ASME B16.5 RTJ / Compact Flange / Hub Connector (As per PMS)</v>
      </c>
      <c r="F108" s="25" t="str">
        <f t="shared" ca="1" si="11"/>
        <v>Forged ASTM A182 F316L</v>
      </c>
      <c r="G108" s="25" t="str">
        <f t="shared" ca="1" si="12"/>
        <v>Forged - ASTM A182 F316L, Stellite Hard Faced</v>
      </c>
      <c r="H108" s="25" t="str">
        <f t="shared" ca="1" si="13"/>
        <v>F10N</v>
      </c>
      <c r="I108" s="30">
        <v>280</v>
      </c>
      <c r="J108" s="17" t="s">
        <v>555</v>
      </c>
    </row>
    <row r="109" spans="1:10" x14ac:dyDescent="0.25">
      <c r="A109" s="29">
        <v>106</v>
      </c>
      <c r="B109" s="26" t="s">
        <v>245</v>
      </c>
      <c r="C109" s="25" t="str">
        <f t="shared" ca="1" si="8"/>
        <v>1/2" - 1 1/2"</v>
      </c>
      <c r="D109" s="25" t="str">
        <f t="shared" ca="1" si="9"/>
        <v>Check Valve, Piston Type</v>
      </c>
      <c r="E109" s="25" t="str">
        <f t="shared" ca="1" si="10"/>
        <v>Flanged ASME B16.5 RTJ / Compact Flange / Hub Connector (As per PMS)</v>
      </c>
      <c r="F109" s="25" t="str">
        <f t="shared" ca="1" si="11"/>
        <v>Forged ASTM A182 F316L</v>
      </c>
      <c r="G109" s="25" t="str">
        <f t="shared" ca="1" si="12"/>
        <v>Forged - ASTM A182 F316L, Stellite Hard Faced</v>
      </c>
      <c r="H109" s="25" t="str">
        <f t="shared" ca="1" si="13"/>
        <v>G10N</v>
      </c>
      <c r="I109" s="30">
        <v>281</v>
      </c>
      <c r="J109" s="17" t="s">
        <v>555</v>
      </c>
    </row>
    <row r="110" spans="1:10" x14ac:dyDescent="0.25">
      <c r="A110" s="29">
        <v>107</v>
      </c>
      <c r="B110" s="26" t="s">
        <v>311</v>
      </c>
      <c r="C110" s="25" t="str">
        <f t="shared" ca="1" si="8"/>
        <v>2" - 12"</v>
      </c>
      <c r="D110" s="25" t="str">
        <f t="shared" ca="1" si="9"/>
        <v>Check Valve, Swing type</v>
      </c>
      <c r="E110" s="25" t="str">
        <f t="shared" ca="1" si="10"/>
        <v>Flanged ASME B16.5 RTJ / Compact Flange / Hub Connector (As per PMS)</v>
      </c>
      <c r="F110" s="25" t="str">
        <f t="shared" ca="1" si="11"/>
        <v>Forged ASTM A182 F316L</v>
      </c>
      <c r="G110" s="25" t="str">
        <f t="shared" ca="1" si="12"/>
        <v>Forged - ASTM A182 F316L, Stellite Hard Faced</v>
      </c>
      <c r="H110" s="25" t="str">
        <f t="shared" ca="1" si="13"/>
        <v>G10N</v>
      </c>
      <c r="I110" s="30">
        <v>282</v>
      </c>
      <c r="J110" s="17" t="s">
        <v>555</v>
      </c>
    </row>
    <row r="111" spans="1:10" x14ac:dyDescent="0.25">
      <c r="A111" s="29">
        <v>108</v>
      </c>
      <c r="B111" s="26" t="s">
        <v>312</v>
      </c>
      <c r="C111" s="25" t="str">
        <f t="shared" ca="1" si="8"/>
        <v>2" - 24"</v>
      </c>
      <c r="D111" s="25" t="str">
        <f t="shared" ca="1" si="9"/>
        <v>Check Valve, Swing type</v>
      </c>
      <c r="E111" s="25" t="str">
        <f t="shared" ca="1" si="10"/>
        <v>Flanged ASME B16.5 RF</v>
      </c>
      <c r="F111" s="25" t="str">
        <f t="shared" ca="1" si="11"/>
        <v>Forged - ASTM A182 F60</v>
      </c>
      <c r="G111" s="25" t="str">
        <f t="shared" ca="1" si="12"/>
        <v>Forged - ASTM A182 F60, Stellite Hard Faced</v>
      </c>
      <c r="H111" s="25" t="str">
        <f t="shared" ca="1" si="13"/>
        <v>A20N</v>
      </c>
      <c r="I111" s="30">
        <v>283</v>
      </c>
      <c r="J111" s="17" t="s">
        <v>555</v>
      </c>
    </row>
    <row r="112" spans="1:10" x14ac:dyDescent="0.25">
      <c r="A112" s="29">
        <v>109</v>
      </c>
      <c r="B112" s="26" t="s">
        <v>250</v>
      </c>
      <c r="C112" s="25" t="str">
        <f t="shared" ca="1" si="8"/>
        <v>1/2" - 1 1/2"</v>
      </c>
      <c r="D112" s="25" t="str">
        <f t="shared" ca="1" si="9"/>
        <v>Check Valve, Piston Type</v>
      </c>
      <c r="E112" s="25" t="str">
        <f t="shared" ca="1" si="10"/>
        <v>Flanged ASME B16.5 RF</v>
      </c>
      <c r="F112" s="25" t="str">
        <f t="shared" ca="1" si="11"/>
        <v>Forged - ASTM A182 F60</v>
      </c>
      <c r="G112" s="25" t="str">
        <f t="shared" ca="1" si="12"/>
        <v>Forged - ASTM A182 F60, Stellite Hard Faced</v>
      </c>
      <c r="H112" s="25" t="str">
        <f t="shared" ca="1" si="13"/>
        <v>A20N</v>
      </c>
      <c r="I112" s="30">
        <v>284</v>
      </c>
      <c r="J112" s="17" t="s">
        <v>555</v>
      </c>
    </row>
    <row r="113" spans="1:10" x14ac:dyDescent="0.25">
      <c r="A113" s="29">
        <v>110</v>
      </c>
      <c r="B113" s="26" t="s">
        <v>251</v>
      </c>
      <c r="C113" s="25" t="str">
        <f t="shared" ca="1" si="8"/>
        <v>1/2" - 1 1/2"</v>
      </c>
      <c r="D113" s="25" t="str">
        <f t="shared" ca="1" si="9"/>
        <v>Check Valve, Piston Type</v>
      </c>
      <c r="E113" s="25" t="str">
        <f t="shared" ca="1" si="10"/>
        <v>Flanged ASME B16.5 RF</v>
      </c>
      <c r="F113" s="25" t="str">
        <f t="shared" ca="1" si="11"/>
        <v>Forged - ASTM A182 F60</v>
      </c>
      <c r="G113" s="25" t="str">
        <f t="shared" ca="1" si="12"/>
        <v>Forged - ASTM A182 F60, Stellite Hard Faced</v>
      </c>
      <c r="H113" s="25" t="str">
        <f t="shared" ca="1" si="13"/>
        <v>B20N</v>
      </c>
      <c r="I113" s="30">
        <v>285</v>
      </c>
      <c r="J113" s="17" t="s">
        <v>555</v>
      </c>
    </row>
    <row r="114" spans="1:10" x14ac:dyDescent="0.25">
      <c r="A114" s="29">
        <v>111</v>
      </c>
      <c r="B114" s="26" t="s">
        <v>313</v>
      </c>
      <c r="C114" s="25" t="str">
        <f t="shared" ca="1" si="8"/>
        <v>2" - 24"</v>
      </c>
      <c r="D114" s="25" t="str">
        <f t="shared" ca="1" si="9"/>
        <v>Check Valve, Swing type</v>
      </c>
      <c r="E114" s="25" t="str">
        <f t="shared" ca="1" si="10"/>
        <v>Flanged ASME B16.5 RF</v>
      </c>
      <c r="F114" s="25" t="str">
        <f t="shared" ca="1" si="11"/>
        <v>Forged - ASTM A182 F60</v>
      </c>
      <c r="G114" s="25" t="str">
        <f t="shared" ca="1" si="12"/>
        <v>Forged - ASTM A182 F60, Stellite Hard Faced</v>
      </c>
      <c r="H114" s="25" t="str">
        <f t="shared" ca="1" si="13"/>
        <v>B20N</v>
      </c>
      <c r="I114" s="30">
        <v>286</v>
      </c>
      <c r="J114" s="17" t="s">
        <v>555</v>
      </c>
    </row>
    <row r="115" spans="1:10" x14ac:dyDescent="0.25">
      <c r="A115" s="29">
        <v>112</v>
      </c>
      <c r="B115" s="26" t="s">
        <v>387</v>
      </c>
      <c r="C115" s="25" t="str">
        <f t="shared" ca="1" si="8"/>
        <v>2" - 24"</v>
      </c>
      <c r="D115" s="25" t="str">
        <f t="shared" ca="1" si="9"/>
        <v>Check Valve, Dual Plate, Wafer Threaded lug type</v>
      </c>
      <c r="E115" s="25" t="str">
        <f t="shared" ca="1" si="10"/>
        <v>Wafer Lugged to suit ASME B16.5 RF Flanges</v>
      </c>
      <c r="F115" s="25" t="str">
        <f t="shared" ca="1" si="11"/>
        <v>Forged - ASTM A182 F60</v>
      </c>
      <c r="G115" s="25" t="str">
        <f t="shared" ca="1" si="12"/>
        <v>Forged - ASTM A182 F60, Stellite Hard Faced</v>
      </c>
      <c r="H115" s="25" t="str">
        <f t="shared" ca="1" si="13"/>
        <v>B20N</v>
      </c>
      <c r="I115" s="30">
        <v>287</v>
      </c>
      <c r="J115" s="17" t="s">
        <v>555</v>
      </c>
    </row>
    <row r="116" spans="1:10" x14ac:dyDescent="0.25">
      <c r="A116" s="29">
        <v>113</v>
      </c>
      <c r="B116" s="26" t="s">
        <v>252</v>
      </c>
      <c r="C116" s="25" t="str">
        <f t="shared" ca="1" si="8"/>
        <v>1/2" - 1 1/2"</v>
      </c>
      <c r="D116" s="25" t="str">
        <f t="shared" ca="1" si="9"/>
        <v>Check Valve, Piston Type</v>
      </c>
      <c r="E116" s="25" t="str">
        <f t="shared" ca="1" si="10"/>
        <v>Flanged ASME B16.5 RF</v>
      </c>
      <c r="F116" s="25" t="str">
        <f t="shared" ca="1" si="11"/>
        <v>Forged - ASTM A182 F60</v>
      </c>
      <c r="G116" s="25" t="str">
        <f t="shared" ca="1" si="12"/>
        <v>Forged - ASTM A182 F60, Stellite Hard Faced</v>
      </c>
      <c r="H116" s="25" t="str">
        <f t="shared" ca="1" si="13"/>
        <v>D20N</v>
      </c>
      <c r="I116" s="30">
        <v>288</v>
      </c>
      <c r="J116" s="17" t="s">
        <v>555</v>
      </c>
    </row>
    <row r="117" spans="1:10" x14ac:dyDescent="0.25">
      <c r="A117" s="29">
        <v>114</v>
      </c>
      <c r="B117" s="26" t="s">
        <v>314</v>
      </c>
      <c r="C117" s="25" t="str">
        <f t="shared" ca="1" si="8"/>
        <v>2" - 24"</v>
      </c>
      <c r="D117" s="25" t="str">
        <f t="shared" ca="1" si="9"/>
        <v>Check Valve, Swing type</v>
      </c>
      <c r="E117" s="25" t="str">
        <f t="shared" ca="1" si="10"/>
        <v>Flanged ASME B16.5 RF</v>
      </c>
      <c r="F117" s="25" t="str">
        <f t="shared" ca="1" si="11"/>
        <v>Forged - ASTM A182 F60</v>
      </c>
      <c r="G117" s="25" t="str">
        <f t="shared" ca="1" si="12"/>
        <v>Forged - ASTM A182 F60, Stellite Hard Faced</v>
      </c>
      <c r="H117" s="25" t="str">
        <f t="shared" ca="1" si="13"/>
        <v>D20N</v>
      </c>
      <c r="I117" s="30">
        <v>289</v>
      </c>
      <c r="J117" s="17" t="s">
        <v>555</v>
      </c>
    </row>
    <row r="118" spans="1:10" x14ac:dyDescent="0.25">
      <c r="A118" s="29">
        <v>115</v>
      </c>
      <c r="B118" s="26" t="s">
        <v>253</v>
      </c>
      <c r="C118" s="25" t="str">
        <f t="shared" ca="1" si="8"/>
        <v>1/2" - 1 1/2"</v>
      </c>
      <c r="D118" s="25" t="str">
        <f t="shared" ca="1" si="9"/>
        <v>Check Valve, Piston Type</v>
      </c>
      <c r="E118" s="25" t="str">
        <f t="shared" ca="1" si="10"/>
        <v>Flanged ASME B16.5 RTJ</v>
      </c>
      <c r="F118" s="25" t="str">
        <f t="shared" ca="1" si="11"/>
        <v>Forged - ASTM A182 F60</v>
      </c>
      <c r="G118" s="25" t="str">
        <f t="shared" ca="1" si="12"/>
        <v>Forged - ASTM A182 F60, Stellite Hard Faced</v>
      </c>
      <c r="H118" s="25" t="str">
        <f t="shared" ca="1" si="13"/>
        <v>E20N</v>
      </c>
      <c r="I118" s="30">
        <v>290</v>
      </c>
      <c r="J118" s="17" t="s">
        <v>555</v>
      </c>
    </row>
    <row r="119" spans="1:10" x14ac:dyDescent="0.25">
      <c r="A119" s="29">
        <v>116</v>
      </c>
      <c r="B119" s="26" t="s">
        <v>315</v>
      </c>
      <c r="C119" s="25" t="str">
        <f t="shared" ca="1" si="8"/>
        <v>2" - 24"</v>
      </c>
      <c r="D119" s="25" t="str">
        <f t="shared" ca="1" si="9"/>
        <v>Check Valve, Swing type</v>
      </c>
      <c r="E119" s="25" t="str">
        <f t="shared" ca="1" si="10"/>
        <v>Flanged ASME B16.5 RTJ</v>
      </c>
      <c r="F119" s="25" t="str">
        <f t="shared" ca="1" si="11"/>
        <v>Forged - ASTM A182 F60</v>
      </c>
      <c r="G119" s="25" t="str">
        <f t="shared" ca="1" si="12"/>
        <v>Forged - ASTM A182 F60, Stellite Hard Faced</v>
      </c>
      <c r="H119" s="25" t="str">
        <f t="shared" ca="1" si="13"/>
        <v>E20N</v>
      </c>
      <c r="I119" s="30">
        <v>291</v>
      </c>
      <c r="J119" s="17" t="s">
        <v>555</v>
      </c>
    </row>
    <row r="120" spans="1:10" x14ac:dyDescent="0.25">
      <c r="A120" s="29">
        <v>117</v>
      </c>
      <c r="B120" s="26" t="s">
        <v>254</v>
      </c>
      <c r="C120" s="25" t="str">
        <f t="shared" ca="1" si="8"/>
        <v>1/2" - 1 1/2"</v>
      </c>
      <c r="D120" s="25" t="str">
        <f t="shared" ca="1" si="9"/>
        <v>Check Valve, Piston Type</v>
      </c>
      <c r="E120" s="25" t="str">
        <f t="shared" ca="1" si="10"/>
        <v>Flanged ASME B16.5 RTJ / Compact Flange / Hub Connector (As per PMS)</v>
      </c>
      <c r="F120" s="25" t="str">
        <f t="shared" ca="1" si="11"/>
        <v>Forged - ASTM A182 F60</v>
      </c>
      <c r="G120" s="25" t="str">
        <f t="shared" ca="1" si="12"/>
        <v>Forged - ASTM A182 F60, Stellite Hard Faced</v>
      </c>
      <c r="H120" s="25" t="str">
        <f t="shared" ca="1" si="13"/>
        <v>F20N</v>
      </c>
      <c r="I120" s="30">
        <v>292</v>
      </c>
      <c r="J120" s="17" t="s">
        <v>555</v>
      </c>
    </row>
    <row r="121" spans="1:10" x14ac:dyDescent="0.25">
      <c r="A121" s="29">
        <v>118</v>
      </c>
      <c r="B121" s="26" t="s">
        <v>316</v>
      </c>
      <c r="C121" s="25" t="str">
        <f t="shared" ca="1" si="8"/>
        <v>2" - 24"</v>
      </c>
      <c r="D121" s="25" t="str">
        <f t="shared" ca="1" si="9"/>
        <v>Check Valve, Swing type</v>
      </c>
      <c r="E121" s="25" t="str">
        <f t="shared" ca="1" si="10"/>
        <v>Flanged ASME B16.5 RTJ / Compact Flange / Hub Connector (As per PMS)</v>
      </c>
      <c r="F121" s="25" t="str">
        <f t="shared" ca="1" si="11"/>
        <v>Forged - ASTM A182 F60</v>
      </c>
      <c r="G121" s="25" t="str">
        <f t="shared" ca="1" si="12"/>
        <v>Forged - ASTM A182 F60, Stellite Hard Faced</v>
      </c>
      <c r="H121" s="25" t="str">
        <f t="shared" ca="1" si="13"/>
        <v>F20N</v>
      </c>
      <c r="I121" s="30">
        <v>293</v>
      </c>
      <c r="J121" s="17" t="s">
        <v>555</v>
      </c>
    </row>
    <row r="122" spans="1:10" x14ac:dyDescent="0.25">
      <c r="A122" s="29">
        <v>119</v>
      </c>
      <c r="B122" s="26" t="s">
        <v>255</v>
      </c>
      <c r="C122" s="25" t="str">
        <f t="shared" ca="1" si="8"/>
        <v>1/2" - 1 1/2"</v>
      </c>
      <c r="D122" s="25" t="str">
        <f t="shared" ca="1" si="9"/>
        <v>Check Valve, Piston Type</v>
      </c>
      <c r="E122" s="25" t="str">
        <f t="shared" ca="1" si="10"/>
        <v>Flanged ASME B16.5 RTJ / Compact Flange / Hub Connector (As per PMS)</v>
      </c>
      <c r="F122" s="25" t="str">
        <f t="shared" ca="1" si="11"/>
        <v>Forged - ASTM A182 F60</v>
      </c>
      <c r="G122" s="25" t="str">
        <f t="shared" ca="1" si="12"/>
        <v>Forged - ASTM A182 F60, Stellite Hard Faced</v>
      </c>
      <c r="H122" s="25" t="str">
        <f t="shared" ca="1" si="13"/>
        <v>G20N</v>
      </c>
      <c r="I122" s="30">
        <v>294</v>
      </c>
      <c r="J122" s="17" t="s">
        <v>555</v>
      </c>
    </row>
    <row r="123" spans="1:10" x14ac:dyDescent="0.25">
      <c r="A123" s="29">
        <v>120</v>
      </c>
      <c r="B123" s="26" t="s">
        <v>317</v>
      </c>
      <c r="C123" s="25" t="str">
        <f t="shared" ca="1" si="8"/>
        <v>2" - 12"</v>
      </c>
      <c r="D123" s="25" t="str">
        <f t="shared" ca="1" si="9"/>
        <v>Check Valve, Swing type</v>
      </c>
      <c r="E123" s="25" t="str">
        <f t="shared" ca="1" si="10"/>
        <v>Flanged ASME B16.5 RTJ / Compact Flange / Hub Connector (As per PMS)</v>
      </c>
      <c r="F123" s="25" t="str">
        <f t="shared" ca="1" si="11"/>
        <v>Forged - ASTM A182 F60</v>
      </c>
      <c r="G123" s="25" t="str">
        <f t="shared" ca="1" si="12"/>
        <v>Forged - ASTM A182 F60, Stellite Hard Faced</v>
      </c>
      <c r="H123" s="25" t="str">
        <f t="shared" ca="1" si="13"/>
        <v>G20N</v>
      </c>
      <c r="I123" s="30">
        <v>295</v>
      </c>
      <c r="J123" s="17" t="s">
        <v>555</v>
      </c>
    </row>
    <row r="124" spans="1:10" x14ac:dyDescent="0.25">
      <c r="A124" s="29">
        <v>121</v>
      </c>
      <c r="B124" s="26" t="s">
        <v>388</v>
      </c>
      <c r="C124" s="25" t="str">
        <f t="shared" ca="1" si="8"/>
        <v>2" - 24"</v>
      </c>
      <c r="D124" s="25" t="str">
        <f t="shared" ca="1" si="9"/>
        <v>Check Valve, Swing type</v>
      </c>
      <c r="E124" s="25" t="str">
        <f t="shared" ca="1" si="10"/>
        <v>Flanged ASME B16.5 RF</v>
      </c>
      <c r="F124" s="25" t="str">
        <f t="shared" ca="1" si="11"/>
        <v>Forged - ASTM A182 F53</v>
      </c>
      <c r="G124" s="25" t="str">
        <f t="shared" ca="1" si="12"/>
        <v>Forged - ASTM A182 F53, Stellite Hard Faced</v>
      </c>
      <c r="H124" s="25" t="str">
        <f t="shared" ca="1" si="13"/>
        <v>A25</v>
      </c>
      <c r="I124" s="30">
        <v>296</v>
      </c>
      <c r="J124" s="17" t="s">
        <v>555</v>
      </c>
    </row>
    <row r="125" spans="1:10" x14ac:dyDescent="0.25">
      <c r="A125" s="29">
        <v>122</v>
      </c>
      <c r="B125" s="26" t="s">
        <v>390</v>
      </c>
      <c r="C125" s="25" t="str">
        <f t="shared" ca="1" si="8"/>
        <v>1/2" - 1 1/2"</v>
      </c>
      <c r="D125" s="25" t="str">
        <f t="shared" ca="1" si="9"/>
        <v>Check Valve, Piston Type</v>
      </c>
      <c r="E125" s="25" t="str">
        <f t="shared" ca="1" si="10"/>
        <v>Flanged ASME B16.5 RF</v>
      </c>
      <c r="F125" s="25" t="str">
        <f t="shared" ca="1" si="11"/>
        <v>Forged - ASTM A182 F53</v>
      </c>
      <c r="G125" s="25" t="str">
        <f t="shared" ca="1" si="12"/>
        <v>Forged - ASTM A182 F53, Stellite Hard Faced</v>
      </c>
      <c r="H125" s="25" t="str">
        <f t="shared" ca="1" si="13"/>
        <v>A25</v>
      </c>
      <c r="I125" s="30">
        <v>297</v>
      </c>
      <c r="J125" s="17" t="s">
        <v>555</v>
      </c>
    </row>
    <row r="126" spans="1:10" x14ac:dyDescent="0.25">
      <c r="A126" s="29">
        <v>123</v>
      </c>
      <c r="B126" s="26" t="s">
        <v>392</v>
      </c>
      <c r="C126" s="25" t="str">
        <f t="shared" ca="1" si="8"/>
        <v>2" - 24"</v>
      </c>
      <c r="D126" s="25" t="str">
        <f t="shared" ca="1" si="9"/>
        <v>Check Valve, Swing type</v>
      </c>
      <c r="E126" s="25" t="str">
        <f t="shared" ca="1" si="10"/>
        <v>Flanged ASME B16.5 RTJ / Compact Flange / Hub Connector (As per PMS)</v>
      </c>
      <c r="F126" s="25" t="str">
        <f t="shared" ca="1" si="11"/>
        <v>Forged - ASTM A182 F53</v>
      </c>
      <c r="G126" s="25" t="str">
        <f t="shared" ca="1" si="12"/>
        <v>Forged - ASTM A182 F53, Stellite Hard Faced</v>
      </c>
      <c r="H126" s="25" t="str">
        <f t="shared" ca="1" si="13"/>
        <v>G25</v>
      </c>
      <c r="I126" s="30">
        <v>298</v>
      </c>
      <c r="J126" s="17" t="s">
        <v>555</v>
      </c>
    </row>
    <row r="127" spans="1:10" x14ac:dyDescent="0.25">
      <c r="A127" s="29">
        <v>124</v>
      </c>
      <c r="B127" s="26" t="s">
        <v>393</v>
      </c>
      <c r="C127" s="25" t="str">
        <f t="shared" ca="1" si="8"/>
        <v>1/2" - 1 1/2"</v>
      </c>
      <c r="D127" s="25" t="str">
        <f t="shared" ca="1" si="9"/>
        <v>Check Valve, Piston Type</v>
      </c>
      <c r="E127" s="25" t="str">
        <f t="shared" ca="1" si="10"/>
        <v>Flanged ASME B16.5 RTJ / Compact Flange / Hub Connector (As per PMS)</v>
      </c>
      <c r="F127" s="25" t="str">
        <f t="shared" ca="1" si="11"/>
        <v>Forged - ASTM A182 F53</v>
      </c>
      <c r="G127" s="25" t="str">
        <f t="shared" ca="1" si="12"/>
        <v>Forged - ASTM A182 F53, Stellite Hard Faced</v>
      </c>
      <c r="H127" s="25" t="str">
        <f t="shared" ca="1" si="13"/>
        <v>G25</v>
      </c>
      <c r="I127" s="30">
        <v>299</v>
      </c>
      <c r="J127" s="17" t="s">
        <v>555</v>
      </c>
    </row>
    <row r="128" spans="1:10" x14ac:dyDescent="0.25">
      <c r="A128" s="29">
        <v>125</v>
      </c>
      <c r="B128" s="26" t="s">
        <v>318</v>
      </c>
      <c r="C128" s="25" t="str">
        <f t="shared" ca="1" si="8"/>
        <v>2" - 24"</v>
      </c>
      <c r="D128" s="25" t="str">
        <f t="shared" ca="1" si="9"/>
        <v>Check Valve, Swing type</v>
      </c>
      <c r="E128" s="25" t="str">
        <f t="shared" ca="1" si="10"/>
        <v>Flanged ASME B16.5 RF</v>
      </c>
      <c r="F128" s="25" t="str">
        <f t="shared" ca="1" si="11"/>
        <v>Forged - ASTM A182 F53</v>
      </c>
      <c r="G128" s="25" t="str">
        <f t="shared" ca="1" si="12"/>
        <v>Forged - ASTM A182 F53, Stellite Hard Faced</v>
      </c>
      <c r="H128" s="25" t="str">
        <f t="shared" ca="1" si="13"/>
        <v>A25N</v>
      </c>
      <c r="I128" s="30">
        <v>300</v>
      </c>
      <c r="J128" s="17" t="s">
        <v>555</v>
      </c>
    </row>
    <row r="129" spans="1:10" x14ac:dyDescent="0.25">
      <c r="A129" s="29">
        <v>126</v>
      </c>
      <c r="B129" s="26" t="s">
        <v>256</v>
      </c>
      <c r="C129" s="25" t="str">
        <f t="shared" ca="1" si="8"/>
        <v>1/2" - 1 1/2"</v>
      </c>
      <c r="D129" s="25" t="str">
        <f t="shared" ca="1" si="9"/>
        <v>Check Valve, Piston Type</v>
      </c>
      <c r="E129" s="25" t="str">
        <f t="shared" ca="1" si="10"/>
        <v>Flanged ASME B16.5 RF</v>
      </c>
      <c r="F129" s="25" t="str">
        <f t="shared" ca="1" si="11"/>
        <v>Forged - ASTM A182 F53</v>
      </c>
      <c r="G129" s="25" t="str">
        <f t="shared" ca="1" si="12"/>
        <v>Forged - ASTM A182 F53, Stellite Hard Faced</v>
      </c>
      <c r="H129" s="25" t="str">
        <f t="shared" ca="1" si="13"/>
        <v>A25N</v>
      </c>
      <c r="I129" s="30">
        <v>301</v>
      </c>
      <c r="J129" s="17" t="s">
        <v>555</v>
      </c>
    </row>
    <row r="130" spans="1:10" x14ac:dyDescent="0.25">
      <c r="A130" s="29">
        <v>127</v>
      </c>
      <c r="B130" s="26" t="s">
        <v>319</v>
      </c>
      <c r="C130" s="25" t="str">
        <f t="shared" ca="1" si="8"/>
        <v>2" - 24"</v>
      </c>
      <c r="D130" s="25" t="str">
        <f t="shared" ca="1" si="9"/>
        <v>Check Valve, Swing type</v>
      </c>
      <c r="E130" s="25" t="str">
        <f t="shared" ca="1" si="10"/>
        <v>Flanged ASME B16.5 RF</v>
      </c>
      <c r="F130" s="25" t="str">
        <f t="shared" ca="1" si="11"/>
        <v>Forged - ASTM A182 F53</v>
      </c>
      <c r="G130" s="25" t="str">
        <f t="shared" ca="1" si="12"/>
        <v>Forged - ASTM A182 F53, Stellite Hard Faced</v>
      </c>
      <c r="H130" s="25" t="str">
        <f t="shared" ca="1" si="13"/>
        <v>B25N</v>
      </c>
      <c r="I130" s="30">
        <v>302</v>
      </c>
      <c r="J130" s="17" t="s">
        <v>555</v>
      </c>
    </row>
    <row r="131" spans="1:10" x14ac:dyDescent="0.25">
      <c r="A131" s="29">
        <v>128</v>
      </c>
      <c r="B131" s="26" t="s">
        <v>257</v>
      </c>
      <c r="C131" s="25" t="str">
        <f t="shared" ca="1" si="8"/>
        <v>1/2" - 1 1/2"</v>
      </c>
      <c r="D131" s="25" t="str">
        <f t="shared" ca="1" si="9"/>
        <v>Check Valve, Piston Type</v>
      </c>
      <c r="E131" s="25" t="str">
        <f t="shared" ca="1" si="10"/>
        <v>Flanged ASME B16.5 RF</v>
      </c>
      <c r="F131" s="25" t="str">
        <f t="shared" ca="1" si="11"/>
        <v>Forged - ASTM A182 F53</v>
      </c>
      <c r="G131" s="25" t="str">
        <f t="shared" ca="1" si="12"/>
        <v>Forged - ASTM A182 F53, Stellite Hard Faced</v>
      </c>
      <c r="H131" s="25" t="str">
        <f t="shared" ca="1" si="13"/>
        <v>B25N</v>
      </c>
      <c r="I131" s="30">
        <v>303</v>
      </c>
      <c r="J131" s="17" t="s">
        <v>555</v>
      </c>
    </row>
    <row r="132" spans="1:10" x14ac:dyDescent="0.25">
      <c r="A132" s="29">
        <v>129</v>
      </c>
      <c r="B132" s="26" t="s">
        <v>320</v>
      </c>
      <c r="C132" s="25" t="str">
        <f t="shared" ca="1" si="8"/>
        <v>2" - 24"</v>
      </c>
      <c r="D132" s="25" t="str">
        <f t="shared" ca="1" si="9"/>
        <v>Check Valve, Swing type</v>
      </c>
      <c r="E132" s="25" t="str">
        <f t="shared" ca="1" si="10"/>
        <v>Flanged ASME B16.5 RF</v>
      </c>
      <c r="F132" s="25" t="str">
        <f t="shared" ca="1" si="11"/>
        <v>Forged - ASTM A182 F53</v>
      </c>
      <c r="G132" s="25" t="str">
        <f t="shared" ca="1" si="12"/>
        <v>Forged - ASTM A182 F53, Stellite Hard Faced</v>
      </c>
      <c r="H132" s="25" t="str">
        <f t="shared" ca="1" si="13"/>
        <v>D25N</v>
      </c>
      <c r="I132" s="30">
        <v>304</v>
      </c>
      <c r="J132" s="17" t="s">
        <v>555</v>
      </c>
    </row>
    <row r="133" spans="1:10" x14ac:dyDescent="0.25">
      <c r="A133" s="29">
        <v>130</v>
      </c>
      <c r="B133" s="26" t="s">
        <v>258</v>
      </c>
      <c r="C133" s="25" t="str">
        <f t="shared" ref="C133:C143" ca="1" si="14">VLOOKUP($C$1,INDIRECT(""&amp;B133&amp;"!$A$5:$C$15"),3,FALSE)</f>
        <v>1/2" - 1 1/2"</v>
      </c>
      <c r="D133" s="25" t="str">
        <f t="shared" ref="D133:D143" ca="1" si="15">VLOOKUP($D$1,INDIRECT(""&amp;B133&amp;"!$A$5:$C$15"),3,FALSE)</f>
        <v>Check Valve, Piston Type</v>
      </c>
      <c r="E133" s="25" t="str">
        <f t="shared" ref="E133:E143" ca="1" si="16">VLOOKUP($E$1,INDIRECT(""&amp;B133&amp;"!$A$5:$C$15"),3,FALSE)</f>
        <v>Flanged ASME B16.5 RF</v>
      </c>
      <c r="F133" s="25" t="str">
        <f t="shared" ref="F133:F143" ca="1" si="17">VLOOKUP($F$1,INDIRECT(""&amp;B133&amp;"!$B$5:$C$35"),2,FALSE)</f>
        <v>Forged - ASTM A182 F53</v>
      </c>
      <c r="G133" s="25" t="str">
        <f t="shared" ref="G133:G143" ca="1" si="18">VLOOKUP($G$1,INDIRECT(""&amp;B133&amp;"!$B$5:$C$35"),2,FALSE)</f>
        <v>Forged - ASTM A182 F53, Stellite Hard Faced</v>
      </c>
      <c r="H133" s="25" t="str">
        <f t="shared" ref="H133:H143" ca="1" si="19">VLOOKUP($H$1,INDIRECT(""&amp;B133&amp;"!$A$5:$C$15"),3,FALSE)</f>
        <v>D25N</v>
      </c>
      <c r="I133" s="30">
        <v>305</v>
      </c>
      <c r="J133" s="17" t="s">
        <v>555</v>
      </c>
    </row>
    <row r="134" spans="1:10" x14ac:dyDescent="0.25">
      <c r="A134" s="29">
        <v>131</v>
      </c>
      <c r="B134" s="26" t="s">
        <v>321</v>
      </c>
      <c r="C134" s="25" t="str">
        <f t="shared" ca="1" si="14"/>
        <v>2" - 24"</v>
      </c>
      <c r="D134" s="25" t="str">
        <f t="shared" ca="1" si="15"/>
        <v>Check Valve, Swing type</v>
      </c>
      <c r="E134" s="25" t="str">
        <f t="shared" ca="1" si="16"/>
        <v>Flanged ASME B16.5 RTJ</v>
      </c>
      <c r="F134" s="25" t="str">
        <f t="shared" ca="1" si="17"/>
        <v>Forged - ASTM A182 F53</v>
      </c>
      <c r="G134" s="25" t="str">
        <f t="shared" ca="1" si="18"/>
        <v>Forged - ASTM A182 F53, Stellite Hard Faced</v>
      </c>
      <c r="H134" s="25" t="str">
        <f t="shared" ca="1" si="19"/>
        <v>E25N</v>
      </c>
      <c r="I134" s="30">
        <v>306</v>
      </c>
      <c r="J134" s="17" t="s">
        <v>555</v>
      </c>
    </row>
    <row r="135" spans="1:10" x14ac:dyDescent="0.25">
      <c r="A135" s="29">
        <v>132</v>
      </c>
      <c r="B135" s="26" t="s">
        <v>265</v>
      </c>
      <c r="C135" s="25" t="str">
        <f t="shared" ca="1" si="14"/>
        <v>1/2" - 1 1/2"</v>
      </c>
      <c r="D135" s="25" t="str">
        <f t="shared" ca="1" si="15"/>
        <v>Check Valve, Piston Type</v>
      </c>
      <c r="E135" s="25" t="str">
        <f t="shared" ca="1" si="16"/>
        <v>Flanged ASME B16.5 RTJ</v>
      </c>
      <c r="F135" s="25" t="str">
        <f t="shared" ca="1" si="17"/>
        <v>Forged - ASTM A182 F53</v>
      </c>
      <c r="G135" s="25" t="str">
        <f t="shared" ca="1" si="18"/>
        <v>Forged - ASTM A182 F53, Stellite Hard Faced</v>
      </c>
      <c r="H135" s="25" t="str">
        <f t="shared" ca="1" si="19"/>
        <v>E25N</v>
      </c>
      <c r="I135" s="30">
        <v>307</v>
      </c>
      <c r="J135" s="17" t="s">
        <v>555</v>
      </c>
    </row>
    <row r="136" spans="1:10" x14ac:dyDescent="0.25">
      <c r="A136" s="29">
        <v>133</v>
      </c>
      <c r="B136" s="26" t="s">
        <v>322</v>
      </c>
      <c r="C136" s="25" t="str">
        <f t="shared" ca="1" si="14"/>
        <v>2" - 24"</v>
      </c>
      <c r="D136" s="25" t="str">
        <f t="shared" ca="1" si="15"/>
        <v>Check Valve, Swing type</v>
      </c>
      <c r="E136" s="25" t="str">
        <f t="shared" ca="1" si="16"/>
        <v>Flanged ASME B16.5 RTJ / Compact Flange / Hub Connector (As per PMS)</v>
      </c>
      <c r="F136" s="25" t="str">
        <f t="shared" ca="1" si="17"/>
        <v>Forged - ASTM A182 F53</v>
      </c>
      <c r="G136" s="25" t="str">
        <f t="shared" ca="1" si="18"/>
        <v>Forged - ASTM A182 F53, Stellite Hard Faced</v>
      </c>
      <c r="H136" s="25" t="str">
        <f t="shared" ca="1" si="19"/>
        <v>F25N</v>
      </c>
      <c r="I136" s="30">
        <v>308</v>
      </c>
      <c r="J136" s="17" t="s">
        <v>555</v>
      </c>
    </row>
    <row r="137" spans="1:10" x14ac:dyDescent="0.25">
      <c r="A137" s="29">
        <v>134</v>
      </c>
      <c r="B137" s="26" t="s">
        <v>266</v>
      </c>
      <c r="C137" s="25" t="str">
        <f t="shared" ca="1" si="14"/>
        <v>1/2" - 1 1/2"</v>
      </c>
      <c r="D137" s="25" t="str">
        <f t="shared" ca="1" si="15"/>
        <v>Check Valve, Piston Type</v>
      </c>
      <c r="E137" s="25" t="str">
        <f t="shared" ca="1" si="16"/>
        <v>Flanged ASME B16.5 RTJ / Compact Flange / Hub Connector (As per PMS)</v>
      </c>
      <c r="F137" s="25" t="str">
        <f t="shared" ca="1" si="17"/>
        <v>Forged - ASTM A182 F53</v>
      </c>
      <c r="G137" s="25" t="str">
        <f t="shared" ca="1" si="18"/>
        <v>Forged - ASTM A182 F53, Stellite Hard Faced</v>
      </c>
      <c r="H137" s="25" t="str">
        <f t="shared" ca="1" si="19"/>
        <v>F25N</v>
      </c>
      <c r="I137" s="30">
        <v>309</v>
      </c>
      <c r="J137" s="17" t="s">
        <v>555</v>
      </c>
    </row>
    <row r="138" spans="1:10" x14ac:dyDescent="0.25">
      <c r="A138" s="29">
        <v>135</v>
      </c>
      <c r="B138" s="26" t="s">
        <v>323</v>
      </c>
      <c r="C138" s="25" t="str">
        <f t="shared" ca="1" si="14"/>
        <v>2" - 24"</v>
      </c>
      <c r="D138" s="25" t="str">
        <f t="shared" ca="1" si="15"/>
        <v>Check Valve, Swing type</v>
      </c>
      <c r="E138" s="25" t="str">
        <f t="shared" ca="1" si="16"/>
        <v>Flanged ASME B16.5 RTJ / Compact Flange / Hub Connector (As per PMS)</v>
      </c>
      <c r="F138" s="25" t="str">
        <f t="shared" ca="1" si="17"/>
        <v>Forged - ASTM A182 F53</v>
      </c>
      <c r="G138" s="25" t="str">
        <f t="shared" ca="1" si="18"/>
        <v>Forged - ASTM A182 F53, Stellite Hard Faced</v>
      </c>
      <c r="H138" s="25" t="str">
        <f t="shared" ca="1" si="19"/>
        <v>G25N</v>
      </c>
      <c r="I138" s="30">
        <v>310</v>
      </c>
      <c r="J138" s="17" t="s">
        <v>555</v>
      </c>
    </row>
    <row r="139" spans="1:10" x14ac:dyDescent="0.25">
      <c r="A139" s="29">
        <v>136</v>
      </c>
      <c r="B139" s="26" t="s">
        <v>267</v>
      </c>
      <c r="C139" s="25" t="str">
        <f t="shared" ca="1" si="14"/>
        <v>1/2" - 1 1/2"</v>
      </c>
      <c r="D139" s="25" t="str">
        <f t="shared" ca="1" si="15"/>
        <v>Check Valve, Piston Type</v>
      </c>
      <c r="E139" s="25" t="str">
        <f t="shared" ca="1" si="16"/>
        <v>Flanged ASME B16.5 RTJ / Compact Flange / Hub Connector (As per PMS)</v>
      </c>
      <c r="F139" s="25" t="str">
        <f t="shared" ca="1" si="17"/>
        <v>Forged - ASTM A182 F53</v>
      </c>
      <c r="G139" s="25" t="str">
        <f t="shared" ca="1" si="18"/>
        <v>Forged - ASTM A182 F53, Stellite Hard Faced</v>
      </c>
      <c r="H139" s="25" t="str">
        <f t="shared" ca="1" si="19"/>
        <v>G25N</v>
      </c>
      <c r="I139" s="30">
        <v>311</v>
      </c>
      <c r="J139" s="17" t="s">
        <v>555</v>
      </c>
    </row>
    <row r="140" spans="1:10" x14ac:dyDescent="0.25">
      <c r="A140" s="29">
        <v>137</v>
      </c>
      <c r="B140" s="26" t="s">
        <v>395</v>
      </c>
      <c r="C140" s="25" t="str">
        <f t="shared" ca="1" si="14"/>
        <v>1/2" - 1 1/2"</v>
      </c>
      <c r="D140" s="25" t="str">
        <f t="shared" ca="1" si="15"/>
        <v>Check Valve, Piston Type</v>
      </c>
      <c r="E140" s="25" t="str">
        <f t="shared" ca="1" si="16"/>
        <v>Flanged ASME B16.5 FF</v>
      </c>
      <c r="F140" s="25" t="str">
        <f t="shared" ca="1" si="17"/>
        <v>Monel K500</v>
      </c>
      <c r="G140" s="25" t="str">
        <f t="shared" ca="1" si="18"/>
        <v>Monel K500, hard faced</v>
      </c>
      <c r="H140" s="25" t="str">
        <f t="shared" ca="1" si="19"/>
        <v>A30, A40, A41, A42</v>
      </c>
      <c r="I140" s="30">
        <v>312</v>
      </c>
      <c r="J140" s="17" t="s">
        <v>555</v>
      </c>
    </row>
    <row r="141" spans="1:10" x14ac:dyDescent="0.25">
      <c r="A141" s="29">
        <v>138</v>
      </c>
      <c r="B141" s="26" t="s">
        <v>397</v>
      </c>
      <c r="C141" s="25" t="str">
        <f t="shared" ca="1" si="14"/>
        <v xml:space="preserve">3" - 24" </v>
      </c>
      <c r="D141" s="25" t="str">
        <f t="shared" ca="1" si="15"/>
        <v>Check Valve, Swing type</v>
      </c>
      <c r="E141" s="25" t="str">
        <f t="shared" ca="1" si="16"/>
        <v>Flanged ASME B16.5 FF</v>
      </c>
      <c r="F141" s="25" t="str">
        <f t="shared" ca="1" si="17"/>
        <v>Monel K500</v>
      </c>
      <c r="G141" s="25" t="str">
        <f t="shared" ca="1" si="18"/>
        <v>Monel K500, hard faced</v>
      </c>
      <c r="H141" s="25" t="str">
        <f t="shared" ca="1" si="19"/>
        <v>A30, A40, A41, A42</v>
      </c>
      <c r="I141" s="30">
        <v>313</v>
      </c>
      <c r="J141" s="17" t="s">
        <v>555</v>
      </c>
    </row>
    <row r="142" spans="1:10" x14ac:dyDescent="0.25">
      <c r="A142" s="29">
        <v>139</v>
      </c>
      <c r="B142" s="26" t="s">
        <v>398</v>
      </c>
      <c r="C142" s="25" t="str">
        <f t="shared" ca="1" si="14"/>
        <v>1/2" - 1 1/2"</v>
      </c>
      <c r="D142" s="25" t="str">
        <f t="shared" ca="1" si="15"/>
        <v>Check Valve, Piston Type</v>
      </c>
      <c r="E142" s="25" t="str">
        <f t="shared" ca="1" si="16"/>
        <v>Brazed with 100mm Nipples on both sides</v>
      </c>
      <c r="F142" s="25" t="str">
        <f t="shared" ca="1" si="17"/>
        <v>ASTM B124 UNS NO C 37700</v>
      </c>
      <c r="G142" s="25" t="str">
        <f t="shared" ca="1" si="18"/>
        <v>ASTM B124 UNS NO C 37700</v>
      </c>
      <c r="H142" s="25" t="str">
        <f t="shared" ca="1" si="19"/>
        <v>A31</v>
      </c>
      <c r="I142" s="30">
        <v>314</v>
      </c>
      <c r="J142" s="17" t="s">
        <v>555</v>
      </c>
    </row>
    <row r="143" spans="1:10" x14ac:dyDescent="0.25">
      <c r="A143" s="29">
        <v>140</v>
      </c>
      <c r="B143" s="26" t="s">
        <v>407</v>
      </c>
      <c r="C143" s="25" t="str">
        <f t="shared" ca="1" si="14"/>
        <v>2" - 4"</v>
      </c>
      <c r="D143" s="25" t="str">
        <f t="shared" ca="1" si="15"/>
        <v>Check Valve, Swing type</v>
      </c>
      <c r="E143" s="25" t="str">
        <f t="shared" ca="1" si="16"/>
        <v>Flanged ASME B16.5 FF</v>
      </c>
      <c r="F143" s="25" t="str">
        <f t="shared" ca="1" si="17"/>
        <v>ASTM B124 UNS NO C 37700</v>
      </c>
      <c r="G143" s="25" t="str">
        <f t="shared" ca="1" si="18"/>
        <v>ASTM B124 UNS NO C 37700</v>
      </c>
      <c r="H143" s="25" t="str">
        <f t="shared" ca="1" si="19"/>
        <v>A31</v>
      </c>
      <c r="I143" s="30">
        <v>315</v>
      </c>
      <c r="J143" s="17" t="s">
        <v>555</v>
      </c>
    </row>
    <row r="144" spans="1:10" x14ac:dyDescent="0.25">
      <c r="A144" s="29">
        <v>141</v>
      </c>
      <c r="B144" s="26" t="s">
        <v>529</v>
      </c>
      <c r="C144" s="25" t="str">
        <f t="shared" ref="C144:C146" ca="1" si="20">VLOOKUP($C$1,INDIRECT(""&amp;B144&amp;"!$A$5:$C$15"),3,FALSE)</f>
        <v>1/2" - 1 1/2"</v>
      </c>
      <c r="D144" s="25" t="str">
        <f t="shared" ref="D144:D146" ca="1" si="21">VLOOKUP($D$1,INDIRECT(""&amp;B144&amp;"!$A$5:$C$15"),3,FALSE)</f>
        <v>Check Valve, Piston Type</v>
      </c>
      <c r="E144" s="25" t="str">
        <f t="shared" ref="E144:E146" ca="1" si="22">VLOOKUP($E$1,INDIRECT(""&amp;B144&amp;"!$A$5:$C$15"),3,FALSE)</f>
        <v>OD Tube Connection / NPT Female</v>
      </c>
      <c r="F144" s="25" t="str">
        <f t="shared" ref="F144:F146" ca="1" si="23">VLOOKUP($F$1,INDIRECT(""&amp;B144&amp;"!$B$5:$C$35"),2,FALSE)</f>
        <v>Forged ASTM A182 F316L</v>
      </c>
      <c r="G144" s="25" t="str">
        <f t="shared" ref="G144:G146" ca="1" si="24">VLOOKUP($G$1,INDIRECT(""&amp;B144&amp;"!$B$5:$C$35"),2,FALSE)</f>
        <v>Forged - ASTM A182 F316L, Stellite Hard Faced</v>
      </c>
      <c r="H144" s="25" t="str">
        <f t="shared" ref="H144:H146" ca="1" si="25">VLOOKUP($H$1,INDIRECT(""&amp;B144&amp;"!$A$5:$C$15"),3,FALSE)</f>
        <v>T50A, T60A</v>
      </c>
      <c r="I144" s="30">
        <v>316</v>
      </c>
      <c r="J144" s="17" t="s">
        <v>555</v>
      </c>
    </row>
    <row r="145" spans="1:10" x14ac:dyDescent="0.25">
      <c r="A145" s="29">
        <v>142</v>
      </c>
      <c r="B145" s="26" t="s">
        <v>531</v>
      </c>
      <c r="C145" s="25" t="str">
        <f t="shared" ca="1" si="20"/>
        <v>1/2" - 1 1/2"</v>
      </c>
      <c r="D145" s="25" t="str">
        <f t="shared" ca="1" si="21"/>
        <v>Check Valve, Piston Type</v>
      </c>
      <c r="E145" s="25" t="str">
        <f t="shared" ca="1" si="22"/>
        <v>OD Tube Connection / NPT Female</v>
      </c>
      <c r="F145" s="25" t="str">
        <f t="shared" ca="1" si="23"/>
        <v>Forged ASTM A182 F316L</v>
      </c>
      <c r="G145" s="25" t="str">
        <f t="shared" ca="1" si="24"/>
        <v>Forged - ASTM A182 F316L, Stellite Hard Faced</v>
      </c>
      <c r="H145" s="25" t="str">
        <f t="shared" ca="1" si="25"/>
        <v>T50B, T60B</v>
      </c>
      <c r="I145" s="30">
        <v>317</v>
      </c>
      <c r="J145" s="17" t="s">
        <v>555</v>
      </c>
    </row>
    <row r="146" spans="1:10" ht="15.75" thickBot="1" x14ac:dyDescent="0.3">
      <c r="A146" s="31">
        <v>143</v>
      </c>
      <c r="B146" s="32" t="s">
        <v>533</v>
      </c>
      <c r="C146" s="33" t="str">
        <f t="shared" ca="1" si="20"/>
        <v>1/2" - 1 1/2"</v>
      </c>
      <c r="D146" s="33" t="str">
        <f t="shared" ca="1" si="21"/>
        <v>Check Valve, Piston Type</v>
      </c>
      <c r="E146" s="33" t="str">
        <f t="shared" ca="1" si="22"/>
        <v>OD Tube Connection / NPT Female</v>
      </c>
      <c r="F146" s="33" t="str">
        <f t="shared" ca="1" si="23"/>
        <v>Forged ASTM A182 F316L</v>
      </c>
      <c r="G146" s="33" t="str">
        <f t="shared" ca="1" si="24"/>
        <v>Forged - ASTM A182 F316L, Stellite Hard Faced</v>
      </c>
      <c r="H146" s="33" t="str">
        <f t="shared" ca="1" si="25"/>
        <v>T50C, T60C</v>
      </c>
      <c r="I146" s="34">
        <v>318</v>
      </c>
      <c r="J146" s="17" t="s">
        <v>555</v>
      </c>
    </row>
  </sheetData>
  <phoneticPr fontId="19" type="noConversion"/>
  <hyperlinks>
    <hyperlink ref="B4" location="'CHPA1R'!A1" display="CHPA1R" xr:uid="{13221A53-3425-4E00-97CC-F2C80C2F9DED}"/>
    <hyperlink ref="B5" location="'CSWA1R'!A1" display="CSWA1R" xr:uid="{D8DB75EB-D97F-427D-BECB-94F02EAA1044}"/>
    <hyperlink ref="B6" location="'CDPA1R'!A1" display="CDPA1R" xr:uid="{094A4BC2-F798-40AA-85F8-90665B606FBB}"/>
    <hyperlink ref="B7" location="'CHPB1R'!A1" display="CHPB1R" xr:uid="{D857191D-1907-4B78-B01F-3024A5154316}"/>
    <hyperlink ref="B8" location="'CSWB1R'!A1" display="CSWB1R" xr:uid="{BD7BDA08-FF6F-47AD-94CD-64139076ED18}"/>
    <hyperlink ref="B9" location="'CDPB1R'!A1" display="CDPB1R" xr:uid="{17D97E96-C4E7-4E47-BC00-94FBB024018C}"/>
    <hyperlink ref="B10" location="'CHPD1R'!A1" display="CHPD1R" xr:uid="{97925038-3064-4EE5-91F8-864785C376C4}"/>
    <hyperlink ref="B11" location="'CSWD1R'!A1" display="CSWD1R" xr:uid="{BFFFEA80-39D2-46E8-85B8-3B4BD7F5A64A}"/>
    <hyperlink ref="B12" location="'CDPD1R'!A1" display="CDPD1R" xr:uid="{200CDC7E-91CC-4A24-B9FF-BCAF4B7F8B6C}"/>
    <hyperlink ref="B13" location="'CHPE1J'!A1" display="CHPE1J" xr:uid="{5F30842A-087B-4605-B12D-DE22819E1EFD}"/>
    <hyperlink ref="B14" location="'CSWE1J'!A1" display="CSWE1J" xr:uid="{449E8692-1E0A-4B0E-A46A-59FD2732ABC6}"/>
    <hyperlink ref="B15" location="'CSWF1J'!A1" display="CSWF1J" xr:uid="{884834F3-B5B7-4715-A5DA-1EC61F581227}"/>
    <hyperlink ref="B16" location="'CDPF1R'!A1" display="CDPF1R" xr:uid="{566E71E8-4E19-4DF5-B71C-09552FBFB4C2}"/>
    <hyperlink ref="B17" location="'CSWG1J'!A1" display="CSWG1J" xr:uid="{84D51FC2-157B-4792-A20E-A39C4431A1CD}"/>
    <hyperlink ref="B18" location="'CDPG1R'!A1" display="CDPG1R" xr:uid="{8BF6B3BA-ED6A-4C25-83C6-AA683B80EC24}"/>
    <hyperlink ref="B19" location="'CHPA2NR'!A1" display="CHPA2NR" xr:uid="{FB89306F-3272-4CA0-A3D7-251CE1CEB6FB}"/>
    <hyperlink ref="B20" location="'CSWA2NR'!A1" display="CSWA2NR" xr:uid="{B4357E7E-23E0-4DC3-9E68-8C640766E6BE}"/>
    <hyperlink ref="B21" location="'CDPA2NR'!A1" display="CDPA2NR" xr:uid="{26C19657-C158-4FDC-948A-1AFF75ADA0AA}"/>
    <hyperlink ref="B22" location="'CHPB2NR'!A1" display="CHPB2NR" xr:uid="{C139B225-BFC2-4B15-A30B-CD0C46938C3E}"/>
    <hyperlink ref="B23" location="'CSWB2NR'!A1" display="CSWB2NR" xr:uid="{A8F97F5F-9D8B-4391-B275-9D3455B67D96}"/>
    <hyperlink ref="B24" location="'CDPB2NR'!A1" display="CDPB2NR" xr:uid="{19224214-D323-4C93-ADEF-227F9334CDAA}"/>
    <hyperlink ref="B25" location="'CHPD2NR'!A1" display="CHPD2NR" xr:uid="{A910D748-4EF6-402B-A7E5-FE7B4A9F36C6}"/>
    <hyperlink ref="B26" location="'CSWD2NR'!A1" display="CSWD2NR" xr:uid="{7F05FC25-FFFC-4DCC-9E76-5F137B1BB162}"/>
    <hyperlink ref="B27" location="'CHPE2NJ'!A1" display="CHPE2NJ" xr:uid="{06A61ED0-B53E-43C3-A5DA-27F9B9504E3E}"/>
    <hyperlink ref="B28" location="'CSWE2NJ'!A1" display="CSWE2NJ" xr:uid="{DA1B8F0E-7FFF-4C13-B5D6-EA62F8DD31E6}"/>
    <hyperlink ref="B29" location="'CHPF2NJ'!A1" display="CHPF2NJ" xr:uid="{040C218B-9740-4150-BE6E-A3543CC5D9AA}"/>
    <hyperlink ref="B30" location="'CSWF2NJ'!A1" display="CSWF2NJ" xr:uid="{122168B2-2941-4850-A9E4-A1EA67F54DC3}"/>
    <hyperlink ref="B31" location="'CHPG2NJ'!A1" display="CHPG2NJ" xr:uid="{081E79EC-A1D1-4640-9C78-B38A7572E416}"/>
    <hyperlink ref="B32" location="'CSWG2NJ'!A1" display="CSWG2NJ" xr:uid="{A06EFF3B-B335-44BA-8E4D-1288080277AD}"/>
    <hyperlink ref="B33" location="'CHPA1LNR'!A1" display="CHPA1LNR" xr:uid="{6FD6CEF9-A468-4ED3-9E7B-3D22321AD6AC}"/>
    <hyperlink ref="B34" location="'CSWA1LNR'!A1" display="CSWA1LNR" xr:uid="{E92077EF-323C-4908-8D5E-17FDBDF6B161}"/>
    <hyperlink ref="B35" location="'CDPA1LNR'!A1" display="CDPA1LNR" xr:uid="{68B701D6-8133-46EE-AEF7-330687AAF603}"/>
    <hyperlink ref="B36" location="'CHPB1LNR'!A1" display="CHPB1LNR" xr:uid="{24D2581F-1A41-48EE-8D8A-1856CE5A4FF0}"/>
    <hyperlink ref="B37" location="'CSWB1LNR'!A1" display="CSWB1LNR" xr:uid="{DE4E1850-7A97-4FD9-AA69-728979A9DC7E}"/>
    <hyperlink ref="B38" location="'CDPB1LNR'!A1" display="CDPB1LNR" xr:uid="{1E1FFA36-CC5F-4422-9999-32ADE44C5DD8}"/>
    <hyperlink ref="B39" location="'CHPD1LNR'!A1" display="CHPD1LNR" xr:uid="{9D862E48-F86F-474A-BF80-3793F595C257}"/>
    <hyperlink ref="B40" location="'CSWD1LNR'!A1" display="CSWD1LNR" xr:uid="{062E6FBF-4548-42C0-B179-6A40251FFC1B}"/>
    <hyperlink ref="B41" location="'CDPD1LNR'!A1" display="CDPD1LNR" xr:uid="{50624263-180C-40DE-9A1A-7CD3663C0915}"/>
    <hyperlink ref="B42" location="'CHPE1LNJ'!A1" display="CHPE1LNJ" xr:uid="{8528F0AC-71B9-41E6-A546-3FB76CAB6082}"/>
    <hyperlink ref="B43" location="'CSWE1LNJ'!A1" display="CSWE1LNJ" xr:uid="{213E1F21-1695-4C14-9EE5-DCBB197113C5}"/>
    <hyperlink ref="B44" location="'CDPE1LNR'!A1" display="CDPE1LNR" xr:uid="{EF537A8B-ED66-4D48-8377-B9ED2A01126D}"/>
    <hyperlink ref="B45" location="'CHPF1LNJ'!A1" display="CHPF1LNJ" xr:uid="{C2D8C4FE-30D1-4A30-9A99-8B99A5B30E99}"/>
    <hyperlink ref="B46" location="'CSWF1LNJ'!A1" display="CSWF1LNJ" xr:uid="{ED8BDCCD-21D1-414F-9163-8F97293819F1}"/>
    <hyperlink ref="B47" location="'CDPF1LNR'!A1" display="CDPF1LNR" xr:uid="{C2AC9FDC-D2A5-4917-8EE6-D6DC585BB632}"/>
    <hyperlink ref="B48" location="'CHPG1LNJ'!A1" display="CHPG1LNJ" xr:uid="{80E15390-501B-441C-9DCD-83CC7F4051F3}"/>
    <hyperlink ref="B49" location="'CSWG1LNJ'!A1" display="CSWG1LNJ" xr:uid="{7467B1FB-F375-4ADB-9E81-85F4ABA938CD}"/>
    <hyperlink ref="B50" location="'CDPG1LNR'!A1" display="CDPG1LNR" xr:uid="{E0074BEE-3B47-4C9B-A413-AB97D77F2FFD}"/>
    <hyperlink ref="B51" location="'CHPA1NR'!A1" display="CHPA1NR" xr:uid="{8C9C1FDB-ACE1-4E3D-AE7F-461AD1EBB9DE}"/>
    <hyperlink ref="B52" location="'CSWA1NR'!A1" display="CSWA1NR" xr:uid="{422A57C2-BFD9-4E4C-8821-0AED226E074A}"/>
    <hyperlink ref="B53" location="'CDPA1NR'!A1" display="CDPA1NR" xr:uid="{B4D74C7B-0914-47B5-945A-34324D10A715}"/>
    <hyperlink ref="B54" location="'CHPB1NR'!A1" display="CHPB1NR" xr:uid="{2C0CD400-0244-457D-B501-302C6431E769}"/>
    <hyperlink ref="B55" location="'CSWB1NR'!A1" display="CSWB1NR" xr:uid="{A7BD515D-E373-4503-87B8-761EAD32D3AE}"/>
    <hyperlink ref="B56" location="'CDPB1NR'!A1" display="CDPB1NR" xr:uid="{341AAC28-3A70-41E0-AC58-16F78E012989}"/>
    <hyperlink ref="B57" location="'CHPD1NR'!A1" display="CHPD1NR" xr:uid="{7FD8F1FA-956F-4EBE-ACDF-A43FDC832183}"/>
    <hyperlink ref="B58" location="'CSWD1NR'!A1" display="CSWD1NR" xr:uid="{2DC60257-B323-4660-BD17-CFA5915D0C7C}"/>
    <hyperlink ref="B59" location="'CHPE1NJ'!A1" display="CHPE1NJ" xr:uid="{6F738811-3D10-4EA1-AB35-D395627315D0}"/>
    <hyperlink ref="B60" location="'CSWE1NJ'!A1" display="CSWE1NJ" xr:uid="{C0865BEC-18A7-483B-A097-38976DD1DAFC}"/>
    <hyperlink ref="B61" location="'CHPF1NJ'!A1" display="CHPF1NJ" xr:uid="{61508A22-5A25-48A6-BBCC-B293DF929BA5}"/>
    <hyperlink ref="B62" location="'CSWF1NJ'!A1" display="CSWF1NJ" xr:uid="{9AF185F7-C18C-476A-8FC9-E0B887E4A9F9}"/>
    <hyperlink ref="B63" location="'CHPG1NJ'!A1" display="CHPG1NJ" xr:uid="{53C4B227-C57E-4C00-9F05-1FEF43D3D4FE}"/>
    <hyperlink ref="B64" location="'CSWG1NJ'!A1" display="CSWG1NJ" xr:uid="{EBC3E93C-B863-4BA0-9664-B4E300F1775F}"/>
    <hyperlink ref="B65" location="'CDPG1NR'!A1" display="CDPG1NR" xr:uid="{AB0B16B7-1DAE-4A15-8BC4-59DE640CF63E}"/>
    <hyperlink ref="B66" location="'CHPA2LNR'!A1" display="CHPA2LNR" xr:uid="{6B20D139-6201-4D19-A343-327B61823BCA}"/>
    <hyperlink ref="B67" location="'CSWA2LNR'!A1" display="CSWA2LNR" xr:uid="{6EB096ED-9F2D-428E-9420-64B1583955D8}"/>
    <hyperlink ref="B68" location="'CDPA2LNR'!A1" display="CDPA2LNR" xr:uid="{C360B636-67ED-4648-982F-C824F6992CFA}"/>
    <hyperlink ref="B69" location="'CHPB2LNR'!A1" display="CHPB2LNR" xr:uid="{16685545-3AC6-45E3-B030-EB5C034B455C}"/>
    <hyperlink ref="B70" location="'CSWB2LNR'!A1" display="CSWB2LNR" xr:uid="{9621FC18-C9EC-40C9-A817-EA3169076F7D}"/>
    <hyperlink ref="B71" location="'CDPB2LNR'!A1" display="CDPB2LNR" xr:uid="{78EED774-266D-4DD1-B07B-4236F536A3C5}"/>
    <hyperlink ref="B72" location="'CHPD2LNR'!A1" display="CHPD2LNR" xr:uid="{4F3FDE37-9744-4671-AE8F-92F5F0A21FB8}"/>
    <hyperlink ref="B73" location="'CSWD2LNR'!A1" display="CSWD2LNR" xr:uid="{B815B4BB-98ED-421F-AF60-54ADAC1C0118}"/>
    <hyperlink ref="B74" location="'CDPD2LNR'!A1" display="CDPD2LNR" xr:uid="{274FBBB7-4910-4070-B899-932CD101BE39}"/>
    <hyperlink ref="B75" location="'CHPE2LNJ'!A1" display="CHPE2LNJ" xr:uid="{766C7DC3-B835-4476-82C9-0CB151AAD84D}"/>
    <hyperlink ref="B76" location="'CSWE2LNJ'!A1" display="CSWE2LNJ" xr:uid="{C732AD56-CBBB-430C-AD5C-DDB7899E6447}"/>
    <hyperlink ref="B77" location="'CDPE2LNR'!A1" display="CDPE2LNR" xr:uid="{4752EAB2-7A93-4CDA-BC00-E8DFE32AFCBA}"/>
    <hyperlink ref="B78" location="'CHPF2LNJ'!A1" display="CHPF2LNJ" xr:uid="{92EEF67D-9CC6-4797-AB54-6A360648FD97}"/>
    <hyperlink ref="B79" location="'CSWF2LNJ'!A1" display="CSWF2LNJ" xr:uid="{A0187DB5-3E8E-4283-BD4F-E5912BBA2BAB}"/>
    <hyperlink ref="B80" location="'CDPF2LNR'!A1" display="CDPF2LNR" xr:uid="{CF385716-992A-4DDC-8CF9-6EAE6ADC3023}"/>
    <hyperlink ref="B81" location="'CHPG2LNJ'!A1" display="CHPG2LNJ" xr:uid="{151F88AA-411C-4953-B61C-BF30D46E653A}"/>
    <hyperlink ref="B82" location="'CSWG2LNJ'!A1" display="CSWG2LNJ" xr:uid="{65E898D6-DD5C-41B2-92AB-061B804D30D8}"/>
    <hyperlink ref="B83" location="'CDPG2LNR'!A1" display="CDPG2LNR" xr:uid="{B3F66602-DC74-4903-AD2D-3D6888DF112E}"/>
    <hyperlink ref="B84" location="'CSWA10R'!A1" display="CSWA10R" xr:uid="{9C6FCDE9-D72C-4A84-A3DC-C9229F56F027}"/>
    <hyperlink ref="B85" location="'CHPA10R'!A1" display="CHPA10R" xr:uid="{F9903B82-A502-48D5-A635-DE3561BB0378}"/>
    <hyperlink ref="B86" location="'CDPA10R'!A1" display="CDPA10R" xr:uid="{1BB49D8E-8EA1-44EE-BB39-FC8758E0A87F}"/>
    <hyperlink ref="B87" location="'CSWB10R'!A1" display="CSWB10R" xr:uid="{E259B494-DB87-4728-9BD4-C67951BEE392}"/>
    <hyperlink ref="B88" location="'CHPB10R'!A1" display="CHPB10R" xr:uid="{568C82EA-A926-4E26-A96E-CA903DC89507}"/>
    <hyperlink ref="B89" location="'CSWD10R'!A1" display="CSWD10R" xr:uid="{02F76233-9A3E-4099-B096-CD40521BE84A}"/>
    <hyperlink ref="B90" location="'CHPD10R'!A1" display="CHPD10R" xr:uid="{8DF2E473-BB93-4A3E-9DC9-0896776877E7}"/>
    <hyperlink ref="B91" location="'CSWE10J'!A1" display="CSWE10J" xr:uid="{69358845-19C4-4998-ACF4-A7C17C538C81}"/>
    <hyperlink ref="B92" location="'CHPE10J'!A1" display="CHPE10J" xr:uid="{D8FE52B7-12C8-42FC-9F18-76F80F3B4CF9}"/>
    <hyperlink ref="B93" location="'CSWF10J'!A1" display="CSWF10J" xr:uid="{4C1FC7F5-1477-43D0-8704-D21906F04301}"/>
    <hyperlink ref="B94" location="'CHPF10J'!A1" display="CHPF10J" xr:uid="{E5C9A8F6-5126-41BA-8CBB-2FE62AC1AE37}"/>
    <hyperlink ref="B95" location="'CSWG10J'!A1" display="CSWG10J" xr:uid="{8E8EF894-2EB8-4080-8CA9-C7ACF7FC1E14}"/>
    <hyperlink ref="B96" location="'CHPG10J'!A1" display="CHPG10J" xr:uid="{6C515968-94C1-44E2-80E8-342AFF1E351A}"/>
    <hyperlink ref="B97" location="'CHPA10NR'!A1" display="CHPA10NR" xr:uid="{AEF822EE-72CD-44CD-BF95-5441B01A7D49}"/>
    <hyperlink ref="B98" location="'CSWA10NR'!A1" display="CSWA10NR" xr:uid="{D59E2ABC-518F-46DE-A0ED-9807204BC93F}"/>
    <hyperlink ref="B99" location="'CHPB10NR'!A1" display="CHPB10NR" xr:uid="{F6A61A93-5D2A-4DE6-9718-0DF9C72B26A4}"/>
    <hyperlink ref="B100" location="'CSWB10NR'!A1" display="CSWB10NR" xr:uid="{BCAB64CD-8A77-49BC-AA07-1E1BD2AE2FE8}"/>
    <hyperlink ref="B101" location="'CDPB10NR'!A1" display="CDPB10NR" xr:uid="{E2C826B8-3231-4CCD-9136-DA7DB94E92B6}"/>
    <hyperlink ref="B102" location="'CHPD10NR'!A1" display="CHPD10NR" xr:uid="{ECA0CCDA-4D09-406F-B102-9531B7A31B4F}"/>
    <hyperlink ref="B103" location="'CSWD10NR'!A1" display="CSWD10NR" xr:uid="{0799B979-3E4E-4719-8DBD-6F34FFED570A}"/>
    <hyperlink ref="B104" location="'CDPD10NR'!A1" display="CDPD10NR" xr:uid="{04269D80-30C6-4706-B5F7-81C805E66935}"/>
    <hyperlink ref="B105" location="'CHPE10NJ'!A1" display="CHPE10NJ" xr:uid="{7448AA19-DA94-4627-B9A6-F5A4309F7248}"/>
    <hyperlink ref="B106" location="'CSWE10NJ'!A1" display="CSWE10NJ" xr:uid="{E9B8462B-17B5-4740-8A5D-6771BD9B6C70}"/>
    <hyperlink ref="B107" location="'CHPF10NJ'!A1" display="CHPF10NJ" xr:uid="{CAECB15B-9053-4AB8-93D0-121822E58CF1}"/>
    <hyperlink ref="B108" location="'CSWF10NJ'!A1" display="CSWF10NJ" xr:uid="{FC2FBA87-22BF-4B13-8496-DBC41432D805}"/>
    <hyperlink ref="B109" location="'CHPG10NJ'!A1" display="CHPG10NJ" xr:uid="{2D82C6C8-D805-4ABB-AB53-44E9D1A2F261}"/>
    <hyperlink ref="B110" location="'CSWG10NJ'!A1" display="CSWG10NJ" xr:uid="{09B7157A-2095-424A-BEBC-A3AD088CA343}"/>
    <hyperlink ref="B111" location="'CSWA20NR'!A1" display="CSWA20NR" xr:uid="{D9DA92C8-6E57-4AFA-BF03-3C0E405CE4F8}"/>
    <hyperlink ref="B112" location="'CHPA20NR'!A1" display="CHPA20NR" xr:uid="{A08F46B6-0149-4825-AB1C-BB135B24F9E0}"/>
    <hyperlink ref="B113" location="'CHPB20NR'!A1" display="CHPB20NR" xr:uid="{249B2938-5658-462E-8FA2-2D9EA17B2E9A}"/>
    <hyperlink ref="B114" location="'CSWB20NR'!A1" display="CSWB20NR" xr:uid="{957D05A9-0705-4EE9-86C6-39A741578922}"/>
    <hyperlink ref="B115" location="'CDPB20NR'!A1" display="CDPB20NR" xr:uid="{DC2A0E53-CFA2-4DCA-8781-8B60E45DD9CF}"/>
    <hyperlink ref="B116" location="'CHPD20NR'!A1" display="CHPD20NR" xr:uid="{39A468B6-646C-4F3B-BDBE-98883945D032}"/>
    <hyperlink ref="B117" location="'CSWD20NR'!A1" display="CSWD20NR" xr:uid="{54EB6F32-7C6C-4DB3-8B8B-8A60F3A59EFF}"/>
    <hyperlink ref="B118" location="'CHPE20NJ'!A1" display="CHPE20NJ" xr:uid="{2EE8F41F-2568-4C1F-8A58-021605B9C59C}"/>
    <hyperlink ref="B119" location="'CSWE20NJ'!A1" display="CSWE20NJ" xr:uid="{28A72FF6-F7C5-46D9-AF7D-96A166EBF487}"/>
    <hyperlink ref="B120" location="'CHPF20NJ'!A1" display="CHPF20NJ" xr:uid="{525939AD-7AFD-4A42-9A6B-B8CA47D47B59}"/>
    <hyperlink ref="B121" location="'CSWF20NJ'!A1" display="CSWF20NJ" xr:uid="{854985AA-7422-4256-86A2-BDF5AE87F375}"/>
    <hyperlink ref="B122" location="'CHPG20NJ'!A1" display="CHPG20NJ" xr:uid="{80CDD910-23F9-416F-B159-BC3C6845431D}"/>
    <hyperlink ref="B123" location="'CSWG20NJ'!A1" display="CSWG20NJ" xr:uid="{9E3CBDFF-AE7F-43D1-99AB-5F8E64452F24}"/>
    <hyperlink ref="B124" location="'CSWA25R'!A1" display="CSWA25R" xr:uid="{E290D233-AA07-4D03-916B-904E9F5FFA40}"/>
    <hyperlink ref="B125" location="'CHPA25R'!A1" display="CHPA25R" xr:uid="{9CB0A13F-45EE-432F-85EA-BEC06D051F2A}"/>
    <hyperlink ref="B126" location="'CSWG25R'!A1" display="CSWG25R" xr:uid="{781D65BB-3D8C-436F-9BEA-34D7C5978A31}"/>
    <hyperlink ref="B127" location="'CHPG25R'!A1" display="CHPG25R" xr:uid="{1A24E6C1-E596-4B2A-AC10-B7D305418A73}"/>
    <hyperlink ref="B128" location="'CSWA25NR'!A1" display="CSWA25NR" xr:uid="{5856CD5C-4935-4510-B298-2BB07E607841}"/>
    <hyperlink ref="B129" location="'CHPA25NR'!A1" display="CHPA25NR" xr:uid="{4C84DF3A-E897-4D23-8709-5E16E25C5E2D}"/>
    <hyperlink ref="B130" location="'CSWB25NR'!A1" display="CSWB25NR" xr:uid="{3C4F69E5-0C2E-417F-AF78-9B9BC1587DA7}"/>
    <hyperlink ref="B131" location="'CHPB25NR'!A1" display="CHPB25NR" xr:uid="{9F240CE5-7F4E-4DD4-8245-43E2391F3FEB}"/>
    <hyperlink ref="B132" location="'CSWD25NR'!A1" display="CSWD25NR" xr:uid="{247AE3B3-F39A-480D-BE3B-EBA02BC314D5}"/>
    <hyperlink ref="B133" location="'CHPD25NR'!A1" display="CHPD25NR" xr:uid="{C0E08680-DC07-46D9-BB24-2265AFE23774}"/>
    <hyperlink ref="B134" location="'CSWE25NR'!A1" display="CSWE25NR" xr:uid="{8E1F5E9E-FDD4-48AE-BED3-DED342D6C0C9}"/>
    <hyperlink ref="B135" location="'CHPE25NR'!A1" display="CHPE25NR" xr:uid="{880BA556-C5B4-4D40-A047-061626418E31}"/>
    <hyperlink ref="B136" location="'CSWF25NR'!A1" display="CSWF25NR" xr:uid="{84D2BFE7-DD31-4BFC-88D8-2E1590B3C02F}"/>
    <hyperlink ref="B137" location="'CHPF25NR'!A1" display="CHPF25NR" xr:uid="{68777328-316C-473D-8B90-F0B0538FFD3C}"/>
    <hyperlink ref="B138" location="'CSWG25NR'!A1" display="CSWG25NR" xr:uid="{DF46CCA1-6A3E-4B19-975E-DF2AB3966E86}"/>
    <hyperlink ref="B139" location="'CHPG25NR'!A1" display="CHPG25NR" xr:uid="{D85B6AD8-3A7D-4AFC-98AE-3B991C6A6B44}"/>
    <hyperlink ref="B140" location="'CHPA30F'!A1" display="CHPA30F" xr:uid="{1951A035-327E-4E26-8EA0-13E0C2957B22}"/>
    <hyperlink ref="B141" location="'CSWA30F'!A1" display="CSWA30F" xr:uid="{0F683BAB-6340-4C10-8EC4-4C2EDF568BFA}"/>
    <hyperlink ref="B142" location="'CHPA31F'!A1" display="CHPA31F" xr:uid="{ED76D204-EEDE-4F4F-9991-B31363D9D53F}"/>
    <hyperlink ref="B143" location="'CSWA31F'!A1" display="CSWA31F" xr:uid="{A8598A37-3EC6-4B34-BA19-B4DE3367D7D8}"/>
    <hyperlink ref="B144" location="'CHPA31F'!A1" display="CHPA31F" xr:uid="{4D236BC0-4ED2-487A-BDFB-285EDBF7D566}"/>
    <hyperlink ref="B146" location="'CSWA31F'!A1" display="CSWA31F" xr:uid="{A639628A-44B4-426A-87F8-654FAE378D5C}"/>
    <hyperlink ref="B145" location="'CSWA31F'!A1" display="CSWA31F" xr:uid="{1BA14819-8E87-405C-9E8E-44CECD00A8B9}"/>
  </hyperlinks>
  <pageMargins left="0.70866141732283472" right="0.70866141732283472" top="0.74803149606299213" bottom="0.74803149606299213" header="0.31496062992125984" footer="0.31496062992125984"/>
  <pageSetup paperSize="9" scale="4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ECF29-B08F-420C-9B43-A06B30763838}">
  <sheetPr codeName="Sheet9">
    <tabColor rgb="FF00B050"/>
    <pageSetUpPr fitToPage="1"/>
  </sheetPr>
  <dimension ref="A1:E50"/>
  <sheetViews>
    <sheetView zoomScaleNormal="100" workbookViewId="0">
      <selection activeCell="D13" sqref="D13:E1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176</v>
      </c>
    </row>
    <row r="4" spans="1:5" x14ac:dyDescent="0.2">
      <c r="A4" s="71" t="s">
        <v>84</v>
      </c>
      <c r="B4" s="71"/>
      <c r="C4" s="2" t="s">
        <v>212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0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ht="36" x14ac:dyDescent="0.2">
      <c r="A8" s="72" t="s">
        <v>33</v>
      </c>
      <c r="B8" s="72"/>
      <c r="C8" s="3" t="str">
        <f>VLOOKUP(C5,Index!M:V,6,FALSE)</f>
        <v>Cooling Water, Diesel, Steam, WI, HC with low CO2 and H2S, Fresh Water, Hydraulic, Nitrogen, Exhaust, Fuel Oil, Tank Air Vent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-29°C'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1000" priority="6"/>
  </conditionalFormatting>
  <conditionalFormatting sqref="B33">
    <cfRule type="duplicateValues" dxfId="999" priority="2"/>
  </conditionalFormatting>
  <conditionalFormatting sqref="B34">
    <cfRule type="duplicateValues" dxfId="998" priority="1"/>
  </conditionalFormatting>
  <conditionalFormatting sqref="B35">
    <cfRule type="duplicateValues" dxfId="997" priority="5"/>
  </conditionalFormatting>
  <conditionalFormatting sqref="B36">
    <cfRule type="duplicateValues" dxfId="996" priority="4"/>
  </conditionalFormatting>
  <conditionalFormatting sqref="B37">
    <cfRule type="duplicateValues" dxfId="995" priority="3"/>
  </conditionalFormatting>
  <conditionalFormatting sqref="B51:B1048576 B25:B32 B4:B10 B12:B20 B22 B38:B42">
    <cfRule type="duplicateValues" dxfId="99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618BA-4617-4920-B117-B2869081A992}">
  <sheetPr codeName="Sheet11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177</v>
      </c>
    </row>
    <row r="4" spans="1:5" x14ac:dyDescent="0.2">
      <c r="A4" s="71" t="s">
        <v>84</v>
      </c>
      <c r="B4" s="71"/>
      <c r="C4" s="2" t="s">
        <v>270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0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ht="36" x14ac:dyDescent="0.2">
      <c r="A8" s="72" t="s">
        <v>33</v>
      </c>
      <c r="B8" s="72"/>
      <c r="C8" s="3" t="str">
        <f>VLOOKUP(C5,Index!M:V,6,FALSE)</f>
        <v>Cooling Water, Diesel, Steam, WI, HC with low CO2 and H2S, Fresh Water, Hydraulic, Nitrogen, Exhaust, Fuel Oil, Tank Air Vent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-29°C'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118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93" priority="6"/>
  </conditionalFormatting>
  <conditionalFormatting sqref="B33">
    <cfRule type="duplicateValues" dxfId="992" priority="2"/>
  </conditionalFormatting>
  <conditionalFormatting sqref="B34">
    <cfRule type="duplicateValues" dxfId="991" priority="1"/>
  </conditionalFormatting>
  <conditionalFormatting sqref="B35">
    <cfRule type="duplicateValues" dxfId="990" priority="5"/>
  </conditionalFormatting>
  <conditionalFormatting sqref="B36">
    <cfRule type="duplicateValues" dxfId="989" priority="4"/>
  </conditionalFormatting>
  <conditionalFormatting sqref="B37">
    <cfRule type="duplicateValues" dxfId="988" priority="3"/>
  </conditionalFormatting>
  <conditionalFormatting sqref="B51:B1048576 B25:B32 B4:B10 B12:B20 B22 B38:B42">
    <cfRule type="duplicateValues" dxfId="98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DC97E-9B5E-475C-8056-A5B90D1D9D29}">
  <sheetPr codeName="Sheet14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178</v>
      </c>
    </row>
    <row r="4" spans="1:5" x14ac:dyDescent="0.2">
      <c r="A4" s="71" t="s">
        <v>84</v>
      </c>
      <c r="B4" s="71"/>
      <c r="C4" s="2" t="s">
        <v>362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0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ht="36" x14ac:dyDescent="0.2">
      <c r="A8" s="72" t="s">
        <v>33</v>
      </c>
      <c r="B8" s="72"/>
      <c r="C8" s="3" t="str">
        <f>VLOOKUP(C5,Index!M:V,6,FALSE)</f>
        <v>Cooling Water, Diesel, Steam, WI, HC with low CO2 and H2S, Fresh Water, Hydraulic, Nitrogen, Exhaust, Fuel Oil, Tank Air Vent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-29°C'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118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86" priority="6"/>
  </conditionalFormatting>
  <conditionalFormatting sqref="B33">
    <cfRule type="duplicateValues" dxfId="985" priority="2"/>
  </conditionalFormatting>
  <conditionalFormatting sqref="B34">
    <cfRule type="duplicateValues" dxfId="984" priority="1"/>
  </conditionalFormatting>
  <conditionalFormatting sqref="B35">
    <cfRule type="duplicateValues" dxfId="983" priority="5"/>
  </conditionalFormatting>
  <conditionalFormatting sqref="B36">
    <cfRule type="duplicateValues" dxfId="982" priority="4"/>
  </conditionalFormatting>
  <conditionalFormatting sqref="B37">
    <cfRule type="duplicateValues" dxfId="981" priority="3"/>
  </conditionalFormatting>
  <conditionalFormatting sqref="B51:B1048576 B25:B32 B4:B10 B12:B20 B22 B38:B42">
    <cfRule type="duplicateValues" dxfId="98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9E965-08E3-46E7-980F-14C31EF4C6CD}">
  <sheetPr codeName="Sheet15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179</v>
      </c>
    </row>
    <row r="4" spans="1:5" x14ac:dyDescent="0.2">
      <c r="A4" s="71" t="s">
        <v>84</v>
      </c>
      <c r="B4" s="71"/>
      <c r="C4" s="2" t="s">
        <v>213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9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Cooling Water, Diesel, WI, 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-29°C'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79" priority="6"/>
  </conditionalFormatting>
  <conditionalFormatting sqref="B33">
    <cfRule type="duplicateValues" dxfId="978" priority="2"/>
  </conditionalFormatting>
  <conditionalFormatting sqref="B34">
    <cfRule type="duplicateValues" dxfId="977" priority="1"/>
  </conditionalFormatting>
  <conditionalFormatting sqref="B35">
    <cfRule type="duplicateValues" dxfId="976" priority="5"/>
  </conditionalFormatting>
  <conditionalFormatting sqref="B36">
    <cfRule type="duplicateValues" dxfId="975" priority="4"/>
  </conditionalFormatting>
  <conditionalFormatting sqref="B37">
    <cfRule type="duplicateValues" dxfId="974" priority="3"/>
  </conditionalFormatting>
  <conditionalFormatting sqref="B51:B1048576 B25:B32 B4:B10 B12:B20 B22 B38:B42">
    <cfRule type="duplicateValues" dxfId="97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6B604-D1AD-469F-83AA-CC63A0A47DBD}">
  <sheetPr codeName="Sheet16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180</v>
      </c>
    </row>
    <row r="4" spans="1:5" x14ac:dyDescent="0.2">
      <c r="A4" s="71" t="s">
        <v>84</v>
      </c>
      <c r="B4" s="71"/>
      <c r="C4" s="2" t="s">
        <v>271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Cooling Water, Diesel, WI, 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-29°C'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118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72" priority="6"/>
  </conditionalFormatting>
  <conditionalFormatting sqref="B33">
    <cfRule type="duplicateValues" dxfId="971" priority="2"/>
  </conditionalFormatting>
  <conditionalFormatting sqref="B34">
    <cfRule type="duplicateValues" dxfId="970" priority="1"/>
  </conditionalFormatting>
  <conditionalFormatting sqref="B35">
    <cfRule type="duplicateValues" dxfId="969" priority="5"/>
  </conditionalFormatting>
  <conditionalFormatting sqref="B36">
    <cfRule type="duplicateValues" dxfId="968" priority="4"/>
  </conditionalFormatting>
  <conditionalFormatting sqref="B37">
    <cfRule type="duplicateValues" dxfId="967" priority="3"/>
  </conditionalFormatting>
  <conditionalFormatting sqref="B51:B1048576 B25:B32 B4:B10 B12:B20 B22 B38:B42">
    <cfRule type="duplicateValues" dxfId="96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43476-2733-466C-8526-07A8D4AEF968}">
  <sheetPr codeName="Sheet17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181</v>
      </c>
    </row>
    <row r="4" spans="1:5" x14ac:dyDescent="0.2">
      <c r="A4" s="71" t="s">
        <v>84</v>
      </c>
      <c r="B4" s="71"/>
      <c r="C4" s="2" t="s">
        <v>363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Cooling Water, Diesel, WI, 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-29°C'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118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65" priority="6"/>
  </conditionalFormatting>
  <conditionalFormatting sqref="B33">
    <cfRule type="duplicateValues" dxfId="964" priority="2"/>
  </conditionalFormatting>
  <conditionalFormatting sqref="B34">
    <cfRule type="duplicateValues" dxfId="963" priority="1"/>
  </conditionalFormatting>
  <conditionalFormatting sqref="B35">
    <cfRule type="duplicateValues" dxfId="962" priority="5"/>
  </conditionalFormatting>
  <conditionalFormatting sqref="B36">
    <cfRule type="duplicateValues" dxfId="961" priority="4"/>
  </conditionalFormatting>
  <conditionalFormatting sqref="B37">
    <cfRule type="duplicateValues" dxfId="960" priority="3"/>
  </conditionalFormatting>
  <conditionalFormatting sqref="B51:B1048576 B25:B32 B4:B10 B12:B20 B22 B38:B42">
    <cfRule type="duplicateValues" dxfId="95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2CF32-E2A6-4E2C-83B9-5C363270313B}">
  <sheetPr codeName="Sheet18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182</v>
      </c>
    </row>
    <row r="4" spans="1:5" x14ac:dyDescent="0.2">
      <c r="A4" s="71" t="s">
        <v>84</v>
      </c>
      <c r="B4" s="71"/>
      <c r="C4" s="2" t="s">
        <v>214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27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Cooling Water, Diesel, WI, 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-29°C' 87.6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58" priority="6"/>
  </conditionalFormatting>
  <conditionalFormatting sqref="B33">
    <cfRule type="duplicateValues" dxfId="957" priority="2"/>
  </conditionalFormatting>
  <conditionalFormatting sqref="B34">
    <cfRule type="duplicateValues" dxfId="956" priority="1"/>
  </conditionalFormatting>
  <conditionalFormatting sqref="B35">
    <cfRule type="duplicateValues" dxfId="955" priority="5"/>
  </conditionalFormatting>
  <conditionalFormatting sqref="B36">
    <cfRule type="duplicateValues" dxfId="954" priority="4"/>
  </conditionalFormatting>
  <conditionalFormatting sqref="B37">
    <cfRule type="duplicateValues" dxfId="953" priority="3"/>
  </conditionalFormatting>
  <conditionalFormatting sqref="B51:B1048576 B25:B32 B4:B10 B12:B20 B22 B38:B42">
    <cfRule type="duplicateValues" dxfId="95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71976-6272-4B69-AFF0-39EEC5620D4A}">
  <sheetPr codeName="Sheet19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183</v>
      </c>
    </row>
    <row r="4" spans="1:5" x14ac:dyDescent="0.2">
      <c r="A4" s="71" t="s">
        <v>84</v>
      </c>
      <c r="B4" s="71"/>
      <c r="C4" s="2" t="s">
        <v>272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27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Cooling Water, Diesel, WI, 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-29°C' 87.6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118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51" priority="6"/>
  </conditionalFormatting>
  <conditionalFormatting sqref="B33">
    <cfRule type="duplicateValues" dxfId="950" priority="2"/>
  </conditionalFormatting>
  <conditionalFormatting sqref="B34">
    <cfRule type="duplicateValues" dxfId="949" priority="1"/>
  </conditionalFormatting>
  <conditionalFormatting sqref="B35">
    <cfRule type="duplicateValues" dxfId="948" priority="5"/>
  </conditionalFormatting>
  <conditionalFormatting sqref="B36">
    <cfRule type="duplicateValues" dxfId="947" priority="4"/>
  </conditionalFormatting>
  <conditionalFormatting sqref="B37">
    <cfRule type="duplicateValues" dxfId="946" priority="3"/>
  </conditionalFormatting>
  <conditionalFormatting sqref="B51:B1048576 B25:B32 B4:B10 B12:B20 B22 B38:B42">
    <cfRule type="duplicateValues" dxfId="94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88413-7B65-417C-A832-E3C3E6C37A8C}">
  <sheetPr codeName="Sheet20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184</v>
      </c>
    </row>
    <row r="4" spans="1:5" x14ac:dyDescent="0.2">
      <c r="A4" s="71" t="s">
        <v>84</v>
      </c>
      <c r="B4" s="71"/>
      <c r="C4" s="2" t="s">
        <v>364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27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Cooling Water, Diesel, WI, 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-29°C' 87.6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118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44" priority="6"/>
  </conditionalFormatting>
  <conditionalFormatting sqref="B33">
    <cfRule type="duplicateValues" dxfId="943" priority="2"/>
  </conditionalFormatting>
  <conditionalFormatting sqref="B34">
    <cfRule type="duplicateValues" dxfId="942" priority="1"/>
  </conditionalFormatting>
  <conditionalFormatting sqref="B35">
    <cfRule type="duplicateValues" dxfId="941" priority="5"/>
  </conditionalFormatting>
  <conditionalFormatting sqref="B36">
    <cfRule type="duplicateValues" dxfId="940" priority="4"/>
  </conditionalFormatting>
  <conditionalFormatting sqref="B37">
    <cfRule type="duplicateValues" dxfId="939" priority="3"/>
  </conditionalFormatting>
  <conditionalFormatting sqref="B51:B1048576 B25:B32 B4:B10 B12:B20 B22 B38:B42">
    <cfRule type="duplicateValues" dxfId="93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60BBD-8103-4D93-AFE3-C4CBC4F47B7E}">
  <sheetPr codeName="Sheet21">
    <tabColor rgb="FF00B050"/>
    <pageSetUpPr fitToPage="1"/>
  </sheetPr>
  <dimension ref="A1:E50"/>
  <sheetViews>
    <sheetView topLeftCell="A10"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185</v>
      </c>
    </row>
    <row r="4" spans="1:5" x14ac:dyDescent="0.2">
      <c r="A4" s="71" t="s">
        <v>84</v>
      </c>
      <c r="B4" s="71"/>
      <c r="C4" s="2" t="s">
        <v>215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Diesel, WI, 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-29°C' 131.4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37" priority="6"/>
  </conditionalFormatting>
  <conditionalFormatting sqref="B33">
    <cfRule type="duplicateValues" dxfId="936" priority="2"/>
  </conditionalFormatting>
  <conditionalFormatting sqref="B34">
    <cfRule type="duplicateValues" dxfId="935" priority="1"/>
  </conditionalFormatting>
  <conditionalFormatting sqref="B35">
    <cfRule type="duplicateValues" dxfId="934" priority="5"/>
  </conditionalFormatting>
  <conditionalFormatting sqref="B36">
    <cfRule type="duplicateValues" dxfId="933" priority="4"/>
  </conditionalFormatting>
  <conditionalFormatting sqref="B37">
    <cfRule type="duplicateValues" dxfId="932" priority="3"/>
  </conditionalFormatting>
  <conditionalFormatting sqref="B51:B1048576 B25:B32 B4:B10 B12:B20 B22 B38:B42">
    <cfRule type="duplicateValues" dxfId="93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57FFB-DB75-4CB1-9B45-0CECE83CB152}">
  <sheetPr codeName="Sheet22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186</v>
      </c>
    </row>
    <row r="4" spans="1:5" x14ac:dyDescent="0.2">
      <c r="A4" s="71" t="s">
        <v>84</v>
      </c>
      <c r="B4" s="71"/>
      <c r="C4" s="2" t="s">
        <v>273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Diesel, WI, 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-29°C' 131.4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118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30" priority="6"/>
  </conditionalFormatting>
  <conditionalFormatting sqref="B33">
    <cfRule type="duplicateValues" dxfId="929" priority="2"/>
  </conditionalFormatting>
  <conditionalFormatting sqref="B34">
    <cfRule type="duplicateValues" dxfId="928" priority="1"/>
  </conditionalFormatting>
  <conditionalFormatting sqref="B35">
    <cfRule type="duplicateValues" dxfId="927" priority="5"/>
  </conditionalFormatting>
  <conditionalFormatting sqref="B36">
    <cfRule type="duplicateValues" dxfId="926" priority="4"/>
  </conditionalFormatting>
  <conditionalFormatting sqref="B37">
    <cfRule type="duplicateValues" dxfId="925" priority="3"/>
  </conditionalFormatting>
  <conditionalFormatting sqref="B51:B1048576 B25:B32 B4:B10 B12:B20 B22 B38:B42">
    <cfRule type="duplicateValues" dxfId="92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57110-FD6D-4B17-A583-6640440B988C}">
  <sheetPr codeName="Sheet23">
    <tabColor rgb="FF00B050"/>
    <pageSetUpPr fitToPage="1"/>
  </sheetPr>
  <dimension ref="A1:E50"/>
  <sheetViews>
    <sheetView topLeftCell="A28"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187</v>
      </c>
    </row>
    <row r="4" spans="1:5" x14ac:dyDescent="0.2">
      <c r="A4" s="71" t="s">
        <v>84</v>
      </c>
      <c r="B4" s="71"/>
      <c r="C4" s="2" t="s">
        <v>274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26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Diesel, WI, 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-29°C'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118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23" priority="6"/>
  </conditionalFormatting>
  <conditionalFormatting sqref="B33">
    <cfRule type="duplicateValues" dxfId="922" priority="2"/>
  </conditionalFormatting>
  <conditionalFormatting sqref="B34">
    <cfRule type="duplicateValues" dxfId="921" priority="1"/>
  </conditionalFormatting>
  <conditionalFormatting sqref="B35">
    <cfRule type="duplicateValues" dxfId="920" priority="5"/>
  </conditionalFormatting>
  <conditionalFormatting sqref="B36">
    <cfRule type="duplicateValues" dxfId="919" priority="4"/>
  </conditionalFormatting>
  <conditionalFormatting sqref="B37">
    <cfRule type="duplicateValues" dxfId="918" priority="3"/>
  </conditionalFormatting>
  <conditionalFormatting sqref="B51:B1048576 B25:B32 B4:B10 B12:B20 B22 B38:B42">
    <cfRule type="duplicateValues" dxfId="91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7F01C-F3A0-4289-9803-8FB243CC0985}">
  <sheetPr codeName="Sheet24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188</v>
      </c>
    </row>
    <row r="4" spans="1:5" x14ac:dyDescent="0.2">
      <c r="A4" s="71" t="s">
        <v>84</v>
      </c>
      <c r="B4" s="71"/>
      <c r="C4" s="2" t="s">
        <v>365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26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Diesel, WI, 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-29°C'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118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16" priority="6"/>
  </conditionalFormatting>
  <conditionalFormatting sqref="B33">
    <cfRule type="duplicateValues" dxfId="915" priority="2"/>
  </conditionalFormatting>
  <conditionalFormatting sqref="B34">
    <cfRule type="duplicateValues" dxfId="914" priority="1"/>
  </conditionalFormatting>
  <conditionalFormatting sqref="B35">
    <cfRule type="duplicateValues" dxfId="913" priority="5"/>
  </conditionalFormatting>
  <conditionalFormatting sqref="B36">
    <cfRule type="duplicateValues" dxfId="912" priority="4"/>
  </conditionalFormatting>
  <conditionalFormatting sqref="B37">
    <cfRule type="duplicateValues" dxfId="911" priority="3"/>
  </conditionalFormatting>
  <conditionalFormatting sqref="B51:B1048576 B25:B32 B4:B10 B12:B20 B22 B38:B42">
    <cfRule type="duplicateValues" dxfId="91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17EFA-11EA-4807-AEED-576335D48B36}">
  <sheetPr codeName="Sheet25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189</v>
      </c>
    </row>
    <row r="4" spans="1:5" x14ac:dyDescent="0.2">
      <c r="A4" s="71" t="s">
        <v>84</v>
      </c>
      <c r="B4" s="71"/>
      <c r="C4" s="2" t="s">
        <v>275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169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118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09" priority="6"/>
  </conditionalFormatting>
  <conditionalFormatting sqref="B33">
    <cfRule type="duplicateValues" dxfId="908" priority="2"/>
  </conditionalFormatting>
  <conditionalFormatting sqref="B34">
    <cfRule type="duplicateValues" dxfId="907" priority="1"/>
  </conditionalFormatting>
  <conditionalFormatting sqref="B35">
    <cfRule type="duplicateValues" dxfId="906" priority="5"/>
  </conditionalFormatting>
  <conditionalFormatting sqref="B36">
    <cfRule type="duplicateValues" dxfId="905" priority="4"/>
  </conditionalFormatting>
  <conditionalFormatting sqref="B37">
    <cfRule type="duplicateValues" dxfId="904" priority="3"/>
  </conditionalFormatting>
  <conditionalFormatting sqref="B51:B1048576 B25:B32 B4:B10 B12:B20 B22 B38:B42">
    <cfRule type="duplicateValues" dxfId="90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0E5-B575-4E5B-9D5D-E849B3D93039}">
  <sheetPr codeName="Sheet26">
    <tabColor rgb="FF00B050"/>
    <pageSetUpPr fitToPage="1"/>
  </sheetPr>
  <dimension ref="A1:E50"/>
  <sheetViews>
    <sheetView topLeftCell="A18"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190</v>
      </c>
    </row>
    <row r="4" spans="1:5" x14ac:dyDescent="0.2">
      <c r="A4" s="71" t="s">
        <v>84</v>
      </c>
      <c r="B4" s="71"/>
      <c r="C4" s="2" t="s">
        <v>366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169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HC with low CO2 and H2S, Steam, Hydraulic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259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113</v>
      </c>
      <c r="D22" s="72"/>
      <c r="E22" s="72"/>
    </row>
    <row r="23" spans="1:5" x14ac:dyDescent="0.2">
      <c r="A23" s="72"/>
      <c r="B23" s="5" t="s">
        <v>99</v>
      </c>
      <c r="C23" s="3" t="s">
        <v>268</v>
      </c>
      <c r="D23" s="72"/>
      <c r="E23" s="72"/>
    </row>
    <row r="24" spans="1:5" x14ac:dyDescent="0.2">
      <c r="A24" s="72"/>
      <c r="B24" s="1" t="s">
        <v>160</v>
      </c>
      <c r="C24" s="3" t="s">
        <v>118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147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02" priority="6"/>
  </conditionalFormatting>
  <conditionalFormatting sqref="B33">
    <cfRule type="duplicateValues" dxfId="901" priority="2"/>
  </conditionalFormatting>
  <conditionalFormatting sqref="B34">
    <cfRule type="duplicateValues" dxfId="900" priority="1"/>
  </conditionalFormatting>
  <conditionalFormatting sqref="B35">
    <cfRule type="duplicateValues" dxfId="899" priority="5"/>
  </conditionalFormatting>
  <conditionalFormatting sqref="B36">
    <cfRule type="duplicateValues" dxfId="898" priority="4"/>
  </conditionalFormatting>
  <conditionalFormatting sqref="B37">
    <cfRule type="duplicateValues" dxfId="897" priority="3"/>
  </conditionalFormatting>
  <conditionalFormatting sqref="B51:B1048576 B25:B32 B4:B10 B12:B20 B22 B38:B42">
    <cfRule type="duplicateValues" dxfId="89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7561D-49E6-479D-B0D8-A02F5E1E10D0}">
  <sheetPr codeName="Sheet27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191</v>
      </c>
    </row>
    <row r="4" spans="1:5" x14ac:dyDescent="0.2">
      <c r="A4" s="71" t="s">
        <v>84</v>
      </c>
      <c r="B4" s="71"/>
      <c r="C4" s="2" t="s">
        <v>216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89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-29°C'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95" priority="6"/>
  </conditionalFormatting>
  <conditionalFormatting sqref="B33">
    <cfRule type="duplicateValues" dxfId="894" priority="2"/>
  </conditionalFormatting>
  <conditionalFormatting sqref="B34">
    <cfRule type="duplicateValues" dxfId="893" priority="1"/>
  </conditionalFormatting>
  <conditionalFormatting sqref="B35">
    <cfRule type="duplicateValues" dxfId="892" priority="5"/>
  </conditionalFormatting>
  <conditionalFormatting sqref="B36">
    <cfRule type="duplicateValues" dxfId="891" priority="4"/>
  </conditionalFormatting>
  <conditionalFormatting sqref="B37">
    <cfRule type="duplicateValues" dxfId="890" priority="3"/>
  </conditionalFormatting>
  <conditionalFormatting sqref="B51:B1048576 B25:B32 B4:B10 B12:B20 B22 B38:B42">
    <cfRule type="duplicateValues" dxfId="88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D0DF5-239A-4BD9-A85A-2BFBFF22146D}">
  <sheetPr codeName="Sheet28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192</v>
      </c>
    </row>
    <row r="4" spans="1:5" x14ac:dyDescent="0.2">
      <c r="A4" s="71" t="s">
        <v>84</v>
      </c>
      <c r="B4" s="71"/>
      <c r="C4" s="2" t="s">
        <v>276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89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-29°C'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88" priority="6"/>
  </conditionalFormatting>
  <conditionalFormatting sqref="B33">
    <cfRule type="duplicateValues" dxfId="887" priority="2"/>
  </conditionalFormatting>
  <conditionalFormatting sqref="B34">
    <cfRule type="duplicateValues" dxfId="886" priority="1"/>
  </conditionalFormatting>
  <conditionalFormatting sqref="B35">
    <cfRule type="duplicateValues" dxfId="885" priority="5"/>
  </conditionalFormatting>
  <conditionalFormatting sqref="B36">
    <cfRule type="duplicateValues" dxfId="884" priority="4"/>
  </conditionalFormatting>
  <conditionalFormatting sqref="B37">
    <cfRule type="duplicateValues" dxfId="883" priority="3"/>
  </conditionalFormatting>
  <conditionalFormatting sqref="B51:B1048576 B25:B32 B4:B10 B12:B20 B22 B38:B42">
    <cfRule type="duplicateValues" dxfId="88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EAD8-92C0-4D50-BDB0-2810508C1FF2}">
  <sheetPr codeName="Sheet29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193</v>
      </c>
    </row>
    <row r="4" spans="1:5" x14ac:dyDescent="0.2">
      <c r="A4" s="71" t="s">
        <v>84</v>
      </c>
      <c r="B4" s="71"/>
      <c r="C4" s="2" t="s">
        <v>367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89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-29°C'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161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81" priority="6"/>
  </conditionalFormatting>
  <conditionalFormatting sqref="B33">
    <cfRule type="duplicateValues" dxfId="880" priority="2"/>
  </conditionalFormatting>
  <conditionalFormatting sqref="B34">
    <cfRule type="duplicateValues" dxfId="879" priority="1"/>
  </conditionalFormatting>
  <conditionalFormatting sqref="B35">
    <cfRule type="duplicateValues" dxfId="878" priority="5"/>
  </conditionalFormatting>
  <conditionalFormatting sqref="B36">
    <cfRule type="duplicateValues" dxfId="877" priority="4"/>
  </conditionalFormatting>
  <conditionalFormatting sqref="B37">
    <cfRule type="duplicateValues" dxfId="876" priority="3"/>
  </conditionalFormatting>
  <conditionalFormatting sqref="B51:B1048576 B25:B32 B4:B10 B12:B20 B22 B38:B42">
    <cfRule type="duplicateValues" dxfId="87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08DD1-9BFA-4D20-8352-D4B7DE48EF86}">
  <sheetPr codeName="Sheet30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194</v>
      </c>
    </row>
    <row r="4" spans="1:5" x14ac:dyDescent="0.2">
      <c r="A4" s="71" t="s">
        <v>84</v>
      </c>
      <c r="B4" s="71"/>
      <c r="C4" s="2" t="s">
        <v>217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131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-29°C'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74" priority="6"/>
  </conditionalFormatting>
  <conditionalFormatting sqref="B33">
    <cfRule type="duplicateValues" dxfId="873" priority="2"/>
  </conditionalFormatting>
  <conditionalFormatting sqref="B34">
    <cfRule type="duplicateValues" dxfId="872" priority="1"/>
  </conditionalFormatting>
  <conditionalFormatting sqref="B35">
    <cfRule type="duplicateValues" dxfId="871" priority="5"/>
  </conditionalFormatting>
  <conditionalFormatting sqref="B36">
    <cfRule type="duplicateValues" dxfId="870" priority="4"/>
  </conditionalFormatting>
  <conditionalFormatting sqref="B37">
    <cfRule type="duplicateValues" dxfId="869" priority="3"/>
  </conditionalFormatting>
  <conditionalFormatting sqref="B51:B1048576 B25:B32 B4:B10 B12:B20 B22 B38:B42">
    <cfRule type="duplicateValues" dxfId="86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B35C9-3680-40A3-921C-66FD026660DB}">
  <sheetPr codeName="Sheet31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195</v>
      </c>
    </row>
    <row r="4" spans="1:5" x14ac:dyDescent="0.2">
      <c r="A4" s="71" t="s">
        <v>84</v>
      </c>
      <c r="B4" s="71"/>
      <c r="C4" s="2" t="s">
        <v>277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131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-29°C'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67" priority="6"/>
  </conditionalFormatting>
  <conditionalFormatting sqref="B33">
    <cfRule type="duplicateValues" dxfId="866" priority="2"/>
  </conditionalFormatting>
  <conditionalFormatting sqref="B34">
    <cfRule type="duplicateValues" dxfId="865" priority="1"/>
  </conditionalFormatting>
  <conditionalFormatting sqref="B35">
    <cfRule type="duplicateValues" dxfId="864" priority="5"/>
  </conditionalFormatting>
  <conditionalFormatting sqref="B36">
    <cfRule type="duplicateValues" dxfId="863" priority="4"/>
  </conditionalFormatting>
  <conditionalFormatting sqref="B37">
    <cfRule type="duplicateValues" dxfId="862" priority="3"/>
  </conditionalFormatting>
  <conditionalFormatting sqref="B51:B1048576 B25:B32 B4:B10 B12:B20 B22 B38:B42">
    <cfRule type="duplicateValues" dxfId="86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D267D-5202-4AF4-AD51-868E7B14FED6}">
  <sheetPr codeName="Sheet32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196</v>
      </c>
    </row>
    <row r="4" spans="1:5" x14ac:dyDescent="0.2">
      <c r="A4" s="71" t="s">
        <v>84</v>
      </c>
      <c r="B4" s="71"/>
      <c r="C4" s="2" t="s">
        <v>368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131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-29°C'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161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60" priority="6"/>
  </conditionalFormatting>
  <conditionalFormatting sqref="B33">
    <cfRule type="duplicateValues" dxfId="859" priority="2"/>
  </conditionalFormatting>
  <conditionalFormatting sqref="B34">
    <cfRule type="duplicateValues" dxfId="858" priority="1"/>
  </conditionalFormatting>
  <conditionalFormatting sqref="B35">
    <cfRule type="duplicateValues" dxfId="857" priority="5"/>
  </conditionalFormatting>
  <conditionalFormatting sqref="B36">
    <cfRule type="duplicateValues" dxfId="856" priority="4"/>
  </conditionalFormatting>
  <conditionalFormatting sqref="B37">
    <cfRule type="duplicateValues" dxfId="855" priority="3"/>
  </conditionalFormatting>
  <conditionalFormatting sqref="B51:B1048576 B25:B32 B4:B10 B12:B20 B22 B38:B42">
    <cfRule type="duplicateValues" dxfId="85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6A002-B3AF-4CA5-BF08-6D1C0CF2B347}">
  <sheetPr codeName="Sheet33">
    <tabColor rgb="FF00B050"/>
    <pageSetUpPr fitToPage="1"/>
  </sheetPr>
  <dimension ref="A1:E50"/>
  <sheetViews>
    <sheetView topLeftCell="A18"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197</v>
      </c>
    </row>
    <row r="4" spans="1:5" x14ac:dyDescent="0.2">
      <c r="A4" s="71" t="s">
        <v>84</v>
      </c>
      <c r="B4" s="71"/>
      <c r="C4" s="2" t="s">
        <v>218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132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-29°C' 87.6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53" priority="6"/>
  </conditionalFormatting>
  <conditionalFormatting sqref="B33">
    <cfRule type="duplicateValues" dxfId="852" priority="2"/>
  </conditionalFormatting>
  <conditionalFormatting sqref="B34">
    <cfRule type="duplicateValues" dxfId="851" priority="1"/>
  </conditionalFormatting>
  <conditionalFormatting sqref="B35">
    <cfRule type="duplicateValues" dxfId="850" priority="5"/>
  </conditionalFormatting>
  <conditionalFormatting sqref="B36">
    <cfRule type="duplicateValues" dxfId="849" priority="4"/>
  </conditionalFormatting>
  <conditionalFormatting sqref="B37">
    <cfRule type="duplicateValues" dxfId="848" priority="3"/>
  </conditionalFormatting>
  <conditionalFormatting sqref="B51:B1048576 B25:B32 B4:B10 B12:B20 B22 B38:B42">
    <cfRule type="duplicateValues" dxfId="84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7F9A1-FEFA-461E-842F-F07BD288030D}">
  <sheetPr codeName="Sheet34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198</v>
      </c>
    </row>
    <row r="4" spans="1:5" x14ac:dyDescent="0.2">
      <c r="A4" s="71" t="s">
        <v>84</v>
      </c>
      <c r="B4" s="71"/>
      <c r="C4" s="2" t="s">
        <v>278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132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-29°C' 87.6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46" priority="6"/>
  </conditionalFormatting>
  <conditionalFormatting sqref="B33">
    <cfRule type="duplicateValues" dxfId="845" priority="2"/>
  </conditionalFormatting>
  <conditionalFormatting sqref="B34">
    <cfRule type="duplicateValues" dxfId="844" priority="1"/>
  </conditionalFormatting>
  <conditionalFormatting sqref="B35">
    <cfRule type="duplicateValues" dxfId="843" priority="5"/>
  </conditionalFormatting>
  <conditionalFormatting sqref="B36">
    <cfRule type="duplicateValues" dxfId="842" priority="4"/>
  </conditionalFormatting>
  <conditionalFormatting sqref="B37">
    <cfRule type="duplicateValues" dxfId="841" priority="3"/>
  </conditionalFormatting>
  <conditionalFormatting sqref="B51:B1048576 B25:B32 B4:B10 B12:B20 B22 B38:B42">
    <cfRule type="duplicateValues" dxfId="84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58802-C378-4930-B5FA-3AEB67F983DE}">
  <sheetPr codeName="Sheet35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199</v>
      </c>
    </row>
    <row r="4" spans="1:5" x14ac:dyDescent="0.2">
      <c r="A4" s="71" t="s">
        <v>84</v>
      </c>
      <c r="B4" s="71"/>
      <c r="C4" s="2" t="s">
        <v>219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133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-29°C' 131.4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39" priority="6"/>
  </conditionalFormatting>
  <conditionalFormatting sqref="B33">
    <cfRule type="duplicateValues" dxfId="838" priority="2"/>
  </conditionalFormatting>
  <conditionalFormatting sqref="B34">
    <cfRule type="duplicateValues" dxfId="837" priority="1"/>
  </conditionalFormatting>
  <conditionalFormatting sqref="B35">
    <cfRule type="duplicateValues" dxfId="836" priority="5"/>
  </conditionalFormatting>
  <conditionalFormatting sqref="B36">
    <cfRule type="duplicateValues" dxfId="835" priority="4"/>
  </conditionalFormatting>
  <conditionalFormatting sqref="B37">
    <cfRule type="duplicateValues" dxfId="834" priority="3"/>
  </conditionalFormatting>
  <conditionalFormatting sqref="B51:B1048576 B25:B32 B4:B10 B12:B20 B22 B38:B42">
    <cfRule type="duplicateValues" dxfId="83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96908-8466-4923-9D2D-A54637A89ED9}">
  <sheetPr codeName="Sheet36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200</v>
      </c>
    </row>
    <row r="4" spans="1:5" x14ac:dyDescent="0.2">
      <c r="A4" s="71" t="s">
        <v>84</v>
      </c>
      <c r="B4" s="71"/>
      <c r="C4" s="2" t="s">
        <v>279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133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-29°C' 131.4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32" priority="6"/>
  </conditionalFormatting>
  <conditionalFormatting sqref="B33">
    <cfRule type="duplicateValues" dxfId="831" priority="2"/>
  </conditionalFormatting>
  <conditionalFormatting sqref="B34">
    <cfRule type="duplicateValues" dxfId="830" priority="1"/>
  </conditionalFormatting>
  <conditionalFormatting sqref="B35">
    <cfRule type="duplicateValues" dxfId="829" priority="5"/>
  </conditionalFormatting>
  <conditionalFormatting sqref="B36">
    <cfRule type="duplicateValues" dxfId="828" priority="4"/>
  </conditionalFormatting>
  <conditionalFormatting sqref="B37">
    <cfRule type="duplicateValues" dxfId="827" priority="3"/>
  </conditionalFormatting>
  <conditionalFormatting sqref="B51:B1048576 B25:B32 B4:B10 B12:B20 B22 B38:B42">
    <cfRule type="duplicateValues" dxfId="82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C0DCB-5192-4783-AC05-C8C086A5B9A8}">
  <sheetPr codeName="Sheet37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201</v>
      </c>
    </row>
    <row r="4" spans="1:5" x14ac:dyDescent="0.2">
      <c r="A4" s="71" t="s">
        <v>84</v>
      </c>
      <c r="B4" s="71"/>
      <c r="C4" s="2" t="s">
        <v>220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134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-29°C'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25" priority="6"/>
  </conditionalFormatting>
  <conditionalFormatting sqref="B33">
    <cfRule type="duplicateValues" dxfId="824" priority="2"/>
  </conditionalFormatting>
  <conditionalFormatting sqref="B34">
    <cfRule type="duplicateValues" dxfId="823" priority="1"/>
  </conditionalFormatting>
  <conditionalFormatting sqref="B35">
    <cfRule type="duplicateValues" dxfId="822" priority="5"/>
  </conditionalFormatting>
  <conditionalFormatting sqref="B36">
    <cfRule type="duplicateValues" dxfId="821" priority="4"/>
  </conditionalFormatting>
  <conditionalFormatting sqref="B37">
    <cfRule type="duplicateValues" dxfId="820" priority="3"/>
  </conditionalFormatting>
  <conditionalFormatting sqref="B51:B1048576 B25:B32 B4:B10 B12:B20 B22 B38:B42">
    <cfRule type="duplicateValues" dxfId="81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3778B-B3C5-4832-B92B-1F5FF75EFE8A}">
  <sheetPr codeName="Sheet38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202</v>
      </c>
    </row>
    <row r="4" spans="1:5" x14ac:dyDescent="0.2">
      <c r="A4" s="71" t="s">
        <v>84</v>
      </c>
      <c r="B4" s="71"/>
      <c r="C4" s="2" t="s">
        <v>280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134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-29°C'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18" priority="6"/>
  </conditionalFormatting>
  <conditionalFormatting sqref="B33">
    <cfRule type="duplicateValues" dxfId="817" priority="2"/>
  </conditionalFormatting>
  <conditionalFormatting sqref="B34">
    <cfRule type="duplicateValues" dxfId="816" priority="1"/>
  </conditionalFormatting>
  <conditionalFormatting sqref="B35">
    <cfRule type="duplicateValues" dxfId="815" priority="5"/>
  </conditionalFormatting>
  <conditionalFormatting sqref="B36">
    <cfRule type="duplicateValues" dxfId="814" priority="4"/>
  </conditionalFormatting>
  <conditionalFormatting sqref="B37">
    <cfRule type="duplicateValues" dxfId="813" priority="3"/>
  </conditionalFormatting>
  <conditionalFormatting sqref="B51:B1048576 B25:B32 B4:B10 B12:B20 B22 B38:B42">
    <cfRule type="duplicateValues" dxfId="81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13AA-D684-4A18-9FF7-4F99AF73C4AB}">
  <sheetPr codeName="Sheet39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203</v>
      </c>
    </row>
    <row r="4" spans="1:5" x14ac:dyDescent="0.2">
      <c r="A4" s="71" t="s">
        <v>84</v>
      </c>
      <c r="B4" s="71"/>
      <c r="C4" s="2" t="s">
        <v>221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135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11" priority="6"/>
  </conditionalFormatting>
  <conditionalFormatting sqref="B33">
    <cfRule type="duplicateValues" dxfId="810" priority="2"/>
  </conditionalFormatting>
  <conditionalFormatting sqref="B34">
    <cfRule type="duplicateValues" dxfId="809" priority="1"/>
  </conditionalFormatting>
  <conditionalFormatting sqref="B35">
    <cfRule type="duplicateValues" dxfId="808" priority="5"/>
  </conditionalFormatting>
  <conditionalFormatting sqref="B36">
    <cfRule type="duplicateValues" dxfId="807" priority="4"/>
  </conditionalFormatting>
  <conditionalFormatting sqref="B37">
    <cfRule type="duplicateValues" dxfId="806" priority="3"/>
  </conditionalFormatting>
  <conditionalFormatting sqref="B51:B1048576 B25:B32 B4:B10 B12:B20 B22 B38:B42">
    <cfRule type="duplicateValues" dxfId="80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4EDB0-84ED-49B9-B996-D86545C4AF8C}">
  <sheetPr codeName="Sheet40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204</v>
      </c>
    </row>
    <row r="4" spans="1:5" x14ac:dyDescent="0.2">
      <c r="A4" s="71" t="s">
        <v>84</v>
      </c>
      <c r="B4" s="71"/>
      <c r="C4" s="2" t="s">
        <v>281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135</v>
      </c>
      <c r="D5" s="72"/>
      <c r="E5" s="72"/>
    </row>
    <row r="6" spans="1:5" x14ac:dyDescent="0.2">
      <c r="A6" s="72" t="s">
        <v>31</v>
      </c>
      <c r="B6" s="72"/>
      <c r="C6" s="3" t="s">
        <v>156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04" priority="6"/>
  </conditionalFormatting>
  <conditionalFormatting sqref="B33">
    <cfRule type="duplicateValues" dxfId="803" priority="2"/>
  </conditionalFormatting>
  <conditionalFormatting sqref="B34">
    <cfRule type="duplicateValues" dxfId="802" priority="1"/>
  </conditionalFormatting>
  <conditionalFormatting sqref="B35">
    <cfRule type="duplicateValues" dxfId="801" priority="5"/>
  </conditionalFormatting>
  <conditionalFormatting sqref="B36">
    <cfRule type="duplicateValues" dxfId="800" priority="4"/>
  </conditionalFormatting>
  <conditionalFormatting sqref="B37">
    <cfRule type="duplicateValues" dxfId="799" priority="3"/>
  </conditionalFormatting>
  <conditionalFormatting sqref="B51:B1048576 B25:B32 B4:B10 B12:B20 B22 B38:B42">
    <cfRule type="duplicateValues" dxfId="79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45BE5-7066-4B3F-BCA7-E687FBCF721B}">
  <sheetPr codeName="Sheet41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205</v>
      </c>
    </row>
    <row r="4" spans="1:5" x14ac:dyDescent="0.2">
      <c r="A4" s="71" t="s">
        <v>84</v>
      </c>
      <c r="B4" s="71"/>
      <c r="C4" s="2" t="s">
        <v>222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4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Flare, 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-45°C'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97" priority="6"/>
  </conditionalFormatting>
  <conditionalFormatting sqref="B33">
    <cfRule type="duplicateValues" dxfId="796" priority="2"/>
  </conditionalFormatting>
  <conditionalFormatting sqref="B34">
    <cfRule type="duplicateValues" dxfId="795" priority="1"/>
  </conditionalFormatting>
  <conditionalFormatting sqref="B35">
    <cfRule type="duplicateValues" dxfId="794" priority="5"/>
  </conditionalFormatting>
  <conditionalFormatting sqref="B36">
    <cfRule type="duplicateValues" dxfId="793" priority="4"/>
  </conditionalFormatting>
  <conditionalFormatting sqref="B37">
    <cfRule type="duplicateValues" dxfId="792" priority="3"/>
  </conditionalFormatting>
  <conditionalFormatting sqref="B51:B1048576 B25:B32 B4:B10 B12:B20 B22 B38:B42">
    <cfRule type="duplicateValues" dxfId="79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6C897-7874-47C0-B3C2-DBC042745851}">
  <sheetPr codeName="Sheet42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206</v>
      </c>
    </row>
    <row r="4" spans="1:5" x14ac:dyDescent="0.2">
      <c r="A4" s="71" t="s">
        <v>84</v>
      </c>
      <c r="B4" s="71"/>
      <c r="C4" s="2" t="s">
        <v>282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4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Flare, 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-45°C'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90" priority="6"/>
  </conditionalFormatting>
  <conditionalFormatting sqref="B33">
    <cfRule type="duplicateValues" dxfId="789" priority="2"/>
  </conditionalFormatting>
  <conditionalFormatting sqref="B34">
    <cfRule type="duplicateValues" dxfId="788" priority="1"/>
  </conditionalFormatting>
  <conditionalFormatting sqref="B35">
    <cfRule type="duplicateValues" dxfId="787" priority="5"/>
  </conditionalFormatting>
  <conditionalFormatting sqref="B36">
    <cfRule type="duplicateValues" dxfId="786" priority="4"/>
  </conditionalFormatting>
  <conditionalFormatting sqref="B37">
    <cfRule type="duplicateValues" dxfId="785" priority="3"/>
  </conditionalFormatting>
  <conditionalFormatting sqref="B51:B1048576 B25:B32 B4:B10 B12:B20 B22 B38:B42">
    <cfRule type="duplicateValues" dxfId="78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89454-308D-4FB8-8549-9DB0F3E62BF1}">
  <sheetPr codeName="Sheet43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207</v>
      </c>
    </row>
    <row r="4" spans="1:5" x14ac:dyDescent="0.2">
      <c r="A4" s="71" t="s">
        <v>84</v>
      </c>
      <c r="B4" s="71"/>
      <c r="C4" s="2" t="s">
        <v>369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4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Flare, 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-45°C'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83" priority="6"/>
  </conditionalFormatting>
  <conditionalFormatting sqref="B33">
    <cfRule type="duplicateValues" dxfId="782" priority="2"/>
  </conditionalFormatting>
  <conditionalFormatting sqref="B34">
    <cfRule type="duplicateValues" dxfId="781" priority="1"/>
  </conditionalFormatting>
  <conditionalFormatting sqref="B35">
    <cfRule type="duplicateValues" dxfId="780" priority="5"/>
  </conditionalFormatting>
  <conditionalFormatting sqref="B36">
    <cfRule type="duplicateValues" dxfId="779" priority="4"/>
  </conditionalFormatting>
  <conditionalFormatting sqref="B37">
    <cfRule type="duplicateValues" dxfId="778" priority="3"/>
  </conditionalFormatting>
  <conditionalFormatting sqref="B51:B1048576 B25:B32 B4:B10 B12:B20 B22 B38:B42">
    <cfRule type="duplicateValues" dxfId="77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1D30-E493-408B-9CB7-09DA6B873AF0}">
  <sheetPr codeName="Sheet44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208</v>
      </c>
    </row>
    <row r="4" spans="1:5" x14ac:dyDescent="0.2">
      <c r="A4" s="71" t="s">
        <v>84</v>
      </c>
      <c r="B4" s="71"/>
      <c r="C4" s="2" t="s">
        <v>223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11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Flare, 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-45°C'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76" priority="6"/>
  </conditionalFormatting>
  <conditionalFormatting sqref="B33">
    <cfRule type="duplicateValues" dxfId="775" priority="2"/>
  </conditionalFormatting>
  <conditionalFormatting sqref="B34">
    <cfRule type="duplicateValues" dxfId="774" priority="1"/>
  </conditionalFormatting>
  <conditionalFormatting sqref="B35">
    <cfRule type="duplicateValues" dxfId="773" priority="5"/>
  </conditionalFormatting>
  <conditionalFormatting sqref="B36">
    <cfRule type="duplicateValues" dxfId="772" priority="4"/>
  </conditionalFormatting>
  <conditionalFormatting sqref="B37">
    <cfRule type="duplicateValues" dxfId="771" priority="3"/>
  </conditionalFormatting>
  <conditionalFormatting sqref="B51:B1048576 B25:B32 B4:B10 B12:B20 B22 B38:B42">
    <cfRule type="duplicateValues" dxfId="77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C62A8-9D51-4E58-8978-BFFEF41394AE}">
  <sheetPr codeName="Sheet45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209</v>
      </c>
    </row>
    <row r="4" spans="1:5" x14ac:dyDescent="0.2">
      <c r="A4" s="71" t="s">
        <v>84</v>
      </c>
      <c r="B4" s="71"/>
      <c r="C4" s="2" t="s">
        <v>283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11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Flare, 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-45°C'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69" priority="6"/>
  </conditionalFormatting>
  <conditionalFormatting sqref="B33">
    <cfRule type="duplicateValues" dxfId="768" priority="2"/>
  </conditionalFormatting>
  <conditionalFormatting sqref="B34">
    <cfRule type="duplicateValues" dxfId="767" priority="1"/>
  </conditionalFormatting>
  <conditionalFormatting sqref="B35">
    <cfRule type="duplicateValues" dxfId="766" priority="5"/>
  </conditionalFormatting>
  <conditionalFormatting sqref="B36">
    <cfRule type="duplicateValues" dxfId="765" priority="4"/>
  </conditionalFormatting>
  <conditionalFormatting sqref="B37">
    <cfRule type="duplicateValues" dxfId="764" priority="3"/>
  </conditionalFormatting>
  <conditionalFormatting sqref="B51:B1048576 B25:B32 B4:B10 B12:B20 B22 B38:B42">
    <cfRule type="duplicateValues" dxfId="76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9AC70-9856-4034-BC57-B7942D1EEDD4}">
  <sheetPr codeName="Sheet46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210</v>
      </c>
    </row>
    <row r="4" spans="1:5" x14ac:dyDescent="0.2">
      <c r="A4" s="71" t="s">
        <v>84</v>
      </c>
      <c r="B4" s="71"/>
      <c r="C4" s="2" t="s">
        <v>370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11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Flare, 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-45°C'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62" priority="6"/>
  </conditionalFormatting>
  <conditionalFormatting sqref="B33">
    <cfRule type="duplicateValues" dxfId="761" priority="2"/>
  </conditionalFormatting>
  <conditionalFormatting sqref="B34">
    <cfRule type="duplicateValues" dxfId="760" priority="1"/>
  </conditionalFormatting>
  <conditionalFormatting sqref="B35">
    <cfRule type="duplicateValues" dxfId="759" priority="5"/>
  </conditionalFormatting>
  <conditionalFormatting sqref="B36">
    <cfRule type="duplicateValues" dxfId="758" priority="4"/>
  </conditionalFormatting>
  <conditionalFormatting sqref="B37">
    <cfRule type="duplicateValues" dxfId="757" priority="3"/>
  </conditionalFormatting>
  <conditionalFormatting sqref="B51:B1048576 B25:B32 B4:B10 B12:B20 B22 B38:B42">
    <cfRule type="duplicateValues" dxfId="75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EC692-A6B4-4901-A1CB-3C30BF93F1DD}">
  <sheetPr codeName="Sheet47">
    <tabColor rgb="FF00B050"/>
    <pageSetUpPr fitToPage="1"/>
  </sheetPr>
  <dimension ref="A1:E50"/>
  <sheetViews>
    <sheetView topLeftCell="A21"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211</v>
      </c>
    </row>
    <row r="4" spans="1:5" x14ac:dyDescent="0.2">
      <c r="A4" s="71" t="s">
        <v>84</v>
      </c>
      <c r="B4" s="71"/>
      <c r="C4" s="2" t="s">
        <v>224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-45°C' 87.6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55" priority="6"/>
  </conditionalFormatting>
  <conditionalFormatting sqref="B33">
    <cfRule type="duplicateValues" dxfId="754" priority="2"/>
  </conditionalFormatting>
  <conditionalFormatting sqref="B34">
    <cfRule type="duplicateValues" dxfId="753" priority="1"/>
  </conditionalFormatting>
  <conditionalFormatting sqref="B35">
    <cfRule type="duplicateValues" dxfId="752" priority="5"/>
  </conditionalFormatting>
  <conditionalFormatting sqref="B36">
    <cfRule type="duplicateValues" dxfId="751" priority="4"/>
  </conditionalFormatting>
  <conditionalFormatting sqref="B37">
    <cfRule type="duplicateValues" dxfId="750" priority="3"/>
  </conditionalFormatting>
  <conditionalFormatting sqref="B51:B1048576 B25:B32 B4:B10 B12:B20 B22 B38:B42">
    <cfRule type="duplicateValues" dxfId="74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C226-2D7E-4773-A1B7-D954C33BE922}">
  <sheetPr codeName="Sheet48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212</v>
      </c>
    </row>
    <row r="4" spans="1:5" x14ac:dyDescent="0.2">
      <c r="A4" s="71" t="s">
        <v>84</v>
      </c>
      <c r="B4" s="71"/>
      <c r="C4" s="2" t="s">
        <v>284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</v>
      </c>
      <c r="D5" s="72"/>
      <c r="E5" s="72"/>
    </row>
    <row r="6" spans="1:5" x14ac:dyDescent="0.2">
      <c r="A6" s="72" t="s">
        <v>31</v>
      </c>
      <c r="B6" s="72"/>
      <c r="C6" s="3" t="s">
        <v>166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-45°C' 87.6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48" priority="6"/>
  </conditionalFormatting>
  <conditionalFormatting sqref="B33">
    <cfRule type="duplicateValues" dxfId="747" priority="2"/>
  </conditionalFormatting>
  <conditionalFormatting sqref="B34">
    <cfRule type="duplicateValues" dxfId="746" priority="1"/>
  </conditionalFormatting>
  <conditionalFormatting sqref="B35">
    <cfRule type="duplicateValues" dxfId="745" priority="5"/>
  </conditionalFormatting>
  <conditionalFormatting sqref="B36">
    <cfRule type="duplicateValues" dxfId="744" priority="4"/>
  </conditionalFormatting>
  <conditionalFormatting sqref="B37">
    <cfRule type="duplicateValues" dxfId="743" priority="3"/>
  </conditionalFormatting>
  <conditionalFormatting sqref="B51:B1048576 B25:B32 B4:B10 B12:B20 B22 B38:B42">
    <cfRule type="duplicateValues" dxfId="74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E5486-ECBC-44C4-8DD4-0F0934FA83C3}">
  <sheetPr codeName="Sheet49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213</v>
      </c>
    </row>
    <row r="4" spans="1:5" x14ac:dyDescent="0.2">
      <c r="A4" s="71" t="s">
        <v>84</v>
      </c>
      <c r="B4" s="71"/>
      <c r="C4" s="2" t="s">
        <v>371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-45°C' 87.6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41" priority="6"/>
  </conditionalFormatting>
  <conditionalFormatting sqref="B33">
    <cfRule type="duplicateValues" dxfId="740" priority="2"/>
  </conditionalFormatting>
  <conditionalFormatting sqref="B34">
    <cfRule type="duplicateValues" dxfId="739" priority="1"/>
  </conditionalFormatting>
  <conditionalFormatting sqref="B35">
    <cfRule type="duplicateValues" dxfId="738" priority="5"/>
  </conditionalFormatting>
  <conditionalFormatting sqref="B36">
    <cfRule type="duplicateValues" dxfId="737" priority="4"/>
  </conditionalFormatting>
  <conditionalFormatting sqref="B37">
    <cfRule type="duplicateValues" dxfId="736" priority="3"/>
  </conditionalFormatting>
  <conditionalFormatting sqref="B51:B1048576 B25:B32 B4:B10 B12:B20 B22 B38:B42">
    <cfRule type="duplicateValues" dxfId="73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35557-FD63-40BB-B07E-FBAD5D191A4C}">
  <sheetPr codeName="Sheet50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214</v>
      </c>
    </row>
    <row r="4" spans="1:5" x14ac:dyDescent="0.2">
      <c r="A4" s="71" t="s">
        <v>84</v>
      </c>
      <c r="B4" s="71"/>
      <c r="C4" s="2" t="s">
        <v>225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21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-45°C' 131.4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34" priority="6"/>
  </conditionalFormatting>
  <conditionalFormatting sqref="B33">
    <cfRule type="duplicateValues" dxfId="733" priority="2"/>
  </conditionalFormatting>
  <conditionalFormatting sqref="B34">
    <cfRule type="duplicateValues" dxfId="732" priority="1"/>
  </conditionalFormatting>
  <conditionalFormatting sqref="B35">
    <cfRule type="duplicateValues" dxfId="731" priority="5"/>
  </conditionalFormatting>
  <conditionalFormatting sqref="B36">
    <cfRule type="duplicateValues" dxfId="730" priority="4"/>
  </conditionalFormatting>
  <conditionalFormatting sqref="B37">
    <cfRule type="duplicateValues" dxfId="729" priority="3"/>
  </conditionalFormatting>
  <conditionalFormatting sqref="B51:B1048576 B25:B32 B4:B10 B12:B20 B22 B38:B42">
    <cfRule type="duplicateValues" dxfId="72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CDFD0-C171-44EF-A125-3D4AA95770A0}">
  <sheetPr codeName="Sheet51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215</v>
      </c>
    </row>
    <row r="4" spans="1:5" x14ac:dyDescent="0.2">
      <c r="A4" s="71" t="s">
        <v>84</v>
      </c>
      <c r="B4" s="71"/>
      <c r="C4" s="2" t="s">
        <v>285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21</v>
      </c>
      <c r="D5" s="72"/>
      <c r="E5" s="72"/>
    </row>
    <row r="6" spans="1:5" x14ac:dyDescent="0.2">
      <c r="A6" s="72" t="s">
        <v>31</v>
      </c>
      <c r="B6" s="72"/>
      <c r="C6" s="3" t="s">
        <v>86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-45°C' 131.4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27" priority="6"/>
  </conditionalFormatting>
  <conditionalFormatting sqref="B33">
    <cfRule type="duplicateValues" dxfId="726" priority="2"/>
  </conditionalFormatting>
  <conditionalFormatting sqref="B34">
    <cfRule type="duplicateValues" dxfId="725" priority="1"/>
  </conditionalFormatting>
  <conditionalFormatting sqref="B35">
    <cfRule type="duplicateValues" dxfId="724" priority="5"/>
  </conditionalFormatting>
  <conditionalFormatting sqref="B36">
    <cfRule type="duplicateValues" dxfId="723" priority="4"/>
  </conditionalFormatting>
  <conditionalFormatting sqref="B37">
    <cfRule type="duplicateValues" dxfId="722" priority="3"/>
  </conditionalFormatting>
  <conditionalFormatting sqref="B51:B1048576 B25:B32 B4:B10 B12:B20 B22 B38:B42">
    <cfRule type="duplicateValues" dxfId="72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4FCB4-7AAC-4263-8725-95354318BF2E}">
  <sheetPr codeName="Sheet52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216</v>
      </c>
    </row>
    <row r="4" spans="1:5" x14ac:dyDescent="0.2">
      <c r="A4" s="71" t="s">
        <v>84</v>
      </c>
      <c r="B4" s="71"/>
      <c r="C4" s="2" t="s">
        <v>372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21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-45°C' 131.4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20" priority="6"/>
  </conditionalFormatting>
  <conditionalFormatting sqref="B33">
    <cfRule type="duplicateValues" dxfId="719" priority="2"/>
  </conditionalFormatting>
  <conditionalFormatting sqref="B34">
    <cfRule type="duplicateValues" dxfId="718" priority="1"/>
  </conditionalFormatting>
  <conditionalFormatting sqref="B35">
    <cfRule type="duplicateValues" dxfId="717" priority="5"/>
  </conditionalFormatting>
  <conditionalFormatting sqref="B36">
    <cfRule type="duplicateValues" dxfId="716" priority="4"/>
  </conditionalFormatting>
  <conditionalFormatting sqref="B37">
    <cfRule type="duplicateValues" dxfId="715" priority="3"/>
  </conditionalFormatting>
  <conditionalFormatting sqref="B51:B1048576 B25:B32 B4:B10 B12:B20 B22 B38:B42">
    <cfRule type="duplicateValues" dxfId="71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409A5-AF6B-4A04-9853-4F2933B7FE93}">
  <sheetPr codeName="Sheet53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217</v>
      </c>
    </row>
    <row r="4" spans="1:5" x14ac:dyDescent="0.2">
      <c r="A4" s="71" t="s">
        <v>84</v>
      </c>
      <c r="B4" s="71"/>
      <c r="C4" s="2" t="s">
        <v>226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23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-45°C'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13" priority="6"/>
  </conditionalFormatting>
  <conditionalFormatting sqref="B33">
    <cfRule type="duplicateValues" dxfId="712" priority="2"/>
  </conditionalFormatting>
  <conditionalFormatting sqref="B34">
    <cfRule type="duplicateValues" dxfId="711" priority="1"/>
  </conditionalFormatting>
  <conditionalFormatting sqref="B35">
    <cfRule type="duplicateValues" dxfId="710" priority="5"/>
  </conditionalFormatting>
  <conditionalFormatting sqref="B36">
    <cfRule type="duplicateValues" dxfId="709" priority="4"/>
  </conditionalFormatting>
  <conditionalFormatting sqref="B37">
    <cfRule type="duplicateValues" dxfId="708" priority="3"/>
  </conditionalFormatting>
  <conditionalFormatting sqref="B51:B1048576 B25:B32 B4:B10 B12:B20 B22 B38:B42">
    <cfRule type="duplicateValues" dxfId="70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07188-DF4E-4C3D-A21D-882C82157C56}">
  <sheetPr codeName="Sheet54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218</v>
      </c>
    </row>
    <row r="4" spans="1:5" x14ac:dyDescent="0.2">
      <c r="A4" s="71" t="s">
        <v>84</v>
      </c>
      <c r="B4" s="71"/>
      <c r="C4" s="2" t="s">
        <v>286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23</v>
      </c>
      <c r="D5" s="72"/>
      <c r="E5" s="72"/>
    </row>
    <row r="6" spans="1:5" x14ac:dyDescent="0.2">
      <c r="A6" s="72" t="s">
        <v>31</v>
      </c>
      <c r="B6" s="72"/>
      <c r="C6" s="3" t="s">
        <v>86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-45°C'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06" priority="6"/>
  </conditionalFormatting>
  <conditionalFormatting sqref="B33">
    <cfRule type="duplicateValues" dxfId="705" priority="2"/>
  </conditionalFormatting>
  <conditionalFormatting sqref="B34">
    <cfRule type="duplicateValues" dxfId="704" priority="1"/>
  </conditionalFormatting>
  <conditionalFormatting sqref="B35">
    <cfRule type="duplicateValues" dxfId="703" priority="5"/>
  </conditionalFormatting>
  <conditionalFormatting sqref="B36">
    <cfRule type="duplicateValues" dxfId="702" priority="4"/>
  </conditionalFormatting>
  <conditionalFormatting sqref="B37">
    <cfRule type="duplicateValues" dxfId="701" priority="3"/>
  </conditionalFormatting>
  <conditionalFormatting sqref="B51:B1048576 B25:B32 B4:B10 B12:B20 B22 B38:B42">
    <cfRule type="duplicateValues" dxfId="70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23BB5-6775-4EBA-A755-1D4788C16769}">
  <sheetPr codeName="Sheet55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219</v>
      </c>
    </row>
    <row r="4" spans="1:5" x14ac:dyDescent="0.2">
      <c r="A4" s="71" t="s">
        <v>84</v>
      </c>
      <c r="B4" s="71"/>
      <c r="C4" s="2" t="s">
        <v>373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23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-45°C'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99" priority="6"/>
  </conditionalFormatting>
  <conditionalFormatting sqref="B33">
    <cfRule type="duplicateValues" dxfId="698" priority="2"/>
  </conditionalFormatting>
  <conditionalFormatting sqref="B34">
    <cfRule type="duplicateValues" dxfId="697" priority="1"/>
  </conditionalFormatting>
  <conditionalFormatting sqref="B35">
    <cfRule type="duplicateValues" dxfId="696" priority="5"/>
  </conditionalFormatting>
  <conditionalFormatting sqref="B36">
    <cfRule type="duplicateValues" dxfId="695" priority="4"/>
  </conditionalFormatting>
  <conditionalFormatting sqref="B37">
    <cfRule type="duplicateValues" dxfId="694" priority="3"/>
  </conditionalFormatting>
  <conditionalFormatting sqref="B51:B1048576 B25:B32 B4:B10 B12:B20 B22 B38:B42">
    <cfRule type="duplicateValues" dxfId="69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770C6-E291-49E2-B4D5-BFA3B5147AB0}">
  <sheetPr codeName="Sheet56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220</v>
      </c>
    </row>
    <row r="4" spans="1:5" x14ac:dyDescent="0.2">
      <c r="A4" s="71" t="s">
        <v>84</v>
      </c>
      <c r="B4" s="71"/>
      <c r="C4" s="2" t="s">
        <v>227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25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Gas Lift, 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92" priority="6"/>
  </conditionalFormatting>
  <conditionalFormatting sqref="B33">
    <cfRule type="duplicateValues" dxfId="691" priority="2"/>
  </conditionalFormatting>
  <conditionalFormatting sqref="B34">
    <cfRule type="duplicateValues" dxfId="690" priority="1"/>
  </conditionalFormatting>
  <conditionalFormatting sqref="B35">
    <cfRule type="duplicateValues" dxfId="689" priority="5"/>
  </conditionalFormatting>
  <conditionalFormatting sqref="B36">
    <cfRule type="duplicateValues" dxfId="688" priority="4"/>
  </conditionalFormatting>
  <conditionalFormatting sqref="B37">
    <cfRule type="duplicateValues" dxfId="687" priority="3"/>
  </conditionalFormatting>
  <conditionalFormatting sqref="B51:B1048576 B25:B32 B4:B10 B12:B20 B22 B38:B42">
    <cfRule type="duplicateValues" dxfId="68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90F39-F0C7-4C56-814C-39A1B3EE62A0}">
  <sheetPr codeName="Sheet57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221</v>
      </c>
    </row>
    <row r="4" spans="1:5" x14ac:dyDescent="0.2">
      <c r="A4" s="71" t="s">
        <v>84</v>
      </c>
      <c r="B4" s="71"/>
      <c r="C4" s="2" t="s">
        <v>287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25</v>
      </c>
      <c r="D5" s="72"/>
      <c r="E5" s="72"/>
    </row>
    <row r="6" spans="1:5" x14ac:dyDescent="0.2">
      <c r="A6" s="72" t="s">
        <v>31</v>
      </c>
      <c r="B6" s="72"/>
      <c r="C6" s="3" t="s">
        <v>156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Gas Lift, 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85" priority="6"/>
  </conditionalFormatting>
  <conditionalFormatting sqref="B33">
    <cfRule type="duplicateValues" dxfId="684" priority="2"/>
  </conditionalFormatting>
  <conditionalFormatting sqref="B34">
    <cfRule type="duplicateValues" dxfId="683" priority="1"/>
  </conditionalFormatting>
  <conditionalFormatting sqref="B35">
    <cfRule type="duplicateValues" dxfId="682" priority="5"/>
  </conditionalFormatting>
  <conditionalFormatting sqref="B36">
    <cfRule type="duplicateValues" dxfId="681" priority="4"/>
  </conditionalFormatting>
  <conditionalFormatting sqref="B37">
    <cfRule type="duplicateValues" dxfId="680" priority="3"/>
  </conditionalFormatting>
  <conditionalFormatting sqref="B51:B1048576 B25:B32 B4:B10 B12:B20 B22 B38:B42">
    <cfRule type="duplicateValues" dxfId="67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A548F-2119-4D33-957C-F9C772AD21DC}">
  <sheetPr codeName="Sheet58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222</v>
      </c>
    </row>
    <row r="4" spans="1:5" x14ac:dyDescent="0.2">
      <c r="A4" s="71" t="s">
        <v>84</v>
      </c>
      <c r="B4" s="71"/>
      <c r="C4" s="2" t="s">
        <v>374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25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Gas Lift, 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78" priority="6"/>
  </conditionalFormatting>
  <conditionalFormatting sqref="B33">
    <cfRule type="duplicateValues" dxfId="677" priority="2"/>
  </conditionalFormatting>
  <conditionalFormatting sqref="B34">
    <cfRule type="duplicateValues" dxfId="676" priority="1"/>
  </conditionalFormatting>
  <conditionalFormatting sqref="B35">
    <cfRule type="duplicateValues" dxfId="675" priority="5"/>
  </conditionalFormatting>
  <conditionalFormatting sqref="B36">
    <cfRule type="duplicateValues" dxfId="674" priority="4"/>
  </conditionalFormatting>
  <conditionalFormatting sqref="B37">
    <cfRule type="duplicateValues" dxfId="673" priority="3"/>
  </conditionalFormatting>
  <conditionalFormatting sqref="B51:B1048576 B25:B32 B4:B10 B12:B20 B22 B38:B42">
    <cfRule type="duplicateValues" dxfId="67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D1208-D1E0-4092-B00D-B4BC03B99BB3}">
  <sheetPr codeName="Sheet59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223</v>
      </c>
    </row>
    <row r="4" spans="1:5" x14ac:dyDescent="0.2">
      <c r="A4" s="71" t="s">
        <v>84</v>
      </c>
      <c r="B4" s="71"/>
      <c r="C4" s="2" t="s">
        <v>228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5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-29°C' 13.8 @ 250°C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71" priority="6"/>
  </conditionalFormatting>
  <conditionalFormatting sqref="B33">
    <cfRule type="duplicateValues" dxfId="670" priority="2"/>
  </conditionalFormatting>
  <conditionalFormatting sqref="B34">
    <cfRule type="duplicateValues" dxfId="669" priority="1"/>
  </conditionalFormatting>
  <conditionalFormatting sqref="B35">
    <cfRule type="duplicateValues" dxfId="668" priority="5"/>
  </conditionalFormatting>
  <conditionalFormatting sqref="B36">
    <cfRule type="duplicateValues" dxfId="667" priority="4"/>
  </conditionalFormatting>
  <conditionalFormatting sqref="B37">
    <cfRule type="duplicateValues" dxfId="666" priority="3"/>
  </conditionalFormatting>
  <conditionalFormatting sqref="B51:B1048576 B25:B32 B4:B10 B12:B20 B22 B38:B42">
    <cfRule type="duplicateValues" dxfId="66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45C79-525C-4ACB-AF1E-6B96CBAB3A5C}">
  <sheetPr codeName="Sheet60">
    <tabColor rgb="FF00B050"/>
    <pageSetUpPr fitToPage="1"/>
  </sheetPr>
  <dimension ref="A1:E50"/>
  <sheetViews>
    <sheetView zoomScaleNormal="100" workbookViewId="0">
      <selection activeCell="I26" sqref="I26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224</v>
      </c>
    </row>
    <row r="4" spans="1:5" x14ac:dyDescent="0.2">
      <c r="A4" s="71" t="s">
        <v>84</v>
      </c>
      <c r="B4" s="71"/>
      <c r="C4" s="2" t="s">
        <v>288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5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-29°C' 13.8 @ 250°C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64" priority="6"/>
  </conditionalFormatting>
  <conditionalFormatting sqref="B33">
    <cfRule type="duplicateValues" dxfId="663" priority="2"/>
  </conditionalFormatting>
  <conditionalFormatting sqref="B34">
    <cfRule type="duplicateValues" dxfId="662" priority="1"/>
  </conditionalFormatting>
  <conditionalFormatting sqref="B35">
    <cfRule type="duplicateValues" dxfId="661" priority="5"/>
  </conditionalFormatting>
  <conditionalFormatting sqref="B36">
    <cfRule type="duplicateValues" dxfId="660" priority="4"/>
  </conditionalFormatting>
  <conditionalFormatting sqref="B37">
    <cfRule type="duplicateValues" dxfId="659" priority="3"/>
  </conditionalFormatting>
  <conditionalFormatting sqref="B51:B1048576 B25:B32 B4:B10 B12:B20 B22 B38:B42">
    <cfRule type="duplicateValues" dxfId="65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3B4EC-24BE-41AF-B7E6-29C6F0AF5D08}">
  <sheetPr codeName="Sheet61">
    <tabColor rgb="FF00B050"/>
    <pageSetUpPr fitToPage="1"/>
  </sheetPr>
  <dimension ref="A1:E50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225</v>
      </c>
    </row>
    <row r="4" spans="1:5" x14ac:dyDescent="0.2">
      <c r="A4" s="71" t="s">
        <v>84</v>
      </c>
      <c r="B4" s="71"/>
      <c r="C4" s="2" t="s">
        <v>375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5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-29°C' 13.8 @ 250°C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161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57" priority="6"/>
  </conditionalFormatting>
  <conditionalFormatting sqref="B33">
    <cfRule type="duplicateValues" dxfId="656" priority="2"/>
  </conditionalFormatting>
  <conditionalFormatting sqref="B34">
    <cfRule type="duplicateValues" dxfId="655" priority="1"/>
  </conditionalFormatting>
  <conditionalFormatting sqref="B35">
    <cfRule type="duplicateValues" dxfId="654" priority="5"/>
  </conditionalFormatting>
  <conditionalFormatting sqref="B36">
    <cfRule type="duplicateValues" dxfId="653" priority="4"/>
  </conditionalFormatting>
  <conditionalFormatting sqref="B37">
    <cfRule type="duplicateValues" dxfId="652" priority="3"/>
  </conditionalFormatting>
  <conditionalFormatting sqref="B51:B1048576 B25:B32 B4:B10 B12:B20 B22 B38:B42">
    <cfRule type="duplicateValues" dxfId="65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DB36A-FDFA-4E09-92BD-D5656755EE84}">
  <sheetPr codeName="Sheet62">
    <tabColor rgb="FF00B050"/>
    <pageSetUpPr fitToPage="1"/>
  </sheetPr>
  <dimension ref="A1:E50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226</v>
      </c>
    </row>
    <row r="4" spans="1:5" x14ac:dyDescent="0.2">
      <c r="A4" s="71" t="s">
        <v>84</v>
      </c>
      <c r="B4" s="71"/>
      <c r="C4" s="2" t="s">
        <v>229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12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-29°C' 43.8 @ 250°C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50" priority="6"/>
  </conditionalFormatting>
  <conditionalFormatting sqref="B33">
    <cfRule type="duplicateValues" dxfId="649" priority="2"/>
  </conditionalFormatting>
  <conditionalFormatting sqref="B34">
    <cfRule type="duplicateValues" dxfId="648" priority="1"/>
  </conditionalFormatting>
  <conditionalFormatting sqref="B35">
    <cfRule type="duplicateValues" dxfId="647" priority="5"/>
  </conditionalFormatting>
  <conditionalFormatting sqref="B36">
    <cfRule type="duplicateValues" dxfId="646" priority="4"/>
  </conditionalFormatting>
  <conditionalFormatting sqref="B37">
    <cfRule type="duplicateValues" dxfId="645" priority="3"/>
  </conditionalFormatting>
  <conditionalFormatting sqref="B51:B1048576 B25:B32 B4:B10 B12:B20 B22 B38:B42">
    <cfRule type="duplicateValues" dxfId="64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6AF9-7792-4CC7-85DA-BD911FA26635}">
  <sheetPr codeName="Sheet63">
    <tabColor rgb="FF00B050"/>
    <pageSetUpPr fitToPage="1"/>
  </sheetPr>
  <dimension ref="A1:E50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227</v>
      </c>
    </row>
    <row r="4" spans="1:5" x14ac:dyDescent="0.2">
      <c r="A4" s="71" t="s">
        <v>84</v>
      </c>
      <c r="B4" s="71"/>
      <c r="C4" s="2" t="s">
        <v>289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12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-29°C' 43.8 @ 250°C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43" priority="6"/>
  </conditionalFormatting>
  <conditionalFormatting sqref="B33">
    <cfRule type="duplicateValues" dxfId="642" priority="2"/>
  </conditionalFormatting>
  <conditionalFormatting sqref="B34">
    <cfRule type="duplicateValues" dxfId="641" priority="1"/>
  </conditionalFormatting>
  <conditionalFormatting sqref="B35">
    <cfRule type="duplicateValues" dxfId="640" priority="5"/>
  </conditionalFormatting>
  <conditionalFormatting sqref="B36">
    <cfRule type="duplicateValues" dxfId="639" priority="4"/>
  </conditionalFormatting>
  <conditionalFormatting sqref="B37">
    <cfRule type="duplicateValues" dxfId="638" priority="3"/>
  </conditionalFormatting>
  <conditionalFormatting sqref="B51:B1048576 B25:B32 B4:B10 B12:B20 B22 B38:B42">
    <cfRule type="duplicateValues" dxfId="63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7B30-3B32-4E83-A823-DC3F00BB6974}">
  <sheetPr codeName="Sheet64">
    <tabColor rgb="FF00B050"/>
    <pageSetUpPr fitToPage="1"/>
  </sheetPr>
  <dimension ref="A1:E50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228</v>
      </c>
    </row>
    <row r="4" spans="1:5" x14ac:dyDescent="0.2">
      <c r="A4" s="71" t="s">
        <v>84</v>
      </c>
      <c r="B4" s="71"/>
      <c r="C4" s="2" t="s">
        <v>376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12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-29°C' 43.8 @ 250°C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161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36" priority="6"/>
  </conditionalFormatting>
  <conditionalFormatting sqref="B33">
    <cfRule type="duplicateValues" dxfId="635" priority="2"/>
  </conditionalFormatting>
  <conditionalFormatting sqref="B34">
    <cfRule type="duplicateValues" dxfId="634" priority="1"/>
  </conditionalFormatting>
  <conditionalFormatting sqref="B35">
    <cfRule type="duplicateValues" dxfId="633" priority="5"/>
  </conditionalFormatting>
  <conditionalFormatting sqref="B36">
    <cfRule type="duplicateValues" dxfId="632" priority="4"/>
  </conditionalFormatting>
  <conditionalFormatting sqref="B37">
    <cfRule type="duplicateValues" dxfId="631" priority="3"/>
  </conditionalFormatting>
  <conditionalFormatting sqref="B51:B1048576 B25:B32 B4:B10 B12:B20 B22 B38:B42">
    <cfRule type="duplicateValues" dxfId="63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C488D-D9D8-4D82-8F70-4C2AED90CDCF}">
  <sheetPr codeName="Sheet65">
    <tabColor rgb="FF00B050"/>
    <pageSetUpPr fitToPage="1"/>
  </sheetPr>
  <dimension ref="A1:E50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229</v>
      </c>
    </row>
    <row r="4" spans="1:5" x14ac:dyDescent="0.2">
      <c r="A4" s="71" t="s">
        <v>84</v>
      </c>
      <c r="B4" s="71"/>
      <c r="C4" s="2" t="s">
        <v>230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-29°C' 87.6 @ 250°C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29" priority="6"/>
  </conditionalFormatting>
  <conditionalFormatting sqref="B33">
    <cfRule type="duplicateValues" dxfId="628" priority="2"/>
  </conditionalFormatting>
  <conditionalFormatting sqref="B34">
    <cfRule type="duplicateValues" dxfId="627" priority="1"/>
  </conditionalFormatting>
  <conditionalFormatting sqref="B35">
    <cfRule type="duplicateValues" dxfId="626" priority="5"/>
  </conditionalFormatting>
  <conditionalFormatting sqref="B36">
    <cfRule type="duplicateValues" dxfId="625" priority="4"/>
  </conditionalFormatting>
  <conditionalFormatting sqref="B37">
    <cfRule type="duplicateValues" dxfId="624" priority="3"/>
  </conditionalFormatting>
  <conditionalFormatting sqref="B51:B1048576 B25:B32 B4:B10 B12:B20 B22 B38:B42">
    <cfRule type="duplicateValues" dxfId="62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49150-9A1B-40D2-8179-079189BA755D}">
  <sheetPr codeName="Sheet66">
    <tabColor rgb="FF00B050"/>
    <pageSetUpPr fitToPage="1"/>
  </sheetPr>
  <dimension ref="A1:E50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230</v>
      </c>
    </row>
    <row r="4" spans="1:5" x14ac:dyDescent="0.2">
      <c r="A4" s="71" t="s">
        <v>84</v>
      </c>
      <c r="B4" s="71"/>
      <c r="C4" s="2" t="s">
        <v>290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13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-29°C' 87.6 @ 250°C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198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22" priority="6"/>
  </conditionalFormatting>
  <conditionalFormatting sqref="B33">
    <cfRule type="duplicateValues" dxfId="621" priority="2"/>
  </conditionalFormatting>
  <conditionalFormatting sqref="B34">
    <cfRule type="duplicateValues" dxfId="620" priority="1"/>
  </conditionalFormatting>
  <conditionalFormatting sqref="B35">
    <cfRule type="duplicateValues" dxfId="619" priority="5"/>
  </conditionalFormatting>
  <conditionalFormatting sqref="B36">
    <cfRule type="duplicateValues" dxfId="618" priority="4"/>
  </conditionalFormatting>
  <conditionalFormatting sqref="B37">
    <cfRule type="duplicateValues" dxfId="617" priority="3"/>
  </conditionalFormatting>
  <conditionalFormatting sqref="B51:B1048576 B25:B32 B4:B10 B12:B20 B22 B38:B42">
    <cfRule type="duplicateValues" dxfId="61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621EA-267A-4A2C-923F-BAC8FCA76309}">
  <sheetPr codeName="Sheet67">
    <tabColor rgb="FF00B050"/>
    <pageSetUpPr fitToPage="1"/>
  </sheetPr>
  <dimension ref="A1:E50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231</v>
      </c>
    </row>
    <row r="4" spans="1:5" x14ac:dyDescent="0.2">
      <c r="A4" s="71" t="s">
        <v>84</v>
      </c>
      <c r="B4" s="71"/>
      <c r="C4" s="2" t="s">
        <v>231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14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-29°C' 131.4 @ 250°C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15" priority="6"/>
  </conditionalFormatting>
  <conditionalFormatting sqref="B33">
    <cfRule type="duplicateValues" dxfId="614" priority="2"/>
  </conditionalFormatting>
  <conditionalFormatting sqref="B34">
    <cfRule type="duplicateValues" dxfId="613" priority="1"/>
  </conditionalFormatting>
  <conditionalFormatting sqref="B35">
    <cfRule type="duplicateValues" dxfId="612" priority="5"/>
  </conditionalFormatting>
  <conditionalFormatting sqref="B36">
    <cfRule type="duplicateValues" dxfId="611" priority="4"/>
  </conditionalFormatting>
  <conditionalFormatting sqref="B37">
    <cfRule type="duplicateValues" dxfId="610" priority="3"/>
  </conditionalFormatting>
  <conditionalFormatting sqref="B51:B1048576 B25:B32 B4:B10 B12:B20 B22 B38:B42">
    <cfRule type="duplicateValues" dxfId="60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F0CFC-AAF5-455F-8A51-8800AFAC2BAA}">
  <sheetPr codeName="Sheet68">
    <tabColor rgb="FF00B050"/>
    <pageSetUpPr fitToPage="1"/>
  </sheetPr>
  <dimension ref="A1:E50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232</v>
      </c>
    </row>
    <row r="4" spans="1:5" x14ac:dyDescent="0.2">
      <c r="A4" s="71" t="s">
        <v>84</v>
      </c>
      <c r="B4" s="71"/>
      <c r="C4" s="2" t="s">
        <v>291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14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-29°C' 131.4 @ 250°C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08" priority="6"/>
  </conditionalFormatting>
  <conditionalFormatting sqref="B33">
    <cfRule type="duplicateValues" dxfId="607" priority="2"/>
  </conditionalFormatting>
  <conditionalFormatting sqref="B34">
    <cfRule type="duplicateValues" dxfId="606" priority="1"/>
  </conditionalFormatting>
  <conditionalFormatting sqref="B35">
    <cfRule type="duplicateValues" dxfId="605" priority="5"/>
  </conditionalFormatting>
  <conditionalFormatting sqref="B36">
    <cfRule type="duplicateValues" dxfId="604" priority="4"/>
  </conditionalFormatting>
  <conditionalFormatting sqref="B37">
    <cfRule type="duplicateValues" dxfId="603" priority="3"/>
  </conditionalFormatting>
  <conditionalFormatting sqref="B51:B1048576 B25:B32 B4:B10 B12:B20 B22 B38:B42">
    <cfRule type="duplicateValues" dxfId="60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E31F8-F7DD-4B53-AAC8-C151470CAE9F}">
  <sheetPr codeName="Sheet69">
    <tabColor rgb="FF00B050"/>
    <pageSetUpPr fitToPage="1"/>
  </sheetPr>
  <dimension ref="A1:E50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233</v>
      </c>
    </row>
    <row r="4" spans="1:5" x14ac:dyDescent="0.2">
      <c r="A4" s="71" t="s">
        <v>84</v>
      </c>
      <c r="B4" s="71"/>
      <c r="C4" s="2" t="s">
        <v>232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15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-29°C'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01" priority="6"/>
  </conditionalFormatting>
  <conditionalFormatting sqref="B33">
    <cfRule type="duplicateValues" dxfId="600" priority="2"/>
  </conditionalFormatting>
  <conditionalFormatting sqref="B34">
    <cfRule type="duplicateValues" dxfId="599" priority="1"/>
  </conditionalFormatting>
  <conditionalFormatting sqref="B35">
    <cfRule type="duplicateValues" dxfId="598" priority="5"/>
  </conditionalFormatting>
  <conditionalFormatting sqref="B36">
    <cfRule type="duplicateValues" dxfId="597" priority="4"/>
  </conditionalFormatting>
  <conditionalFormatting sqref="B37">
    <cfRule type="duplicateValues" dxfId="596" priority="3"/>
  </conditionalFormatting>
  <conditionalFormatting sqref="B51:B1048576 B25:B32 B4:B10 B12:B20 B22 B38:B42">
    <cfRule type="duplicateValues" dxfId="59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D577-9747-4864-9E88-7A30CECC7DAE}">
  <sheetPr codeName="Sheet70">
    <tabColor rgb="FF00B050"/>
    <pageSetUpPr fitToPage="1"/>
  </sheetPr>
  <dimension ref="A1:E50"/>
  <sheetViews>
    <sheetView topLeftCell="A8"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234</v>
      </c>
    </row>
    <row r="4" spans="1:5" x14ac:dyDescent="0.2">
      <c r="A4" s="71" t="s">
        <v>84</v>
      </c>
      <c r="B4" s="71"/>
      <c r="C4" s="2" t="s">
        <v>292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15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-29°C'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94" priority="6"/>
  </conditionalFormatting>
  <conditionalFormatting sqref="B33">
    <cfRule type="duplicateValues" dxfId="593" priority="2"/>
  </conditionalFormatting>
  <conditionalFormatting sqref="B34">
    <cfRule type="duplicateValues" dxfId="592" priority="1"/>
  </conditionalFormatting>
  <conditionalFormatting sqref="B35">
    <cfRule type="duplicateValues" dxfId="591" priority="5"/>
  </conditionalFormatting>
  <conditionalFormatting sqref="B36">
    <cfRule type="duplicateValues" dxfId="590" priority="4"/>
  </conditionalFormatting>
  <conditionalFormatting sqref="B37">
    <cfRule type="duplicateValues" dxfId="589" priority="3"/>
  </conditionalFormatting>
  <conditionalFormatting sqref="B51:B1048576 B25:B32 B4:B10 B12:B20 B22 B38:B42">
    <cfRule type="duplicateValues" dxfId="58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51FD8-2644-43E9-85A6-B7B0585A54F4}">
  <sheetPr codeName="Sheet71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235</v>
      </c>
    </row>
    <row r="4" spans="1:5" x14ac:dyDescent="0.2">
      <c r="A4" s="71" t="s">
        <v>84</v>
      </c>
      <c r="B4" s="71"/>
      <c r="C4" s="2" t="s">
        <v>233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16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83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87" priority="6"/>
  </conditionalFormatting>
  <conditionalFormatting sqref="B33">
    <cfRule type="duplicateValues" dxfId="586" priority="2"/>
  </conditionalFormatting>
  <conditionalFormatting sqref="B34">
    <cfRule type="duplicateValues" dxfId="585" priority="1"/>
  </conditionalFormatting>
  <conditionalFormatting sqref="B35">
    <cfRule type="duplicateValues" dxfId="584" priority="5"/>
  </conditionalFormatting>
  <conditionalFormatting sqref="B36">
    <cfRule type="duplicateValues" dxfId="583" priority="4"/>
  </conditionalFormatting>
  <conditionalFormatting sqref="B37">
    <cfRule type="duplicateValues" dxfId="582" priority="3"/>
  </conditionalFormatting>
  <conditionalFormatting sqref="B51:B1048576 B25:B32 B4:B10 B12:B20 B22 B38:B42">
    <cfRule type="duplicateValues" dxfId="58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A1F3F-E5D5-4F7E-9851-079BF86BA1E7}">
  <sheetPr codeName="Sheet72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236</v>
      </c>
    </row>
    <row r="4" spans="1:5" x14ac:dyDescent="0.2">
      <c r="A4" s="71" t="s">
        <v>84</v>
      </c>
      <c r="B4" s="71"/>
      <c r="C4" s="2" t="s">
        <v>293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16</v>
      </c>
      <c r="D5" s="72"/>
      <c r="E5" s="72"/>
    </row>
    <row r="6" spans="1:5" x14ac:dyDescent="0.2">
      <c r="A6" s="72" t="s">
        <v>31</v>
      </c>
      <c r="B6" s="72"/>
      <c r="C6" s="3" t="s">
        <v>156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94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80" priority="6"/>
  </conditionalFormatting>
  <conditionalFormatting sqref="B33">
    <cfRule type="duplicateValues" dxfId="579" priority="2"/>
  </conditionalFormatting>
  <conditionalFormatting sqref="B34">
    <cfRule type="duplicateValues" dxfId="578" priority="1"/>
  </conditionalFormatting>
  <conditionalFormatting sqref="B35">
    <cfRule type="duplicateValues" dxfId="577" priority="5"/>
  </conditionalFormatting>
  <conditionalFormatting sqref="B36">
    <cfRule type="duplicateValues" dxfId="576" priority="4"/>
  </conditionalFormatting>
  <conditionalFormatting sqref="B37">
    <cfRule type="duplicateValues" dxfId="575" priority="3"/>
  </conditionalFormatting>
  <conditionalFormatting sqref="B51:B1048576 B25:B32 B4:B10 B12:B20 B22 B38:B42">
    <cfRule type="duplicateValues" dxfId="57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36BF-ED94-42D6-9ABC-3B6DD2F0AF04}">
  <sheetPr codeName="Sheet73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237</v>
      </c>
    </row>
    <row r="4" spans="1:5" x14ac:dyDescent="0.2">
      <c r="A4" s="71" t="s">
        <v>84</v>
      </c>
      <c r="B4" s="71"/>
      <c r="C4" s="2" t="s">
        <v>377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16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FG, HC service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3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161</v>
      </c>
      <c r="D20" s="72"/>
      <c r="E20" s="72"/>
    </row>
    <row r="21" spans="1:5" x14ac:dyDescent="0.2">
      <c r="A21" s="72"/>
      <c r="B21" s="4" t="s">
        <v>108</v>
      </c>
      <c r="C21" s="3" t="s">
        <v>146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199</v>
      </c>
      <c r="D28" s="72"/>
      <c r="E28" s="72"/>
    </row>
    <row r="29" spans="1:5" x14ac:dyDescent="0.2">
      <c r="A29" s="72"/>
      <c r="B29" s="4" t="s">
        <v>48</v>
      </c>
      <c r="C29" s="3" t="s">
        <v>95</v>
      </c>
      <c r="D29" s="72"/>
      <c r="E29" s="72"/>
    </row>
    <row r="30" spans="1:5" x14ac:dyDescent="0.2">
      <c r="A30" s="72"/>
      <c r="B30" s="4" t="s">
        <v>49</v>
      </c>
      <c r="C30" s="3" t="s">
        <v>96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73" priority="6"/>
  </conditionalFormatting>
  <conditionalFormatting sqref="B33">
    <cfRule type="duplicateValues" dxfId="572" priority="2"/>
  </conditionalFormatting>
  <conditionalFormatting sqref="B34">
    <cfRule type="duplicateValues" dxfId="571" priority="1"/>
  </conditionalFormatting>
  <conditionalFormatting sqref="B35">
    <cfRule type="duplicateValues" dxfId="570" priority="5"/>
  </conditionalFormatting>
  <conditionalFormatting sqref="B36">
    <cfRule type="duplicateValues" dxfId="569" priority="4"/>
  </conditionalFormatting>
  <conditionalFormatting sqref="B37">
    <cfRule type="duplicateValues" dxfId="568" priority="3"/>
  </conditionalFormatting>
  <conditionalFormatting sqref="B51:B1048576 B25:B32 B4:B10 B12:B20 B22 B38:B42">
    <cfRule type="duplicateValues" dxfId="56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58915-D47F-473E-99EE-BDB1A45CFFB3}">
  <sheetPr codeName="Sheet76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238</v>
      </c>
    </row>
    <row r="4" spans="1:5" x14ac:dyDescent="0.2">
      <c r="A4" s="71" t="s">
        <v>84</v>
      </c>
      <c r="B4" s="71"/>
      <c r="C4" s="2" t="s">
        <v>234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175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-45°C'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66" priority="6"/>
  </conditionalFormatting>
  <conditionalFormatting sqref="B33">
    <cfRule type="duplicateValues" dxfId="565" priority="2"/>
  </conditionalFormatting>
  <conditionalFormatting sqref="B34">
    <cfRule type="duplicateValues" dxfId="564" priority="1"/>
  </conditionalFormatting>
  <conditionalFormatting sqref="B35">
    <cfRule type="duplicateValues" dxfId="563" priority="5"/>
  </conditionalFormatting>
  <conditionalFormatting sqref="B36">
    <cfRule type="duplicateValues" dxfId="562" priority="4"/>
  </conditionalFormatting>
  <conditionalFormatting sqref="B37">
    <cfRule type="duplicateValues" dxfId="561" priority="3"/>
  </conditionalFormatting>
  <conditionalFormatting sqref="B51:B1048576 B25:B32 B4:B10 B12:B20 B22 B38:B42">
    <cfRule type="duplicateValues" dxfId="56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485BA-2024-41EF-98A5-589130D84BED}">
  <sheetPr codeName="Sheet77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239</v>
      </c>
    </row>
    <row r="4" spans="1:5" x14ac:dyDescent="0.2">
      <c r="A4" s="71" t="s">
        <v>84</v>
      </c>
      <c r="B4" s="71"/>
      <c r="C4" s="2" t="s">
        <v>294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175</v>
      </c>
      <c r="D5" s="72"/>
      <c r="E5" s="72"/>
    </row>
    <row r="6" spans="1:5" x14ac:dyDescent="0.2">
      <c r="A6" s="72" t="s">
        <v>31</v>
      </c>
      <c r="B6" s="72"/>
      <c r="C6" s="3" t="s">
        <v>167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-45°C'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59" priority="6"/>
  </conditionalFormatting>
  <conditionalFormatting sqref="B33">
    <cfRule type="duplicateValues" dxfId="558" priority="2"/>
  </conditionalFormatting>
  <conditionalFormatting sqref="B34">
    <cfRule type="duplicateValues" dxfId="557" priority="1"/>
  </conditionalFormatting>
  <conditionalFormatting sqref="B35">
    <cfRule type="duplicateValues" dxfId="556" priority="5"/>
  </conditionalFormatting>
  <conditionalFormatting sqref="B36">
    <cfRule type="duplicateValues" dxfId="555" priority="4"/>
  </conditionalFormatting>
  <conditionalFormatting sqref="B37">
    <cfRule type="duplicateValues" dxfId="554" priority="3"/>
  </conditionalFormatting>
  <conditionalFormatting sqref="B51:B1048576 B25:B32 B4:B10 B12:B20 B22 B38:B42">
    <cfRule type="duplicateValues" dxfId="55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6F354-762C-4C85-8410-D8B5FB984198}">
  <sheetPr codeName="Sheet78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240</v>
      </c>
    </row>
    <row r="4" spans="1:5" x14ac:dyDescent="0.2">
      <c r="A4" s="71" t="s">
        <v>84</v>
      </c>
      <c r="B4" s="71"/>
      <c r="C4" s="2" t="s">
        <v>378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175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19.6 @ -45°C'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358</v>
      </c>
      <c r="D35" s="77"/>
      <c r="E35" s="78"/>
    </row>
    <row r="36" spans="1:5" x14ac:dyDescent="0.2">
      <c r="A36" s="77" t="s">
        <v>139</v>
      </c>
      <c r="B36" s="78"/>
      <c r="C36" s="3" t="s">
        <v>359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52" priority="6"/>
  </conditionalFormatting>
  <conditionalFormatting sqref="B33">
    <cfRule type="duplicateValues" dxfId="551" priority="2"/>
  </conditionalFormatting>
  <conditionalFormatting sqref="B34">
    <cfRule type="duplicateValues" dxfId="550" priority="1"/>
  </conditionalFormatting>
  <conditionalFormatting sqref="B35">
    <cfRule type="duplicateValues" dxfId="549" priority="5"/>
  </conditionalFormatting>
  <conditionalFormatting sqref="B36">
    <cfRule type="duplicateValues" dxfId="548" priority="4"/>
  </conditionalFormatting>
  <conditionalFormatting sqref="B37">
    <cfRule type="duplicateValues" dxfId="547" priority="3"/>
  </conditionalFormatting>
  <conditionalFormatting sqref="B51:B1048576 B25:B32 B4:B10 B12:B20 B22 B38:B42">
    <cfRule type="duplicateValues" dxfId="54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7C51C-333C-42E1-9F5D-3D13EA1848B1}">
  <sheetPr codeName="Sheet79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241</v>
      </c>
    </row>
    <row r="4" spans="1:5" x14ac:dyDescent="0.2">
      <c r="A4" s="71" t="s">
        <v>84</v>
      </c>
      <c r="B4" s="71"/>
      <c r="C4" s="2" t="s">
        <v>235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176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-45°C'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45" priority="6"/>
  </conditionalFormatting>
  <conditionalFormatting sqref="B33">
    <cfRule type="duplicateValues" dxfId="544" priority="2"/>
  </conditionalFormatting>
  <conditionalFormatting sqref="B34">
    <cfRule type="duplicateValues" dxfId="543" priority="1"/>
  </conditionalFormatting>
  <conditionalFormatting sqref="B35">
    <cfRule type="duplicateValues" dxfId="542" priority="5"/>
  </conditionalFormatting>
  <conditionalFormatting sqref="B36">
    <cfRule type="duplicateValues" dxfId="541" priority="4"/>
  </conditionalFormatting>
  <conditionalFormatting sqref="B37">
    <cfRule type="duplicateValues" dxfId="540" priority="3"/>
  </conditionalFormatting>
  <conditionalFormatting sqref="B51:B1048576 B25:B32 B4:B10 B12:B20 B22 B38:B42">
    <cfRule type="duplicateValues" dxfId="53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D619-7881-4FCC-8215-362935B3A6D4}">
  <sheetPr codeName="Sheet80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242</v>
      </c>
    </row>
    <row r="4" spans="1:5" x14ac:dyDescent="0.2">
      <c r="A4" s="71" t="s">
        <v>84</v>
      </c>
      <c r="B4" s="71"/>
      <c r="C4" s="2" t="s">
        <v>295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176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-45°C'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38" priority="6"/>
  </conditionalFormatting>
  <conditionalFormatting sqref="B33">
    <cfRule type="duplicateValues" dxfId="537" priority="2"/>
  </conditionalFormatting>
  <conditionalFormatting sqref="B34">
    <cfRule type="duplicateValues" dxfId="536" priority="1"/>
  </conditionalFormatting>
  <conditionalFormatting sqref="B35">
    <cfRule type="duplicateValues" dxfId="535" priority="5"/>
  </conditionalFormatting>
  <conditionalFormatting sqref="B36">
    <cfRule type="duplicateValues" dxfId="534" priority="4"/>
  </conditionalFormatting>
  <conditionalFormatting sqref="B37">
    <cfRule type="duplicateValues" dxfId="533" priority="3"/>
  </conditionalFormatting>
  <conditionalFormatting sqref="B51:B1048576 B25:B32 B4:B10 B12:B20 B22 B38:B42">
    <cfRule type="duplicateValues" dxfId="53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20245-311D-41F3-91CA-BB9693FD1D4F}">
  <sheetPr codeName="Sheet81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243</v>
      </c>
    </row>
    <row r="4" spans="1:5" x14ac:dyDescent="0.2">
      <c r="A4" s="71" t="s">
        <v>84</v>
      </c>
      <c r="B4" s="71"/>
      <c r="C4" s="2" t="s">
        <v>379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176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51.1 @ -45°C' 43.8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356</v>
      </c>
      <c r="D35" s="77"/>
      <c r="E35" s="78"/>
    </row>
    <row r="36" spans="1:5" x14ac:dyDescent="0.2">
      <c r="A36" s="77" t="s">
        <v>139</v>
      </c>
      <c r="B36" s="78"/>
      <c r="C36" s="3" t="s">
        <v>357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31" priority="6"/>
  </conditionalFormatting>
  <conditionalFormatting sqref="B33">
    <cfRule type="duplicateValues" dxfId="530" priority="2"/>
  </conditionalFormatting>
  <conditionalFormatting sqref="B34">
    <cfRule type="duplicateValues" dxfId="529" priority="1"/>
  </conditionalFormatting>
  <conditionalFormatting sqref="B35">
    <cfRule type="duplicateValues" dxfId="528" priority="5"/>
  </conditionalFormatting>
  <conditionalFormatting sqref="B36">
    <cfRule type="duplicateValues" dxfId="527" priority="4"/>
  </conditionalFormatting>
  <conditionalFormatting sqref="B37">
    <cfRule type="duplicateValues" dxfId="526" priority="3"/>
  </conditionalFormatting>
  <conditionalFormatting sqref="B51:B1048576 B25:B32 B4:B10 B12:B20 B22 B38:B42">
    <cfRule type="duplicateValues" dxfId="52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3F682-ACAB-48AE-A80F-53599AEF346A}">
  <sheetPr codeName="Sheet82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244</v>
      </c>
    </row>
    <row r="4" spans="1:5" x14ac:dyDescent="0.2">
      <c r="A4" s="71" t="s">
        <v>84</v>
      </c>
      <c r="B4" s="71"/>
      <c r="C4" s="2" t="s">
        <v>236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177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-45°C' 87.6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24" priority="6"/>
  </conditionalFormatting>
  <conditionalFormatting sqref="B33">
    <cfRule type="duplicateValues" dxfId="523" priority="2"/>
  </conditionalFormatting>
  <conditionalFormatting sqref="B34">
    <cfRule type="duplicateValues" dxfId="522" priority="1"/>
  </conditionalFormatting>
  <conditionalFormatting sqref="B35">
    <cfRule type="duplicateValues" dxfId="521" priority="5"/>
  </conditionalFormatting>
  <conditionalFormatting sqref="B36">
    <cfRule type="duplicateValues" dxfId="520" priority="4"/>
  </conditionalFormatting>
  <conditionalFormatting sqref="B37">
    <cfRule type="duplicateValues" dxfId="519" priority="3"/>
  </conditionalFormatting>
  <conditionalFormatting sqref="B51:B1048576 B25:B32 B4:B10 B12:B20 B22 B38:B42">
    <cfRule type="duplicateValues" dxfId="51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DBE32-C355-42EA-BFF2-5B07566C1A0B}">
  <sheetPr codeName="Sheet83">
    <tabColor rgb="FF00B050"/>
    <pageSetUpPr fitToPage="1"/>
  </sheetPr>
  <dimension ref="A1:E50"/>
  <sheetViews>
    <sheetView topLeftCell="A7"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245</v>
      </c>
    </row>
    <row r="4" spans="1:5" x14ac:dyDescent="0.2">
      <c r="A4" s="71" t="s">
        <v>84</v>
      </c>
      <c r="B4" s="71"/>
      <c r="C4" s="2" t="s">
        <v>296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177</v>
      </c>
      <c r="D5" s="72"/>
      <c r="E5" s="72"/>
    </row>
    <row r="6" spans="1:5" x14ac:dyDescent="0.2">
      <c r="A6" s="72" t="s">
        <v>31</v>
      </c>
      <c r="B6" s="72"/>
      <c r="C6" s="3" t="s">
        <v>166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-45°C' 87.6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17" priority="6"/>
  </conditionalFormatting>
  <conditionalFormatting sqref="B33">
    <cfRule type="duplicateValues" dxfId="516" priority="2"/>
  </conditionalFormatting>
  <conditionalFormatting sqref="B34">
    <cfRule type="duplicateValues" dxfId="515" priority="1"/>
  </conditionalFormatting>
  <conditionalFormatting sqref="B35">
    <cfRule type="duplicateValues" dxfId="514" priority="5"/>
  </conditionalFormatting>
  <conditionalFormatting sqref="B36">
    <cfRule type="duplicateValues" dxfId="513" priority="4"/>
  </conditionalFormatting>
  <conditionalFormatting sqref="B37">
    <cfRule type="duplicateValues" dxfId="512" priority="3"/>
  </conditionalFormatting>
  <conditionalFormatting sqref="B51:B1048576 B25:B32 B4:B10 B12:B20 B22 B38:B42">
    <cfRule type="duplicateValues" dxfId="51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AB62-3A16-4D0D-B769-4FD8D04BFA6A}">
  <sheetPr codeName="Sheet84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246</v>
      </c>
    </row>
    <row r="4" spans="1:5" x14ac:dyDescent="0.2">
      <c r="A4" s="71" t="s">
        <v>84</v>
      </c>
      <c r="B4" s="71"/>
      <c r="C4" s="2" t="s">
        <v>380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177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102.1 @ -45°C' 87.6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354</v>
      </c>
      <c r="D35" s="77"/>
      <c r="E35" s="78"/>
    </row>
    <row r="36" spans="1:5" x14ac:dyDescent="0.2">
      <c r="A36" s="77" t="s">
        <v>139</v>
      </c>
      <c r="B36" s="78"/>
      <c r="C36" s="3" t="s">
        <v>355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10" priority="6"/>
  </conditionalFormatting>
  <conditionalFormatting sqref="B33">
    <cfRule type="duplicateValues" dxfId="509" priority="2"/>
  </conditionalFormatting>
  <conditionalFormatting sqref="B34">
    <cfRule type="duplicateValues" dxfId="508" priority="1"/>
  </conditionalFormatting>
  <conditionalFormatting sqref="B35">
    <cfRule type="duplicateValues" dxfId="507" priority="5"/>
  </conditionalFormatting>
  <conditionalFormatting sqref="B36">
    <cfRule type="duplicateValues" dxfId="506" priority="4"/>
  </conditionalFormatting>
  <conditionalFormatting sqref="B37">
    <cfRule type="duplicateValues" dxfId="505" priority="3"/>
  </conditionalFormatting>
  <conditionalFormatting sqref="B51:B1048576 B25:B32 B4:B10 B12:B20 B22 B38:B42">
    <cfRule type="duplicateValues" dxfId="50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3B0DA-E4F1-4547-8EBC-CB23B4038A58}">
  <sheetPr codeName="Sheet85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247</v>
      </c>
    </row>
    <row r="4" spans="1:5" x14ac:dyDescent="0.2">
      <c r="A4" s="71" t="s">
        <v>84</v>
      </c>
      <c r="B4" s="71"/>
      <c r="C4" s="2" t="s">
        <v>237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178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-45°C' 131.4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03" priority="6"/>
  </conditionalFormatting>
  <conditionalFormatting sqref="B33">
    <cfRule type="duplicateValues" dxfId="502" priority="2"/>
  </conditionalFormatting>
  <conditionalFormatting sqref="B34">
    <cfRule type="duplicateValues" dxfId="501" priority="1"/>
  </conditionalFormatting>
  <conditionalFormatting sqref="B35">
    <cfRule type="duplicateValues" dxfId="500" priority="5"/>
  </conditionalFormatting>
  <conditionalFormatting sqref="B36">
    <cfRule type="duplicateValues" dxfId="499" priority="4"/>
  </conditionalFormatting>
  <conditionalFormatting sqref="B37">
    <cfRule type="duplicateValues" dxfId="498" priority="3"/>
  </conditionalFormatting>
  <conditionalFormatting sqref="B51:B1048576 B25:B32 B4:B10 B12:B20 B22 B38:B42">
    <cfRule type="duplicateValues" dxfId="49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1C334-E3C2-4CC6-9676-2D63ECBB2937}">
  <sheetPr codeName="Sheet86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248</v>
      </c>
    </row>
    <row r="4" spans="1:5" x14ac:dyDescent="0.2">
      <c r="A4" s="71" t="s">
        <v>84</v>
      </c>
      <c r="B4" s="71"/>
      <c r="C4" s="2" t="s">
        <v>297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178</v>
      </c>
      <c r="D5" s="72"/>
      <c r="E5" s="72"/>
    </row>
    <row r="6" spans="1:5" x14ac:dyDescent="0.2">
      <c r="A6" s="72" t="s">
        <v>31</v>
      </c>
      <c r="B6" s="72"/>
      <c r="C6" s="3" t="s">
        <v>86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-45°C' 131.4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96" priority="6"/>
  </conditionalFormatting>
  <conditionalFormatting sqref="B33">
    <cfRule type="duplicateValues" dxfId="495" priority="2"/>
  </conditionalFormatting>
  <conditionalFormatting sqref="B34">
    <cfRule type="duplicateValues" dxfId="494" priority="1"/>
  </conditionalFormatting>
  <conditionalFormatting sqref="B35">
    <cfRule type="duplicateValues" dxfId="493" priority="5"/>
  </conditionalFormatting>
  <conditionalFormatting sqref="B36">
    <cfRule type="duplicateValues" dxfId="492" priority="4"/>
  </conditionalFormatting>
  <conditionalFormatting sqref="B37">
    <cfRule type="duplicateValues" dxfId="491" priority="3"/>
  </conditionalFormatting>
  <conditionalFormatting sqref="B51:B1048576 B25:B32 B4:B10 B12:B20 B22 B38:B42">
    <cfRule type="duplicateValues" dxfId="49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0A599-4074-44D9-9254-85DD5307D64F}">
  <sheetPr codeName="Sheet87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249</v>
      </c>
    </row>
    <row r="4" spans="1:5" x14ac:dyDescent="0.2">
      <c r="A4" s="71" t="s">
        <v>84</v>
      </c>
      <c r="B4" s="71"/>
      <c r="C4" s="2" t="s">
        <v>381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178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153.2 @ -45°C' 131.4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352</v>
      </c>
      <c r="D35" s="77"/>
      <c r="E35" s="78"/>
    </row>
    <row r="36" spans="1:5" x14ac:dyDescent="0.2">
      <c r="A36" s="77" t="s">
        <v>139</v>
      </c>
      <c r="B36" s="78"/>
      <c r="C36" s="3" t="s">
        <v>353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89" priority="6"/>
  </conditionalFormatting>
  <conditionalFormatting sqref="B33">
    <cfRule type="duplicateValues" dxfId="488" priority="2"/>
  </conditionalFormatting>
  <conditionalFormatting sqref="B34">
    <cfRule type="duplicateValues" dxfId="487" priority="1"/>
  </conditionalFormatting>
  <conditionalFormatting sqref="B35">
    <cfRule type="duplicateValues" dxfId="486" priority="5"/>
  </conditionalFormatting>
  <conditionalFormatting sqref="B36">
    <cfRule type="duplicateValues" dxfId="485" priority="4"/>
  </conditionalFormatting>
  <conditionalFormatting sqref="B37">
    <cfRule type="duplicateValues" dxfId="484" priority="3"/>
  </conditionalFormatting>
  <conditionalFormatting sqref="B51:B1048576 B25:B32 B4:B10 B12:B20 B22 B38:B42">
    <cfRule type="duplicateValues" dxfId="48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B5969-0A3D-4ED3-8925-3608E2DB3BEA}">
  <sheetPr codeName="Sheet88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250</v>
      </c>
    </row>
    <row r="4" spans="1:5" x14ac:dyDescent="0.2">
      <c r="A4" s="71" t="s">
        <v>84</v>
      </c>
      <c r="B4" s="71"/>
      <c r="C4" s="2" t="s">
        <v>238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179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-45°C'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82" priority="6"/>
  </conditionalFormatting>
  <conditionalFormatting sqref="B33">
    <cfRule type="duplicateValues" dxfId="481" priority="2"/>
  </conditionalFormatting>
  <conditionalFormatting sqref="B34">
    <cfRule type="duplicateValues" dxfId="480" priority="1"/>
  </conditionalFormatting>
  <conditionalFormatting sqref="B35">
    <cfRule type="duplicateValues" dxfId="479" priority="5"/>
  </conditionalFormatting>
  <conditionalFormatting sqref="B36">
    <cfRule type="duplicateValues" dxfId="478" priority="4"/>
  </conditionalFormatting>
  <conditionalFormatting sqref="B37">
    <cfRule type="duplicateValues" dxfId="477" priority="3"/>
  </conditionalFormatting>
  <conditionalFormatting sqref="B51:B1048576 B25:B32 B4:B10 B12:B20 B22 B38:B42">
    <cfRule type="duplicateValues" dxfId="47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D3DB8-C525-4B4E-ABCF-B510F3EC10ED}">
  <sheetPr codeName="Sheet89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251</v>
      </c>
    </row>
    <row r="4" spans="1:5" x14ac:dyDescent="0.2">
      <c r="A4" s="71" t="s">
        <v>84</v>
      </c>
      <c r="B4" s="71"/>
      <c r="C4" s="2" t="s">
        <v>298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179</v>
      </c>
      <c r="D5" s="72"/>
      <c r="E5" s="72"/>
    </row>
    <row r="6" spans="1:5" x14ac:dyDescent="0.2">
      <c r="A6" s="72" t="s">
        <v>31</v>
      </c>
      <c r="B6" s="72"/>
      <c r="C6" s="3" t="s">
        <v>86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-45°C'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75" priority="6"/>
  </conditionalFormatting>
  <conditionalFormatting sqref="B33">
    <cfRule type="duplicateValues" dxfId="474" priority="2"/>
  </conditionalFormatting>
  <conditionalFormatting sqref="B34">
    <cfRule type="duplicateValues" dxfId="473" priority="1"/>
  </conditionalFormatting>
  <conditionalFormatting sqref="B35">
    <cfRule type="duplicateValues" dxfId="472" priority="5"/>
  </conditionalFormatting>
  <conditionalFormatting sqref="B36">
    <cfRule type="duplicateValues" dxfId="471" priority="4"/>
  </conditionalFormatting>
  <conditionalFormatting sqref="B37">
    <cfRule type="duplicateValues" dxfId="470" priority="3"/>
  </conditionalFormatting>
  <conditionalFormatting sqref="B51:B1048576 B25:B32 B4:B10 B12:B20 B22 B38:B42">
    <cfRule type="duplicateValues" dxfId="46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229F-486D-42F8-AC73-25625DA752BE}">
  <sheetPr codeName="Sheet90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252</v>
      </c>
    </row>
    <row r="4" spans="1:5" x14ac:dyDescent="0.2">
      <c r="A4" s="71" t="s">
        <v>84</v>
      </c>
      <c r="B4" s="71"/>
      <c r="C4" s="2" t="s">
        <v>382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255.3 @ -45°C' 219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350</v>
      </c>
      <c r="D35" s="77"/>
      <c r="E35" s="78"/>
    </row>
    <row r="36" spans="1:5" x14ac:dyDescent="0.2">
      <c r="A36" s="77" t="s">
        <v>139</v>
      </c>
      <c r="B36" s="78"/>
      <c r="C36" s="3" t="s">
        <v>351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68" priority="6"/>
  </conditionalFormatting>
  <conditionalFormatting sqref="B33">
    <cfRule type="duplicateValues" dxfId="467" priority="2"/>
  </conditionalFormatting>
  <conditionalFormatting sqref="B34">
    <cfRule type="duplicateValues" dxfId="466" priority="1"/>
  </conditionalFormatting>
  <conditionalFormatting sqref="B35">
    <cfRule type="duplicateValues" dxfId="465" priority="5"/>
  </conditionalFormatting>
  <conditionalFormatting sqref="B36">
    <cfRule type="duplicateValues" dxfId="464" priority="4"/>
  </conditionalFormatting>
  <conditionalFormatting sqref="B37">
    <cfRule type="duplicateValues" dxfId="463" priority="3"/>
  </conditionalFormatting>
  <conditionalFormatting sqref="B51:B1048576 B25:B32 B4:B10 B12:B20 B22 B38:B42">
    <cfRule type="duplicateValues" dxfId="46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22D4F-1575-486A-A5C7-A10E455B2317}">
  <sheetPr codeName="Sheet91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253</v>
      </c>
    </row>
    <row r="4" spans="1:5" x14ac:dyDescent="0.2">
      <c r="A4" s="71" t="s">
        <v>84</v>
      </c>
      <c r="B4" s="71"/>
      <c r="C4" s="2" t="s">
        <v>239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180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76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61" priority="6"/>
  </conditionalFormatting>
  <conditionalFormatting sqref="B33">
    <cfRule type="duplicateValues" dxfId="460" priority="2"/>
  </conditionalFormatting>
  <conditionalFormatting sqref="B34">
    <cfRule type="duplicateValues" dxfId="459" priority="1"/>
  </conditionalFormatting>
  <conditionalFormatting sqref="B35">
    <cfRule type="duplicateValues" dxfId="458" priority="5"/>
  </conditionalFormatting>
  <conditionalFormatting sqref="B36">
    <cfRule type="duplicateValues" dxfId="457" priority="4"/>
  </conditionalFormatting>
  <conditionalFormatting sqref="B37">
    <cfRule type="duplicateValues" dxfId="456" priority="3"/>
  </conditionalFormatting>
  <conditionalFormatting sqref="B51:B1048576 B25:B32 B4:B10 B12:B20 B22 B38:B42">
    <cfRule type="duplicateValues" dxfId="45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02C5B-9626-43F3-82FE-B4B3F95642BC}">
  <sheetPr codeName="Sheet92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254</v>
      </c>
    </row>
    <row r="4" spans="1:5" x14ac:dyDescent="0.2">
      <c r="A4" s="71" t="s">
        <v>84</v>
      </c>
      <c r="B4" s="71"/>
      <c r="C4" s="2" t="s">
        <v>299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180</v>
      </c>
      <c r="D5" s="72"/>
      <c r="E5" s="72"/>
    </row>
    <row r="6" spans="1:5" x14ac:dyDescent="0.2">
      <c r="A6" s="72" t="s">
        <v>31</v>
      </c>
      <c r="B6" s="72"/>
      <c r="C6" s="3" t="s">
        <v>156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54" priority="6"/>
  </conditionalFormatting>
  <conditionalFormatting sqref="B33">
    <cfRule type="duplicateValues" dxfId="453" priority="2"/>
  </conditionalFormatting>
  <conditionalFormatting sqref="B34">
    <cfRule type="duplicateValues" dxfId="452" priority="1"/>
  </conditionalFormatting>
  <conditionalFormatting sqref="B35">
    <cfRule type="duplicateValues" dxfId="451" priority="5"/>
  </conditionalFormatting>
  <conditionalFormatting sqref="B36">
    <cfRule type="duplicateValues" dxfId="450" priority="4"/>
  </conditionalFormatting>
  <conditionalFormatting sqref="B37">
    <cfRule type="duplicateValues" dxfId="449" priority="3"/>
  </conditionalFormatting>
  <conditionalFormatting sqref="B51:B1048576 B25:B32 B4:B10 B12:B20 B22 B38:B42">
    <cfRule type="duplicateValues" dxfId="44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114E-C470-4C26-BE5A-BCD2C382E21E}">
  <sheetPr codeName="Sheet93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255</v>
      </c>
    </row>
    <row r="4" spans="1:5" x14ac:dyDescent="0.2">
      <c r="A4" s="71" t="s">
        <v>84</v>
      </c>
      <c r="B4" s="71"/>
      <c r="C4" s="2" t="s">
        <v>383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180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 (Low Temp)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399.8 @ -29°C' 342.9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6 mm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82</v>
      </c>
      <c r="D20" s="72"/>
      <c r="E20" s="72"/>
    </row>
    <row r="21" spans="1:5" x14ac:dyDescent="0.2">
      <c r="A21" s="72"/>
      <c r="B21" s="4" t="s">
        <v>108</v>
      </c>
      <c r="C21" s="3" t="s">
        <v>148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202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348</v>
      </c>
      <c r="D35" s="77"/>
      <c r="E35" s="78"/>
    </row>
    <row r="36" spans="1:5" x14ac:dyDescent="0.2">
      <c r="A36" s="77" t="s">
        <v>139</v>
      </c>
      <c r="B36" s="78"/>
      <c r="C36" s="3" t="s">
        <v>349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47" priority="6"/>
  </conditionalFormatting>
  <conditionalFormatting sqref="B33">
    <cfRule type="duplicateValues" dxfId="446" priority="2"/>
  </conditionalFormatting>
  <conditionalFormatting sqref="B34">
    <cfRule type="duplicateValues" dxfId="445" priority="1"/>
  </conditionalFormatting>
  <conditionalFormatting sqref="B35">
    <cfRule type="duplicateValues" dxfId="444" priority="5"/>
  </conditionalFormatting>
  <conditionalFormatting sqref="B36">
    <cfRule type="duplicateValues" dxfId="443" priority="4"/>
  </conditionalFormatting>
  <conditionalFormatting sqref="B37">
    <cfRule type="duplicateValues" dxfId="442" priority="3"/>
  </conditionalFormatting>
  <conditionalFormatting sqref="B51:B1048576 B25:B32 B4:B10 B12:B20 B22 B38:B42">
    <cfRule type="duplicateValues" dxfId="44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618F7-B549-44F6-96AF-B2A5138DEF52}">
  <sheetPr codeName="Sheet94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256</v>
      </c>
    </row>
    <row r="4" spans="1:5" x14ac:dyDescent="0.2">
      <c r="A4" s="71" t="s">
        <v>84</v>
      </c>
      <c r="B4" s="71"/>
      <c r="C4" s="2" t="s">
        <v>300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361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ht="48" x14ac:dyDescent="0.2">
      <c r="A8" s="72" t="s">
        <v>33</v>
      </c>
      <c r="B8" s="72"/>
      <c r="C8" s="3" t="str">
        <f>VLOOKUP(C5,Index!M:V,6,FALSE)</f>
        <v>Air, Nitrogen, Lube oil, Chemical, Foam, hydraulic, IA, Diesel Fuel, UW, Bilge, Drain, Sewage, PW, CO2 Gas, Ballast, IG, COW/Tank Cleaning, Slop, Fire Water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15.9 @ -100°C' 11.2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346</v>
      </c>
      <c r="D35" s="77"/>
      <c r="E35" s="78"/>
    </row>
    <row r="36" spans="1:5" x14ac:dyDescent="0.2">
      <c r="A36" s="77" t="s">
        <v>139</v>
      </c>
      <c r="B36" s="78"/>
      <c r="C36" s="3" t="s">
        <v>347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40" priority="6"/>
  </conditionalFormatting>
  <conditionalFormatting sqref="B33">
    <cfRule type="duplicateValues" dxfId="439" priority="2"/>
  </conditionalFormatting>
  <conditionalFormatting sqref="B34">
    <cfRule type="duplicateValues" dxfId="438" priority="1"/>
  </conditionalFormatting>
  <conditionalFormatting sqref="B35">
    <cfRule type="duplicateValues" dxfId="437" priority="5"/>
  </conditionalFormatting>
  <conditionalFormatting sqref="B36">
    <cfRule type="duplicateValues" dxfId="436" priority="4"/>
  </conditionalFormatting>
  <conditionalFormatting sqref="B37">
    <cfRule type="duplicateValues" dxfId="435" priority="3"/>
  </conditionalFormatting>
  <conditionalFormatting sqref="B51:B1048576 B25:B32 B4:B10 B12:B20 B22 B38:B42">
    <cfRule type="duplicateValues" dxfId="43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E5FAD-AEE4-41F0-BE27-F48002DDE068}">
  <sheetPr codeName="Sheet95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257</v>
      </c>
    </row>
    <row r="4" spans="1:5" x14ac:dyDescent="0.2">
      <c r="A4" s="71" t="s">
        <v>84</v>
      </c>
      <c r="B4" s="71"/>
      <c r="C4" s="2" t="s">
        <v>246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361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ht="48" x14ac:dyDescent="0.2">
      <c r="A8" s="72" t="s">
        <v>33</v>
      </c>
      <c r="B8" s="72"/>
      <c r="C8" s="3" t="str">
        <f>VLOOKUP(C5,Index!M:V,6,FALSE)</f>
        <v>Air, Nitrogen, Lube oil, Chemical, Foam, hydraulic, IA, Diesel Fuel, UW, Bilge, Drain, Sewage, PW, CO2 Gas, Ballast, IG, COW/Tank Cleaning, Slop, Fire Water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15.9 @ -100°C' 11.2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346</v>
      </c>
      <c r="D35" s="77"/>
      <c r="E35" s="78"/>
    </row>
    <row r="36" spans="1:5" x14ac:dyDescent="0.2">
      <c r="A36" s="77" t="s">
        <v>139</v>
      </c>
      <c r="B36" s="78"/>
      <c r="C36" s="3" t="s">
        <v>347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33" priority="6"/>
  </conditionalFormatting>
  <conditionalFormatting sqref="B33">
    <cfRule type="duplicateValues" dxfId="432" priority="2"/>
  </conditionalFormatting>
  <conditionalFormatting sqref="B34">
    <cfRule type="duplicateValues" dxfId="431" priority="1"/>
  </conditionalFormatting>
  <conditionalFormatting sqref="B35">
    <cfRule type="duplicateValues" dxfId="430" priority="5"/>
  </conditionalFormatting>
  <conditionalFormatting sqref="B36">
    <cfRule type="duplicateValues" dxfId="429" priority="4"/>
  </conditionalFormatting>
  <conditionalFormatting sqref="B37">
    <cfRule type="duplicateValues" dxfId="428" priority="3"/>
  </conditionalFormatting>
  <conditionalFormatting sqref="B51:B1048576 B25:B32 B4:B10 B12:B20 B22 B38:B42">
    <cfRule type="duplicateValues" dxfId="42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9DE2A-D529-4F4A-AA09-7CA3697505B4}">
  <sheetPr codeName="Sheet96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258</v>
      </c>
    </row>
    <row r="4" spans="1:5" x14ac:dyDescent="0.2">
      <c r="A4" s="71" t="s">
        <v>84</v>
      </c>
      <c r="B4" s="71"/>
      <c r="C4" s="2" t="s">
        <v>384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361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ht="48" x14ac:dyDescent="0.2">
      <c r="A8" s="72" t="s">
        <v>33</v>
      </c>
      <c r="B8" s="72"/>
      <c r="C8" s="3" t="str">
        <f>VLOOKUP(C5,Index!M:V,6,FALSE)</f>
        <v>Air, Nitrogen, Lube oil, Chemical, Foam, hydraulic, IA, Diesel Fuel, UW, Bilge, Drain, Sewage, PW, CO2 Gas, Ballast, IG, COW/Tank Cleaning, Slop, Fire Water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15.9 @ -100°C' 11.2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346</v>
      </c>
      <c r="D35" s="77"/>
      <c r="E35" s="78"/>
    </row>
    <row r="36" spans="1:5" x14ac:dyDescent="0.2">
      <c r="A36" s="77" t="s">
        <v>139</v>
      </c>
      <c r="B36" s="78"/>
      <c r="C36" s="3" t="s">
        <v>347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26" priority="6"/>
  </conditionalFormatting>
  <conditionalFormatting sqref="B33">
    <cfRule type="duplicateValues" dxfId="425" priority="2"/>
  </conditionalFormatting>
  <conditionalFormatting sqref="B34">
    <cfRule type="duplicateValues" dxfId="424" priority="1"/>
  </conditionalFormatting>
  <conditionalFormatting sqref="B35">
    <cfRule type="duplicateValues" dxfId="423" priority="5"/>
  </conditionalFormatting>
  <conditionalFormatting sqref="B36">
    <cfRule type="duplicateValues" dxfId="422" priority="4"/>
  </conditionalFormatting>
  <conditionalFormatting sqref="B37">
    <cfRule type="duplicateValues" dxfId="421" priority="3"/>
  </conditionalFormatting>
  <conditionalFormatting sqref="B51:B1048576 B25:B32 B4:B10 B12:B20 B22 B38:B42">
    <cfRule type="duplicateValues" dxfId="42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4424-5CA9-4938-8F8D-8A00250DEFBB}">
  <sheetPr codeName="Sheet97">
    <tabColor rgb="FF00B050"/>
    <pageSetUpPr fitToPage="1"/>
  </sheetPr>
  <dimension ref="A1:E50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549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259</v>
      </c>
    </row>
    <row r="4" spans="1:5" x14ac:dyDescent="0.2">
      <c r="A4" s="71" t="s">
        <v>84</v>
      </c>
      <c r="B4" s="71"/>
      <c r="C4" s="2" t="s">
        <v>301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10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Air, Nitrogen, Lube oil, Chemical, Foam, Hydraulic, Instrument Air, Diesel Fuel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41.4 @ -100°C' 29.2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344</v>
      </c>
      <c r="D35" s="77"/>
      <c r="E35" s="78"/>
    </row>
    <row r="36" spans="1:5" x14ac:dyDescent="0.2">
      <c r="A36" s="77" t="s">
        <v>139</v>
      </c>
      <c r="B36" s="78"/>
      <c r="C36" s="3" t="s">
        <v>345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550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551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19" priority="6"/>
  </conditionalFormatting>
  <conditionalFormatting sqref="B33">
    <cfRule type="duplicateValues" dxfId="418" priority="2"/>
  </conditionalFormatting>
  <conditionalFormatting sqref="B34">
    <cfRule type="duplicateValues" dxfId="417" priority="1"/>
  </conditionalFormatting>
  <conditionalFormatting sqref="B35">
    <cfRule type="duplicateValues" dxfId="416" priority="5"/>
  </conditionalFormatting>
  <conditionalFormatting sqref="B36">
    <cfRule type="duplicateValues" dxfId="415" priority="4"/>
  </conditionalFormatting>
  <conditionalFormatting sqref="B37">
    <cfRule type="duplicateValues" dxfId="414" priority="3"/>
  </conditionalFormatting>
  <conditionalFormatting sqref="B51:B1048576 B25:B32 B4:B10 B12:B20 B22 B38:B42">
    <cfRule type="duplicateValues" dxfId="41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A4FBC-1D69-422D-804A-14963611609D}">
  <sheetPr codeName="Sheet98">
    <tabColor rgb="FF00B050"/>
    <pageSetUpPr fitToPage="1"/>
  </sheetPr>
  <dimension ref="A1:E50"/>
  <sheetViews>
    <sheetView zoomScaleNormal="100" workbookViewId="0">
      <selection activeCell="F47" sqref="F4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1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260</v>
      </c>
    </row>
    <row r="4" spans="1:5" x14ac:dyDescent="0.2">
      <c r="A4" s="71" t="s">
        <v>84</v>
      </c>
      <c r="B4" s="71"/>
      <c r="C4" s="2" t="s">
        <v>247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10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ht="24" x14ac:dyDescent="0.2">
      <c r="A8" s="72" t="s">
        <v>33</v>
      </c>
      <c r="B8" s="72"/>
      <c r="C8" s="3" t="str">
        <f>VLOOKUP(C5,Index!M:V,6,FALSE)</f>
        <v>Air, Nitrogen, Lube oil, Chemical, Foam, Hydraulic, Instrument Air, Diesel Fuel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41.4 @ -100°C' 29.2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344</v>
      </c>
      <c r="D35" s="77"/>
      <c r="E35" s="78"/>
    </row>
    <row r="36" spans="1:5" x14ac:dyDescent="0.2">
      <c r="A36" s="77" t="s">
        <v>139</v>
      </c>
      <c r="B36" s="78"/>
      <c r="C36" s="3" t="s">
        <v>345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12" priority="6"/>
  </conditionalFormatting>
  <conditionalFormatting sqref="B33">
    <cfRule type="duplicateValues" dxfId="411" priority="2"/>
  </conditionalFormatting>
  <conditionalFormatting sqref="B34">
    <cfRule type="duplicateValues" dxfId="410" priority="1"/>
  </conditionalFormatting>
  <conditionalFormatting sqref="B35">
    <cfRule type="duplicateValues" dxfId="409" priority="5"/>
  </conditionalFormatting>
  <conditionalFormatting sqref="B36">
    <cfRule type="duplicateValues" dxfId="408" priority="4"/>
  </conditionalFormatting>
  <conditionalFormatting sqref="B37">
    <cfRule type="duplicateValues" dxfId="407" priority="3"/>
  </conditionalFormatting>
  <conditionalFormatting sqref="B51:B1048576 B25:B32 B4:B10 B12:B20 B22 B38:B42">
    <cfRule type="duplicateValues" dxfId="40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EF9E5-C633-4E9A-8EA8-D42FD27FE972}">
  <sheetPr codeName="Sheet99">
    <tabColor rgb="FF00B050"/>
    <pageSetUpPr fitToPage="1"/>
  </sheetPr>
  <dimension ref="A1:E50"/>
  <sheetViews>
    <sheetView zoomScaleNormal="100" workbookViewId="0">
      <selection activeCell="L12" sqref="L12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261</v>
      </c>
    </row>
    <row r="4" spans="1:5" x14ac:dyDescent="0.2">
      <c r="A4" s="71" t="s">
        <v>84</v>
      </c>
      <c r="B4" s="71"/>
      <c r="C4" s="2" t="s">
        <v>302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Air, Nitrogen, Lube oil, Chemical, Hydraulic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82.7 @ -100°C' 58.3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342</v>
      </c>
      <c r="D35" s="77"/>
      <c r="E35" s="78"/>
    </row>
    <row r="36" spans="1:5" x14ac:dyDescent="0.2">
      <c r="A36" s="77" t="s">
        <v>139</v>
      </c>
      <c r="B36" s="78"/>
      <c r="C36" s="3" t="s">
        <v>343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05" priority="6"/>
  </conditionalFormatting>
  <conditionalFormatting sqref="B33">
    <cfRule type="duplicateValues" dxfId="404" priority="2"/>
  </conditionalFormatting>
  <conditionalFormatting sqref="B34">
    <cfRule type="duplicateValues" dxfId="403" priority="1"/>
  </conditionalFormatting>
  <conditionalFormatting sqref="B35">
    <cfRule type="duplicateValues" dxfId="402" priority="5"/>
  </conditionalFormatting>
  <conditionalFormatting sqref="B36">
    <cfRule type="duplicateValues" dxfId="401" priority="4"/>
  </conditionalFormatting>
  <conditionalFormatting sqref="B37">
    <cfRule type="duplicateValues" dxfId="400" priority="3"/>
  </conditionalFormatting>
  <conditionalFormatting sqref="B51:B1048576 B25:B32 B4:B10 B12:B20 B22 B38:B42">
    <cfRule type="duplicateValues" dxfId="39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0E0AD-F025-42F1-88AD-18DDA8B1FB4B}">
  <sheetPr codeName="Sheet100">
    <tabColor rgb="FF00B050"/>
    <pageSetUpPr fitToPage="1"/>
  </sheetPr>
  <dimension ref="A1:E50"/>
  <sheetViews>
    <sheetView zoomScaleNormal="100" workbookViewId="0">
      <selection activeCell="I28" sqref="I28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262</v>
      </c>
    </row>
    <row r="4" spans="1:5" x14ac:dyDescent="0.2">
      <c r="A4" s="71" t="s">
        <v>84</v>
      </c>
      <c r="B4" s="71"/>
      <c r="C4" s="2" t="s">
        <v>248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17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Air, Nitrogen, Lube oil, Chemical, Hydraulic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82.7 @ -100°C' 58.3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342</v>
      </c>
      <c r="D35" s="77"/>
      <c r="E35" s="78"/>
    </row>
    <row r="36" spans="1:5" x14ac:dyDescent="0.2">
      <c r="A36" s="77" t="s">
        <v>139</v>
      </c>
      <c r="B36" s="78"/>
      <c r="C36" s="3" t="s">
        <v>343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98" priority="6"/>
  </conditionalFormatting>
  <conditionalFormatting sqref="B33">
    <cfRule type="duplicateValues" dxfId="397" priority="2"/>
  </conditionalFormatting>
  <conditionalFormatting sqref="B34">
    <cfRule type="duplicateValues" dxfId="396" priority="1"/>
  </conditionalFormatting>
  <conditionalFormatting sqref="B35">
    <cfRule type="duplicateValues" dxfId="395" priority="5"/>
  </conditionalFormatting>
  <conditionalFormatting sqref="B36">
    <cfRule type="duplicateValues" dxfId="394" priority="4"/>
  </conditionalFormatting>
  <conditionalFormatting sqref="B37">
    <cfRule type="duplicateValues" dxfId="393" priority="3"/>
  </conditionalFormatting>
  <conditionalFormatting sqref="B51:B1048576 B25:B32 B4:B10 B12:B20 B22 B38:B42">
    <cfRule type="duplicateValues" dxfId="39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DC057-CD3D-4A1B-BEB3-57AEF29BB42C}">
  <sheetPr codeName="Sheet101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263</v>
      </c>
    </row>
    <row r="4" spans="1:5" x14ac:dyDescent="0.2">
      <c r="A4" s="71" t="s">
        <v>84</v>
      </c>
      <c r="B4" s="71"/>
      <c r="C4" s="2" t="s">
        <v>303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20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Air, Nitrogen, Lube oil, Chemical, Hydraulic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124.1 @ -100°C' 87.5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340</v>
      </c>
      <c r="D35" s="77"/>
      <c r="E35" s="78"/>
    </row>
    <row r="36" spans="1:5" x14ac:dyDescent="0.2">
      <c r="A36" s="77" t="s">
        <v>139</v>
      </c>
      <c r="B36" s="78"/>
      <c r="C36" s="3" t="s">
        <v>341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91" priority="6"/>
  </conditionalFormatting>
  <conditionalFormatting sqref="B33">
    <cfRule type="duplicateValues" dxfId="390" priority="2"/>
  </conditionalFormatting>
  <conditionalFormatting sqref="B34">
    <cfRule type="duplicateValues" dxfId="389" priority="1"/>
  </conditionalFormatting>
  <conditionalFormatting sqref="B35">
    <cfRule type="duplicateValues" dxfId="388" priority="5"/>
  </conditionalFormatting>
  <conditionalFormatting sqref="B36">
    <cfRule type="duplicateValues" dxfId="387" priority="4"/>
  </conditionalFormatting>
  <conditionalFormatting sqref="B37">
    <cfRule type="duplicateValues" dxfId="386" priority="3"/>
  </conditionalFormatting>
  <conditionalFormatting sqref="B51:B1048576 B25:B32 B4:B10 B12:B20 B22 B38:B42">
    <cfRule type="duplicateValues" dxfId="38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DE9B-FE1A-480D-BB6B-769BA1F4E6EE}">
  <sheetPr codeName="Sheet102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264</v>
      </c>
    </row>
    <row r="4" spans="1:5" x14ac:dyDescent="0.2">
      <c r="A4" s="71" t="s">
        <v>84</v>
      </c>
      <c r="B4" s="71"/>
      <c r="C4" s="2" t="s">
        <v>249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20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Air, Nitrogen, Lube oil, Chemical, Hydraulic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124.1 @ -100°C' 87.5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340</v>
      </c>
      <c r="D35" s="77"/>
      <c r="E35" s="78"/>
    </row>
    <row r="36" spans="1:5" x14ac:dyDescent="0.2">
      <c r="A36" s="77" t="s">
        <v>139</v>
      </c>
      <c r="B36" s="78"/>
      <c r="C36" s="3" t="s">
        <v>341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84" priority="6"/>
  </conditionalFormatting>
  <conditionalFormatting sqref="B33">
    <cfRule type="duplicateValues" dxfId="383" priority="2"/>
  </conditionalFormatting>
  <conditionalFormatting sqref="B34">
    <cfRule type="duplicateValues" dxfId="382" priority="1"/>
  </conditionalFormatting>
  <conditionalFormatting sqref="B35">
    <cfRule type="duplicateValues" dxfId="381" priority="5"/>
  </conditionalFormatting>
  <conditionalFormatting sqref="B36">
    <cfRule type="duplicateValues" dxfId="380" priority="4"/>
  </conditionalFormatting>
  <conditionalFormatting sqref="B37">
    <cfRule type="duplicateValues" dxfId="379" priority="3"/>
  </conditionalFormatting>
  <conditionalFormatting sqref="B51:B1048576 B25:B32 B4:B10 B12:B20 B22 B38:B42">
    <cfRule type="duplicateValues" dxfId="37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DFDC3-8914-420F-95BD-196549F2C27C}">
  <sheetPr codeName="Sheet103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265</v>
      </c>
    </row>
    <row r="4" spans="1:5" x14ac:dyDescent="0.2">
      <c r="A4" s="71" t="s">
        <v>84</v>
      </c>
      <c r="B4" s="71"/>
      <c r="C4" s="2" t="s">
        <v>304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22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Air, Nitrogen, Lube oil, Chemical, Hydraulic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206.8 @ -100°C' 145.8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338</v>
      </c>
      <c r="D35" s="77"/>
      <c r="E35" s="78"/>
    </row>
    <row r="36" spans="1:5" x14ac:dyDescent="0.2">
      <c r="A36" s="77" t="s">
        <v>139</v>
      </c>
      <c r="B36" s="78"/>
      <c r="C36" s="3" t="s">
        <v>339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77" priority="6"/>
  </conditionalFormatting>
  <conditionalFormatting sqref="B33">
    <cfRule type="duplicateValues" dxfId="376" priority="2"/>
  </conditionalFormatting>
  <conditionalFormatting sqref="B34">
    <cfRule type="duplicateValues" dxfId="375" priority="1"/>
  </conditionalFormatting>
  <conditionalFormatting sqref="B35">
    <cfRule type="duplicateValues" dxfId="374" priority="5"/>
  </conditionalFormatting>
  <conditionalFormatting sqref="B36">
    <cfRule type="duplicateValues" dxfId="373" priority="4"/>
  </conditionalFormatting>
  <conditionalFormatting sqref="B37">
    <cfRule type="duplicateValues" dxfId="372" priority="3"/>
  </conditionalFormatting>
  <conditionalFormatting sqref="B51:B1048576 B25:B32 B4:B10 B12:B20 B22 B38:B42">
    <cfRule type="duplicateValues" dxfId="37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2D6E6-7C66-432D-8782-57A6999BF416}">
  <sheetPr codeName="Sheet104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266</v>
      </c>
    </row>
    <row r="4" spans="1:5" x14ac:dyDescent="0.2">
      <c r="A4" s="71" t="s">
        <v>84</v>
      </c>
      <c r="B4" s="71"/>
      <c r="C4" s="2" t="s">
        <v>263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22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Air, Nitrogen, Lube oil, Chemical, Hydraulic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206.8 @ -100°C' 145.8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338</v>
      </c>
      <c r="D35" s="77"/>
      <c r="E35" s="78"/>
    </row>
    <row r="36" spans="1:5" x14ac:dyDescent="0.2">
      <c r="A36" s="77" t="s">
        <v>139</v>
      </c>
      <c r="B36" s="78"/>
      <c r="C36" s="3" t="s">
        <v>339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70" priority="6"/>
  </conditionalFormatting>
  <conditionalFormatting sqref="B33">
    <cfRule type="duplicateValues" dxfId="369" priority="2"/>
  </conditionalFormatting>
  <conditionalFormatting sqref="B34">
    <cfRule type="duplicateValues" dxfId="368" priority="1"/>
  </conditionalFormatting>
  <conditionalFormatting sqref="B35">
    <cfRule type="duplicateValues" dxfId="367" priority="5"/>
  </conditionalFormatting>
  <conditionalFormatting sqref="B36">
    <cfRule type="duplicateValues" dxfId="366" priority="4"/>
  </conditionalFormatting>
  <conditionalFormatting sqref="B37">
    <cfRule type="duplicateValues" dxfId="365" priority="3"/>
  </conditionalFormatting>
  <conditionalFormatting sqref="B51:B1048576 B25:B32 B4:B10 B12:B20 B22 B38:B42">
    <cfRule type="duplicateValues" dxfId="36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833C8-899C-4499-9457-88BAB3905968}">
  <sheetPr codeName="Sheet105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267</v>
      </c>
    </row>
    <row r="4" spans="1:5" x14ac:dyDescent="0.2">
      <c r="A4" s="71" t="s">
        <v>84</v>
      </c>
      <c r="B4" s="71"/>
      <c r="C4" s="2" t="s">
        <v>305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24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Air, Nitrogen, Lube oil, Chemical, Hydraulic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344.7 @ -100°C' 243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336</v>
      </c>
      <c r="D35" s="77"/>
      <c r="E35" s="78"/>
    </row>
    <row r="36" spans="1:5" x14ac:dyDescent="0.2">
      <c r="A36" s="77" t="s">
        <v>139</v>
      </c>
      <c r="B36" s="78"/>
      <c r="C36" s="3" t="s">
        <v>337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63" priority="6"/>
  </conditionalFormatting>
  <conditionalFormatting sqref="B33">
    <cfRule type="duplicateValues" dxfId="362" priority="2"/>
  </conditionalFormatting>
  <conditionalFormatting sqref="B34">
    <cfRule type="duplicateValues" dxfId="361" priority="1"/>
  </conditionalFormatting>
  <conditionalFormatting sqref="B35">
    <cfRule type="duplicateValues" dxfId="360" priority="5"/>
  </conditionalFormatting>
  <conditionalFormatting sqref="B36">
    <cfRule type="duplicateValues" dxfId="359" priority="4"/>
  </conditionalFormatting>
  <conditionalFormatting sqref="B37">
    <cfRule type="duplicateValues" dxfId="358" priority="3"/>
  </conditionalFormatting>
  <conditionalFormatting sqref="B51:B1048576 B25:B32 B4:B10 B12:B20 B22 B38:B42">
    <cfRule type="duplicateValues" dxfId="35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A87B-0389-4AF5-8AC3-45E849ADF9BE}">
  <sheetPr codeName="Sheet106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268</v>
      </c>
    </row>
    <row r="4" spans="1:5" x14ac:dyDescent="0.2">
      <c r="A4" s="71" t="s">
        <v>84</v>
      </c>
      <c r="B4" s="71"/>
      <c r="C4" s="2" t="s">
        <v>264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24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Air, Nitrogen, Lube oil, Chemical, Hydraulic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344.7 @ -100°C' 243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336</v>
      </c>
      <c r="D35" s="77"/>
      <c r="E35" s="78"/>
    </row>
    <row r="36" spans="1:5" x14ac:dyDescent="0.2">
      <c r="A36" s="77" t="s">
        <v>139</v>
      </c>
      <c r="B36" s="78"/>
      <c r="C36" s="3" t="s">
        <v>337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56" priority="6"/>
  </conditionalFormatting>
  <conditionalFormatting sqref="B33">
    <cfRule type="duplicateValues" dxfId="355" priority="2"/>
  </conditionalFormatting>
  <conditionalFormatting sqref="B34">
    <cfRule type="duplicateValues" dxfId="354" priority="1"/>
  </conditionalFormatting>
  <conditionalFormatting sqref="B35">
    <cfRule type="duplicateValues" dxfId="353" priority="5"/>
  </conditionalFormatting>
  <conditionalFormatting sqref="B36">
    <cfRule type="duplicateValues" dxfId="352" priority="4"/>
  </conditionalFormatting>
  <conditionalFormatting sqref="B37">
    <cfRule type="duplicateValues" dxfId="351" priority="3"/>
  </conditionalFormatting>
  <conditionalFormatting sqref="B51:B1048576 B25:B32 B4:B10 B12:B20 B22 B38:B42">
    <cfRule type="duplicateValues" dxfId="35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FABC7-F0F1-45E8-831B-23AB77300E09}">
  <sheetPr codeName="Sheet107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269</v>
      </c>
    </row>
    <row r="4" spans="1:5" x14ac:dyDescent="0.2">
      <c r="A4" s="71" t="s">
        <v>84</v>
      </c>
      <c r="B4" s="71"/>
      <c r="C4" s="2" t="s">
        <v>240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181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15.9 @ -100°C' 11.2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346</v>
      </c>
      <c r="D35" s="77"/>
      <c r="E35" s="78"/>
    </row>
    <row r="36" spans="1:5" x14ac:dyDescent="0.2">
      <c r="A36" s="77" t="s">
        <v>139</v>
      </c>
      <c r="B36" s="78"/>
      <c r="C36" s="3" t="s">
        <v>347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49" priority="6"/>
  </conditionalFormatting>
  <conditionalFormatting sqref="B33">
    <cfRule type="duplicateValues" dxfId="348" priority="2"/>
  </conditionalFormatting>
  <conditionalFormatting sqref="B34">
    <cfRule type="duplicateValues" dxfId="347" priority="1"/>
  </conditionalFormatting>
  <conditionalFormatting sqref="B35">
    <cfRule type="duplicateValues" dxfId="346" priority="5"/>
  </conditionalFormatting>
  <conditionalFormatting sqref="B36">
    <cfRule type="duplicateValues" dxfId="345" priority="4"/>
  </conditionalFormatting>
  <conditionalFormatting sqref="B37">
    <cfRule type="duplicateValues" dxfId="344" priority="3"/>
  </conditionalFormatting>
  <conditionalFormatting sqref="B51:B1048576 B25:B32 B4:B10 B12:B20 B22 B38:B42">
    <cfRule type="duplicateValues" dxfId="34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10D84-5D90-4D09-9249-04CEDEEEC956}">
  <sheetPr codeName="Sheet108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270</v>
      </c>
    </row>
    <row r="4" spans="1:5" x14ac:dyDescent="0.2">
      <c r="A4" s="71" t="s">
        <v>84</v>
      </c>
      <c r="B4" s="71"/>
      <c r="C4" s="2" t="s">
        <v>306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181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15.9 @ -100°C' 11.2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346</v>
      </c>
      <c r="D35" s="77"/>
      <c r="E35" s="78"/>
    </row>
    <row r="36" spans="1:5" x14ac:dyDescent="0.2">
      <c r="A36" s="77" t="s">
        <v>139</v>
      </c>
      <c r="B36" s="78"/>
      <c r="C36" s="3" t="s">
        <v>347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42" priority="6"/>
  </conditionalFormatting>
  <conditionalFormatting sqref="B33">
    <cfRule type="duplicateValues" dxfId="341" priority="2"/>
  </conditionalFormatting>
  <conditionalFormatting sqref="B34">
    <cfRule type="duplicateValues" dxfId="340" priority="1"/>
  </conditionalFormatting>
  <conditionalFormatting sqref="B35">
    <cfRule type="duplicateValues" dxfId="339" priority="5"/>
  </conditionalFormatting>
  <conditionalFormatting sqref="B36">
    <cfRule type="duplicateValues" dxfId="338" priority="4"/>
  </conditionalFormatting>
  <conditionalFormatting sqref="B37">
    <cfRule type="duplicateValues" dxfId="337" priority="3"/>
  </conditionalFormatting>
  <conditionalFormatting sqref="B51:B1048576 B25:B32 B4:B10 B12:B20 B22 B38:B42">
    <cfRule type="duplicateValues" dxfId="33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BF3E2-32C0-4E02-BC70-49809A3D9A62}">
  <sheetPr codeName="Sheet109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271</v>
      </c>
    </row>
    <row r="4" spans="1:5" x14ac:dyDescent="0.2">
      <c r="A4" s="71" t="s">
        <v>84</v>
      </c>
      <c r="B4" s="71"/>
      <c r="C4" s="2" t="s">
        <v>241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183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41.4 @ -100°C' 29.2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344</v>
      </c>
      <c r="D35" s="77"/>
      <c r="E35" s="78"/>
    </row>
    <row r="36" spans="1:5" x14ac:dyDescent="0.2">
      <c r="A36" s="77" t="s">
        <v>139</v>
      </c>
      <c r="B36" s="78"/>
      <c r="C36" s="3" t="s">
        <v>345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35" priority="6"/>
  </conditionalFormatting>
  <conditionalFormatting sqref="B33">
    <cfRule type="duplicateValues" dxfId="334" priority="2"/>
  </conditionalFormatting>
  <conditionalFormatting sqref="B34">
    <cfRule type="duplicateValues" dxfId="333" priority="1"/>
  </conditionalFormatting>
  <conditionalFormatting sqref="B35">
    <cfRule type="duplicateValues" dxfId="332" priority="5"/>
  </conditionalFormatting>
  <conditionalFormatting sqref="B36">
    <cfRule type="duplicateValues" dxfId="331" priority="4"/>
  </conditionalFormatting>
  <conditionalFormatting sqref="B37">
    <cfRule type="duplicateValues" dxfId="330" priority="3"/>
  </conditionalFormatting>
  <conditionalFormatting sqref="B51:B1048576 B25:B32 B4:B10 B12:B20 B22 B38:B42">
    <cfRule type="duplicateValues" dxfId="32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611C-083E-4697-A427-F659A1F4D202}">
  <sheetPr codeName="Sheet110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272</v>
      </c>
    </row>
    <row r="4" spans="1:5" x14ac:dyDescent="0.2">
      <c r="A4" s="71" t="s">
        <v>84</v>
      </c>
      <c r="B4" s="71"/>
      <c r="C4" s="2" t="s">
        <v>307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183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41.4 @ -100°C' 29.2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344</v>
      </c>
      <c r="D35" s="77"/>
      <c r="E35" s="78"/>
    </row>
    <row r="36" spans="1:5" x14ac:dyDescent="0.2">
      <c r="A36" s="77" t="s">
        <v>139</v>
      </c>
      <c r="B36" s="78"/>
      <c r="C36" s="3" t="s">
        <v>345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28" priority="6"/>
  </conditionalFormatting>
  <conditionalFormatting sqref="B33">
    <cfRule type="duplicateValues" dxfId="327" priority="2"/>
  </conditionalFormatting>
  <conditionalFormatting sqref="B34">
    <cfRule type="duplicateValues" dxfId="326" priority="1"/>
  </conditionalFormatting>
  <conditionalFormatting sqref="B35">
    <cfRule type="duplicateValues" dxfId="325" priority="5"/>
  </conditionalFormatting>
  <conditionalFormatting sqref="B36">
    <cfRule type="duplicateValues" dxfId="324" priority="4"/>
  </conditionalFormatting>
  <conditionalFormatting sqref="B37">
    <cfRule type="duplicateValues" dxfId="323" priority="3"/>
  </conditionalFormatting>
  <conditionalFormatting sqref="B51:B1048576 B25:B32 B4:B10 B12:B20 B22 B38:B42">
    <cfRule type="duplicateValues" dxfId="32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C9434-CF0A-49B7-B5AD-52A0759FE088}">
  <sheetPr codeName="Sheet111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273</v>
      </c>
    </row>
    <row r="4" spans="1:5" x14ac:dyDescent="0.2">
      <c r="A4" s="71" t="s">
        <v>84</v>
      </c>
      <c r="B4" s="71"/>
      <c r="C4" s="2" t="s">
        <v>385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183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41.4 @ -100°C' 29.2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344</v>
      </c>
      <c r="D35" s="77"/>
      <c r="E35" s="78"/>
    </row>
    <row r="36" spans="1:5" x14ac:dyDescent="0.2">
      <c r="A36" s="77" t="s">
        <v>139</v>
      </c>
      <c r="B36" s="78"/>
      <c r="C36" s="3" t="s">
        <v>345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21" priority="6"/>
  </conditionalFormatting>
  <conditionalFormatting sqref="B33">
    <cfRule type="duplicateValues" dxfId="320" priority="2"/>
  </conditionalFormatting>
  <conditionalFormatting sqref="B34">
    <cfRule type="duplicateValues" dxfId="319" priority="1"/>
  </conditionalFormatting>
  <conditionalFormatting sqref="B35">
    <cfRule type="duplicateValues" dxfId="318" priority="5"/>
  </conditionalFormatting>
  <conditionalFormatting sqref="B36">
    <cfRule type="duplicateValues" dxfId="317" priority="4"/>
  </conditionalFormatting>
  <conditionalFormatting sqref="B37">
    <cfRule type="duplicateValues" dxfId="316" priority="3"/>
  </conditionalFormatting>
  <conditionalFormatting sqref="B51:B1048576 B25:B32 B4:B10 B12:B20 B22 B38:B42">
    <cfRule type="duplicateValues" dxfId="31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4C34E-5F82-468C-B38C-AE52941D26E6}">
  <sheetPr codeName="Sheet112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274</v>
      </c>
    </row>
    <row r="4" spans="1:5" x14ac:dyDescent="0.2">
      <c r="A4" s="71" t="s">
        <v>84</v>
      </c>
      <c r="B4" s="71"/>
      <c r="C4" s="2" t="s">
        <v>242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184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82.7 @ -100°C' 58.3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342</v>
      </c>
      <c r="D35" s="77"/>
      <c r="E35" s="78"/>
    </row>
    <row r="36" spans="1:5" x14ac:dyDescent="0.2">
      <c r="A36" s="77" t="s">
        <v>139</v>
      </c>
      <c r="B36" s="78"/>
      <c r="C36" s="3" t="s">
        <v>343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14" priority="6"/>
  </conditionalFormatting>
  <conditionalFormatting sqref="B33">
    <cfRule type="duplicateValues" dxfId="313" priority="2"/>
  </conditionalFormatting>
  <conditionalFormatting sqref="B34">
    <cfRule type="duplicateValues" dxfId="312" priority="1"/>
  </conditionalFormatting>
  <conditionalFormatting sqref="B35">
    <cfRule type="duplicateValues" dxfId="311" priority="5"/>
  </conditionalFormatting>
  <conditionalFormatting sqref="B36">
    <cfRule type="duplicateValues" dxfId="310" priority="4"/>
  </conditionalFormatting>
  <conditionalFormatting sqref="B37">
    <cfRule type="duplicateValues" dxfId="309" priority="3"/>
  </conditionalFormatting>
  <conditionalFormatting sqref="B51:B1048576 B25:B32 B4:B10 B12:B20 B22 B38:B42">
    <cfRule type="duplicateValues" dxfId="30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872C8-4F66-4E91-B4AE-1E15DFC8E5D5}">
  <sheetPr codeName="Sheet113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275</v>
      </c>
    </row>
    <row r="4" spans="1:5" x14ac:dyDescent="0.2">
      <c r="A4" s="71" t="s">
        <v>84</v>
      </c>
      <c r="B4" s="71"/>
      <c r="C4" s="2" t="s">
        <v>308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184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82.7 @ -100°C' 58.3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342</v>
      </c>
      <c r="D35" s="77"/>
      <c r="E35" s="78"/>
    </row>
    <row r="36" spans="1:5" x14ac:dyDescent="0.2">
      <c r="A36" s="77" t="s">
        <v>139</v>
      </c>
      <c r="B36" s="78"/>
      <c r="C36" s="3" t="s">
        <v>343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07" priority="6"/>
  </conditionalFormatting>
  <conditionalFormatting sqref="B33">
    <cfRule type="duplicateValues" dxfId="306" priority="2"/>
  </conditionalFormatting>
  <conditionalFormatting sqref="B34">
    <cfRule type="duplicateValues" dxfId="305" priority="1"/>
  </conditionalFormatting>
  <conditionalFormatting sqref="B35">
    <cfRule type="duplicateValues" dxfId="304" priority="5"/>
  </conditionalFormatting>
  <conditionalFormatting sqref="B36">
    <cfRule type="duplicateValues" dxfId="303" priority="4"/>
  </conditionalFormatting>
  <conditionalFormatting sqref="B37">
    <cfRule type="duplicateValues" dxfId="302" priority="3"/>
  </conditionalFormatting>
  <conditionalFormatting sqref="B51:B1048576 B25:B32 B4:B10 B12:B20 B22 B38:B42">
    <cfRule type="duplicateValues" dxfId="30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C12C1-802A-4A33-B451-0CFB53A89046}">
  <sheetPr codeName="Sheet114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276</v>
      </c>
    </row>
    <row r="4" spans="1:5" x14ac:dyDescent="0.2">
      <c r="A4" s="71" t="s">
        <v>84</v>
      </c>
      <c r="B4" s="71"/>
      <c r="C4" s="2" t="s">
        <v>386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184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82.7 @ -100°C' 58.3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201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342</v>
      </c>
      <c r="D35" s="77"/>
      <c r="E35" s="78"/>
    </row>
    <row r="36" spans="1:5" x14ac:dyDescent="0.2">
      <c r="A36" s="77" t="s">
        <v>139</v>
      </c>
      <c r="B36" s="78"/>
      <c r="C36" s="3" t="s">
        <v>343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00" priority="6"/>
  </conditionalFormatting>
  <conditionalFormatting sqref="B33">
    <cfRule type="duplicateValues" dxfId="299" priority="2"/>
  </conditionalFormatting>
  <conditionalFormatting sqref="B34">
    <cfRule type="duplicateValues" dxfId="298" priority="1"/>
  </conditionalFormatting>
  <conditionalFormatting sqref="B35">
    <cfRule type="duplicateValues" dxfId="297" priority="5"/>
  </conditionalFormatting>
  <conditionalFormatting sqref="B36">
    <cfRule type="duplicateValues" dxfId="296" priority="4"/>
  </conditionalFormatting>
  <conditionalFormatting sqref="B37">
    <cfRule type="duplicateValues" dxfId="295" priority="3"/>
  </conditionalFormatting>
  <conditionalFormatting sqref="B51:B1048576 B25:B32 B4:B10 B12:B20 B22 B38:B42">
    <cfRule type="duplicateValues" dxfId="29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8A8A-7BC0-4672-AE86-2B0B3A8F35C9}">
  <sheetPr codeName="Sheet115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277</v>
      </c>
    </row>
    <row r="4" spans="1:5" x14ac:dyDescent="0.2">
      <c r="A4" s="71" t="s">
        <v>84</v>
      </c>
      <c r="B4" s="71"/>
      <c r="C4" s="2" t="s">
        <v>243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185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124.1 @ -100°C' 87.5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340</v>
      </c>
      <c r="D35" s="77"/>
      <c r="E35" s="78"/>
    </row>
    <row r="36" spans="1:5" x14ac:dyDescent="0.2">
      <c r="A36" s="77" t="s">
        <v>139</v>
      </c>
      <c r="B36" s="78"/>
      <c r="C36" s="3" t="s">
        <v>341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93" priority="6"/>
  </conditionalFormatting>
  <conditionalFormatting sqref="B33">
    <cfRule type="duplicateValues" dxfId="292" priority="2"/>
  </conditionalFormatting>
  <conditionalFormatting sqref="B34">
    <cfRule type="duplicateValues" dxfId="291" priority="1"/>
  </conditionalFormatting>
  <conditionalFormatting sqref="B35">
    <cfRule type="duplicateValues" dxfId="290" priority="5"/>
  </conditionalFormatting>
  <conditionalFormatting sqref="B36">
    <cfRule type="duplicateValues" dxfId="289" priority="4"/>
  </conditionalFormatting>
  <conditionalFormatting sqref="B37">
    <cfRule type="duplicateValues" dxfId="288" priority="3"/>
  </conditionalFormatting>
  <conditionalFormatting sqref="B51:B1048576 B25:B32 B4:B10 B12:B20 B22 B38:B42">
    <cfRule type="duplicateValues" dxfId="28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84A4-DEE1-4A09-B4BF-8A20AEC1345B}">
  <sheetPr codeName="Sheet116">
    <tabColor rgb="FF00B050"/>
    <pageSetUpPr fitToPage="1"/>
  </sheetPr>
  <dimension ref="A1:E50"/>
  <sheetViews>
    <sheetView topLeftCell="A13"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278</v>
      </c>
    </row>
    <row r="4" spans="1:5" x14ac:dyDescent="0.2">
      <c r="A4" s="71" t="s">
        <v>84</v>
      </c>
      <c r="B4" s="71"/>
      <c r="C4" s="2" t="s">
        <v>309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185</v>
      </c>
      <c r="D5" s="72"/>
      <c r="E5" s="72"/>
    </row>
    <row r="6" spans="1:5" x14ac:dyDescent="0.2">
      <c r="A6" s="72" t="s">
        <v>31</v>
      </c>
      <c r="B6" s="72"/>
      <c r="C6" s="3" t="s">
        <v>168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124.1 @ -100°C' 87.5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340</v>
      </c>
      <c r="D35" s="77"/>
      <c r="E35" s="78"/>
    </row>
    <row r="36" spans="1:5" x14ac:dyDescent="0.2">
      <c r="A36" s="77" t="s">
        <v>139</v>
      </c>
      <c r="B36" s="78"/>
      <c r="C36" s="3" t="s">
        <v>341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86" priority="6"/>
  </conditionalFormatting>
  <conditionalFormatting sqref="B33">
    <cfRule type="duplicateValues" dxfId="285" priority="2"/>
  </conditionalFormatting>
  <conditionalFormatting sqref="B34">
    <cfRule type="duplicateValues" dxfId="284" priority="1"/>
  </conditionalFormatting>
  <conditionalFormatting sqref="B35">
    <cfRule type="duplicateValues" dxfId="283" priority="5"/>
  </conditionalFormatting>
  <conditionalFormatting sqref="B36">
    <cfRule type="duplicateValues" dxfId="282" priority="4"/>
  </conditionalFormatting>
  <conditionalFormatting sqref="B37">
    <cfRule type="duplicateValues" dxfId="281" priority="3"/>
  </conditionalFormatting>
  <conditionalFormatting sqref="B51:B1048576 B25:B32 B4:B10 B12:B20 B22 B38:B42">
    <cfRule type="duplicateValues" dxfId="28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65043-D911-45CE-9C29-64E28391A019}">
  <sheetPr codeName="Sheet117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279</v>
      </c>
    </row>
    <row r="4" spans="1:5" x14ac:dyDescent="0.2">
      <c r="A4" s="71" t="s">
        <v>84</v>
      </c>
      <c r="B4" s="71"/>
      <c r="C4" s="2" t="s">
        <v>244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186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206.8 @ -100°C' 145.8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338</v>
      </c>
      <c r="D35" s="77"/>
      <c r="E35" s="78"/>
    </row>
    <row r="36" spans="1:5" x14ac:dyDescent="0.2">
      <c r="A36" s="77" t="s">
        <v>139</v>
      </c>
      <c r="B36" s="78"/>
      <c r="C36" s="3" t="s">
        <v>339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79" priority="6"/>
  </conditionalFormatting>
  <conditionalFormatting sqref="B33">
    <cfRule type="duplicateValues" dxfId="278" priority="2"/>
  </conditionalFormatting>
  <conditionalFormatting sqref="B34">
    <cfRule type="duplicateValues" dxfId="277" priority="1"/>
  </conditionalFormatting>
  <conditionalFormatting sqref="B35">
    <cfRule type="duplicateValues" dxfId="276" priority="5"/>
  </conditionalFormatting>
  <conditionalFormatting sqref="B36">
    <cfRule type="duplicateValues" dxfId="275" priority="4"/>
  </conditionalFormatting>
  <conditionalFormatting sqref="B37">
    <cfRule type="duplicateValues" dxfId="274" priority="3"/>
  </conditionalFormatting>
  <conditionalFormatting sqref="B51:B1048576 B25:B32 B4:B10 B12:B20 B22 B38:B42">
    <cfRule type="duplicateValues" dxfId="27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C6493-994D-4D95-898E-7803F2D2893A}">
  <sheetPr codeName="Sheet118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280</v>
      </c>
    </row>
    <row r="4" spans="1:5" x14ac:dyDescent="0.2">
      <c r="A4" s="71" t="s">
        <v>84</v>
      </c>
      <c r="B4" s="71"/>
      <c r="C4" s="2" t="s">
        <v>310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186</v>
      </c>
      <c r="D5" s="72"/>
      <c r="E5" s="72"/>
    </row>
    <row r="6" spans="1:5" x14ac:dyDescent="0.2">
      <c r="A6" s="72" t="s">
        <v>31</v>
      </c>
      <c r="B6" s="72"/>
      <c r="C6" s="3" t="s">
        <v>88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206.8 @ -100°C' 145.8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338</v>
      </c>
      <c r="D35" s="77"/>
      <c r="E35" s="78"/>
    </row>
    <row r="36" spans="1:5" x14ac:dyDescent="0.2">
      <c r="A36" s="77" t="s">
        <v>139</v>
      </c>
      <c r="B36" s="78"/>
      <c r="C36" s="3" t="s">
        <v>339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72" priority="6"/>
  </conditionalFormatting>
  <conditionalFormatting sqref="B33">
    <cfRule type="duplicateValues" dxfId="271" priority="2"/>
  </conditionalFormatting>
  <conditionalFormatting sqref="B34">
    <cfRule type="duplicateValues" dxfId="270" priority="1"/>
  </conditionalFormatting>
  <conditionalFormatting sqref="B35">
    <cfRule type="duplicateValues" dxfId="269" priority="5"/>
  </conditionalFormatting>
  <conditionalFormatting sqref="B36">
    <cfRule type="duplicateValues" dxfId="268" priority="4"/>
  </conditionalFormatting>
  <conditionalFormatting sqref="B37">
    <cfRule type="duplicateValues" dxfId="267" priority="3"/>
  </conditionalFormatting>
  <conditionalFormatting sqref="B51:B1048576 B25:B32 B4:B10 B12:B20 B22 B38:B42">
    <cfRule type="duplicateValues" dxfId="26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8DEDA-6AF5-4C44-822D-D91C8A8D5138}">
  <sheetPr codeName="Sheet119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281</v>
      </c>
    </row>
    <row r="4" spans="1:5" x14ac:dyDescent="0.2">
      <c r="A4" s="71" t="s">
        <v>84</v>
      </c>
      <c r="B4" s="71"/>
      <c r="C4" s="2" t="s">
        <v>245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187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344.7 @ -100°C' 243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336</v>
      </c>
      <c r="D35" s="77"/>
      <c r="E35" s="78"/>
    </row>
    <row r="36" spans="1:5" x14ac:dyDescent="0.2">
      <c r="A36" s="77" t="s">
        <v>139</v>
      </c>
      <c r="B36" s="78"/>
      <c r="C36" s="3" t="s">
        <v>337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65" priority="6"/>
  </conditionalFormatting>
  <conditionalFormatting sqref="B33">
    <cfRule type="duplicateValues" dxfId="264" priority="2"/>
  </conditionalFormatting>
  <conditionalFormatting sqref="B34">
    <cfRule type="duplicateValues" dxfId="263" priority="1"/>
  </conditionalFormatting>
  <conditionalFormatting sqref="B35">
    <cfRule type="duplicateValues" dxfId="262" priority="5"/>
  </conditionalFormatting>
  <conditionalFormatting sqref="B36">
    <cfRule type="duplicateValues" dxfId="261" priority="4"/>
  </conditionalFormatting>
  <conditionalFormatting sqref="B37">
    <cfRule type="duplicateValues" dxfId="260" priority="3"/>
  </conditionalFormatting>
  <conditionalFormatting sqref="B51:B1048576 B25:B32 B4:B10 B12:B20 B22 B38:B42">
    <cfRule type="duplicateValues" dxfId="25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08183-15E8-4AE0-9D86-F0DE313612FB}">
  <sheetPr codeName="Sheet120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282</v>
      </c>
    </row>
    <row r="4" spans="1:5" x14ac:dyDescent="0.2">
      <c r="A4" s="71" t="s">
        <v>84</v>
      </c>
      <c r="B4" s="71"/>
      <c r="C4" s="2" t="s">
        <v>311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187</v>
      </c>
      <c r="D5" s="72"/>
      <c r="E5" s="72"/>
    </row>
    <row r="6" spans="1:5" x14ac:dyDescent="0.2">
      <c r="A6" s="72" t="s">
        <v>31</v>
      </c>
      <c r="B6" s="72"/>
      <c r="C6" s="3" t="s">
        <v>156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Glycol, 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344.7 @ -100°C' 243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2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117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336</v>
      </c>
      <c r="D35" s="77"/>
      <c r="E35" s="78"/>
    </row>
    <row r="36" spans="1:5" x14ac:dyDescent="0.2">
      <c r="A36" s="77" t="s">
        <v>139</v>
      </c>
      <c r="B36" s="78"/>
      <c r="C36" s="3" t="s">
        <v>337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58" priority="6"/>
  </conditionalFormatting>
  <conditionalFormatting sqref="B33">
    <cfRule type="duplicateValues" dxfId="257" priority="2"/>
  </conditionalFormatting>
  <conditionalFormatting sqref="B34">
    <cfRule type="duplicateValues" dxfId="256" priority="1"/>
  </conditionalFormatting>
  <conditionalFormatting sqref="B35">
    <cfRule type="duplicateValues" dxfId="255" priority="5"/>
  </conditionalFormatting>
  <conditionalFormatting sqref="B36">
    <cfRule type="duplicateValues" dxfId="254" priority="4"/>
  </conditionalFormatting>
  <conditionalFormatting sqref="B37">
    <cfRule type="duplicateValues" dxfId="253" priority="3"/>
  </conditionalFormatting>
  <conditionalFormatting sqref="B51:B1048576 B25:B32 B4:B10 B12:B20 B22 B38:B42">
    <cfRule type="duplicateValues" dxfId="25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3D76D-FC13-4BE2-B4C5-677311E0B2A6}">
  <sheetPr codeName="Sheet121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283</v>
      </c>
    </row>
    <row r="4" spans="1:5" x14ac:dyDescent="0.2">
      <c r="A4" s="71" t="s">
        <v>84</v>
      </c>
      <c r="B4" s="71"/>
      <c r="C4" s="2" t="s">
        <v>312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188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 @ -46°C'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136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6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204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334</v>
      </c>
      <c r="D35" s="77"/>
      <c r="E35" s="78"/>
    </row>
    <row r="36" spans="1:5" x14ac:dyDescent="0.2">
      <c r="A36" s="77" t="s">
        <v>139</v>
      </c>
      <c r="B36" s="78"/>
      <c r="C36" s="3" t="s">
        <v>335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51" priority="6"/>
  </conditionalFormatting>
  <conditionalFormatting sqref="B33">
    <cfRule type="duplicateValues" dxfId="250" priority="2"/>
  </conditionalFormatting>
  <conditionalFormatting sqref="B34">
    <cfRule type="duplicateValues" dxfId="249" priority="1"/>
  </conditionalFormatting>
  <conditionalFormatting sqref="B35">
    <cfRule type="duplicateValues" dxfId="248" priority="5"/>
  </conditionalFormatting>
  <conditionalFormatting sqref="B36">
    <cfRule type="duplicateValues" dxfId="247" priority="4"/>
  </conditionalFormatting>
  <conditionalFormatting sqref="B37">
    <cfRule type="duplicateValues" dxfId="246" priority="3"/>
  </conditionalFormatting>
  <conditionalFormatting sqref="B51:B1048576 B25:B32 B4:B10 B12:B20 B22 B38:B42">
    <cfRule type="duplicateValues" dxfId="24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AE82-619F-4133-B3D1-8316B14D843F}">
  <sheetPr codeName="Sheet122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284</v>
      </c>
    </row>
    <row r="4" spans="1:5" x14ac:dyDescent="0.2">
      <c r="A4" s="71" t="s">
        <v>84</v>
      </c>
      <c r="B4" s="71"/>
      <c r="C4" s="2" t="s">
        <v>250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188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 @ -46°C'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125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204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334</v>
      </c>
      <c r="D35" s="77"/>
      <c r="E35" s="78"/>
    </row>
    <row r="36" spans="1:5" x14ac:dyDescent="0.2">
      <c r="A36" s="77" t="s">
        <v>139</v>
      </c>
      <c r="B36" s="78"/>
      <c r="C36" s="3" t="s">
        <v>335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44" priority="6"/>
  </conditionalFormatting>
  <conditionalFormatting sqref="B33">
    <cfRule type="duplicateValues" dxfId="243" priority="2"/>
  </conditionalFormatting>
  <conditionalFormatting sqref="B34">
    <cfRule type="duplicateValues" dxfId="242" priority="1"/>
  </conditionalFormatting>
  <conditionalFormatting sqref="B35">
    <cfRule type="duplicateValues" dxfId="241" priority="5"/>
  </conditionalFormatting>
  <conditionalFormatting sqref="B36">
    <cfRule type="duplicateValues" dxfId="240" priority="4"/>
  </conditionalFormatting>
  <conditionalFormatting sqref="B37">
    <cfRule type="duplicateValues" dxfId="239" priority="3"/>
  </conditionalFormatting>
  <conditionalFormatting sqref="B51:B1048576 B25:B32 B4:B10 B12:B20 B22 B38:B42">
    <cfRule type="duplicateValues" dxfId="23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F3167-AA0A-43F2-9F9B-38D8BC36872F}">
  <sheetPr codeName="Sheet123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285</v>
      </c>
    </row>
    <row r="4" spans="1:5" x14ac:dyDescent="0.2">
      <c r="A4" s="71" t="s">
        <v>84</v>
      </c>
      <c r="B4" s="71"/>
      <c r="C4" s="2" t="s">
        <v>251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189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51.7 @ -46°C' 42.7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125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204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332</v>
      </c>
      <c r="D35" s="77"/>
      <c r="E35" s="78"/>
    </row>
    <row r="36" spans="1:5" x14ac:dyDescent="0.2">
      <c r="A36" s="77" t="s">
        <v>139</v>
      </c>
      <c r="B36" s="78"/>
      <c r="C36" s="3" t="s">
        <v>333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37" priority="6"/>
  </conditionalFormatting>
  <conditionalFormatting sqref="B33">
    <cfRule type="duplicateValues" dxfId="236" priority="2"/>
  </conditionalFormatting>
  <conditionalFormatting sqref="B34">
    <cfRule type="duplicateValues" dxfId="235" priority="1"/>
  </conditionalFormatting>
  <conditionalFormatting sqref="B35">
    <cfRule type="duplicateValues" dxfId="234" priority="5"/>
  </conditionalFormatting>
  <conditionalFormatting sqref="B36">
    <cfRule type="duplicateValues" dxfId="233" priority="4"/>
  </conditionalFormatting>
  <conditionalFormatting sqref="B37">
    <cfRule type="duplicateValues" dxfId="232" priority="3"/>
  </conditionalFormatting>
  <conditionalFormatting sqref="B51:B1048576 B25:B32 B4:B10 B12:B20 B22 B38:B42">
    <cfRule type="duplicateValues" dxfId="23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F2E76-68F8-4ADD-9474-57DDFCC2C477}">
  <sheetPr codeName="Sheet124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286</v>
      </c>
    </row>
    <row r="4" spans="1:5" x14ac:dyDescent="0.2">
      <c r="A4" s="71" t="s">
        <v>84</v>
      </c>
      <c r="B4" s="71"/>
      <c r="C4" s="2" t="s">
        <v>313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51.7 @ -46°C' 42.7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136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6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204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332</v>
      </c>
      <c r="D35" s="77"/>
      <c r="E35" s="78"/>
    </row>
    <row r="36" spans="1:5" x14ac:dyDescent="0.2">
      <c r="A36" s="77" t="s">
        <v>139</v>
      </c>
      <c r="B36" s="78"/>
      <c r="C36" s="3" t="s">
        <v>333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30" priority="6"/>
  </conditionalFormatting>
  <conditionalFormatting sqref="B33">
    <cfRule type="duplicateValues" dxfId="229" priority="2"/>
  </conditionalFormatting>
  <conditionalFormatting sqref="B34">
    <cfRule type="duplicateValues" dxfId="228" priority="1"/>
  </conditionalFormatting>
  <conditionalFormatting sqref="B35">
    <cfRule type="duplicateValues" dxfId="227" priority="5"/>
  </conditionalFormatting>
  <conditionalFormatting sqref="B36">
    <cfRule type="duplicateValues" dxfId="226" priority="4"/>
  </conditionalFormatting>
  <conditionalFormatting sqref="B37">
    <cfRule type="duplicateValues" dxfId="225" priority="3"/>
  </conditionalFormatting>
  <conditionalFormatting sqref="B51:B1048576 B25:B32 B4:B10 B12:B20 B22 B38:B42">
    <cfRule type="duplicateValues" dxfId="22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40-37A3-4BB4-A3F0-120A24D3D050}">
  <sheetPr codeName="Sheet125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287</v>
      </c>
    </row>
    <row r="4" spans="1:5" x14ac:dyDescent="0.2">
      <c r="A4" s="71" t="s">
        <v>84</v>
      </c>
      <c r="B4" s="71"/>
      <c r="C4" s="2" t="s">
        <v>387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189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261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79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51.7 @ -46°C' 42.7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165</v>
      </c>
      <c r="D14" s="72"/>
      <c r="E14" s="72"/>
    </row>
    <row r="15" spans="1:5" x14ac:dyDescent="0.2">
      <c r="A15" s="72" t="s">
        <v>40</v>
      </c>
      <c r="B15" s="72"/>
      <c r="C15" s="3" t="s">
        <v>93</v>
      </c>
      <c r="D15" s="72"/>
      <c r="E15" s="72"/>
    </row>
    <row r="16" spans="1:5" ht="24" x14ac:dyDescent="0.2">
      <c r="A16" s="72" t="s">
        <v>41</v>
      </c>
      <c r="B16" s="4" t="s">
        <v>42</v>
      </c>
      <c r="C16" s="3" t="s">
        <v>262</v>
      </c>
      <c r="D16" s="72"/>
      <c r="E16" s="72"/>
    </row>
    <row r="17" spans="1:5" x14ac:dyDescent="0.2">
      <c r="A17" s="72"/>
      <c r="B17" s="4" t="s">
        <v>72</v>
      </c>
      <c r="C17" s="3" t="s">
        <v>109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ht="24" x14ac:dyDescent="0.2">
      <c r="A19" s="72" t="s">
        <v>43</v>
      </c>
      <c r="B19" s="72"/>
      <c r="C19" s="3" t="s">
        <v>81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162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6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204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332</v>
      </c>
      <c r="D35" s="77"/>
      <c r="E35" s="78"/>
    </row>
    <row r="36" spans="1:5" x14ac:dyDescent="0.2">
      <c r="A36" s="77" t="s">
        <v>139</v>
      </c>
      <c r="B36" s="78"/>
      <c r="C36" s="3" t="s">
        <v>333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23" priority="6"/>
  </conditionalFormatting>
  <conditionalFormatting sqref="B33">
    <cfRule type="duplicateValues" dxfId="222" priority="2"/>
  </conditionalFormatting>
  <conditionalFormatting sqref="B34">
    <cfRule type="duplicateValues" dxfId="221" priority="1"/>
  </conditionalFormatting>
  <conditionalFormatting sqref="B35">
    <cfRule type="duplicateValues" dxfId="220" priority="5"/>
  </conditionalFormatting>
  <conditionalFormatting sqref="B36">
    <cfRule type="duplicateValues" dxfId="219" priority="4"/>
  </conditionalFormatting>
  <conditionalFormatting sqref="B37">
    <cfRule type="duplicateValues" dxfId="218" priority="3"/>
  </conditionalFormatting>
  <conditionalFormatting sqref="B51:B1048576 B25:B32 B4:B10 B12:B20 B22 B38:B42">
    <cfRule type="duplicateValues" dxfId="21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EE7-48D8-4327-BCE3-A25C97CE76D6}">
  <sheetPr codeName="Sheet126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288</v>
      </c>
    </row>
    <row r="4" spans="1:5" x14ac:dyDescent="0.2">
      <c r="A4" s="71" t="s">
        <v>84</v>
      </c>
      <c r="B4" s="71"/>
      <c r="C4" s="2" t="s">
        <v>252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190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103.4 @ -46°C' 85.3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125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204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330</v>
      </c>
      <c r="D35" s="77"/>
      <c r="E35" s="78"/>
    </row>
    <row r="36" spans="1:5" x14ac:dyDescent="0.2">
      <c r="A36" s="77" t="s">
        <v>139</v>
      </c>
      <c r="B36" s="78"/>
      <c r="C36" s="3" t="s">
        <v>331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16" priority="6"/>
  </conditionalFormatting>
  <conditionalFormatting sqref="B33">
    <cfRule type="duplicateValues" dxfId="215" priority="2"/>
  </conditionalFormatting>
  <conditionalFormatting sqref="B34">
    <cfRule type="duplicateValues" dxfId="214" priority="1"/>
  </conditionalFormatting>
  <conditionalFormatting sqref="B35">
    <cfRule type="duplicateValues" dxfId="213" priority="5"/>
  </conditionalFormatting>
  <conditionalFormatting sqref="B36">
    <cfRule type="duplicateValues" dxfId="212" priority="4"/>
  </conditionalFormatting>
  <conditionalFormatting sqref="B37">
    <cfRule type="duplicateValues" dxfId="211" priority="3"/>
  </conditionalFormatting>
  <conditionalFormatting sqref="B51:B1048576 B25:B32 B4:B10 B12:B20 B22 B38:B42">
    <cfRule type="duplicateValues" dxfId="21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AF809-A065-4C58-B47C-C8096236F905}">
  <sheetPr codeName="Sheet127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289</v>
      </c>
    </row>
    <row r="4" spans="1:5" x14ac:dyDescent="0.2">
      <c r="A4" s="71" t="s">
        <v>84</v>
      </c>
      <c r="B4" s="71"/>
      <c r="C4" s="2" t="s">
        <v>314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190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103.4 @ -46°C' 85.3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136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6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204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330</v>
      </c>
      <c r="D35" s="77"/>
      <c r="E35" s="78"/>
    </row>
    <row r="36" spans="1:5" x14ac:dyDescent="0.2">
      <c r="A36" s="77" t="s">
        <v>139</v>
      </c>
      <c r="B36" s="78"/>
      <c r="C36" s="3" t="s">
        <v>331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09" priority="6"/>
  </conditionalFormatting>
  <conditionalFormatting sqref="B33">
    <cfRule type="duplicateValues" dxfId="208" priority="2"/>
  </conditionalFormatting>
  <conditionalFormatting sqref="B34">
    <cfRule type="duplicateValues" dxfId="207" priority="1"/>
  </conditionalFormatting>
  <conditionalFormatting sqref="B35">
    <cfRule type="duplicateValues" dxfId="206" priority="5"/>
  </conditionalFormatting>
  <conditionalFormatting sqref="B36">
    <cfRule type="duplicateValues" dxfId="205" priority="4"/>
  </conditionalFormatting>
  <conditionalFormatting sqref="B37">
    <cfRule type="duplicateValues" dxfId="204" priority="3"/>
  </conditionalFormatting>
  <conditionalFormatting sqref="B51:B1048576 B25:B32 B4:B10 B12:B20 B22 B38:B42">
    <cfRule type="duplicateValues" dxfId="20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7BE79-3A2E-4264-AF04-51C5087A44EB}">
  <sheetPr codeName="Sheet128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290</v>
      </c>
    </row>
    <row r="4" spans="1:5" x14ac:dyDescent="0.2">
      <c r="A4" s="71" t="s">
        <v>84</v>
      </c>
      <c r="B4" s="71"/>
      <c r="C4" s="2" t="s">
        <v>253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191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155.1 @ -46°C' 128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125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205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328</v>
      </c>
      <c r="D35" s="77"/>
      <c r="E35" s="78"/>
    </row>
    <row r="36" spans="1:5" x14ac:dyDescent="0.2">
      <c r="A36" s="77" t="s">
        <v>139</v>
      </c>
      <c r="B36" s="78"/>
      <c r="C36" s="3" t="s">
        <v>329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02" priority="6"/>
  </conditionalFormatting>
  <conditionalFormatting sqref="B33">
    <cfRule type="duplicateValues" dxfId="201" priority="2"/>
  </conditionalFormatting>
  <conditionalFormatting sqref="B34">
    <cfRule type="duplicateValues" dxfId="200" priority="1"/>
  </conditionalFormatting>
  <conditionalFormatting sqref="B35">
    <cfRule type="duplicateValues" dxfId="199" priority="5"/>
  </conditionalFormatting>
  <conditionalFormatting sqref="B36">
    <cfRule type="duplicateValues" dxfId="198" priority="4"/>
  </conditionalFormatting>
  <conditionalFormatting sqref="B37">
    <cfRule type="duplicateValues" dxfId="197" priority="3"/>
  </conditionalFormatting>
  <conditionalFormatting sqref="B51:B1048576 B25:B32 B4:B10 B12:B20 B22 B38:B42">
    <cfRule type="duplicateValues" dxfId="19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75221-4D21-4A16-9058-06DDD9F53CBB}">
  <sheetPr codeName="Sheet129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291</v>
      </c>
    </row>
    <row r="4" spans="1:5" x14ac:dyDescent="0.2">
      <c r="A4" s="71" t="s">
        <v>84</v>
      </c>
      <c r="B4" s="71"/>
      <c r="C4" s="2" t="s">
        <v>315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191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155.1 @ -46°C' 128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136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6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205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328</v>
      </c>
      <c r="D35" s="77"/>
      <c r="E35" s="78"/>
    </row>
    <row r="36" spans="1:5" x14ac:dyDescent="0.2">
      <c r="A36" s="77" t="s">
        <v>139</v>
      </c>
      <c r="B36" s="78"/>
      <c r="C36" s="3" t="s">
        <v>329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195" priority="6"/>
  </conditionalFormatting>
  <conditionalFormatting sqref="B33">
    <cfRule type="duplicateValues" dxfId="194" priority="2"/>
  </conditionalFormatting>
  <conditionalFormatting sqref="B34">
    <cfRule type="duplicateValues" dxfId="193" priority="1"/>
  </conditionalFormatting>
  <conditionalFormatting sqref="B35">
    <cfRule type="duplicateValues" dxfId="192" priority="5"/>
  </conditionalFormatting>
  <conditionalFormatting sqref="B36">
    <cfRule type="duplicateValues" dxfId="191" priority="4"/>
  </conditionalFormatting>
  <conditionalFormatting sqref="B37">
    <cfRule type="duplicateValues" dxfId="190" priority="3"/>
  </conditionalFormatting>
  <conditionalFormatting sqref="B51:B1048576 B25:B32 B4:B10 B12:B20 B22 B38:B42">
    <cfRule type="duplicateValues" dxfId="18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2D16B-523F-4483-820C-4BD97277347F}">
  <sheetPr codeName="Sheet130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292</v>
      </c>
    </row>
    <row r="4" spans="1:5" x14ac:dyDescent="0.2">
      <c r="A4" s="71" t="s">
        <v>84</v>
      </c>
      <c r="B4" s="71"/>
      <c r="C4" s="2" t="s">
        <v>254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192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258.6 @ -46°C' 213.3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125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205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326</v>
      </c>
      <c r="D35" s="77"/>
      <c r="E35" s="78"/>
    </row>
    <row r="36" spans="1:5" x14ac:dyDescent="0.2">
      <c r="A36" s="77" t="s">
        <v>139</v>
      </c>
      <c r="B36" s="78"/>
      <c r="C36" s="3" t="s">
        <v>327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188" priority="6"/>
  </conditionalFormatting>
  <conditionalFormatting sqref="B33">
    <cfRule type="duplicateValues" dxfId="187" priority="2"/>
  </conditionalFormatting>
  <conditionalFormatting sqref="B34">
    <cfRule type="duplicateValues" dxfId="186" priority="1"/>
  </conditionalFormatting>
  <conditionalFormatting sqref="B35">
    <cfRule type="duplicateValues" dxfId="185" priority="5"/>
  </conditionalFormatting>
  <conditionalFormatting sqref="B36">
    <cfRule type="duplicateValues" dxfId="184" priority="4"/>
  </conditionalFormatting>
  <conditionalFormatting sqref="B37">
    <cfRule type="duplicateValues" dxfId="183" priority="3"/>
  </conditionalFormatting>
  <conditionalFormatting sqref="B51:B1048576 B25:B32 B4:B10 B12:B20 B22 B38:B42">
    <cfRule type="duplicateValues" dxfId="18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A469D-462B-4A8B-8DF1-2451F6245D65}">
  <sheetPr codeName="Sheet131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293</v>
      </c>
    </row>
    <row r="4" spans="1:5" x14ac:dyDescent="0.2">
      <c r="A4" s="71" t="s">
        <v>84</v>
      </c>
      <c r="B4" s="71"/>
      <c r="C4" s="2" t="s">
        <v>316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192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258.6 @ -46°C' 213.3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136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6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205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326</v>
      </c>
      <c r="D35" s="77"/>
      <c r="E35" s="78"/>
    </row>
    <row r="36" spans="1:5" x14ac:dyDescent="0.2">
      <c r="A36" s="77" t="s">
        <v>139</v>
      </c>
      <c r="B36" s="78"/>
      <c r="C36" s="3" t="s">
        <v>327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181" priority="6"/>
  </conditionalFormatting>
  <conditionalFormatting sqref="B33">
    <cfRule type="duplicateValues" dxfId="180" priority="2"/>
  </conditionalFormatting>
  <conditionalFormatting sqref="B34">
    <cfRule type="duplicateValues" dxfId="179" priority="1"/>
  </conditionalFormatting>
  <conditionalFormatting sqref="B35">
    <cfRule type="duplicateValues" dxfId="178" priority="5"/>
  </conditionalFormatting>
  <conditionalFormatting sqref="B36">
    <cfRule type="duplicateValues" dxfId="177" priority="4"/>
  </conditionalFormatting>
  <conditionalFormatting sqref="B37">
    <cfRule type="duplicateValues" dxfId="176" priority="3"/>
  </conditionalFormatting>
  <conditionalFormatting sqref="B51:B1048576 B25:B32 B4:B10 B12:B20 B22 B38:B42">
    <cfRule type="duplicateValues" dxfId="17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981E4-C9A4-4079-9218-1084958AD619}">
  <sheetPr codeName="Sheet132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294</v>
      </c>
    </row>
    <row r="4" spans="1:5" x14ac:dyDescent="0.2">
      <c r="A4" s="71" t="s">
        <v>84</v>
      </c>
      <c r="B4" s="71"/>
      <c r="C4" s="2" t="s">
        <v>255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193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430.9 @ -46°C' 355.4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24" x14ac:dyDescent="0.2">
      <c r="A20" s="72" t="s">
        <v>44</v>
      </c>
      <c r="B20" s="4" t="s">
        <v>97</v>
      </c>
      <c r="C20" s="3" t="s">
        <v>125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205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324</v>
      </c>
      <c r="D35" s="77"/>
      <c r="E35" s="78"/>
    </row>
    <row r="36" spans="1:5" x14ac:dyDescent="0.2">
      <c r="A36" s="77" t="s">
        <v>139</v>
      </c>
      <c r="B36" s="78"/>
      <c r="C36" s="3" t="s">
        <v>325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174" priority="6"/>
  </conditionalFormatting>
  <conditionalFormatting sqref="B33">
    <cfRule type="duplicateValues" dxfId="173" priority="2"/>
  </conditionalFormatting>
  <conditionalFormatting sqref="B34">
    <cfRule type="duplicateValues" dxfId="172" priority="1"/>
  </conditionalFormatting>
  <conditionalFormatting sqref="B35">
    <cfRule type="duplicateValues" dxfId="171" priority="5"/>
  </conditionalFormatting>
  <conditionalFormatting sqref="B36">
    <cfRule type="duplicateValues" dxfId="170" priority="4"/>
  </conditionalFormatting>
  <conditionalFormatting sqref="B37">
    <cfRule type="duplicateValues" dxfId="169" priority="3"/>
  </conditionalFormatting>
  <conditionalFormatting sqref="B51:B1048576 B25:B32 B4:B10 B12:B20 B22 B38:B42">
    <cfRule type="duplicateValues" dxfId="16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4EF7E-9F55-42C0-9BEF-F1C2A4253F78}">
  <sheetPr codeName="Sheet133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295</v>
      </c>
    </row>
    <row r="4" spans="1:5" x14ac:dyDescent="0.2">
      <c r="A4" s="71" t="s">
        <v>84</v>
      </c>
      <c r="B4" s="71"/>
      <c r="C4" s="2" t="s">
        <v>317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193</v>
      </c>
      <c r="D5" s="72"/>
      <c r="E5" s="72"/>
    </row>
    <row r="6" spans="1:5" x14ac:dyDescent="0.2">
      <c r="A6" s="72" t="s">
        <v>31</v>
      </c>
      <c r="B6" s="72"/>
      <c r="C6" s="3" t="s">
        <v>156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430.9 @ -46°C' 355.4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136</v>
      </c>
      <c r="D20" s="72"/>
      <c r="E20" s="72"/>
    </row>
    <row r="21" spans="1:5" x14ac:dyDescent="0.2">
      <c r="A21" s="72"/>
      <c r="B21" s="4" t="s">
        <v>108</v>
      </c>
      <c r="C21" s="3" t="s">
        <v>116</v>
      </c>
      <c r="D21" s="72"/>
      <c r="E21" s="72"/>
    </row>
    <row r="22" spans="1:5" x14ac:dyDescent="0.2">
      <c r="A22" s="72"/>
      <c r="B22" s="4" t="s">
        <v>98</v>
      </c>
      <c r="C22" s="3" t="s">
        <v>145</v>
      </c>
      <c r="D22" s="72"/>
      <c r="E22" s="72"/>
    </row>
    <row r="23" spans="1:5" x14ac:dyDescent="0.2">
      <c r="A23" s="72"/>
      <c r="B23" s="5" t="s">
        <v>99</v>
      </c>
      <c r="C23" s="3" t="s">
        <v>116</v>
      </c>
      <c r="D23" s="72"/>
      <c r="E23" s="72"/>
    </row>
    <row r="24" spans="1:5" x14ac:dyDescent="0.2">
      <c r="A24" s="72"/>
      <c r="B24" s="1" t="s">
        <v>160</v>
      </c>
      <c r="C24" s="3" t="s">
        <v>6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150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205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324</v>
      </c>
      <c r="D35" s="77"/>
      <c r="E35" s="78"/>
    </row>
    <row r="36" spans="1:5" x14ac:dyDescent="0.2">
      <c r="A36" s="77" t="s">
        <v>139</v>
      </c>
      <c r="B36" s="78"/>
      <c r="C36" s="3" t="s">
        <v>325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167" priority="6"/>
  </conditionalFormatting>
  <conditionalFormatting sqref="B33">
    <cfRule type="duplicateValues" dxfId="166" priority="2"/>
  </conditionalFormatting>
  <conditionalFormatting sqref="B34">
    <cfRule type="duplicateValues" dxfId="165" priority="1"/>
  </conditionalFormatting>
  <conditionalFormatting sqref="B35">
    <cfRule type="duplicateValues" dxfId="164" priority="5"/>
  </conditionalFormatting>
  <conditionalFormatting sqref="B36">
    <cfRule type="duplicateValues" dxfId="163" priority="4"/>
  </conditionalFormatting>
  <conditionalFormatting sqref="B37">
    <cfRule type="duplicateValues" dxfId="162" priority="3"/>
  </conditionalFormatting>
  <conditionalFormatting sqref="B51:B1048576 B25:B32 B4:B10 B12:B20 B22 B38:B42">
    <cfRule type="duplicateValues" dxfId="16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586A4-F6BE-40CD-931E-965A57162FE5}">
  <sheetPr codeName="Sheet146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296</v>
      </c>
    </row>
    <row r="4" spans="1:5" x14ac:dyDescent="0.2">
      <c r="A4" s="71" t="s">
        <v>84</v>
      </c>
      <c r="B4" s="71"/>
      <c r="C4" s="2" t="s">
        <v>388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389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Firewater, Raw Seawater and Topsides Seawater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 @ -46°C'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124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112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206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334</v>
      </c>
      <c r="D35" s="77"/>
      <c r="E35" s="78"/>
    </row>
    <row r="36" spans="1:5" x14ac:dyDescent="0.2">
      <c r="A36" s="77" t="s">
        <v>139</v>
      </c>
      <c r="B36" s="78"/>
      <c r="C36" s="3" t="s">
        <v>335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18"/>
    <mergeCell ref="D16:E16"/>
    <mergeCell ref="D17:E17"/>
    <mergeCell ref="D18:E18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31:B31"/>
    <mergeCell ref="D31:E31"/>
    <mergeCell ref="A32:B32"/>
    <mergeCell ref="D32:E32"/>
    <mergeCell ref="A33:B33"/>
    <mergeCell ref="D33:E33"/>
    <mergeCell ref="A34:B34"/>
    <mergeCell ref="D34:E34"/>
    <mergeCell ref="A35:B35"/>
    <mergeCell ref="D35:E35"/>
    <mergeCell ref="A36:B36"/>
    <mergeCell ref="D36:E36"/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</mergeCells>
  <conditionalFormatting sqref="B21">
    <cfRule type="duplicateValues" dxfId="160" priority="6"/>
  </conditionalFormatting>
  <conditionalFormatting sqref="B33">
    <cfRule type="duplicateValues" dxfId="159" priority="2"/>
  </conditionalFormatting>
  <conditionalFormatting sqref="B34">
    <cfRule type="duplicateValues" dxfId="158" priority="1"/>
  </conditionalFormatting>
  <conditionalFormatting sqref="B35">
    <cfRule type="duplicateValues" dxfId="157" priority="5"/>
  </conditionalFormatting>
  <conditionalFormatting sqref="B36">
    <cfRule type="duplicateValues" dxfId="156" priority="4"/>
  </conditionalFormatting>
  <conditionalFormatting sqref="B37">
    <cfRule type="duplicateValues" dxfId="155" priority="3"/>
  </conditionalFormatting>
  <conditionalFormatting sqref="B51:B1048576 B25:B32 B4:B10 B12:B20 B22 B38:B42">
    <cfRule type="duplicateValues" dxfId="15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B0F36-426C-4B8F-83D5-E61D12217512}">
  <sheetPr codeName="Sheet147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297</v>
      </c>
    </row>
    <row r="4" spans="1:5" x14ac:dyDescent="0.2">
      <c r="A4" s="71" t="s">
        <v>84</v>
      </c>
      <c r="B4" s="71"/>
      <c r="C4" s="2" t="s">
        <v>390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389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Firewater, Raw Seawater and Topsides Seawater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 @ -46°C'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126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112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206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334</v>
      </c>
      <c r="D35" s="77"/>
      <c r="E35" s="78"/>
    </row>
    <row r="36" spans="1:5" x14ac:dyDescent="0.2">
      <c r="A36" s="77" t="s">
        <v>139</v>
      </c>
      <c r="B36" s="78"/>
      <c r="C36" s="3" t="s">
        <v>335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18"/>
    <mergeCell ref="D16:E16"/>
    <mergeCell ref="D17:E17"/>
    <mergeCell ref="D18:E18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31:B31"/>
    <mergeCell ref="D31:E31"/>
    <mergeCell ref="A32:B32"/>
    <mergeCell ref="D32:E32"/>
    <mergeCell ref="A33:B33"/>
    <mergeCell ref="D33:E33"/>
    <mergeCell ref="A34:B34"/>
    <mergeCell ref="D34:E34"/>
    <mergeCell ref="A35:B35"/>
    <mergeCell ref="D35:E35"/>
    <mergeCell ref="A36:B36"/>
    <mergeCell ref="D36:E36"/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</mergeCells>
  <conditionalFormatting sqref="B21">
    <cfRule type="duplicateValues" dxfId="153" priority="6"/>
  </conditionalFormatting>
  <conditionalFormatting sqref="B33">
    <cfRule type="duplicateValues" dxfId="152" priority="2"/>
  </conditionalFormatting>
  <conditionalFormatting sqref="B34">
    <cfRule type="duplicateValues" dxfId="151" priority="1"/>
  </conditionalFormatting>
  <conditionalFormatting sqref="B35">
    <cfRule type="duplicateValues" dxfId="150" priority="5"/>
  </conditionalFormatting>
  <conditionalFormatting sqref="B36">
    <cfRule type="duplicateValues" dxfId="149" priority="4"/>
  </conditionalFormatting>
  <conditionalFormatting sqref="B37">
    <cfRule type="duplicateValues" dxfId="148" priority="3"/>
  </conditionalFormatting>
  <conditionalFormatting sqref="B51:B1048576 B25:B32 B4:B10 B12:B20 B22 B38:B42">
    <cfRule type="duplicateValues" dxfId="14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0C0E8-F4E0-48DE-8387-366E68105778}">
  <sheetPr codeName="Sheet148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298</v>
      </c>
    </row>
    <row r="4" spans="1:5" x14ac:dyDescent="0.2">
      <c r="A4" s="71" t="s">
        <v>84</v>
      </c>
      <c r="B4" s="71"/>
      <c r="C4" s="2" t="s">
        <v>392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391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Topside Seawater and Water Injection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430.9 @ -46°C' 355.4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124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144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207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324</v>
      </c>
      <c r="D35" s="77"/>
      <c r="E35" s="78"/>
    </row>
    <row r="36" spans="1:5" x14ac:dyDescent="0.2">
      <c r="A36" s="77" t="s">
        <v>139</v>
      </c>
      <c r="B36" s="78"/>
      <c r="C36" s="3" t="s">
        <v>325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18"/>
    <mergeCell ref="D16:E16"/>
    <mergeCell ref="D17:E17"/>
    <mergeCell ref="D18:E18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31:B31"/>
    <mergeCell ref="D31:E31"/>
    <mergeCell ref="A32:B32"/>
    <mergeCell ref="D32:E32"/>
    <mergeCell ref="A33:B33"/>
    <mergeCell ref="D33:E33"/>
    <mergeCell ref="A34:B34"/>
    <mergeCell ref="D34:E34"/>
    <mergeCell ref="A35:B35"/>
    <mergeCell ref="D35:E35"/>
    <mergeCell ref="A36:B36"/>
    <mergeCell ref="D36:E36"/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</mergeCells>
  <conditionalFormatting sqref="B21">
    <cfRule type="duplicateValues" dxfId="146" priority="6"/>
  </conditionalFormatting>
  <conditionalFormatting sqref="B33">
    <cfRule type="duplicateValues" dxfId="145" priority="2"/>
  </conditionalFormatting>
  <conditionalFormatting sqref="B34">
    <cfRule type="duplicateValues" dxfId="144" priority="1"/>
  </conditionalFormatting>
  <conditionalFormatting sqref="B35">
    <cfRule type="duplicateValues" dxfId="143" priority="5"/>
  </conditionalFormatting>
  <conditionalFormatting sqref="B36">
    <cfRule type="duplicateValues" dxfId="142" priority="4"/>
  </conditionalFormatting>
  <conditionalFormatting sqref="B37">
    <cfRule type="duplicateValues" dxfId="141" priority="3"/>
  </conditionalFormatting>
  <conditionalFormatting sqref="B51:B1048576 B25:B32 B4:B10 B12:B20 B22 B38:B42">
    <cfRule type="duplicateValues" dxfId="14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DE32C-D1D9-446C-BD18-3F25B53875BA}">
  <sheetPr codeName="Sheet149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299</v>
      </c>
    </row>
    <row r="4" spans="1:5" x14ac:dyDescent="0.2">
      <c r="A4" s="71" t="s">
        <v>84</v>
      </c>
      <c r="B4" s="71"/>
      <c r="C4" s="2" t="s">
        <v>393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391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Topside Seawater and Water Injection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430.9 @ -46°C' 355.4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126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144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207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324</v>
      </c>
      <c r="D35" s="77"/>
      <c r="E35" s="78"/>
    </row>
    <row r="36" spans="1:5" x14ac:dyDescent="0.2">
      <c r="A36" s="77" t="s">
        <v>139</v>
      </c>
      <c r="B36" s="78"/>
      <c r="C36" s="3" t="s">
        <v>325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18"/>
    <mergeCell ref="D16:E16"/>
    <mergeCell ref="D17:E17"/>
    <mergeCell ref="D18:E18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31:B31"/>
    <mergeCell ref="D31:E31"/>
    <mergeCell ref="A32:B32"/>
    <mergeCell ref="D32:E32"/>
    <mergeCell ref="A33:B33"/>
    <mergeCell ref="D33:E33"/>
    <mergeCell ref="A34:B34"/>
    <mergeCell ref="D34:E34"/>
    <mergeCell ref="A35:B35"/>
    <mergeCell ref="D35:E35"/>
    <mergeCell ref="A36:B36"/>
    <mergeCell ref="D36:E36"/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</mergeCells>
  <conditionalFormatting sqref="B21">
    <cfRule type="duplicateValues" dxfId="139" priority="6"/>
  </conditionalFormatting>
  <conditionalFormatting sqref="B33">
    <cfRule type="duplicateValues" dxfId="138" priority="2"/>
  </conditionalFormatting>
  <conditionalFormatting sqref="B34">
    <cfRule type="duplicateValues" dxfId="137" priority="1"/>
  </conditionalFormatting>
  <conditionalFormatting sqref="B35">
    <cfRule type="duplicateValues" dxfId="136" priority="5"/>
  </conditionalFormatting>
  <conditionalFormatting sqref="B36">
    <cfRule type="duplicateValues" dxfId="135" priority="4"/>
  </conditionalFormatting>
  <conditionalFormatting sqref="B37">
    <cfRule type="duplicateValues" dxfId="134" priority="3"/>
  </conditionalFormatting>
  <conditionalFormatting sqref="B51:B1048576 B25:B32 B4:B10 B12:B20 B22 B38:B42">
    <cfRule type="duplicateValues" dxfId="13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C547A-AA9D-41DB-AC2D-C6CB667F6932}">
  <sheetPr codeName="Sheet134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300</v>
      </c>
    </row>
    <row r="4" spans="1:5" x14ac:dyDescent="0.2">
      <c r="A4" s="71" t="s">
        <v>84</v>
      </c>
      <c r="B4" s="71"/>
      <c r="C4" s="2" t="s">
        <v>318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8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 @ -46°C'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124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112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206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334</v>
      </c>
      <c r="D35" s="77"/>
      <c r="E35" s="78"/>
    </row>
    <row r="36" spans="1:5" x14ac:dyDescent="0.2">
      <c r="A36" s="77" t="s">
        <v>139</v>
      </c>
      <c r="B36" s="78"/>
      <c r="C36" s="3" t="s">
        <v>335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132" priority="6"/>
  </conditionalFormatting>
  <conditionalFormatting sqref="B33">
    <cfRule type="duplicateValues" dxfId="131" priority="2"/>
  </conditionalFormatting>
  <conditionalFormatting sqref="B34">
    <cfRule type="duplicateValues" dxfId="130" priority="1"/>
  </conditionalFormatting>
  <conditionalFormatting sqref="B35">
    <cfRule type="duplicateValues" dxfId="129" priority="5"/>
  </conditionalFormatting>
  <conditionalFormatting sqref="B36">
    <cfRule type="duplicateValues" dxfId="128" priority="4"/>
  </conditionalFormatting>
  <conditionalFormatting sqref="B37">
    <cfRule type="duplicateValues" dxfId="127" priority="3"/>
  </conditionalFormatting>
  <conditionalFormatting sqref="B51:B1048576 B25:B32 B4:B10 B12:B20 B22 B38:B42">
    <cfRule type="duplicateValues" dxfId="12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F90CE-B80E-4DD3-B273-6F328E5025E1}">
  <sheetPr codeName="Sheet135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301</v>
      </c>
    </row>
    <row r="4" spans="1:5" x14ac:dyDescent="0.2">
      <c r="A4" s="71" t="s">
        <v>84</v>
      </c>
      <c r="B4" s="71"/>
      <c r="C4" s="2" t="s">
        <v>256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8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60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 @ -46°C' 13.8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126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112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206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334</v>
      </c>
      <c r="D35" s="77"/>
      <c r="E35" s="78"/>
    </row>
    <row r="36" spans="1:5" x14ac:dyDescent="0.2">
      <c r="A36" s="77" t="s">
        <v>139</v>
      </c>
      <c r="B36" s="78"/>
      <c r="C36" s="3" t="s">
        <v>335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125" priority="6"/>
  </conditionalFormatting>
  <conditionalFormatting sqref="B33">
    <cfRule type="duplicateValues" dxfId="124" priority="2"/>
  </conditionalFormatting>
  <conditionalFormatting sqref="B34">
    <cfRule type="duplicateValues" dxfId="123" priority="1"/>
  </conditionalFormatting>
  <conditionalFormatting sqref="B35">
    <cfRule type="duplicateValues" dxfId="122" priority="5"/>
  </conditionalFormatting>
  <conditionalFormatting sqref="B36">
    <cfRule type="duplicateValues" dxfId="121" priority="4"/>
  </conditionalFormatting>
  <conditionalFormatting sqref="B37">
    <cfRule type="duplicateValues" dxfId="120" priority="3"/>
  </conditionalFormatting>
  <conditionalFormatting sqref="B51:B1048576 B25:B32 B4:B10 B12:B20 B22 B38:B42">
    <cfRule type="duplicateValues" dxfId="11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226A6-BD77-400A-AC1D-ED45D871EC87}">
  <sheetPr codeName="Sheet136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302</v>
      </c>
    </row>
    <row r="4" spans="1:5" x14ac:dyDescent="0.2">
      <c r="A4" s="71" t="s">
        <v>84</v>
      </c>
      <c r="B4" s="71"/>
      <c r="C4" s="2" t="s">
        <v>319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28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51.7 @ -46°C' 42.7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124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112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206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332</v>
      </c>
      <c r="D35" s="77"/>
      <c r="E35" s="78"/>
    </row>
    <row r="36" spans="1:5" x14ac:dyDescent="0.2">
      <c r="A36" s="77" t="s">
        <v>139</v>
      </c>
      <c r="B36" s="78"/>
      <c r="C36" s="3" t="s">
        <v>333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118" priority="6"/>
  </conditionalFormatting>
  <conditionalFormatting sqref="B33">
    <cfRule type="duplicateValues" dxfId="117" priority="2"/>
  </conditionalFormatting>
  <conditionalFormatting sqref="B34">
    <cfRule type="duplicateValues" dxfId="116" priority="1"/>
  </conditionalFormatting>
  <conditionalFormatting sqref="B35">
    <cfRule type="duplicateValues" dxfId="115" priority="5"/>
  </conditionalFormatting>
  <conditionalFormatting sqref="B36">
    <cfRule type="duplicateValues" dxfId="114" priority="4"/>
  </conditionalFormatting>
  <conditionalFormatting sqref="B37">
    <cfRule type="duplicateValues" dxfId="113" priority="3"/>
  </conditionalFormatting>
  <conditionalFormatting sqref="B51:B1048576 B25:B32 B4:B10 B12:B20 B22 B38:B42">
    <cfRule type="duplicateValues" dxfId="11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387FD-4F99-48E3-BEC8-61B4F8A6EEEE}">
  <sheetPr codeName="Sheet137">
    <tabColor rgb="FF00B050"/>
    <pageSetUpPr fitToPage="1"/>
  </sheetPr>
  <dimension ref="A1:E50"/>
  <sheetViews>
    <sheetView topLeftCell="A24"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303</v>
      </c>
    </row>
    <row r="4" spans="1:5" x14ac:dyDescent="0.2">
      <c r="A4" s="71" t="s">
        <v>84</v>
      </c>
      <c r="B4" s="71"/>
      <c r="C4" s="2" t="s">
        <v>257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28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63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51.7 @ -46°C' 42.7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126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112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24" x14ac:dyDescent="0.2">
      <c r="A28" s="72"/>
      <c r="B28" s="4" t="s">
        <v>47</v>
      </c>
      <c r="C28" s="3" t="s">
        <v>206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332</v>
      </c>
      <c r="D35" s="77"/>
      <c r="E35" s="78"/>
    </row>
    <row r="36" spans="1:5" x14ac:dyDescent="0.2">
      <c r="A36" s="77" t="s">
        <v>139</v>
      </c>
      <c r="B36" s="78"/>
      <c r="C36" s="3" t="s">
        <v>333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111" priority="6"/>
  </conditionalFormatting>
  <conditionalFormatting sqref="B33">
    <cfRule type="duplicateValues" dxfId="110" priority="2"/>
  </conditionalFormatting>
  <conditionalFormatting sqref="B34">
    <cfRule type="duplicateValues" dxfId="109" priority="1"/>
  </conditionalFormatting>
  <conditionalFormatting sqref="B35">
    <cfRule type="duplicateValues" dxfId="108" priority="5"/>
  </conditionalFormatting>
  <conditionalFormatting sqref="B36">
    <cfRule type="duplicateValues" dxfId="107" priority="4"/>
  </conditionalFormatting>
  <conditionalFormatting sqref="B37">
    <cfRule type="duplicateValues" dxfId="106" priority="3"/>
  </conditionalFormatting>
  <conditionalFormatting sqref="B51:B1048576 B25:B32 B4:B10 B12:B20 B22 B38:B42">
    <cfRule type="duplicateValues" dxfId="10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F12DC-BF9D-4788-9EBD-B77280D345A6}">
  <sheetPr codeName="Sheet138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304</v>
      </c>
    </row>
    <row r="4" spans="1:5" x14ac:dyDescent="0.2">
      <c r="A4" s="71" t="s">
        <v>84</v>
      </c>
      <c r="B4" s="71"/>
      <c r="C4" s="2" t="s">
        <v>320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29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103.4 @ -46°C' 85.3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124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144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206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330</v>
      </c>
      <c r="D35" s="77"/>
      <c r="E35" s="78"/>
    </row>
    <row r="36" spans="1:5" x14ac:dyDescent="0.2">
      <c r="A36" s="77" t="s">
        <v>139</v>
      </c>
      <c r="B36" s="78"/>
      <c r="C36" s="3" t="s">
        <v>331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104" priority="6"/>
  </conditionalFormatting>
  <conditionalFormatting sqref="B33">
    <cfRule type="duplicateValues" dxfId="103" priority="2"/>
  </conditionalFormatting>
  <conditionalFormatting sqref="B34">
    <cfRule type="duplicateValues" dxfId="102" priority="1"/>
  </conditionalFormatting>
  <conditionalFormatting sqref="B35">
    <cfRule type="duplicateValues" dxfId="101" priority="5"/>
  </conditionalFormatting>
  <conditionalFormatting sqref="B36">
    <cfRule type="duplicateValues" dxfId="100" priority="4"/>
  </conditionalFormatting>
  <conditionalFormatting sqref="B37">
    <cfRule type="duplicateValues" dxfId="99" priority="3"/>
  </conditionalFormatting>
  <conditionalFormatting sqref="B51:B1048576 B25:B32 B4:B10 B12:B20 B22 B38:B42">
    <cfRule type="duplicateValues" dxfId="9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9A001-7654-45F3-9E23-F16E9F314397}">
  <sheetPr codeName="Sheet139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305</v>
      </c>
    </row>
    <row r="4" spans="1:5" x14ac:dyDescent="0.2">
      <c r="A4" s="71" t="s">
        <v>84</v>
      </c>
      <c r="B4" s="71"/>
      <c r="C4" s="2" t="s">
        <v>258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29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64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103.4 @ -46°C' 85.3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260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126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144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206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330</v>
      </c>
      <c r="D35" s="77"/>
      <c r="E35" s="78"/>
    </row>
    <row r="36" spans="1:5" x14ac:dyDescent="0.2">
      <c r="A36" s="77" t="s">
        <v>139</v>
      </c>
      <c r="B36" s="78"/>
      <c r="C36" s="3" t="s">
        <v>331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7" priority="6"/>
  </conditionalFormatting>
  <conditionalFormatting sqref="B33">
    <cfRule type="duplicateValues" dxfId="96" priority="2"/>
  </conditionalFormatting>
  <conditionalFormatting sqref="B34">
    <cfRule type="duplicateValues" dxfId="95" priority="1"/>
  </conditionalFormatting>
  <conditionalFormatting sqref="B35">
    <cfRule type="duplicateValues" dxfId="94" priority="5"/>
  </conditionalFormatting>
  <conditionalFormatting sqref="B36">
    <cfRule type="duplicateValues" dxfId="93" priority="4"/>
  </conditionalFormatting>
  <conditionalFormatting sqref="B37">
    <cfRule type="duplicateValues" dxfId="92" priority="3"/>
  </conditionalFormatting>
  <conditionalFormatting sqref="B51:B1048576 B25:B32 B4:B10 B12:B20 B22 B38:B42">
    <cfRule type="duplicateValues" dxfId="9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1EEA2-6B8D-45BF-AC39-D490DF288906}">
  <sheetPr codeName="Sheet140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306</v>
      </c>
    </row>
    <row r="4" spans="1:5" x14ac:dyDescent="0.2">
      <c r="A4" s="71" t="s">
        <v>84</v>
      </c>
      <c r="B4" s="71"/>
      <c r="C4" s="2" t="s">
        <v>321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194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155.1 @ -46°C' 128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124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144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207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328</v>
      </c>
      <c r="D35" s="77"/>
      <c r="E35" s="78"/>
    </row>
    <row r="36" spans="1:5" x14ac:dyDescent="0.2">
      <c r="A36" s="77" t="s">
        <v>139</v>
      </c>
      <c r="B36" s="78"/>
      <c r="C36" s="3" t="s">
        <v>329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90" priority="6"/>
  </conditionalFormatting>
  <conditionalFormatting sqref="B33">
    <cfRule type="duplicateValues" dxfId="89" priority="2"/>
  </conditionalFormatting>
  <conditionalFormatting sqref="B34">
    <cfRule type="duplicateValues" dxfId="88" priority="1"/>
  </conditionalFormatting>
  <conditionalFormatting sqref="B35">
    <cfRule type="duplicateValues" dxfId="87" priority="5"/>
  </conditionalFormatting>
  <conditionalFormatting sqref="B36">
    <cfRule type="duplicateValues" dxfId="86" priority="4"/>
  </conditionalFormatting>
  <conditionalFormatting sqref="B37">
    <cfRule type="duplicateValues" dxfId="85" priority="3"/>
  </conditionalFormatting>
  <conditionalFormatting sqref="B51:B1048576 B25:B32 B4:B10 B12:B20 B22 B38:B42">
    <cfRule type="duplicateValues" dxfId="8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ED297-4697-4C01-B810-12F88C851E9F}">
  <sheetPr codeName="Sheet141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307</v>
      </c>
    </row>
    <row r="4" spans="1:5" x14ac:dyDescent="0.2">
      <c r="A4" s="71" t="s">
        <v>84</v>
      </c>
      <c r="B4" s="71"/>
      <c r="C4" s="2" t="s">
        <v>265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194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65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155.1 @ -46°C' 128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x14ac:dyDescent="0.2">
      <c r="A14" s="72" t="s">
        <v>39</v>
      </c>
      <c r="B14" s="72"/>
      <c r="C14" s="3" t="s">
        <v>66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126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144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207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328</v>
      </c>
      <c r="D35" s="77"/>
      <c r="E35" s="78"/>
    </row>
    <row r="36" spans="1:5" x14ac:dyDescent="0.2">
      <c r="A36" s="77" t="s">
        <v>139</v>
      </c>
      <c r="B36" s="78"/>
      <c r="C36" s="3" t="s">
        <v>329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83" priority="6"/>
  </conditionalFormatting>
  <conditionalFormatting sqref="B33">
    <cfRule type="duplicateValues" dxfId="82" priority="2"/>
  </conditionalFormatting>
  <conditionalFormatting sqref="B34">
    <cfRule type="duplicateValues" dxfId="81" priority="1"/>
  </conditionalFormatting>
  <conditionalFormatting sqref="B35">
    <cfRule type="duplicateValues" dxfId="80" priority="5"/>
  </conditionalFormatting>
  <conditionalFormatting sqref="B36">
    <cfRule type="duplicateValues" dxfId="79" priority="4"/>
  </conditionalFormatting>
  <conditionalFormatting sqref="B37">
    <cfRule type="duplicateValues" dxfId="78" priority="3"/>
  </conditionalFormatting>
  <conditionalFormatting sqref="B51:B1048576 B25:B32 B4:B10 B12:B20 B22 B38:B42">
    <cfRule type="duplicateValues" dxfId="7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EF0D6-6AF6-4A13-8154-915C4F6D35B7}">
  <sheetPr codeName="Sheet142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308</v>
      </c>
    </row>
    <row r="4" spans="1:5" x14ac:dyDescent="0.2">
      <c r="A4" s="71" t="s">
        <v>84</v>
      </c>
      <c r="B4" s="71"/>
      <c r="C4" s="2" t="s">
        <v>322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195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258.6 @ -46°C' 213.3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124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144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207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326</v>
      </c>
      <c r="D35" s="77"/>
      <c r="E35" s="78"/>
    </row>
    <row r="36" spans="1:5" x14ac:dyDescent="0.2">
      <c r="A36" s="77" t="s">
        <v>139</v>
      </c>
      <c r="B36" s="78"/>
      <c r="C36" s="3" t="s">
        <v>327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76" priority="6"/>
  </conditionalFormatting>
  <conditionalFormatting sqref="B33">
    <cfRule type="duplicateValues" dxfId="75" priority="2"/>
  </conditionalFormatting>
  <conditionalFormatting sqref="B34">
    <cfRule type="duplicateValues" dxfId="74" priority="1"/>
  </conditionalFormatting>
  <conditionalFormatting sqref="B35">
    <cfRule type="duplicateValues" dxfId="73" priority="5"/>
  </conditionalFormatting>
  <conditionalFormatting sqref="B36">
    <cfRule type="duplicateValues" dxfId="72" priority="4"/>
  </conditionalFormatting>
  <conditionalFormatting sqref="B37">
    <cfRule type="duplicateValues" dxfId="71" priority="3"/>
  </conditionalFormatting>
  <conditionalFormatting sqref="B51:B1048576 B25:B32 B4:B10 B12:B20 B22 B38:B42">
    <cfRule type="duplicateValues" dxfId="7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9D874-FF29-4081-9F67-AFF3B8CE582D}">
  <sheetPr codeName="Sheet143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309</v>
      </c>
    </row>
    <row r="4" spans="1:5" x14ac:dyDescent="0.2">
      <c r="A4" s="71" t="s">
        <v>84</v>
      </c>
      <c r="B4" s="71"/>
      <c r="C4" s="2" t="s">
        <v>266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195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67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258.6 @ -46°C' 213.3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126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144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207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326</v>
      </c>
      <c r="D35" s="77"/>
      <c r="E35" s="78"/>
    </row>
    <row r="36" spans="1:5" x14ac:dyDescent="0.2">
      <c r="A36" s="77" t="s">
        <v>139</v>
      </c>
      <c r="B36" s="78"/>
      <c r="C36" s="3" t="s">
        <v>327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9" priority="6"/>
  </conditionalFormatting>
  <conditionalFormatting sqref="B33">
    <cfRule type="duplicateValues" dxfId="68" priority="2"/>
  </conditionalFormatting>
  <conditionalFormatting sqref="B34">
    <cfRule type="duplicateValues" dxfId="67" priority="1"/>
  </conditionalFormatting>
  <conditionalFormatting sqref="B35">
    <cfRule type="duplicateValues" dxfId="66" priority="5"/>
  </conditionalFormatting>
  <conditionalFormatting sqref="B36">
    <cfRule type="duplicateValues" dxfId="65" priority="4"/>
  </conditionalFormatting>
  <conditionalFormatting sqref="B37">
    <cfRule type="duplicateValues" dxfId="64" priority="3"/>
  </conditionalFormatting>
  <conditionalFormatting sqref="B51:B1048576 B25:B32 B4:B10 B12:B20 B22 B38:B42">
    <cfRule type="duplicateValues" dxfId="63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3BD4C-C247-40DF-84AB-2A215F1B34C9}">
  <sheetPr codeName="Sheet144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310</v>
      </c>
    </row>
    <row r="4" spans="1:5" x14ac:dyDescent="0.2">
      <c r="A4" s="71" t="s">
        <v>84</v>
      </c>
      <c r="B4" s="71"/>
      <c r="C4" s="2" t="s">
        <v>323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196</v>
      </c>
      <c r="D5" s="72"/>
      <c r="E5" s="72"/>
    </row>
    <row r="6" spans="1:5" x14ac:dyDescent="0.2">
      <c r="A6" s="72" t="s">
        <v>31</v>
      </c>
      <c r="B6" s="72"/>
      <c r="C6" s="3" t="s">
        <v>78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430.9 @ -46°C' 355.4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114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ht="36" x14ac:dyDescent="0.2">
      <c r="A20" s="72" t="s">
        <v>44</v>
      </c>
      <c r="B20" s="4" t="s">
        <v>97</v>
      </c>
      <c r="C20" s="3" t="s">
        <v>124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144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7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207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324</v>
      </c>
      <c r="D35" s="77"/>
      <c r="E35" s="78"/>
    </row>
    <row r="36" spans="1:5" x14ac:dyDescent="0.2">
      <c r="A36" s="77" t="s">
        <v>139</v>
      </c>
      <c r="B36" s="78"/>
      <c r="C36" s="3" t="s">
        <v>325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62" priority="6"/>
  </conditionalFormatting>
  <conditionalFormatting sqref="B33">
    <cfRule type="duplicateValues" dxfId="61" priority="2"/>
  </conditionalFormatting>
  <conditionalFormatting sqref="B34">
    <cfRule type="duplicateValues" dxfId="60" priority="1"/>
  </conditionalFormatting>
  <conditionalFormatting sqref="B35">
    <cfRule type="duplicateValues" dxfId="59" priority="5"/>
  </conditionalFormatting>
  <conditionalFormatting sqref="B36">
    <cfRule type="duplicateValues" dxfId="58" priority="4"/>
  </conditionalFormatting>
  <conditionalFormatting sqref="B37">
    <cfRule type="duplicateValues" dxfId="57" priority="3"/>
  </conditionalFormatting>
  <conditionalFormatting sqref="B51:B1048576 B25:B32 B4:B10 B12:B20 B22 B38:B42">
    <cfRule type="duplicateValues" dxfId="56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38F10-1BDA-4040-987D-8DCE484A54CF}">
  <sheetPr codeName="Sheet145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311</v>
      </c>
    </row>
    <row r="4" spans="1:5" x14ac:dyDescent="0.2">
      <c r="A4" s="71" t="s">
        <v>84</v>
      </c>
      <c r="B4" s="71"/>
      <c r="C4" s="2" t="s">
        <v>267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196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Corrosive HC service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68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430.9 @ -46°C' 355.4 @ 200°C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ht="24" x14ac:dyDescent="0.2">
      <c r="A13" s="72" t="s">
        <v>37</v>
      </c>
      <c r="B13" s="72"/>
      <c r="C13" s="3" t="s">
        <v>105</v>
      </c>
      <c r="D13" s="72"/>
      <c r="E13" s="72"/>
    </row>
    <row r="14" spans="1:5" ht="24" x14ac:dyDescent="0.2">
      <c r="A14" s="72" t="s">
        <v>39</v>
      </c>
      <c r="B14" s="72"/>
      <c r="C14" s="3" t="s">
        <v>416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126</v>
      </c>
      <c r="D20" s="72"/>
      <c r="E20" s="72"/>
    </row>
    <row r="21" spans="1:5" x14ac:dyDescent="0.2">
      <c r="A21" s="72"/>
      <c r="B21" s="4" t="s">
        <v>108</v>
      </c>
      <c r="C21" s="3" t="s">
        <v>80</v>
      </c>
      <c r="D21" s="72"/>
      <c r="E21" s="72"/>
    </row>
    <row r="22" spans="1:5" x14ac:dyDescent="0.2">
      <c r="A22" s="72"/>
      <c r="B22" s="4" t="s">
        <v>98</v>
      </c>
      <c r="C22" s="3" t="s">
        <v>144</v>
      </c>
      <c r="D22" s="72"/>
      <c r="E22" s="72"/>
    </row>
    <row r="23" spans="1:5" x14ac:dyDescent="0.2">
      <c r="A23" s="72"/>
      <c r="B23" s="5" t="s">
        <v>99</v>
      </c>
      <c r="C23" s="3" t="s">
        <v>80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149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207</v>
      </c>
      <c r="D28" s="72"/>
      <c r="E28" s="72"/>
    </row>
    <row r="29" spans="1:5" x14ac:dyDescent="0.2">
      <c r="A29" s="72"/>
      <c r="B29" s="4" t="s">
        <v>48</v>
      </c>
      <c r="C29" s="3" t="s">
        <v>360</v>
      </c>
      <c r="D29" s="72"/>
      <c r="E29" s="72"/>
    </row>
    <row r="30" spans="1:5" x14ac:dyDescent="0.2">
      <c r="A30" s="72"/>
      <c r="B30" s="4" t="s">
        <v>49</v>
      </c>
      <c r="C30" s="3" t="s">
        <v>360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324</v>
      </c>
      <c r="D35" s="77"/>
      <c r="E35" s="78"/>
    </row>
    <row r="36" spans="1:5" x14ac:dyDescent="0.2">
      <c r="A36" s="77" t="s">
        <v>139</v>
      </c>
      <c r="B36" s="78"/>
      <c r="C36" s="3" t="s">
        <v>325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121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55" priority="6"/>
  </conditionalFormatting>
  <conditionalFormatting sqref="B33">
    <cfRule type="duplicateValues" dxfId="54" priority="2"/>
  </conditionalFormatting>
  <conditionalFormatting sqref="B34">
    <cfRule type="duplicateValues" dxfId="53" priority="1"/>
  </conditionalFormatting>
  <conditionalFormatting sqref="B35">
    <cfRule type="duplicateValues" dxfId="52" priority="5"/>
  </conditionalFormatting>
  <conditionalFormatting sqref="B36">
    <cfRule type="duplicateValues" dxfId="51" priority="4"/>
  </conditionalFormatting>
  <conditionalFormatting sqref="B37">
    <cfRule type="duplicateValues" dxfId="50" priority="3"/>
  </conditionalFormatting>
  <conditionalFormatting sqref="B51:B1048576 B25:B32 B4:B10 B12:B20 B22 B38:B42">
    <cfRule type="duplicateValues" dxfId="49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BBB-99CA-4910-8793-E22B4E76D559}">
  <sheetPr codeName="Sheet74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312</v>
      </c>
    </row>
    <row r="4" spans="1:5" x14ac:dyDescent="0.2">
      <c r="A4" s="71" t="s">
        <v>84</v>
      </c>
      <c r="B4" s="71"/>
      <c r="C4" s="2" t="s">
        <v>395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396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Raw Sea Water, Fire Water, Hypochlorite, Sewage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69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 @ 0°C' 17.3 @ 100°C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61</v>
      </c>
      <c r="D14" s="72"/>
      <c r="E14" s="72"/>
    </row>
    <row r="15" spans="1:5" x14ac:dyDescent="0.2">
      <c r="A15" s="72" t="s">
        <v>40</v>
      </c>
      <c r="B15" s="72"/>
      <c r="C15" s="3" t="s">
        <v>70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110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106</v>
      </c>
      <c r="D20" s="72"/>
      <c r="E20" s="72"/>
    </row>
    <row r="21" spans="1:5" ht="24" x14ac:dyDescent="0.2">
      <c r="A21" s="72"/>
      <c r="B21" s="4" t="s">
        <v>108</v>
      </c>
      <c r="C21" s="3" t="s">
        <v>107</v>
      </c>
      <c r="D21" s="72"/>
      <c r="E21" s="72"/>
    </row>
    <row r="22" spans="1:5" x14ac:dyDescent="0.2">
      <c r="A22" s="72"/>
      <c r="B22" s="4" t="s">
        <v>98</v>
      </c>
      <c r="C22" s="3" t="s">
        <v>1</v>
      </c>
      <c r="D22" s="72"/>
      <c r="E22" s="72"/>
    </row>
    <row r="23" spans="1:5" x14ac:dyDescent="0.2">
      <c r="A23" s="72"/>
      <c r="B23" s="5" t="s">
        <v>99</v>
      </c>
      <c r="C23" s="3" t="s">
        <v>1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153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36" x14ac:dyDescent="0.2">
      <c r="A28" s="72"/>
      <c r="B28" s="4" t="s">
        <v>47</v>
      </c>
      <c r="C28" s="3" t="s">
        <v>209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334</v>
      </c>
      <c r="D35" s="77"/>
      <c r="E35" s="78"/>
    </row>
    <row r="36" spans="1:5" x14ac:dyDescent="0.2">
      <c r="A36" s="77" t="s">
        <v>139</v>
      </c>
      <c r="B36" s="78"/>
      <c r="C36" s="3" t="s">
        <v>335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8" priority="6"/>
  </conditionalFormatting>
  <conditionalFormatting sqref="B33">
    <cfRule type="duplicateValues" dxfId="47" priority="2"/>
  </conditionalFormatting>
  <conditionalFormatting sqref="B34">
    <cfRule type="duplicateValues" dxfId="46" priority="1"/>
  </conditionalFormatting>
  <conditionalFormatting sqref="B35">
    <cfRule type="duplicateValues" dxfId="45" priority="5"/>
  </conditionalFormatting>
  <conditionalFormatting sqref="B36">
    <cfRule type="duplicateValues" dxfId="44" priority="4"/>
  </conditionalFormatting>
  <conditionalFormatting sqref="B37">
    <cfRule type="duplicateValues" dxfId="43" priority="3"/>
  </conditionalFormatting>
  <conditionalFormatting sqref="B51:B1048576 B25:B32 B4:B10 B12:B20 B22 B38:B42">
    <cfRule type="duplicateValues" dxfId="42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B746E-A608-450E-BE42-C134F9364D02}">
  <sheetPr codeName="Sheet75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313</v>
      </c>
    </row>
    <row r="4" spans="1:5" x14ac:dyDescent="0.2">
      <c r="A4" s="71" t="s">
        <v>84</v>
      </c>
      <c r="B4" s="71"/>
      <c r="C4" s="2" t="s">
        <v>397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396</v>
      </c>
      <c r="D5" s="72"/>
      <c r="E5" s="72"/>
    </row>
    <row r="6" spans="1:5" x14ac:dyDescent="0.2">
      <c r="A6" s="72" t="s">
        <v>31</v>
      </c>
      <c r="B6" s="72"/>
      <c r="C6" s="3" t="s">
        <v>85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Raw Sea Water, Fire Water, Hypochlorite, Sewage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69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 @ 0°C' 17.3 @ 100°C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61</v>
      </c>
      <c r="D14" s="72"/>
      <c r="E14" s="72"/>
    </row>
    <row r="15" spans="1:5" x14ac:dyDescent="0.2">
      <c r="A15" s="72" t="s">
        <v>40</v>
      </c>
      <c r="B15" s="72"/>
      <c r="C15" s="3" t="s">
        <v>70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111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106</v>
      </c>
      <c r="D20" s="72"/>
      <c r="E20" s="72"/>
    </row>
    <row r="21" spans="1:5" ht="24" x14ac:dyDescent="0.2">
      <c r="A21" s="72"/>
      <c r="B21" s="4" t="s">
        <v>108</v>
      </c>
      <c r="C21" s="3" t="s">
        <v>107</v>
      </c>
      <c r="D21" s="72"/>
      <c r="E21" s="72"/>
    </row>
    <row r="22" spans="1:5" x14ac:dyDescent="0.2">
      <c r="A22" s="72"/>
      <c r="B22" s="4" t="s">
        <v>98</v>
      </c>
      <c r="C22" s="3" t="s">
        <v>1</v>
      </c>
      <c r="D22" s="72"/>
      <c r="E22" s="72"/>
    </row>
    <row r="23" spans="1:5" x14ac:dyDescent="0.2">
      <c r="A23" s="72"/>
      <c r="B23" s="5" t="s">
        <v>99</v>
      </c>
      <c r="C23" s="3" t="s">
        <v>1</v>
      </c>
      <c r="D23" s="72"/>
      <c r="E23" s="72"/>
    </row>
    <row r="24" spans="1:5" x14ac:dyDescent="0.2">
      <c r="A24" s="72"/>
      <c r="B24" s="1" t="s">
        <v>160</v>
      </c>
      <c r="C24" s="3" t="s">
        <v>1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153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ht="36" x14ac:dyDescent="0.2">
      <c r="A28" s="72"/>
      <c r="B28" s="4" t="s">
        <v>47</v>
      </c>
      <c r="C28" s="3" t="s">
        <v>209</v>
      </c>
      <c r="D28" s="72"/>
      <c r="E28" s="72"/>
    </row>
    <row r="29" spans="1:5" ht="36" x14ac:dyDescent="0.2">
      <c r="A29" s="72"/>
      <c r="B29" s="4" t="s">
        <v>48</v>
      </c>
      <c r="C29" s="3" t="s">
        <v>208</v>
      </c>
      <c r="D29" s="72"/>
      <c r="E29" s="72"/>
    </row>
    <row r="30" spans="1:5" ht="36" x14ac:dyDescent="0.2">
      <c r="A30" s="72"/>
      <c r="B30" s="4" t="s">
        <v>49</v>
      </c>
      <c r="C30" s="3" t="s">
        <v>197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334</v>
      </c>
      <c r="D35" s="77"/>
      <c r="E35" s="78"/>
    </row>
    <row r="36" spans="1:5" x14ac:dyDescent="0.2">
      <c r="A36" s="77" t="s">
        <v>139</v>
      </c>
      <c r="B36" s="78"/>
      <c r="C36" s="3" t="s">
        <v>335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41" priority="6"/>
  </conditionalFormatting>
  <conditionalFormatting sqref="B33">
    <cfRule type="duplicateValues" dxfId="40" priority="2"/>
  </conditionalFormatting>
  <conditionalFormatting sqref="B34">
    <cfRule type="duplicateValues" dxfId="39" priority="1"/>
  </conditionalFormatting>
  <conditionalFormatting sqref="B35">
    <cfRule type="duplicateValues" dxfId="38" priority="5"/>
  </conditionalFormatting>
  <conditionalFormatting sqref="B36">
    <cfRule type="duplicateValues" dxfId="37" priority="4"/>
  </conditionalFormatting>
  <conditionalFormatting sqref="B37">
    <cfRule type="duplicateValues" dxfId="36" priority="3"/>
  </conditionalFormatting>
  <conditionalFormatting sqref="B51:B1048576 B25:B32 B4:B10 B12:B20 B22 B38:B42">
    <cfRule type="duplicateValues" dxfId="35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5B50E-0C1B-41D4-8DB9-4D5CFC6F208F}">
  <sheetPr codeName="Sheet150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314</v>
      </c>
    </row>
    <row r="4" spans="1:5" x14ac:dyDescent="0.2">
      <c r="A4" s="71" t="s">
        <v>84</v>
      </c>
      <c r="B4" s="71"/>
      <c r="C4" s="2" t="s">
        <v>398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399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Potable Water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 t="s">
        <v>69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 @ 0°C' 17.3 @ 100°C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400</v>
      </c>
      <c r="D14" s="72"/>
      <c r="E14" s="72"/>
    </row>
    <row r="15" spans="1:5" x14ac:dyDescent="0.2">
      <c r="A15" s="72" t="s">
        <v>40</v>
      </c>
      <c r="B15" s="72"/>
      <c r="C15" s="3" t="s">
        <v>70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110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401</v>
      </c>
      <c r="D20" s="72"/>
      <c r="E20" s="72"/>
    </row>
    <row r="21" spans="1:5" x14ac:dyDescent="0.2">
      <c r="A21" s="72"/>
      <c r="B21" s="4" t="s">
        <v>108</v>
      </c>
      <c r="C21" s="3" t="s">
        <v>402</v>
      </c>
      <c r="D21" s="72"/>
      <c r="E21" s="72"/>
    </row>
    <row r="22" spans="1:5" x14ac:dyDescent="0.2">
      <c r="A22" s="72"/>
      <c r="B22" s="4" t="s">
        <v>98</v>
      </c>
      <c r="C22" s="3" t="s">
        <v>403</v>
      </c>
      <c r="D22" s="72"/>
      <c r="E22" s="72"/>
    </row>
    <row r="23" spans="1:5" x14ac:dyDescent="0.2">
      <c r="A23" s="72"/>
      <c r="B23" s="5" t="s">
        <v>99</v>
      </c>
      <c r="C23" s="3" t="s">
        <v>404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404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x14ac:dyDescent="0.2">
      <c r="A28" s="72"/>
      <c r="B28" s="4" t="s">
        <v>47</v>
      </c>
      <c r="C28" s="3" t="s">
        <v>70</v>
      </c>
      <c r="D28" s="72"/>
      <c r="E28" s="72"/>
    </row>
    <row r="29" spans="1:5" x14ac:dyDescent="0.2">
      <c r="A29" s="72"/>
      <c r="B29" s="4" t="s">
        <v>48</v>
      </c>
      <c r="C29" s="3" t="s">
        <v>70</v>
      </c>
      <c r="D29" s="72"/>
      <c r="E29" s="72"/>
    </row>
    <row r="30" spans="1:5" x14ac:dyDescent="0.2">
      <c r="A30" s="72"/>
      <c r="B30" s="4" t="s">
        <v>49</v>
      </c>
      <c r="C30" s="3" t="s">
        <v>70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405</v>
      </c>
      <c r="D35" s="77"/>
      <c r="E35" s="78"/>
    </row>
    <row r="36" spans="1:5" x14ac:dyDescent="0.2">
      <c r="A36" s="77" t="s">
        <v>139</v>
      </c>
      <c r="B36" s="78"/>
      <c r="C36" s="3" t="s">
        <v>406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34" priority="6"/>
  </conditionalFormatting>
  <conditionalFormatting sqref="B33">
    <cfRule type="duplicateValues" dxfId="33" priority="2"/>
  </conditionalFormatting>
  <conditionalFormatting sqref="B34">
    <cfRule type="duplicateValues" dxfId="32" priority="1"/>
  </conditionalFormatting>
  <conditionalFormatting sqref="B35">
    <cfRule type="duplicateValues" dxfId="31" priority="5"/>
  </conditionalFormatting>
  <conditionalFormatting sqref="B36">
    <cfRule type="duplicateValues" dxfId="30" priority="4"/>
  </conditionalFormatting>
  <conditionalFormatting sqref="B37">
    <cfRule type="duplicateValues" dxfId="29" priority="3"/>
  </conditionalFormatting>
  <conditionalFormatting sqref="B51:B1048576 B25:B32 B4:B10 B12:B20 B22 B38:B42">
    <cfRule type="duplicateValues" dxfId="28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33A6-DA7E-4357-B4F3-586083D2C55C}">
  <sheetPr codeName="Sheet151">
    <tabColor rgb="FF00B050"/>
    <pageSetUpPr fitToPage="1"/>
  </sheetPr>
  <dimension ref="A1:E50"/>
  <sheetViews>
    <sheetView topLeftCell="A2"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315</v>
      </c>
    </row>
    <row r="4" spans="1:5" x14ac:dyDescent="0.2">
      <c r="A4" s="71" t="s">
        <v>84</v>
      </c>
      <c r="B4" s="71"/>
      <c r="C4" s="2" t="s">
        <v>407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399</v>
      </c>
      <c r="D5" s="72"/>
      <c r="E5" s="72"/>
    </row>
    <row r="6" spans="1:5" x14ac:dyDescent="0.2">
      <c r="A6" s="72" t="s">
        <v>31</v>
      </c>
      <c r="B6" s="72"/>
      <c r="C6" s="3" t="s">
        <v>408</v>
      </c>
      <c r="D6" s="72"/>
      <c r="E6" s="72"/>
    </row>
    <row r="7" spans="1:5" x14ac:dyDescent="0.2">
      <c r="A7" s="72" t="s">
        <v>32</v>
      </c>
      <c r="B7" s="72"/>
      <c r="C7" s="3" t="s">
        <v>152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Potable Water</v>
      </c>
      <c r="D8" s="72"/>
      <c r="E8" s="72"/>
    </row>
    <row r="9" spans="1:5" x14ac:dyDescent="0.2">
      <c r="A9" s="72" t="s">
        <v>34</v>
      </c>
      <c r="B9" s="72"/>
      <c r="C9" s="3" t="s">
        <v>155</v>
      </c>
      <c r="D9" s="72"/>
      <c r="E9" s="72"/>
    </row>
    <row r="10" spans="1:5" x14ac:dyDescent="0.2">
      <c r="A10" s="72" t="s">
        <v>35</v>
      </c>
      <c r="B10" s="72"/>
      <c r="C10" s="3" t="s">
        <v>69</v>
      </c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 @ 0°C' 17.3 @ 100°C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61</v>
      </c>
      <c r="D14" s="72"/>
      <c r="E14" s="72"/>
    </row>
    <row r="15" spans="1:5" x14ac:dyDescent="0.2">
      <c r="A15" s="72" t="s">
        <v>40</v>
      </c>
      <c r="B15" s="72"/>
      <c r="C15" s="3" t="s">
        <v>70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103</v>
      </c>
      <c r="D16" s="72"/>
      <c r="E16" s="72"/>
    </row>
    <row r="17" spans="1:5" x14ac:dyDescent="0.2">
      <c r="A17" s="72"/>
      <c r="B17" s="4" t="s">
        <v>72</v>
      </c>
      <c r="C17" s="3" t="s">
        <v>111</v>
      </c>
      <c r="D17" s="72"/>
      <c r="E17" s="72"/>
    </row>
    <row r="18" spans="1:5" x14ac:dyDescent="0.2">
      <c r="A18" s="72"/>
      <c r="B18" s="4" t="s">
        <v>73</v>
      </c>
      <c r="C18" s="3" t="s">
        <v>119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401</v>
      </c>
      <c r="D20" s="72"/>
      <c r="E20" s="72"/>
    </row>
    <row r="21" spans="1:5" x14ac:dyDescent="0.2">
      <c r="A21" s="72"/>
      <c r="B21" s="4" t="s">
        <v>108</v>
      </c>
      <c r="C21" s="3" t="s">
        <v>402</v>
      </c>
      <c r="D21" s="72"/>
      <c r="E21" s="72"/>
    </row>
    <row r="22" spans="1:5" x14ac:dyDescent="0.2">
      <c r="A22" s="72"/>
      <c r="B22" s="4" t="s">
        <v>98</v>
      </c>
      <c r="C22" s="3" t="s">
        <v>403</v>
      </c>
      <c r="D22" s="72"/>
      <c r="E22" s="72"/>
    </row>
    <row r="23" spans="1:5" x14ac:dyDescent="0.2">
      <c r="A23" s="72"/>
      <c r="B23" s="5" t="s">
        <v>99</v>
      </c>
      <c r="C23" s="3" t="s">
        <v>404</v>
      </c>
      <c r="D23" s="72"/>
      <c r="E23" s="72"/>
    </row>
    <row r="24" spans="1:5" x14ac:dyDescent="0.2">
      <c r="A24" s="72"/>
      <c r="B24" s="1" t="s">
        <v>160</v>
      </c>
      <c r="C24" s="3" t="s">
        <v>404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404</v>
      </c>
      <c r="D26" s="72"/>
      <c r="E26" s="72"/>
    </row>
    <row r="27" spans="1:5" x14ac:dyDescent="0.2">
      <c r="A27" s="72"/>
      <c r="B27" s="4" t="s">
        <v>101</v>
      </c>
      <c r="C27" s="3" t="s">
        <v>45</v>
      </c>
      <c r="D27" s="72"/>
      <c r="E27" s="72"/>
    </row>
    <row r="28" spans="1:5" x14ac:dyDescent="0.2">
      <c r="A28" s="72"/>
      <c r="B28" s="4" t="s">
        <v>47</v>
      </c>
      <c r="C28" s="3" t="s">
        <v>70</v>
      </c>
      <c r="D28" s="72"/>
      <c r="E28" s="72"/>
    </row>
    <row r="29" spans="1:5" x14ac:dyDescent="0.2">
      <c r="A29" s="72"/>
      <c r="B29" s="4" t="s">
        <v>48</v>
      </c>
      <c r="C29" s="3" t="s">
        <v>70</v>
      </c>
      <c r="D29" s="72"/>
      <c r="E29" s="72"/>
    </row>
    <row r="30" spans="1:5" x14ac:dyDescent="0.2">
      <c r="A30" s="72"/>
      <c r="B30" s="4" t="s">
        <v>49</v>
      </c>
      <c r="C30" s="3" t="s">
        <v>70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405</v>
      </c>
      <c r="D35" s="77"/>
      <c r="E35" s="78"/>
    </row>
    <row r="36" spans="1:5" x14ac:dyDescent="0.2">
      <c r="A36" s="77" t="s">
        <v>139</v>
      </c>
      <c r="B36" s="78"/>
      <c r="C36" s="3" t="s">
        <v>406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38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  <mergeCell ref="A34:B34"/>
    <mergeCell ref="D34:E34"/>
    <mergeCell ref="A35:B35"/>
    <mergeCell ref="D35:E35"/>
    <mergeCell ref="A36:B36"/>
    <mergeCell ref="D36:E36"/>
    <mergeCell ref="A31:B31"/>
    <mergeCell ref="D31:E31"/>
    <mergeCell ref="A32:B32"/>
    <mergeCell ref="D32:E32"/>
    <mergeCell ref="A33:B33"/>
    <mergeCell ref="D33:E33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15:B15"/>
    <mergeCell ref="D15:E15"/>
    <mergeCell ref="A16:A18"/>
    <mergeCell ref="D16:E16"/>
    <mergeCell ref="D17:E17"/>
    <mergeCell ref="D18:E18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1">
    <cfRule type="duplicateValues" dxfId="27" priority="6"/>
  </conditionalFormatting>
  <conditionalFormatting sqref="B33">
    <cfRule type="duplicateValues" dxfId="26" priority="2"/>
  </conditionalFormatting>
  <conditionalFormatting sqref="B34">
    <cfRule type="duplicateValues" dxfId="25" priority="1"/>
  </conditionalFormatting>
  <conditionalFormatting sqref="B35">
    <cfRule type="duplicateValues" dxfId="24" priority="5"/>
  </conditionalFormatting>
  <conditionalFormatting sqref="B36">
    <cfRule type="duplicateValues" dxfId="23" priority="4"/>
  </conditionalFormatting>
  <conditionalFormatting sqref="B37">
    <cfRule type="duplicateValues" dxfId="22" priority="3"/>
  </conditionalFormatting>
  <conditionalFormatting sqref="B51:B1048576 B25:B32 B4:B10 B12:B20 B22 B38:B42">
    <cfRule type="duplicateValues" dxfId="21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34A9-5339-4EDD-83E1-8EF112B49C5D}">
  <sheetPr codeName="Sheet152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316</v>
      </c>
    </row>
    <row r="4" spans="1:5" x14ac:dyDescent="0.2">
      <c r="A4" s="71" t="s">
        <v>84</v>
      </c>
      <c r="B4" s="71"/>
      <c r="C4" s="2" t="s">
        <v>529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530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Chemical Injection (Except Hypochlorite)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/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125 @ 0°C' 116 @ 60°C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535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340</v>
      </c>
      <c r="D35" s="77"/>
      <c r="E35" s="78"/>
    </row>
    <row r="36" spans="1:5" x14ac:dyDescent="0.2">
      <c r="A36" s="77" t="s">
        <v>139</v>
      </c>
      <c r="B36" s="78"/>
      <c r="C36" s="3" t="s">
        <v>341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18"/>
    <mergeCell ref="D16:E16"/>
    <mergeCell ref="D17:E17"/>
    <mergeCell ref="D18:E18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31:B31"/>
    <mergeCell ref="D31:E31"/>
    <mergeCell ref="A32:B32"/>
    <mergeCell ref="D32:E32"/>
    <mergeCell ref="A33:B33"/>
    <mergeCell ref="D33:E33"/>
    <mergeCell ref="A34:B34"/>
    <mergeCell ref="D34:E34"/>
    <mergeCell ref="A35:B35"/>
    <mergeCell ref="D35:E35"/>
    <mergeCell ref="A36:B36"/>
    <mergeCell ref="D36:E36"/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</mergeCells>
  <conditionalFormatting sqref="B21">
    <cfRule type="duplicateValues" dxfId="20" priority="6"/>
  </conditionalFormatting>
  <conditionalFormatting sqref="B33">
    <cfRule type="duplicateValues" dxfId="19" priority="2"/>
  </conditionalFormatting>
  <conditionalFormatting sqref="B34">
    <cfRule type="duplicateValues" dxfId="18" priority="1"/>
  </conditionalFormatting>
  <conditionalFormatting sqref="B35">
    <cfRule type="duplicateValues" dxfId="17" priority="5"/>
  </conditionalFormatting>
  <conditionalFormatting sqref="B36">
    <cfRule type="duplicateValues" dxfId="16" priority="4"/>
  </conditionalFormatting>
  <conditionalFormatting sqref="B37">
    <cfRule type="duplicateValues" dxfId="15" priority="3"/>
  </conditionalFormatting>
  <conditionalFormatting sqref="B51:B1048576 B25:B32 B4:B10 B12:B20 B22 B38:B42">
    <cfRule type="duplicateValues" dxfId="14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620ED-E8AE-4931-9AA5-A0572C5300F7}">
  <sheetPr codeName="Sheet153">
    <tabColor rgb="FF00B050"/>
    <pageSetUpPr fitToPage="1"/>
  </sheetPr>
  <dimension ref="A1:E50"/>
  <sheetViews>
    <sheetView zoomScaleNormal="100" workbookViewId="0">
      <selection activeCell="D27" sqref="D27:E27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317</v>
      </c>
    </row>
    <row r="4" spans="1:5" x14ac:dyDescent="0.2">
      <c r="A4" s="71" t="s">
        <v>84</v>
      </c>
      <c r="B4" s="71"/>
      <c r="C4" s="2" t="s">
        <v>531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532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Chemical Injection (Except Hypochlorite)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/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206 @ 0°C' 200 @ 60°C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535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338</v>
      </c>
      <c r="D35" s="77"/>
      <c r="E35" s="78"/>
    </row>
    <row r="36" spans="1:5" x14ac:dyDescent="0.2">
      <c r="A36" s="77" t="s">
        <v>139</v>
      </c>
      <c r="B36" s="78"/>
      <c r="C36" s="3" t="s">
        <v>339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18"/>
    <mergeCell ref="D16:E16"/>
    <mergeCell ref="D17:E17"/>
    <mergeCell ref="D18:E18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31:B31"/>
    <mergeCell ref="D31:E31"/>
    <mergeCell ref="A32:B32"/>
    <mergeCell ref="D32:E32"/>
    <mergeCell ref="A33:B33"/>
    <mergeCell ref="D33:E33"/>
    <mergeCell ref="A34:B34"/>
    <mergeCell ref="D34:E34"/>
    <mergeCell ref="A35:B35"/>
    <mergeCell ref="D35:E35"/>
    <mergeCell ref="A36:B36"/>
    <mergeCell ref="D36:E36"/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</mergeCells>
  <conditionalFormatting sqref="B21">
    <cfRule type="duplicateValues" dxfId="13" priority="6"/>
  </conditionalFormatting>
  <conditionalFormatting sqref="B33">
    <cfRule type="duplicateValues" dxfId="12" priority="2"/>
  </conditionalFormatting>
  <conditionalFormatting sqref="B34">
    <cfRule type="duplicateValues" dxfId="11" priority="1"/>
  </conditionalFormatting>
  <conditionalFormatting sqref="B35">
    <cfRule type="duplicateValues" dxfId="10" priority="5"/>
  </conditionalFormatting>
  <conditionalFormatting sqref="B36">
    <cfRule type="duplicateValues" dxfId="9" priority="4"/>
  </conditionalFormatting>
  <conditionalFormatting sqref="B37">
    <cfRule type="duplicateValues" dxfId="8" priority="3"/>
  </conditionalFormatting>
  <conditionalFormatting sqref="B51:B1048576 B25:B32 B4:B10 B12:B20 B22 B38:B42">
    <cfRule type="duplicateValues" dxfId="7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66B53-77E1-4CE1-85F8-E5E818A9FA38}">
  <sheetPr codeName="Sheet154">
    <tabColor rgb="FF00B050"/>
    <pageSetUpPr fitToPage="1"/>
  </sheetPr>
  <dimension ref="A1:E50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4.285156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3" customFormat="1" ht="30" customHeight="1" x14ac:dyDescent="0.25">
      <c r="A1" s="62" t="e" vm="2">
        <v>#VALUE!</v>
      </c>
      <c r="B1" s="63"/>
      <c r="C1" s="68" t="s">
        <v>130</v>
      </c>
      <c r="D1" s="12" t="s">
        <v>128</v>
      </c>
      <c r="E1" s="12" t="s">
        <v>552</v>
      </c>
    </row>
    <row r="2" spans="1:5" s="13" customFormat="1" ht="30" customHeight="1" x14ac:dyDescent="0.25">
      <c r="A2" s="64"/>
      <c r="B2" s="65"/>
      <c r="C2" s="69"/>
      <c r="D2" s="14" t="s">
        <v>127</v>
      </c>
      <c r="E2" s="15" t="str">
        <f>VLOOKUP(C4,Index!B:J,9,FALSE)</f>
        <v>C0</v>
      </c>
    </row>
    <row r="3" spans="1:5" s="13" customFormat="1" ht="30" customHeight="1" x14ac:dyDescent="0.25">
      <c r="A3" s="66"/>
      <c r="B3" s="67"/>
      <c r="C3" s="70"/>
      <c r="D3" s="14" t="s">
        <v>129</v>
      </c>
      <c r="E3" s="16">
        <f>VLOOKUP(C4,Index!B:I,8,FALSE)</f>
        <v>318</v>
      </c>
    </row>
    <row r="4" spans="1:5" x14ac:dyDescent="0.2">
      <c r="A4" s="71" t="s">
        <v>84</v>
      </c>
      <c r="B4" s="71"/>
      <c r="C4" s="2" t="s">
        <v>533</v>
      </c>
      <c r="D4" s="71" t="s">
        <v>59</v>
      </c>
      <c r="E4" s="71"/>
    </row>
    <row r="5" spans="1:5" x14ac:dyDescent="0.2">
      <c r="A5" s="72" t="s">
        <v>30</v>
      </c>
      <c r="B5" s="72"/>
      <c r="C5" s="3" t="s">
        <v>534</v>
      </c>
      <c r="D5" s="72"/>
      <c r="E5" s="72"/>
    </row>
    <row r="6" spans="1:5" x14ac:dyDescent="0.2">
      <c r="A6" s="72" t="s">
        <v>31</v>
      </c>
      <c r="B6" s="72"/>
      <c r="C6" s="3" t="s">
        <v>87</v>
      </c>
      <c r="D6" s="72"/>
      <c r="E6" s="72"/>
    </row>
    <row r="7" spans="1:5" x14ac:dyDescent="0.2">
      <c r="A7" s="72" t="s">
        <v>32</v>
      </c>
      <c r="B7" s="72"/>
      <c r="C7" s="3" t="s">
        <v>151</v>
      </c>
      <c r="D7" s="72"/>
      <c r="E7" s="72"/>
    </row>
    <row r="8" spans="1:5" x14ac:dyDescent="0.2">
      <c r="A8" s="72" t="s">
        <v>33</v>
      </c>
      <c r="B8" s="72"/>
      <c r="C8" s="3" t="str">
        <f>VLOOKUP(C5,Index!M:V,6,FALSE)</f>
        <v>Chemical Injection (Except Hypochlorite)</v>
      </c>
      <c r="D8" s="72"/>
      <c r="E8" s="72"/>
    </row>
    <row r="9" spans="1:5" x14ac:dyDescent="0.2">
      <c r="A9" s="72" t="s">
        <v>34</v>
      </c>
      <c r="B9" s="72"/>
      <c r="C9" s="3" t="s">
        <v>154</v>
      </c>
      <c r="D9" s="72"/>
      <c r="E9" s="72"/>
    </row>
    <row r="10" spans="1:5" x14ac:dyDescent="0.2">
      <c r="A10" s="72" t="s">
        <v>35</v>
      </c>
      <c r="B10" s="72"/>
      <c r="C10" s="3"/>
      <c r="D10" s="72"/>
      <c r="E10" s="72"/>
    </row>
    <row r="11" spans="1:5" ht="11.45" customHeight="1" x14ac:dyDescent="0.2">
      <c r="A11" s="73" t="s">
        <v>137</v>
      </c>
      <c r="B11" s="74"/>
      <c r="C11" s="11" t="str">
        <f>VLOOKUP(C5,Index!M:V,10,FALSE)</f>
        <v>325 @ 0°C' 325 @ 60°C</v>
      </c>
      <c r="D11" s="75"/>
      <c r="E11" s="76"/>
    </row>
    <row r="12" spans="1:5" x14ac:dyDescent="0.2">
      <c r="A12" s="72" t="s">
        <v>36</v>
      </c>
      <c r="B12" s="72"/>
      <c r="C12" s="3" t="str">
        <f>VLOOKUP(C5,Index!M:V,5,FALSE)</f>
        <v>NIL</v>
      </c>
      <c r="D12" s="72"/>
      <c r="E12" s="72"/>
    </row>
    <row r="13" spans="1:5" x14ac:dyDescent="0.2">
      <c r="A13" s="72" t="s">
        <v>37</v>
      </c>
      <c r="B13" s="72"/>
      <c r="C13" s="3" t="s">
        <v>38</v>
      </c>
      <c r="D13" s="72"/>
      <c r="E13" s="72"/>
    </row>
    <row r="14" spans="1:5" x14ac:dyDescent="0.2">
      <c r="A14" s="72" t="s">
        <v>39</v>
      </c>
      <c r="B14" s="72"/>
      <c r="C14" s="3" t="s">
        <v>535</v>
      </c>
      <c r="D14" s="72"/>
      <c r="E14" s="72"/>
    </row>
    <row r="15" spans="1:5" x14ac:dyDescent="0.2">
      <c r="A15" s="72" t="s">
        <v>40</v>
      </c>
      <c r="B15" s="72"/>
      <c r="C15" s="3" t="s">
        <v>71</v>
      </c>
      <c r="D15" s="72"/>
      <c r="E15" s="72"/>
    </row>
    <row r="16" spans="1:5" x14ac:dyDescent="0.2">
      <c r="A16" s="72" t="s">
        <v>41</v>
      </c>
      <c r="B16" s="4" t="s">
        <v>42</v>
      </c>
      <c r="C16" s="3" t="s">
        <v>102</v>
      </c>
      <c r="D16" s="72"/>
      <c r="E16" s="72"/>
    </row>
    <row r="17" spans="1:5" x14ac:dyDescent="0.2">
      <c r="A17" s="72"/>
      <c r="B17" s="4" t="s">
        <v>72</v>
      </c>
      <c r="C17" s="3" t="s">
        <v>115</v>
      </c>
      <c r="D17" s="72"/>
      <c r="E17" s="72"/>
    </row>
    <row r="18" spans="1:5" ht="24" x14ac:dyDescent="0.2">
      <c r="A18" s="72"/>
      <c r="B18" s="4" t="s">
        <v>73</v>
      </c>
      <c r="C18" s="3" t="s">
        <v>120</v>
      </c>
      <c r="D18" s="72"/>
      <c r="E18" s="72"/>
    </row>
    <row r="19" spans="1:5" x14ac:dyDescent="0.2">
      <c r="A19" s="72" t="s">
        <v>43</v>
      </c>
      <c r="B19" s="72"/>
      <c r="C19" s="3" t="s">
        <v>77</v>
      </c>
      <c r="D19" s="72"/>
      <c r="E19" s="72"/>
    </row>
    <row r="20" spans="1:5" x14ac:dyDescent="0.2">
      <c r="A20" s="72" t="s">
        <v>44</v>
      </c>
      <c r="B20" s="4" t="s">
        <v>97</v>
      </c>
      <c r="C20" s="3" t="s">
        <v>3</v>
      </c>
      <c r="D20" s="72"/>
      <c r="E20" s="72"/>
    </row>
    <row r="21" spans="1:5" x14ac:dyDescent="0.2">
      <c r="A21" s="72"/>
      <c r="B21" s="4" t="s">
        <v>108</v>
      </c>
      <c r="C21" s="3" t="s">
        <v>117</v>
      </c>
      <c r="D21" s="72"/>
      <c r="E21" s="72"/>
    </row>
    <row r="22" spans="1:5" x14ac:dyDescent="0.2">
      <c r="A22" s="72"/>
      <c r="B22" s="4" t="s">
        <v>98</v>
      </c>
      <c r="C22" s="3" t="s">
        <v>159</v>
      </c>
      <c r="D22" s="72"/>
      <c r="E22" s="72"/>
    </row>
    <row r="23" spans="1:5" x14ac:dyDescent="0.2">
      <c r="A23" s="72"/>
      <c r="B23" s="5" t="s">
        <v>99</v>
      </c>
      <c r="C23" s="3" t="s">
        <v>269</v>
      </c>
      <c r="D23" s="72"/>
      <c r="E23" s="72"/>
    </row>
    <row r="24" spans="1:5" x14ac:dyDescent="0.2">
      <c r="A24" s="72"/>
      <c r="B24" s="1" t="s">
        <v>160</v>
      </c>
      <c r="C24" s="3" t="s">
        <v>38</v>
      </c>
      <c r="D24" s="72"/>
      <c r="E24" s="72"/>
    </row>
    <row r="25" spans="1:5" x14ac:dyDescent="0.2">
      <c r="A25" s="72"/>
      <c r="B25" s="4" t="s">
        <v>75</v>
      </c>
      <c r="C25" s="3" t="s">
        <v>46</v>
      </c>
      <c r="D25" s="72"/>
      <c r="E25" s="72"/>
    </row>
    <row r="26" spans="1:5" x14ac:dyDescent="0.2">
      <c r="A26" s="72"/>
      <c r="B26" s="4" t="s">
        <v>100</v>
      </c>
      <c r="C26" s="3" t="s">
        <v>122</v>
      </c>
      <c r="D26" s="72"/>
      <c r="E26" s="72"/>
    </row>
    <row r="27" spans="1:5" x14ac:dyDescent="0.2">
      <c r="A27" s="72"/>
      <c r="B27" s="4" t="s">
        <v>101</v>
      </c>
      <c r="C27" s="3" t="s">
        <v>158</v>
      </c>
      <c r="D27" s="72"/>
      <c r="E27" s="72"/>
    </row>
    <row r="28" spans="1:5" ht="24" x14ac:dyDescent="0.2">
      <c r="A28" s="72"/>
      <c r="B28" s="4" t="s">
        <v>47</v>
      </c>
      <c r="C28" s="3" t="s">
        <v>203</v>
      </c>
      <c r="D28" s="72"/>
      <c r="E28" s="72"/>
    </row>
    <row r="29" spans="1:5" ht="36" x14ac:dyDescent="0.2">
      <c r="A29" s="72"/>
      <c r="B29" s="4" t="s">
        <v>48</v>
      </c>
      <c r="C29" s="3" t="s">
        <v>210</v>
      </c>
      <c r="D29" s="72"/>
      <c r="E29" s="72"/>
    </row>
    <row r="30" spans="1:5" ht="36" x14ac:dyDescent="0.2">
      <c r="A30" s="72"/>
      <c r="B30" s="4" t="s">
        <v>49</v>
      </c>
      <c r="C30" s="3" t="s">
        <v>200</v>
      </c>
      <c r="D30" s="72"/>
      <c r="E30" s="72"/>
    </row>
    <row r="31" spans="1:5" ht="36" x14ac:dyDescent="0.2">
      <c r="A31" s="72" t="s">
        <v>50</v>
      </c>
      <c r="B31" s="72"/>
      <c r="C31" s="3" t="s">
        <v>51</v>
      </c>
      <c r="D31" s="72"/>
      <c r="E31" s="72"/>
    </row>
    <row r="32" spans="1:5" x14ac:dyDescent="0.2">
      <c r="A32" s="72" t="s">
        <v>52</v>
      </c>
      <c r="B32" s="72"/>
      <c r="C32" s="3" t="s">
        <v>53</v>
      </c>
      <c r="D32" s="72"/>
      <c r="E32" s="72"/>
    </row>
    <row r="33" spans="1:5" x14ac:dyDescent="0.2">
      <c r="A33" s="72" t="s">
        <v>143</v>
      </c>
      <c r="B33" s="72"/>
      <c r="C33" s="3" t="s">
        <v>54</v>
      </c>
      <c r="D33" s="72"/>
      <c r="E33" s="72"/>
    </row>
    <row r="34" spans="1:5" x14ac:dyDescent="0.2">
      <c r="A34" s="72" t="s">
        <v>142</v>
      </c>
      <c r="B34" s="72"/>
      <c r="C34" s="3" t="s">
        <v>141</v>
      </c>
      <c r="D34" s="72"/>
      <c r="E34" s="72"/>
    </row>
    <row r="35" spans="1:5" x14ac:dyDescent="0.2">
      <c r="A35" s="77" t="s">
        <v>138</v>
      </c>
      <c r="B35" s="78"/>
      <c r="C35" s="3" t="s">
        <v>336</v>
      </c>
      <c r="D35" s="77"/>
      <c r="E35" s="78"/>
    </row>
    <row r="36" spans="1:5" x14ac:dyDescent="0.2">
      <c r="A36" s="77" t="s">
        <v>139</v>
      </c>
      <c r="B36" s="78"/>
      <c r="C36" s="3" t="s">
        <v>337</v>
      </c>
      <c r="D36" s="77"/>
      <c r="E36" s="78"/>
    </row>
    <row r="37" spans="1:5" x14ac:dyDescent="0.2">
      <c r="A37" s="77" t="s">
        <v>140</v>
      </c>
      <c r="B37" s="78"/>
      <c r="C37" s="3" t="s">
        <v>211</v>
      </c>
      <c r="D37" s="77"/>
      <c r="E37" s="78"/>
    </row>
    <row r="38" spans="1:5" ht="24" x14ac:dyDescent="0.2">
      <c r="A38" s="72" t="s">
        <v>55</v>
      </c>
      <c r="B38" s="72"/>
      <c r="C38" s="3" t="s">
        <v>56</v>
      </c>
      <c r="D38" s="72"/>
      <c r="E38" s="72"/>
    </row>
    <row r="39" spans="1:5" x14ac:dyDescent="0.2">
      <c r="A39" s="72" t="s">
        <v>57</v>
      </c>
      <c r="B39" s="72"/>
      <c r="C39" s="3" t="s">
        <v>157</v>
      </c>
      <c r="D39" s="72"/>
      <c r="E39" s="72"/>
    </row>
    <row r="40" spans="1:5" ht="24" x14ac:dyDescent="0.2">
      <c r="A40" s="72" t="s">
        <v>58</v>
      </c>
      <c r="B40" s="72"/>
      <c r="C40" s="3" t="s">
        <v>553</v>
      </c>
      <c r="D40" s="72"/>
      <c r="E40" s="72"/>
    </row>
    <row r="41" spans="1:5" x14ac:dyDescent="0.2">
      <c r="A41" s="6"/>
      <c r="B41" s="7"/>
      <c r="C41" s="7"/>
      <c r="D41" s="7"/>
      <c r="E41" s="8"/>
    </row>
    <row r="42" spans="1:5" x14ac:dyDescent="0.2">
      <c r="A42" s="9" t="s">
        <v>62</v>
      </c>
      <c r="E42" s="10"/>
    </row>
    <row r="43" spans="1:5" x14ac:dyDescent="0.2">
      <c r="A43" s="82" t="s">
        <v>74</v>
      </c>
      <c r="B43" s="83"/>
      <c r="C43" s="83"/>
      <c r="D43" s="83"/>
      <c r="E43" s="84"/>
    </row>
    <row r="44" spans="1:5" x14ac:dyDescent="0.2">
      <c r="A44" s="82"/>
      <c r="B44" s="83"/>
      <c r="C44" s="83"/>
      <c r="D44" s="83"/>
      <c r="E44" s="84"/>
    </row>
    <row r="45" spans="1:5" x14ac:dyDescent="0.2">
      <c r="A45" s="82" t="s">
        <v>554</v>
      </c>
      <c r="B45" s="83"/>
      <c r="C45" s="83"/>
      <c r="D45" s="83"/>
      <c r="E45" s="84"/>
    </row>
    <row r="46" spans="1:5" x14ac:dyDescent="0.2">
      <c r="A46" s="82" t="s">
        <v>104</v>
      </c>
      <c r="B46" s="83"/>
      <c r="C46" s="83"/>
      <c r="D46" s="83"/>
      <c r="E46" s="84"/>
    </row>
    <row r="47" spans="1:5" x14ac:dyDescent="0.2">
      <c r="A47" s="82"/>
      <c r="B47" s="83"/>
      <c r="C47" s="83"/>
      <c r="D47" s="83"/>
      <c r="E47" s="84"/>
    </row>
    <row r="48" spans="1:5" x14ac:dyDescent="0.2">
      <c r="A48" s="82" t="s">
        <v>163</v>
      </c>
      <c r="B48" s="83"/>
      <c r="C48" s="83"/>
      <c r="D48" s="83"/>
      <c r="E48" s="84"/>
    </row>
    <row r="49" spans="1:5" ht="11.45" customHeight="1" x14ac:dyDescent="0.2">
      <c r="A49" s="82" t="s">
        <v>164</v>
      </c>
      <c r="B49" s="83"/>
      <c r="C49" s="83"/>
      <c r="D49" s="83"/>
      <c r="E49" s="84"/>
    </row>
    <row r="50" spans="1:5" x14ac:dyDescent="0.2">
      <c r="A50" s="79" t="s">
        <v>123</v>
      </c>
      <c r="B50" s="80"/>
      <c r="C50" s="80"/>
      <c r="D50" s="80"/>
      <c r="E50" s="81"/>
    </row>
  </sheetData>
  <mergeCells count="70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18"/>
    <mergeCell ref="D16:E16"/>
    <mergeCell ref="D17:E17"/>
    <mergeCell ref="D18:E18"/>
    <mergeCell ref="A19:B19"/>
    <mergeCell ref="D19:E19"/>
    <mergeCell ref="A20:A30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A31:B31"/>
    <mergeCell ref="D31:E31"/>
    <mergeCell ref="A32:B32"/>
    <mergeCell ref="D32:E32"/>
    <mergeCell ref="A33:B33"/>
    <mergeCell ref="D33:E33"/>
    <mergeCell ref="A34:B34"/>
    <mergeCell ref="D34:E34"/>
    <mergeCell ref="A35:B35"/>
    <mergeCell ref="D35:E35"/>
    <mergeCell ref="A36:B36"/>
    <mergeCell ref="D36:E36"/>
    <mergeCell ref="A37:B37"/>
    <mergeCell ref="D37:E37"/>
    <mergeCell ref="A50:E50"/>
    <mergeCell ref="A38:B38"/>
    <mergeCell ref="D38:E38"/>
    <mergeCell ref="A39:B39"/>
    <mergeCell ref="D39:E39"/>
    <mergeCell ref="A40:B40"/>
    <mergeCell ref="D40:E40"/>
    <mergeCell ref="A43:E44"/>
    <mergeCell ref="A45:E45"/>
    <mergeCell ref="A46:E47"/>
    <mergeCell ref="A48:E48"/>
    <mergeCell ref="A49:E49"/>
  </mergeCells>
  <conditionalFormatting sqref="B21">
    <cfRule type="duplicateValues" dxfId="6" priority="6"/>
  </conditionalFormatting>
  <conditionalFormatting sqref="B33">
    <cfRule type="duplicateValues" dxfId="5" priority="2"/>
  </conditionalFormatting>
  <conditionalFormatting sqref="B34">
    <cfRule type="duplicateValues" dxfId="4" priority="1"/>
  </conditionalFormatting>
  <conditionalFormatting sqref="B35">
    <cfRule type="duplicateValues" dxfId="3" priority="5"/>
  </conditionalFormatting>
  <conditionalFormatting sqref="B36">
    <cfRule type="duplicateValues" dxfId="2" priority="4"/>
  </conditionalFormatting>
  <conditionalFormatting sqref="B37">
    <cfRule type="duplicateValues" dxfId="1" priority="3"/>
  </conditionalFormatting>
  <conditionalFormatting sqref="B51:B1048576 B25:B32 B4:B10 B12:B20 B22 B38:B42">
    <cfRule type="duplicateValues" dxfId="0" priority="7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144</vt:i4>
      </vt:variant>
      <vt:variant>
        <vt:lpstr>Named Ranges</vt:lpstr>
      </vt:variant>
      <vt:variant>
        <vt:i4>2</vt:i4>
      </vt:variant>
    </vt:vector>
  </HeadingPairs>
  <TitlesOfParts>
    <vt:vector size="146" baseType="lpstr">
      <vt:lpstr>Index</vt:lpstr>
      <vt:lpstr>CHPA1R</vt:lpstr>
      <vt:lpstr>CSWA1R</vt:lpstr>
      <vt:lpstr>CDPA1R</vt:lpstr>
      <vt:lpstr>CHPB1R</vt:lpstr>
      <vt:lpstr>CSWB1R</vt:lpstr>
      <vt:lpstr>CDPB1R</vt:lpstr>
      <vt:lpstr>CHPD1R</vt:lpstr>
      <vt:lpstr>CSWD1R</vt:lpstr>
      <vt:lpstr>CDPD1R</vt:lpstr>
      <vt:lpstr>CHPE1J</vt:lpstr>
      <vt:lpstr>CSWE1J</vt:lpstr>
      <vt:lpstr>CSWF1J</vt:lpstr>
      <vt:lpstr>CDPF1R</vt:lpstr>
      <vt:lpstr>CSWG1J</vt:lpstr>
      <vt:lpstr>CDPG1R</vt:lpstr>
      <vt:lpstr>CHPA2NR</vt:lpstr>
      <vt:lpstr>CSWA2NR</vt:lpstr>
      <vt:lpstr>CDPA2NR</vt:lpstr>
      <vt:lpstr>CHPB2NR</vt:lpstr>
      <vt:lpstr>CSWB2NR</vt:lpstr>
      <vt:lpstr>CDPB2NR</vt:lpstr>
      <vt:lpstr>CHPD2NR</vt:lpstr>
      <vt:lpstr>CSWD2NR</vt:lpstr>
      <vt:lpstr>CHPE2NJ</vt:lpstr>
      <vt:lpstr>CSWE2NJ</vt:lpstr>
      <vt:lpstr>CHPF2NJ</vt:lpstr>
      <vt:lpstr>CSWF2NJ</vt:lpstr>
      <vt:lpstr>CHPG2NJ</vt:lpstr>
      <vt:lpstr>CSWG2NJ</vt:lpstr>
      <vt:lpstr>CHPA1LNR</vt:lpstr>
      <vt:lpstr>CSWA1LNR</vt:lpstr>
      <vt:lpstr>CDPA1LNR</vt:lpstr>
      <vt:lpstr>CHPB1LNR</vt:lpstr>
      <vt:lpstr>CSWB1LNR</vt:lpstr>
      <vt:lpstr>CDPB1LNR</vt:lpstr>
      <vt:lpstr>CHPD1LNR</vt:lpstr>
      <vt:lpstr>CSWD1LNR</vt:lpstr>
      <vt:lpstr>CDPD1LNR</vt:lpstr>
      <vt:lpstr>CHPE1LNJ</vt:lpstr>
      <vt:lpstr>CSWE1LNJ</vt:lpstr>
      <vt:lpstr>CDPE1LNR</vt:lpstr>
      <vt:lpstr>CHPF1LNJ</vt:lpstr>
      <vt:lpstr>CSWF1LNJ</vt:lpstr>
      <vt:lpstr>CDPF1LNR</vt:lpstr>
      <vt:lpstr>CHPG1LNJ</vt:lpstr>
      <vt:lpstr>CSWG1LNJ</vt:lpstr>
      <vt:lpstr>CDPG1LNR</vt:lpstr>
      <vt:lpstr>CHPA1NR</vt:lpstr>
      <vt:lpstr>CSWA1NR</vt:lpstr>
      <vt:lpstr>CDPA1NR</vt:lpstr>
      <vt:lpstr>CHPB1NR</vt:lpstr>
      <vt:lpstr>CSWB1NR</vt:lpstr>
      <vt:lpstr>CDPB1NR</vt:lpstr>
      <vt:lpstr>CHPD1NR</vt:lpstr>
      <vt:lpstr>CSWD1NR</vt:lpstr>
      <vt:lpstr>CHPE1NJ</vt:lpstr>
      <vt:lpstr>CSWE1NJ</vt:lpstr>
      <vt:lpstr>CHPF1NJ</vt:lpstr>
      <vt:lpstr>CSWF1NJ</vt:lpstr>
      <vt:lpstr>CHPG1NJ</vt:lpstr>
      <vt:lpstr>CSWG1NJ</vt:lpstr>
      <vt:lpstr>CDPG1NR</vt:lpstr>
      <vt:lpstr>CHPA2LNR</vt:lpstr>
      <vt:lpstr>CSWA2LNR</vt:lpstr>
      <vt:lpstr>CDPA2LNR</vt:lpstr>
      <vt:lpstr>CHPB2LNR</vt:lpstr>
      <vt:lpstr>CSWB2LNR</vt:lpstr>
      <vt:lpstr>CDPB2LNR</vt:lpstr>
      <vt:lpstr>CHPD2LNR</vt:lpstr>
      <vt:lpstr>CSWD2LNR</vt:lpstr>
      <vt:lpstr>CDPD2LNR</vt:lpstr>
      <vt:lpstr>CHPE2LNJ</vt:lpstr>
      <vt:lpstr>CSWE2LNJ</vt:lpstr>
      <vt:lpstr>CDPE2LNR</vt:lpstr>
      <vt:lpstr>CHPF2LNJ</vt:lpstr>
      <vt:lpstr>CSWF2LNJ</vt:lpstr>
      <vt:lpstr>CDPF2LNR</vt:lpstr>
      <vt:lpstr>CHPG2LNJ</vt:lpstr>
      <vt:lpstr>CSWG2LNJ</vt:lpstr>
      <vt:lpstr>CDPG2LNR</vt:lpstr>
      <vt:lpstr>CSWA10R</vt:lpstr>
      <vt:lpstr>CHPA10R</vt:lpstr>
      <vt:lpstr>CDPA10R</vt:lpstr>
      <vt:lpstr>CSWB10R</vt:lpstr>
      <vt:lpstr>CHPB10R</vt:lpstr>
      <vt:lpstr>CSWD10R</vt:lpstr>
      <vt:lpstr>CHPD10R</vt:lpstr>
      <vt:lpstr>CSWE10J</vt:lpstr>
      <vt:lpstr>CHPE10J</vt:lpstr>
      <vt:lpstr>CSWF10J</vt:lpstr>
      <vt:lpstr>CHPF10J</vt:lpstr>
      <vt:lpstr>CSWG10J</vt:lpstr>
      <vt:lpstr>CHPG10J</vt:lpstr>
      <vt:lpstr>CHPA10NR</vt:lpstr>
      <vt:lpstr>CSWA10NR</vt:lpstr>
      <vt:lpstr>CHPB10NR</vt:lpstr>
      <vt:lpstr>CSWB10NR</vt:lpstr>
      <vt:lpstr>CDPB10NR</vt:lpstr>
      <vt:lpstr>CHPD10NR</vt:lpstr>
      <vt:lpstr>CSWD10NR</vt:lpstr>
      <vt:lpstr>CDPD10NR</vt:lpstr>
      <vt:lpstr>CHPE10NJ</vt:lpstr>
      <vt:lpstr>CSWE10NJ</vt:lpstr>
      <vt:lpstr>CHPF10NJ</vt:lpstr>
      <vt:lpstr>CSWF10NJ</vt:lpstr>
      <vt:lpstr>CHPG10NJ</vt:lpstr>
      <vt:lpstr>CSWG10NJ</vt:lpstr>
      <vt:lpstr>CSWA20NR</vt:lpstr>
      <vt:lpstr>CHPA20NR</vt:lpstr>
      <vt:lpstr>CHPB20NR</vt:lpstr>
      <vt:lpstr>CSWB20NR</vt:lpstr>
      <vt:lpstr>CDPB20NR</vt:lpstr>
      <vt:lpstr>CHPD20NR</vt:lpstr>
      <vt:lpstr>CSWD20NR</vt:lpstr>
      <vt:lpstr>CHPE20NJ</vt:lpstr>
      <vt:lpstr>CSWE20NJ</vt:lpstr>
      <vt:lpstr>CHPF20NJ</vt:lpstr>
      <vt:lpstr>CSWF20NJ</vt:lpstr>
      <vt:lpstr>CHPG20NJ</vt:lpstr>
      <vt:lpstr>CSWG20NJ</vt:lpstr>
      <vt:lpstr>CSWA25R</vt:lpstr>
      <vt:lpstr>CHPA25R</vt:lpstr>
      <vt:lpstr>CSWG25R</vt:lpstr>
      <vt:lpstr>CHPG25R</vt:lpstr>
      <vt:lpstr>CSWA25NR</vt:lpstr>
      <vt:lpstr>CHPA25NR</vt:lpstr>
      <vt:lpstr>CSWB25NR</vt:lpstr>
      <vt:lpstr>CHPB25NR</vt:lpstr>
      <vt:lpstr>CSWD25NR</vt:lpstr>
      <vt:lpstr>CHPD25NR</vt:lpstr>
      <vt:lpstr>CSWE25NR</vt:lpstr>
      <vt:lpstr>CHPE25NR</vt:lpstr>
      <vt:lpstr>CSWF25NR</vt:lpstr>
      <vt:lpstr>CHPF25NR</vt:lpstr>
      <vt:lpstr>CSWG25NR</vt:lpstr>
      <vt:lpstr>CHPG25NR</vt:lpstr>
      <vt:lpstr>CHPA30F</vt:lpstr>
      <vt:lpstr>CSWA30F</vt:lpstr>
      <vt:lpstr>CHPA31F</vt:lpstr>
      <vt:lpstr>CSWA31F</vt:lpstr>
      <vt:lpstr>CHPT50AJ</vt:lpstr>
      <vt:lpstr>CHPT50BJ</vt:lpstr>
      <vt:lpstr>CHPT50CJ</vt:lpstr>
      <vt:lpstr>Index!Print_Area</vt:lpstr>
      <vt:lpstr>Index!Print_Titles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Feroz Ahmad</dc:creator>
  <cp:lastModifiedBy>Feroz Ahmad</cp:lastModifiedBy>
  <cp:lastPrinted>2025-03-20T03:13:05Z</cp:lastPrinted>
  <dcterms:created xsi:type="dcterms:W3CDTF">2015-06-05T18:17:20Z</dcterms:created>
  <dcterms:modified xsi:type="dcterms:W3CDTF">2025-12-31T06:28:56Z</dcterms:modified>
</cp:coreProperties>
</file>