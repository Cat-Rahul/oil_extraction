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N:\Piping\Sonangol UM 6-7 FPSO\07. Piping Spec\03. Valve Material Specification\IFR\Native\"/>
    </mc:Choice>
  </mc:AlternateContent>
  <xr:revisionPtr revIDLastSave="0" documentId="13_ncr:1_{C4BCD21E-B9C9-44C9-A5EF-43FFAA20D291}" xr6:coauthVersionLast="47" xr6:coauthVersionMax="47" xr10:uidLastSave="{00000000-0000-0000-0000-000000000000}"/>
  <bookViews>
    <workbookView xWindow="-28920" yWindow="-120" windowWidth="29040" windowHeight="15720" tabRatio="714" xr2:uid="{00000000-000D-0000-FFFF-FFFF00000000}"/>
  </bookViews>
  <sheets>
    <sheet name="Index" sheetId="87" r:id="rId1"/>
    <sheet name="GLSA1R" sheetId="29" r:id="rId2"/>
    <sheet name="GLSB1R" sheetId="30" r:id="rId3"/>
    <sheet name="GLSD1R" sheetId="31" r:id="rId4"/>
    <sheet name="GLSE1J" sheetId="32" r:id="rId5"/>
    <sheet name="GLSF1J" sheetId="33" r:id="rId6"/>
    <sheet name="GLSG1J" sheetId="34" r:id="rId7"/>
    <sheet name="GLSA2NR" sheetId="35" r:id="rId8"/>
    <sheet name="GLSB2NR" sheetId="36" r:id="rId9"/>
    <sheet name="GLSD2NR" sheetId="37" r:id="rId10"/>
    <sheet name="GLSE2NJ" sheetId="38" r:id="rId11"/>
    <sheet name="GLSF2NJ" sheetId="39" r:id="rId12"/>
    <sheet name="GLSG2NJ" sheetId="40" r:id="rId13"/>
    <sheet name="GLSA1LNR" sheetId="41" r:id="rId14"/>
    <sheet name="GLSB1LNR" sheetId="42" r:id="rId15"/>
    <sheet name="GLSD1LNR" sheetId="43" r:id="rId16"/>
    <sheet name="GLSE1LNJ" sheetId="44" r:id="rId17"/>
    <sheet name="GLSF1LNJ" sheetId="45" r:id="rId18"/>
    <sheet name="GLSG1LNJ" sheetId="46" r:id="rId19"/>
    <sheet name="GLSA1NR" sheetId="47" r:id="rId20"/>
    <sheet name="GLSB1NR" sheetId="48" r:id="rId21"/>
    <sheet name="GLSD1NR" sheetId="49" r:id="rId22"/>
    <sheet name="GLSE1NJ" sheetId="50" r:id="rId23"/>
    <sheet name="GLSF1NJ" sheetId="51" r:id="rId24"/>
    <sheet name="GLSG1NJ" sheetId="52" r:id="rId25"/>
    <sheet name="GLSA2LNR" sheetId="54" r:id="rId26"/>
    <sheet name="GLSB2LNR" sheetId="55" r:id="rId27"/>
    <sheet name="GLSD2LNR" sheetId="56" r:id="rId28"/>
    <sheet name="GLSE2LNJ" sheetId="57" r:id="rId29"/>
    <sheet name="GLSF2LNJ" sheetId="58" r:id="rId30"/>
    <sheet name="GLSG2LNJ" sheetId="59" r:id="rId31"/>
    <sheet name="GLSA10NR" sheetId="60" r:id="rId32"/>
    <sheet name="GLSB10NR" sheetId="61" r:id="rId33"/>
    <sheet name="GLSD10NR" sheetId="62" r:id="rId34"/>
    <sheet name="GLSE10NJ" sheetId="63" r:id="rId35"/>
    <sheet name="GLSF10NJ" sheetId="64" r:id="rId36"/>
    <sheet name="GLSG10NJ" sheetId="65" r:id="rId37"/>
    <sheet name="GLSA10R" sheetId="66" r:id="rId38"/>
    <sheet name="GLSB10R" sheetId="67" r:id="rId39"/>
    <sheet name="GLSD10R" sheetId="68" r:id="rId40"/>
    <sheet name="GLSE10J" sheetId="69" r:id="rId41"/>
    <sheet name="GLSF10J" sheetId="70" r:id="rId42"/>
    <sheet name="GLSG10J" sheetId="71" r:id="rId43"/>
    <sheet name="GLSA20NR" sheetId="72" r:id="rId44"/>
    <sheet name="GLSB20NR" sheetId="73" r:id="rId45"/>
    <sheet name="GLSD20NR" sheetId="74" r:id="rId46"/>
    <sheet name="GLSE20NJ" sheetId="75" r:id="rId47"/>
    <sheet name="GLSF20NJ" sheetId="76" r:id="rId48"/>
    <sheet name="GLSG20NJ" sheetId="77" r:id="rId49"/>
    <sheet name="GLSA25R" sheetId="85" r:id="rId50"/>
    <sheet name="GLSG25R" sheetId="84" r:id="rId51"/>
    <sheet name="GLSA25NR" sheetId="78" r:id="rId52"/>
    <sheet name="GLSB25NR" sheetId="79" r:id="rId53"/>
    <sheet name="GLSD25NR" sheetId="80" r:id="rId54"/>
    <sheet name="GLSE25NR" sheetId="81" r:id="rId55"/>
    <sheet name="GLSF25NR" sheetId="82" r:id="rId56"/>
    <sheet name="GLSG25NR" sheetId="83" r:id="rId57"/>
    <sheet name="GLSA30F" sheetId="53" r:id="rId58"/>
    <sheet name="GLSA31F" sheetId="86" r:id="rId59"/>
  </sheets>
  <definedNames>
    <definedName name="_xlnm.Print_Area" localSheetId="0">Index!$A$1:$I$61</definedName>
    <definedName name="_xlnm.Print_Titles" localSheetId="0">Index!$1:$3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30" l="1"/>
  <c r="E2" i="31"/>
  <c r="E2" i="32"/>
  <c r="E2" i="33"/>
  <c r="E2" i="34"/>
  <c r="E2" i="35"/>
  <c r="E2" i="36"/>
  <c r="E2" i="37"/>
  <c r="E2" i="38"/>
  <c r="E2" i="39"/>
  <c r="E2" i="40"/>
  <c r="E2" i="41"/>
  <c r="E2" i="42"/>
  <c r="E2" i="43"/>
  <c r="E2" i="44"/>
  <c r="E2" i="45"/>
  <c r="E2" i="46"/>
  <c r="E2" i="47"/>
  <c r="E2" i="48"/>
  <c r="E2" i="49"/>
  <c r="E2" i="50"/>
  <c r="E2" i="51"/>
  <c r="E2" i="52"/>
  <c r="E2" i="54"/>
  <c r="E2" i="55"/>
  <c r="E2" i="56"/>
  <c r="E2" i="57"/>
  <c r="E2" i="58"/>
  <c r="E2" i="59"/>
  <c r="E2" i="60"/>
  <c r="E2" i="61"/>
  <c r="E2" i="62"/>
  <c r="E2" i="63"/>
  <c r="E2" i="64"/>
  <c r="E2" i="65"/>
  <c r="E2" i="66"/>
  <c r="E2" i="67"/>
  <c r="E2" i="68"/>
  <c r="E2" i="69"/>
  <c r="E2" i="70"/>
  <c r="E2" i="71"/>
  <c r="E2" i="72"/>
  <c r="E2" i="73"/>
  <c r="E2" i="74"/>
  <c r="E2" i="75"/>
  <c r="E2" i="76"/>
  <c r="E2" i="77"/>
  <c r="E2" i="85"/>
  <c r="E2" i="84"/>
  <c r="E2" i="78"/>
  <c r="E2" i="79"/>
  <c r="E2" i="80"/>
  <c r="E2" i="81"/>
  <c r="E2" i="82"/>
  <c r="E2" i="83"/>
  <c r="E2" i="53"/>
  <c r="E2" i="86"/>
  <c r="E2" i="29"/>
  <c r="C12" i="30"/>
  <c r="C12" i="31"/>
  <c r="C12" i="32"/>
  <c r="C12" i="33"/>
  <c r="C12" i="34"/>
  <c r="C12" i="35"/>
  <c r="C12" i="36"/>
  <c r="C12" i="37"/>
  <c r="C12" i="38"/>
  <c r="C12" i="39"/>
  <c r="C12" i="40"/>
  <c r="C12" i="41"/>
  <c r="C12" i="42"/>
  <c r="C12" i="43"/>
  <c r="C12" i="44"/>
  <c r="C12" i="45"/>
  <c r="C12" i="46"/>
  <c r="C12" i="47"/>
  <c r="C12" i="48"/>
  <c r="C12" i="49"/>
  <c r="C12" i="50"/>
  <c r="C12" i="51"/>
  <c r="C12" i="52"/>
  <c r="C12" i="54"/>
  <c r="C12" i="55"/>
  <c r="C12" i="56"/>
  <c r="C12" i="57"/>
  <c r="C12" i="58"/>
  <c r="C12" i="59"/>
  <c r="C12" i="60"/>
  <c r="C12" i="61"/>
  <c r="C12" i="62"/>
  <c r="C12" i="63"/>
  <c r="C12" i="64"/>
  <c r="C12" i="65"/>
  <c r="C12" i="66"/>
  <c r="C12" i="67"/>
  <c r="C12" i="68"/>
  <c r="C12" i="69"/>
  <c r="C12" i="70"/>
  <c r="C12" i="71"/>
  <c r="C12" i="72"/>
  <c r="C12" i="73"/>
  <c r="C12" i="74"/>
  <c r="C12" i="75"/>
  <c r="C12" i="76"/>
  <c r="C12" i="77"/>
  <c r="C12" i="85"/>
  <c r="C12" i="84"/>
  <c r="C12" i="78"/>
  <c r="C12" i="79"/>
  <c r="C12" i="80"/>
  <c r="C12" i="81"/>
  <c r="C12" i="82"/>
  <c r="C12" i="83"/>
  <c r="C12" i="53"/>
  <c r="C12" i="86"/>
  <c r="C12" i="29"/>
  <c r="C11" i="66"/>
  <c r="C8" i="30"/>
  <c r="C8" i="31"/>
  <c r="C8" i="32"/>
  <c r="C8" i="33"/>
  <c r="C8" i="34"/>
  <c r="C8" i="35"/>
  <c r="C8" i="36"/>
  <c r="C8" i="37"/>
  <c r="C8" i="38"/>
  <c r="C8" i="39"/>
  <c r="C8" i="40"/>
  <c r="C8" i="41"/>
  <c r="C8" i="42"/>
  <c r="C8" i="43"/>
  <c r="C8" i="44"/>
  <c r="C8" i="45"/>
  <c r="C8" i="46"/>
  <c r="C8" i="47"/>
  <c r="C8" i="48"/>
  <c r="C8" i="49"/>
  <c r="C8" i="50"/>
  <c r="C8" i="51"/>
  <c r="C8" i="52"/>
  <c r="C8" i="54"/>
  <c r="C8" i="55"/>
  <c r="C8" i="56"/>
  <c r="C8" i="57"/>
  <c r="C8" i="58"/>
  <c r="C8" i="59"/>
  <c r="C8" i="60"/>
  <c r="C8" i="61"/>
  <c r="C8" i="62"/>
  <c r="C8" i="63"/>
  <c r="C8" i="64"/>
  <c r="C8" i="65"/>
  <c r="C8" i="66"/>
  <c r="C8" i="67"/>
  <c r="C8" i="68"/>
  <c r="C8" i="69"/>
  <c r="C8" i="70"/>
  <c r="C8" i="71"/>
  <c r="C8" i="72"/>
  <c r="C8" i="73"/>
  <c r="C8" i="74"/>
  <c r="C8" i="75"/>
  <c r="C8" i="76"/>
  <c r="C8" i="77"/>
  <c r="C8" i="85"/>
  <c r="C8" i="84"/>
  <c r="C8" i="78"/>
  <c r="C8" i="79"/>
  <c r="C8" i="80"/>
  <c r="C8" i="81"/>
  <c r="C8" i="82"/>
  <c r="C8" i="83"/>
  <c r="C8" i="53"/>
  <c r="C8" i="86"/>
  <c r="C8" i="29"/>
  <c r="T73" i="87"/>
  <c r="W70" i="87"/>
  <c r="W69" i="87"/>
  <c r="W68" i="87"/>
  <c r="W67" i="87"/>
  <c r="C11" i="86"/>
  <c r="W66" i="87"/>
  <c r="C11" i="53"/>
  <c r="W65" i="87"/>
  <c r="C11" i="83"/>
  <c r="W64" i="87"/>
  <c r="C11" i="82"/>
  <c r="W63" i="87"/>
  <c r="C11" i="81"/>
  <c r="W62" i="87"/>
  <c r="C11" i="80"/>
  <c r="W61" i="87"/>
  <c r="C11" i="79"/>
  <c r="W60" i="87"/>
  <c r="C11" i="78"/>
  <c r="W59" i="87"/>
  <c r="C11" i="84"/>
  <c r="W58" i="87"/>
  <c r="C11" i="85"/>
  <c r="W57" i="87"/>
  <c r="C11" i="77"/>
  <c r="W56" i="87"/>
  <c r="C11" i="76"/>
  <c r="W55" i="87"/>
  <c r="C11" i="75"/>
  <c r="W54" i="87"/>
  <c r="C11" i="74"/>
  <c r="W53" i="87"/>
  <c r="C11" i="73"/>
  <c r="W52" i="87"/>
  <c r="C11" i="72"/>
  <c r="W51" i="87"/>
  <c r="C11" i="65"/>
  <c r="W50" i="87"/>
  <c r="C11" i="64"/>
  <c r="W49" i="87"/>
  <c r="C11" i="63"/>
  <c r="W48" i="87"/>
  <c r="C11" i="62"/>
  <c r="W47" i="87"/>
  <c r="C11" i="61"/>
  <c r="W46" i="87"/>
  <c r="C11" i="60"/>
  <c r="W45" i="87"/>
  <c r="C11" i="71"/>
  <c r="W44" i="87"/>
  <c r="C11" i="70"/>
  <c r="W43" i="87"/>
  <c r="C11" i="69"/>
  <c r="W42" i="87"/>
  <c r="C11" i="68"/>
  <c r="W41" i="87"/>
  <c r="C11" i="67"/>
  <c r="W40" i="87"/>
  <c r="W39" i="87"/>
  <c r="W38" i="87"/>
  <c r="W37" i="87"/>
  <c r="W36" i="87"/>
  <c r="W35" i="87"/>
  <c r="W34" i="87"/>
  <c r="W33" i="87"/>
  <c r="C11" i="59"/>
  <c r="W32" i="87"/>
  <c r="C11" i="58"/>
  <c r="W31" i="87"/>
  <c r="C11" i="57"/>
  <c r="W30" i="87"/>
  <c r="C11" i="56"/>
  <c r="W29" i="87"/>
  <c r="C11" i="55"/>
  <c r="W28" i="87"/>
  <c r="C11" i="54"/>
  <c r="W27" i="87"/>
  <c r="C11" i="46"/>
  <c r="W26" i="87"/>
  <c r="C11" i="45"/>
  <c r="W25" i="87"/>
  <c r="C11" i="44"/>
  <c r="W24" i="87"/>
  <c r="C11" i="43"/>
  <c r="W23" i="87"/>
  <c r="C11" i="42"/>
  <c r="W22" i="87"/>
  <c r="C11" i="41"/>
  <c r="W21" i="87"/>
  <c r="C11" i="40"/>
  <c r="W20" i="87"/>
  <c r="C11" i="39"/>
  <c r="W19" i="87"/>
  <c r="C11" i="38"/>
  <c r="W18" i="87"/>
  <c r="C11" i="37"/>
  <c r="W17" i="87"/>
  <c r="C11" i="36"/>
  <c r="W16" i="87"/>
  <c r="C11" i="35"/>
  <c r="W15" i="87"/>
  <c r="W14" i="87"/>
  <c r="C11" i="52"/>
  <c r="W13" i="87"/>
  <c r="C11" i="51"/>
  <c r="W12" i="87"/>
  <c r="C11" i="50"/>
  <c r="W11" i="87"/>
  <c r="C11" i="49"/>
  <c r="W10" i="87"/>
  <c r="C11" i="48"/>
  <c r="W9" i="87"/>
  <c r="C11" i="47"/>
  <c r="W8" i="87"/>
  <c r="C11" i="34"/>
  <c r="W7" i="87"/>
  <c r="C11" i="33"/>
  <c r="W6" i="87"/>
  <c r="C11" i="32"/>
  <c r="W5" i="87"/>
  <c r="C11" i="31"/>
  <c r="W4" i="87"/>
  <c r="C11" i="30"/>
  <c r="W3" i="87"/>
  <c r="C11" i="29"/>
  <c r="E3" i="30"/>
  <c r="E3" i="31"/>
  <c r="E3" i="32"/>
  <c r="E3" i="33"/>
  <c r="E3" i="34"/>
  <c r="E3" i="35"/>
  <c r="E3" i="36"/>
  <c r="E3" i="37"/>
  <c r="E3" i="38"/>
  <c r="E3" i="39"/>
  <c r="E3" i="40"/>
  <c r="E3" i="41"/>
  <c r="E3" i="42"/>
  <c r="E3" i="43"/>
  <c r="E3" i="44"/>
  <c r="E3" i="45"/>
  <c r="E3" i="46"/>
  <c r="E3" i="47"/>
  <c r="E3" i="48"/>
  <c r="E3" i="49"/>
  <c r="E3" i="50"/>
  <c r="E3" i="51"/>
  <c r="E3" i="52"/>
  <c r="E3" i="54"/>
  <c r="E3" i="55"/>
  <c r="E3" i="56"/>
  <c r="E3" i="57"/>
  <c r="E3" i="58"/>
  <c r="E3" i="59"/>
  <c r="E3" i="60"/>
  <c r="E3" i="61"/>
  <c r="E3" i="62"/>
  <c r="E3" i="63"/>
  <c r="E3" i="64"/>
  <c r="E3" i="65"/>
  <c r="E3" i="66"/>
  <c r="E3" i="67"/>
  <c r="E3" i="68"/>
  <c r="E3" i="69"/>
  <c r="E3" i="70"/>
  <c r="E3" i="71"/>
  <c r="E3" i="72"/>
  <c r="E3" i="73"/>
  <c r="E3" i="74"/>
  <c r="E3" i="75"/>
  <c r="E3" i="76"/>
  <c r="E3" i="77"/>
  <c r="E3" i="85"/>
  <c r="E3" i="84"/>
  <c r="E3" i="78"/>
  <c r="E3" i="79"/>
  <c r="E3" i="80"/>
  <c r="E3" i="81"/>
  <c r="E3" i="82"/>
  <c r="E3" i="83"/>
  <c r="E3" i="53"/>
  <c r="E3" i="86"/>
  <c r="E3" i="29"/>
  <c r="G36" i="87"/>
  <c r="F28" i="87"/>
  <c r="G27" i="87"/>
  <c r="D36" i="87"/>
  <c r="D4" i="87"/>
  <c r="H32" i="87"/>
  <c r="H43" i="87"/>
  <c r="H40" i="87"/>
  <c r="F54" i="87"/>
  <c r="C37" i="87"/>
  <c r="C51" i="87"/>
  <c r="F39" i="87"/>
  <c r="D19" i="87"/>
  <c r="G8" i="87"/>
  <c r="E33" i="87"/>
  <c r="F41" i="87"/>
  <c r="E41" i="87"/>
  <c r="C29" i="87"/>
  <c r="E15" i="87"/>
  <c r="C38" i="87"/>
  <c r="H19" i="87"/>
  <c r="E57" i="87"/>
  <c r="D60" i="87"/>
  <c r="E47" i="87"/>
  <c r="G6" i="87"/>
  <c r="D9" i="87"/>
  <c r="D18" i="87"/>
  <c r="C22" i="87"/>
  <c r="F52" i="87"/>
  <c r="D24" i="87"/>
  <c r="F43" i="87"/>
  <c r="D43" i="87"/>
  <c r="C39" i="87"/>
  <c r="H28" i="87"/>
  <c r="H10" i="87"/>
  <c r="F15" i="87"/>
  <c r="D5" i="87"/>
  <c r="G56" i="87"/>
  <c r="F53" i="87"/>
  <c r="H23" i="87"/>
  <c r="H39" i="87"/>
  <c r="C35" i="87"/>
  <c r="F7" i="87"/>
  <c r="C55" i="87"/>
  <c r="G48" i="87"/>
  <c r="G38" i="87"/>
  <c r="C26" i="87"/>
  <c r="G42" i="87"/>
  <c r="F38" i="87"/>
  <c r="H38" i="87"/>
  <c r="D23" i="87"/>
  <c r="F20" i="87"/>
  <c r="C9" i="87"/>
  <c r="F19" i="87"/>
  <c r="C31" i="87"/>
  <c r="E14" i="87"/>
  <c r="F22" i="87"/>
  <c r="C24" i="87"/>
  <c r="D14" i="87"/>
  <c r="F8" i="87"/>
  <c r="G31" i="87"/>
  <c r="E5" i="87"/>
  <c r="E31" i="87"/>
  <c r="G15" i="87"/>
  <c r="F24" i="87"/>
  <c r="D59" i="87"/>
  <c r="H57" i="87"/>
  <c r="E4" i="87"/>
  <c r="F18" i="87"/>
  <c r="G51" i="87"/>
  <c r="H49" i="87"/>
  <c r="G55" i="87"/>
  <c r="F45" i="87"/>
  <c r="H24" i="87"/>
  <c r="C53" i="87"/>
  <c r="D29" i="87"/>
  <c r="D10" i="87"/>
  <c r="G52" i="87"/>
  <c r="G40" i="87"/>
  <c r="H55" i="87"/>
  <c r="C13" i="87"/>
  <c r="C4" i="87"/>
  <c r="G58" i="87"/>
  <c r="H11" i="87"/>
  <c r="C44" i="87"/>
  <c r="E48" i="87"/>
  <c r="G45" i="87"/>
  <c r="E26" i="87"/>
  <c r="F30" i="87"/>
  <c r="C33" i="87"/>
  <c r="F40" i="87"/>
  <c r="D48" i="87"/>
  <c r="G59" i="87"/>
  <c r="G23" i="87"/>
  <c r="D7" i="87"/>
  <c r="F11" i="87"/>
  <c r="H48" i="87"/>
  <c r="D12" i="87"/>
  <c r="H15" i="87"/>
  <c r="C46" i="87"/>
  <c r="G25" i="87"/>
  <c r="C58" i="87"/>
  <c r="F51" i="87"/>
  <c r="H59" i="87"/>
  <c r="E28" i="87"/>
  <c r="D27" i="87"/>
  <c r="C20" i="87"/>
  <c r="H45" i="87"/>
  <c r="H58" i="87"/>
  <c r="D11" i="87"/>
  <c r="E45" i="87"/>
  <c r="H22" i="87"/>
  <c r="H30" i="87"/>
  <c r="F5" i="87"/>
  <c r="H9" i="87"/>
  <c r="F50" i="87"/>
  <c r="D58" i="87"/>
  <c r="E46" i="87"/>
  <c r="G47" i="87"/>
  <c r="D15" i="87"/>
  <c r="H36" i="87"/>
  <c r="H54" i="87"/>
  <c r="G26" i="87"/>
  <c r="E44" i="87"/>
  <c r="G30" i="87"/>
  <c r="D51" i="87"/>
  <c r="F57" i="87"/>
  <c r="E32" i="87"/>
  <c r="F16" i="87"/>
  <c r="E22" i="87"/>
  <c r="F6" i="87"/>
  <c r="C32" i="87"/>
  <c r="C57" i="87"/>
  <c r="H44" i="87"/>
  <c r="G24" i="87"/>
  <c r="F48" i="87"/>
  <c r="C23" i="87"/>
  <c r="C25" i="87"/>
  <c r="F13" i="87"/>
  <c r="F33" i="87"/>
  <c r="G37" i="87"/>
  <c r="E35" i="87"/>
  <c r="G43" i="87"/>
  <c r="C8" i="87"/>
  <c r="D20" i="87"/>
  <c r="G11" i="87"/>
  <c r="H61" i="87"/>
  <c r="F49" i="87"/>
  <c r="E29" i="87"/>
  <c r="D61" i="87"/>
  <c r="E12" i="87"/>
  <c r="F25" i="87"/>
  <c r="E10" i="87"/>
  <c r="E19" i="87"/>
  <c r="H7" i="87"/>
  <c r="F61" i="87"/>
  <c r="D32" i="87"/>
  <c r="E55" i="87"/>
  <c r="D52" i="87"/>
  <c r="F31" i="87"/>
  <c r="E36" i="87"/>
  <c r="F14" i="87"/>
  <c r="H21" i="87"/>
  <c r="E53" i="87"/>
  <c r="D57" i="87"/>
  <c r="F37" i="87"/>
  <c r="G39" i="87"/>
  <c r="H12" i="87"/>
  <c r="G33" i="87"/>
  <c r="C15" i="87"/>
  <c r="G34" i="87"/>
  <c r="C5" i="87"/>
  <c r="C49" i="87"/>
  <c r="E49" i="87"/>
  <c r="D56" i="87"/>
  <c r="F42" i="87"/>
  <c r="D30" i="87"/>
  <c r="H33" i="87"/>
  <c r="F59" i="87"/>
  <c r="F60" i="87"/>
  <c r="H14" i="87"/>
  <c r="D45" i="87"/>
  <c r="D40" i="87"/>
  <c r="C17" i="87"/>
  <c r="E60" i="87"/>
  <c r="C59" i="87"/>
  <c r="E24" i="87"/>
  <c r="C19" i="87"/>
  <c r="E43" i="87"/>
  <c r="E25" i="87"/>
  <c r="C54" i="87"/>
  <c r="G61" i="87"/>
  <c r="D37" i="87"/>
  <c r="C30" i="87"/>
  <c r="H41" i="87"/>
  <c r="F29" i="87"/>
  <c r="C10" i="87"/>
  <c r="G5" i="87"/>
  <c r="G12" i="87"/>
  <c r="H17" i="87"/>
  <c r="G28" i="87"/>
  <c r="C27" i="87"/>
  <c r="H6" i="87"/>
  <c r="D31" i="87"/>
  <c r="G16" i="87"/>
  <c r="E54" i="87"/>
  <c r="H13" i="87"/>
  <c r="C52" i="87"/>
  <c r="F46" i="87"/>
  <c r="F44" i="87"/>
  <c r="G54" i="87"/>
  <c r="H26" i="87"/>
  <c r="C47" i="87"/>
  <c r="G46" i="87"/>
  <c r="H20" i="87"/>
  <c r="E6" i="87"/>
  <c r="F32" i="87"/>
  <c r="D21" i="87"/>
  <c r="D44" i="87"/>
  <c r="E9" i="87"/>
  <c r="D13" i="87"/>
  <c r="G49" i="87"/>
  <c r="E27" i="87"/>
  <c r="E18" i="87"/>
  <c r="C56" i="87"/>
  <c r="H51" i="87"/>
  <c r="G29" i="87"/>
  <c r="E40" i="87"/>
  <c r="F35" i="87"/>
  <c r="G19" i="87"/>
  <c r="E56" i="87"/>
  <c r="E11" i="87"/>
  <c r="E17" i="87"/>
  <c r="F56" i="87"/>
  <c r="D50" i="87"/>
  <c r="C42" i="87"/>
  <c r="C61" i="87"/>
  <c r="D16" i="87"/>
  <c r="E39" i="87"/>
  <c r="C48" i="87"/>
  <c r="H5" i="87"/>
  <c r="G13" i="87"/>
  <c r="G20" i="87"/>
  <c r="G18" i="87"/>
  <c r="C18" i="87"/>
  <c r="E34" i="87"/>
  <c r="C45" i="87"/>
  <c r="D55" i="87"/>
  <c r="E51" i="87"/>
  <c r="D42" i="87"/>
  <c r="F58" i="87"/>
  <c r="E16" i="87"/>
  <c r="C14" i="87"/>
  <c r="F55" i="87"/>
  <c r="G17" i="87"/>
  <c r="F36" i="87"/>
  <c r="D25" i="87"/>
  <c r="E8" i="87"/>
  <c r="C21" i="87"/>
  <c r="H25" i="87"/>
  <c r="E50" i="87"/>
  <c r="F34" i="87"/>
  <c r="E52" i="87"/>
  <c r="D47" i="87"/>
  <c r="E7" i="87"/>
  <c r="G53" i="87"/>
  <c r="F27" i="87"/>
  <c r="C43" i="87"/>
  <c r="D46" i="87"/>
  <c r="C60" i="87"/>
  <c r="D38" i="87"/>
  <c r="H60" i="87"/>
  <c r="D53" i="87"/>
  <c r="G21" i="87"/>
  <c r="D17" i="87"/>
  <c r="G10" i="87"/>
  <c r="G9" i="87"/>
  <c r="H16" i="87"/>
  <c r="D28" i="87"/>
  <c r="F9" i="87"/>
  <c r="H31" i="87"/>
  <c r="D22" i="87"/>
  <c r="H46" i="87"/>
  <c r="C40" i="87"/>
  <c r="D49" i="87"/>
  <c r="E38" i="87"/>
  <c r="H35" i="87"/>
  <c r="E42" i="87"/>
  <c r="F17" i="87"/>
  <c r="H27" i="87"/>
  <c r="C12" i="87"/>
  <c r="D54" i="87"/>
  <c r="C11" i="87"/>
  <c r="D35" i="87"/>
  <c r="C41" i="87"/>
  <c r="H52" i="87"/>
  <c r="H53" i="87"/>
  <c r="D6" i="87"/>
  <c r="G4" i="87"/>
  <c r="G57" i="87"/>
  <c r="F23" i="87"/>
  <c r="E58" i="87"/>
  <c r="H42" i="87"/>
  <c r="E30" i="87"/>
  <c r="C28" i="87"/>
  <c r="H37" i="87"/>
  <c r="H4" i="87"/>
  <c r="C34" i="87"/>
  <c r="H50" i="87"/>
  <c r="H8" i="87"/>
  <c r="C50" i="87"/>
  <c r="G41" i="87"/>
  <c r="E13" i="87"/>
  <c r="H56" i="87"/>
  <c r="G35" i="87"/>
  <c r="G22" i="87"/>
  <c r="G14" i="87"/>
  <c r="D8" i="87"/>
  <c r="C36" i="87"/>
  <c r="H29" i="87"/>
  <c r="D33" i="87"/>
  <c r="E37" i="87"/>
  <c r="C6" i="87"/>
  <c r="E61" i="87"/>
  <c r="G60" i="87"/>
  <c r="F21" i="87"/>
  <c r="C7" i="87"/>
  <c r="H34" i="87"/>
  <c r="F47" i="87"/>
  <c r="D26" i="87"/>
  <c r="H18" i="87"/>
  <c r="D34" i="87"/>
  <c r="E59" i="87"/>
  <c r="E21" i="87"/>
  <c r="D39" i="87"/>
  <c r="G44" i="87"/>
  <c r="G32" i="87"/>
  <c r="F12" i="87"/>
  <c r="E20" i="87"/>
  <c r="D41" i="87"/>
  <c r="G7" i="87"/>
  <c r="C16" i="87"/>
  <c r="G50" i="87"/>
  <c r="F4" i="87"/>
  <c r="E23" i="87"/>
  <c r="F10" i="87"/>
  <c r="F26" i="87"/>
  <c r="H47" i="87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<sst xmlns="http://schemas.openxmlformats.org/spreadsheetml/2006/main" count="6071" uniqueCount="435">
  <si>
    <t>A1</t>
  </si>
  <si>
    <t>Monel K500</t>
  </si>
  <si>
    <t>A1LN</t>
  </si>
  <si>
    <t>A1N</t>
  </si>
  <si>
    <t>A25N</t>
  </si>
  <si>
    <t>B1</t>
  </si>
  <si>
    <t>B10</t>
  </si>
  <si>
    <t>B1LN</t>
  </si>
  <si>
    <t>B1N</t>
  </si>
  <si>
    <t>D1N</t>
  </si>
  <si>
    <t>E1N</t>
  </si>
  <si>
    <t>F1N</t>
  </si>
  <si>
    <t>G1N</t>
  </si>
  <si>
    <t>D10</t>
  </si>
  <si>
    <t>D1LN</t>
  </si>
  <si>
    <t>E1</t>
  </si>
  <si>
    <t>E10</t>
  </si>
  <si>
    <t>E1LN</t>
  </si>
  <si>
    <t>F10</t>
  </si>
  <si>
    <t>F1LN</t>
  </si>
  <si>
    <t>G10</t>
  </si>
  <si>
    <t>G1LN</t>
  </si>
  <si>
    <t>F1</t>
  </si>
  <si>
    <t>D1</t>
  </si>
  <si>
    <t>B25N</t>
  </si>
  <si>
    <t>D25N</t>
  </si>
  <si>
    <t>Piping Class</t>
  </si>
  <si>
    <t>Size Range</t>
  </si>
  <si>
    <t>Valve type</t>
  </si>
  <si>
    <t>Service</t>
  </si>
  <si>
    <t>Valve Standard</t>
  </si>
  <si>
    <t>Pressure Class</t>
  </si>
  <si>
    <t>Corrosion Allowance</t>
  </si>
  <si>
    <t>Sour Service Requirements</t>
  </si>
  <si>
    <t>-</t>
  </si>
  <si>
    <t>End Connections</t>
  </si>
  <si>
    <t>Face to Face Dimension</t>
  </si>
  <si>
    <t>Construction</t>
  </si>
  <si>
    <t>Body</t>
  </si>
  <si>
    <t>Stem</t>
  </si>
  <si>
    <t>Operation</t>
  </si>
  <si>
    <t xml:space="preserve">Material </t>
  </si>
  <si>
    <t>Gaskets</t>
  </si>
  <si>
    <t>Bolts</t>
  </si>
  <si>
    <t>Nuts</t>
  </si>
  <si>
    <t>Marking - Purchaser’s Specification</t>
  </si>
  <si>
    <t>Hard marked with Valve Type on a stainless steel label, attached using tamper resistant stainless steel fastener, and with Unique Valve Tag Number</t>
  </si>
  <si>
    <t>Marking – Manufacturer</t>
  </si>
  <si>
    <t>MSS-SP-25</t>
  </si>
  <si>
    <t>ASME B16.34, API 598</t>
  </si>
  <si>
    <t>Material Certification</t>
  </si>
  <si>
    <t>Pressure Retaining Parts EN 10204 3.2, Other parts EN 10204 3.1</t>
  </si>
  <si>
    <t>Fire Rating</t>
  </si>
  <si>
    <t>Finish</t>
  </si>
  <si>
    <t>Vendor Offer</t>
  </si>
  <si>
    <t>ASME B16.34 Class 150</t>
  </si>
  <si>
    <t>Flanged ASME B16.5 FF</t>
  </si>
  <si>
    <t>Note.</t>
  </si>
  <si>
    <t>ASME B16.34 Class 300</t>
  </si>
  <si>
    <t>ASME B16.34 Class 600</t>
  </si>
  <si>
    <t>ASME B16.34 Class 900</t>
  </si>
  <si>
    <t>Flanged ASME B16.5 RTJ</t>
  </si>
  <si>
    <t>ASME B16.34 Class 1500</t>
  </si>
  <si>
    <t>ASME B16.34 Class 2500</t>
  </si>
  <si>
    <t>Class 150</t>
  </si>
  <si>
    <t>Manufacturer Standard</t>
  </si>
  <si>
    <t>ASME B16.10</t>
  </si>
  <si>
    <t>Disc</t>
  </si>
  <si>
    <t>Seat</t>
  </si>
  <si>
    <t>Packing</t>
  </si>
  <si>
    <t>1. This data sheet shall be completed and returned with the quotation. Failure to return the completed data sheet will deem the offer technically not acceptable.</t>
  </si>
  <si>
    <t>Forged - ASTM A182 F53</t>
  </si>
  <si>
    <t>Gland packing</t>
  </si>
  <si>
    <t>Bolted bonnet, Integral Flanged End</t>
  </si>
  <si>
    <t>VDS No</t>
  </si>
  <si>
    <t>1/2" - 24"</t>
  </si>
  <si>
    <t>ASTM A350 LF2 (1.5” &amp; below), ASTM A352 LCC (2” &amp; Above)</t>
  </si>
  <si>
    <t>ASTM A182 F316L (1.5” and below), A351 CF3M (2” and above)</t>
  </si>
  <si>
    <t>A2N</t>
  </si>
  <si>
    <t>Globe valve, Outside Screw and Yoke</t>
  </si>
  <si>
    <t>3 mm</t>
  </si>
  <si>
    <t>6 mm</t>
  </si>
  <si>
    <t>NIL</t>
  </si>
  <si>
    <t>Rising stem, outside screw and yoke, Back Seated</t>
  </si>
  <si>
    <t>Ball / Plug</t>
  </si>
  <si>
    <t>ASTM A105N (1.5” and below), ASTM A216 WCB (2” &amp; Above)</t>
  </si>
  <si>
    <t>ASTM A 193 GR B7M, XYLAR 2 + XYLAN 1070</t>
  </si>
  <si>
    <t>ASTM A 194 GR 2HM, XYLAR 2 + XYLAN 1070</t>
  </si>
  <si>
    <r>
      <t>Trim</t>
    </r>
    <r>
      <rPr>
        <sz val="9"/>
        <color theme="0"/>
        <rFont val="Arial"/>
        <family val="2"/>
      </rPr>
      <t xml:space="preserve"> Material</t>
    </r>
  </si>
  <si>
    <r>
      <t xml:space="preserve">Disc </t>
    </r>
    <r>
      <rPr>
        <sz val="9"/>
        <color theme="0"/>
        <rFont val="Arial"/>
        <family val="2"/>
      </rPr>
      <t>Material</t>
    </r>
  </si>
  <si>
    <r>
      <t xml:space="preserve">Seat </t>
    </r>
    <r>
      <rPr>
        <sz val="9"/>
        <color theme="0"/>
        <rFont val="Arial"/>
        <family val="2"/>
      </rPr>
      <t>Material</t>
    </r>
  </si>
  <si>
    <r>
      <t xml:space="preserve">Gland </t>
    </r>
    <r>
      <rPr>
        <sz val="9"/>
        <color theme="0"/>
        <rFont val="Arial"/>
        <family val="2"/>
      </rPr>
      <t>Material</t>
    </r>
  </si>
  <si>
    <r>
      <t xml:space="preserve">Body </t>
    </r>
    <r>
      <rPr>
        <sz val="9"/>
        <color theme="0"/>
        <rFont val="Arial"/>
        <family val="2"/>
      </rPr>
      <t>Material</t>
    </r>
  </si>
  <si>
    <r>
      <t>Stem</t>
    </r>
    <r>
      <rPr>
        <sz val="9"/>
        <color theme="0"/>
        <rFont val="Arial"/>
        <family val="2"/>
      </rPr>
      <t xml:space="preserve"> Material</t>
    </r>
  </si>
  <si>
    <t>3. Hydrostatic shell test pressure shall be 1.5 times of Max. design pressure, and hydraulic seat test shall be 1.1 times of Max. design pressure for seats.</t>
  </si>
  <si>
    <t>NACE MR0175 /ISO 15156-1/2/3, SSC Region 3, Non-exposed, internal only</t>
  </si>
  <si>
    <t>Solid ASTM A47 HDG/ ASTM A220 HDG/ SS316</t>
  </si>
  <si>
    <t>ASTM B148 C95800</t>
  </si>
  <si>
    <t>Ball / Plug Hard Faced</t>
  </si>
  <si>
    <t>Forged - ASTM A182 F53, Hard Faced</t>
  </si>
  <si>
    <t>Forged - ASTM A182 F60</t>
  </si>
  <si>
    <t>Forged - ASTM A182 F316L</t>
  </si>
  <si>
    <t>Forged - ASTM A182 F316</t>
  </si>
  <si>
    <t>Conical, Renewable Seat Ring</t>
  </si>
  <si>
    <t>6. Valve shall be in accordance with NACE MR0175 /ISO 15156-1/2/3.</t>
  </si>
  <si>
    <t>Forged - ASTM A182 F316L, Stellite Hard Faced</t>
  </si>
  <si>
    <t>Stem Seal renewable with valve open on stream</t>
  </si>
  <si>
    <t xml:space="preserve">  </t>
  </si>
  <si>
    <t>SDSS - UNS S32750, Forged - ASTM A182 F53 (1.5” and below), Cast - ASTM A995 5A UNS J93404 (2” and above)</t>
  </si>
  <si>
    <t xml:space="preserve">Rev No : </t>
  </si>
  <si>
    <t xml:space="preserve">Doc. No : </t>
  </si>
  <si>
    <t>Page No.:</t>
  </si>
  <si>
    <t>GLOBE VALVE DATASHEET</t>
  </si>
  <si>
    <t>B2N</t>
  </si>
  <si>
    <t>D2N</t>
  </si>
  <si>
    <t>E2N</t>
  </si>
  <si>
    <t>F2N</t>
  </si>
  <si>
    <t>G2N</t>
  </si>
  <si>
    <t>DSS - UNS S32205,  Forged - ASTM A182 F60 (1.5” and below), Cast - A995 4A UNS J92205 (2” &amp; Above)</t>
  </si>
  <si>
    <t>Design Pressure</t>
  </si>
  <si>
    <t>Hand wheel, Non-rising (Gear for 10” and above, Fully enclosed, dust proof ), with Position Indicator</t>
  </si>
  <si>
    <t>Hand wheel, non-rising (Gear for 3” and above, Fully enclosed, dust proof ), with Position Indicator</t>
  </si>
  <si>
    <t>Hand wheel, non-rising (Gear for 6” and above, Fully enclosed, dust proof ), with Position Indicator</t>
  </si>
  <si>
    <t>Hand wheel, non-rising (Gear for 8” and above, Fully enclosed, dust proof ), with Position Indicator</t>
  </si>
  <si>
    <t>Hydrotest Shell Test Pressure</t>
  </si>
  <si>
    <t>Hydrotest Closure Test Pressure</t>
  </si>
  <si>
    <t>Pneumatic LP Test Pressure</t>
  </si>
  <si>
    <t>As per API 598</t>
  </si>
  <si>
    <t>Leakage Rate</t>
  </si>
  <si>
    <t>Inspection – Testing</t>
  </si>
  <si>
    <t>Forged - ASTM A182 F53, Stellite Hard faced</t>
  </si>
  <si>
    <t>Forged - ASTM A182 F60, Stellite Hard faced</t>
  </si>
  <si>
    <t>Forged - ASTM A182 F316, Stellite Hard Faced</t>
  </si>
  <si>
    <t>Forged - ASTM A350 LF2</t>
  </si>
  <si>
    <t>Forged - ASTM A182 F53, Stellite Hard Faced</t>
  </si>
  <si>
    <t>Forged - ASTM A182 F60, Stellite Hard Faced</t>
  </si>
  <si>
    <t>Forged - ASTM A182 F6A CL 2</t>
  </si>
  <si>
    <t>Flexible graphite Braided (Non asbestos, corrosion inhibitor), Renewable</t>
  </si>
  <si>
    <t>Flexible graphite with Braided (Non asbestos, yarn reinforced with Inconel, corrosion inhibitor), Renewable</t>
  </si>
  <si>
    <r>
      <rPr>
        <strike/>
        <sz val="9"/>
        <rFont val="Arial"/>
        <family val="2"/>
      </rPr>
      <t xml:space="preserve">Lever / </t>
    </r>
    <r>
      <rPr>
        <sz val="9"/>
        <rFont val="Arial"/>
        <family val="2"/>
      </rPr>
      <t>Handwheel</t>
    </r>
  </si>
  <si>
    <t>Back Seat</t>
  </si>
  <si>
    <t xml:space="preserve">Integral </t>
  </si>
  <si>
    <r>
      <t xml:space="preserve">Back Seat </t>
    </r>
    <r>
      <rPr>
        <sz val="9"/>
        <color theme="0"/>
        <rFont val="Arial"/>
        <family val="2"/>
      </rPr>
      <t>Mat.</t>
    </r>
  </si>
  <si>
    <t>Integral for Forged Valve, Renewable for cast Valve</t>
  </si>
  <si>
    <t>Conical, Renewable/ Integral Seat, Stellite hard faced</t>
  </si>
  <si>
    <t>Conical, Renewable Seat Ring, Hard Faced</t>
  </si>
  <si>
    <t>Monel K500, hard faced</t>
  </si>
  <si>
    <t xml:space="preserve">API 602/ BS EN ISO 15761/ BS 1873 </t>
  </si>
  <si>
    <t>API 607 / API 6FA / BS EN ISO 10497</t>
  </si>
  <si>
    <t>Forged ASTM A182 F316L, Stellite Hard Faced</t>
  </si>
  <si>
    <t>4. Disc, Stem and Gland material shall be forged, Castings are not acceptable.</t>
  </si>
  <si>
    <t>5. All stud bolts and nuts shall be XYLAR 2 + XYLAN 1070 coated with minimum combined thickness of 50μm.</t>
  </si>
  <si>
    <t>Body Integral, Stellite Hard Faced</t>
  </si>
  <si>
    <t>G1</t>
  </si>
  <si>
    <t>Glycol, FG, HC service</t>
  </si>
  <si>
    <t>Corrosive HC service</t>
  </si>
  <si>
    <t>Flare, Corrosive HC service (Low Temp)</t>
  </si>
  <si>
    <t>Corrosive HC service (Low Temp)</t>
  </si>
  <si>
    <t>Gas Lift, Corrosive HC service (Low Temp)</t>
  </si>
  <si>
    <t>A2LN</t>
  </si>
  <si>
    <t>B2LN</t>
  </si>
  <si>
    <t>D2LN</t>
  </si>
  <si>
    <t>E2LN</t>
  </si>
  <si>
    <t>F2LN</t>
  </si>
  <si>
    <t>G2LN</t>
  </si>
  <si>
    <t>A10N</t>
  </si>
  <si>
    <t>Glycol, Corrosive HC service</t>
  </si>
  <si>
    <t>B10N</t>
  </si>
  <si>
    <t>D10N</t>
  </si>
  <si>
    <t>E10N</t>
  </si>
  <si>
    <t>F10N</t>
  </si>
  <si>
    <t>G10N</t>
  </si>
  <si>
    <t>A20N</t>
  </si>
  <si>
    <t>B20N</t>
  </si>
  <si>
    <t>D20N</t>
  </si>
  <si>
    <t>E20N</t>
  </si>
  <si>
    <t>F20N</t>
  </si>
  <si>
    <t>G20N</t>
  </si>
  <si>
    <t>E25N</t>
  </si>
  <si>
    <t>F25N</t>
  </si>
  <si>
    <t>G25N</t>
  </si>
  <si>
    <t>ASTM A 194 Gr. 2HM, XYLAR 2 + XYLAN 1070 coated with minimum combined thickness of 50μm</t>
  </si>
  <si>
    <t>ASME B 16.20, 4.5mm, SS316/SS316L Spiral Wound with Flexible Graphite (F.G.) filler</t>
  </si>
  <si>
    <t>ASME B 16.20, OCT ring of Soft Iron with Max. Hardness of 90 BHN, HDG</t>
  </si>
  <si>
    <t>ASTM A 194 Gr. 7ML, XYLAR 2 + XYLAN 1070 coated with minimum combined thickness of 50μm</t>
  </si>
  <si>
    <t>ASME B 16.20, 4.5 mm, SS316/SS316L Spiral Wound with Flexible Graphite (F.G.) filler</t>
  </si>
  <si>
    <t>ASME B 16.20, OCT Ring of Soft Iron with Max. Hardness 90 BHN</t>
  </si>
  <si>
    <t>ASME B 16.20, OCT ring of SS316L with Max. Hardness of 160 BHN</t>
  </si>
  <si>
    <t>ASME B 16.20, 4.5mm, DSS UNS S31803 Spiral Wound with Flexible Graphite (F.G.) filler</t>
  </si>
  <si>
    <t>ASME B 16.20, OCT ring of UNS S 31803 with Max. Hardness of 22 HRC</t>
  </si>
  <si>
    <t>ASME B 16.20, 4.5mm, DSS UNS S32750 Spiral Wound with Flexible Graphite (F.G.) filler</t>
  </si>
  <si>
    <t>ASME B 16.20, OCT ring of UNS S 332750 with Max. Hardness of 22 HRC</t>
  </si>
  <si>
    <t>ASTM A 193 Gr. B7M, XYLAR 2 + XYLAN 1070 coated with minimum combined thickness of 50μm</t>
  </si>
  <si>
    <t>EPDM Rubber Full Face Gasket with SS insert Shore A Hardness 70 ± 5, #150 (e.g. Kroll &amp; Ziller G-ST/PS )</t>
  </si>
  <si>
    <t>ASTM A 320 Gr. L7M, XYLAR 2 + XYLAN 1070 coated with minimum combined thickness of 50μm</t>
  </si>
  <si>
    <t>5.5 barg</t>
  </si>
  <si>
    <t>GLSA1R</t>
  </si>
  <si>
    <t>GLSB1R</t>
  </si>
  <si>
    <t>GLSD1R</t>
  </si>
  <si>
    <t>GLSE1J</t>
  </si>
  <si>
    <t>GLSF1J</t>
  </si>
  <si>
    <t>GLSA2NR</t>
  </si>
  <si>
    <t>GLSB2NR</t>
  </si>
  <si>
    <t>GLSD2NR</t>
  </si>
  <si>
    <t>GLSE2NJ</t>
  </si>
  <si>
    <t>GLSF2NJ</t>
  </si>
  <si>
    <t>GLSG2NJ</t>
  </si>
  <si>
    <t>GLSA1LNR</t>
  </si>
  <si>
    <t>GLSB1LNR</t>
  </si>
  <si>
    <t>GLSD1LNR</t>
  </si>
  <si>
    <t>GLSE1LNJ</t>
  </si>
  <si>
    <t>GLSF1LNJ</t>
  </si>
  <si>
    <t>GLSG1LNJ</t>
  </si>
  <si>
    <t>GLSA1NR</t>
  </si>
  <si>
    <t>GLSB1NR</t>
  </si>
  <si>
    <t>GLSD1NR</t>
  </si>
  <si>
    <t>GLSE1NJ</t>
  </si>
  <si>
    <t>GLSF1NJ</t>
  </si>
  <si>
    <t>GLSG1NJ</t>
  </si>
  <si>
    <t>GLSA2LNR</t>
  </si>
  <si>
    <t>GLSB2LNR</t>
  </si>
  <si>
    <t>GLSD2LNR</t>
  </si>
  <si>
    <t>GLSE2LNJ</t>
  </si>
  <si>
    <t>GLSF2LNJ</t>
  </si>
  <si>
    <t>GLSG2LNJ</t>
  </si>
  <si>
    <t>GLSA10NR</t>
  </si>
  <si>
    <t>GLSB10NR</t>
  </si>
  <si>
    <t>GLSD10NR</t>
  </si>
  <si>
    <t>GLSE10NJ</t>
  </si>
  <si>
    <t>GLSF10NJ</t>
  </si>
  <si>
    <t>GLSG10NJ</t>
  </si>
  <si>
    <t>GLSA10R</t>
  </si>
  <si>
    <t>GLSB10R</t>
  </si>
  <si>
    <t>GLSD10R</t>
  </si>
  <si>
    <t>GLSE10J</t>
  </si>
  <si>
    <t>GLSA20NR</t>
  </si>
  <si>
    <t>GLSB20NR</t>
  </si>
  <si>
    <t>GLSD20NR</t>
  </si>
  <si>
    <t>GLSE20NJ</t>
  </si>
  <si>
    <t>GLSF20NJ</t>
  </si>
  <si>
    <t>GLSG20NJ</t>
  </si>
  <si>
    <t>GLSA25NR</t>
  </si>
  <si>
    <t>GLSB25NR</t>
  </si>
  <si>
    <t>GLSD25NR</t>
  </si>
  <si>
    <t>ASTM A105N (1.5” and below), ASTM A105N/ASTM A216 WCB (2” &amp; Above)</t>
  </si>
  <si>
    <t>Forged ASTM A182 F316, Stellite Hard faced</t>
  </si>
  <si>
    <t>A3, A10</t>
  </si>
  <si>
    <t>Flanged ASME B16.5 RF</t>
  </si>
  <si>
    <t>GLSG1J</t>
  </si>
  <si>
    <t>GLSF10J</t>
  </si>
  <si>
    <t>GLSG10J</t>
  </si>
  <si>
    <t>GLSE25NR</t>
  </si>
  <si>
    <t>GLSF25NR</t>
  </si>
  <si>
    <t>GLSG25NR</t>
  </si>
  <si>
    <t>646.35 barg</t>
  </si>
  <si>
    <t>473.99 barg</t>
  </si>
  <si>
    <t>387.9 barg</t>
  </si>
  <si>
    <t>284.46 barg</t>
  </si>
  <si>
    <t>232.65 barg</t>
  </si>
  <si>
    <t>170.61 barg</t>
  </si>
  <si>
    <t>155.1 barg</t>
  </si>
  <si>
    <t>113.74 barg</t>
  </si>
  <si>
    <t>77.55 barg</t>
  </si>
  <si>
    <t>56.87 barg</t>
  </si>
  <si>
    <t>30 barg</t>
  </si>
  <si>
    <t>22 barg</t>
  </si>
  <si>
    <t>517.05 barg</t>
  </si>
  <si>
    <t>379.17 barg</t>
  </si>
  <si>
    <t>310.2 barg</t>
  </si>
  <si>
    <t>227.48 barg</t>
  </si>
  <si>
    <t>186.15 barg</t>
  </si>
  <si>
    <t>136.51 barg</t>
  </si>
  <si>
    <t>124.05 barg</t>
  </si>
  <si>
    <t>90.97 barg</t>
  </si>
  <si>
    <t>62.1 barg</t>
  </si>
  <si>
    <t>45.54 barg</t>
  </si>
  <si>
    <t>23.85 barg</t>
  </si>
  <si>
    <t>17.49 barg</t>
  </si>
  <si>
    <t>638.25 barg</t>
  </si>
  <si>
    <t>468.05 barg</t>
  </si>
  <si>
    <t>382.95 barg</t>
  </si>
  <si>
    <t>280.83 barg</t>
  </si>
  <si>
    <t>229.8 barg</t>
  </si>
  <si>
    <t>168.52 barg</t>
  </si>
  <si>
    <t>153.15 barg</t>
  </si>
  <si>
    <t>112.31 barg</t>
  </si>
  <si>
    <t>76.65 barg</t>
  </si>
  <si>
    <t>56.21 barg</t>
  </si>
  <si>
    <t>29.4 barg</t>
  </si>
  <si>
    <t>21.56 barg</t>
  </si>
  <si>
    <t>ASTM A 453 Gr. 660</t>
  </si>
  <si>
    <t>G25</t>
  </si>
  <si>
    <t>GLSG25R</t>
  </si>
  <si>
    <t>GLSA25R</t>
  </si>
  <si>
    <t>A25</t>
  </si>
  <si>
    <t>Topside Seawater and Water Injection</t>
  </si>
  <si>
    <t>GLSA30F</t>
  </si>
  <si>
    <t>Flanged ASME B16.5 RTJ / Compact Flange / Hub Connector (As per PMS)</t>
  </si>
  <si>
    <t>A30, A40, A41, A42</t>
  </si>
  <si>
    <t>ASTM B61 UNS C92200</t>
  </si>
  <si>
    <t>Forged - ASTM B124 UNS NO C 37700</t>
  </si>
  <si>
    <t>ASTM B124 UNS NO C 37700</t>
  </si>
  <si>
    <t>Forged - ASTM B124 UNS NO C 37700, hard faced</t>
  </si>
  <si>
    <t>A31</t>
  </si>
  <si>
    <t>GLSA31F</t>
  </si>
  <si>
    <t>Bolted bonnet, Brazed End (1 1/2" and below) Integral Flanged End ( for 2" and above)</t>
  </si>
  <si>
    <t>Brazed with 100mm Nipples on both sides (for 1 1/2" and below) / Flanged ASME B16.5 FF (for 2" and above)</t>
  </si>
  <si>
    <t>1/2" - 4"</t>
  </si>
  <si>
    <t>23.5 barg</t>
  </si>
  <si>
    <t>17.3 barg</t>
  </si>
  <si>
    <t>Sheet Index</t>
  </si>
  <si>
    <t>S. No</t>
  </si>
  <si>
    <t>VDS</t>
  </si>
  <si>
    <t>Trim Material</t>
  </si>
  <si>
    <t>Seat Material</t>
  </si>
  <si>
    <t>Page No</t>
  </si>
  <si>
    <t>GLOBE VALVE</t>
  </si>
  <si>
    <t>SL No.</t>
  </si>
  <si>
    <t>SPEC</t>
  </si>
  <si>
    <t>RATING</t>
  </si>
  <si>
    <t>ASME MATERIAL GROUP</t>
  </si>
  <si>
    <t>PIPE MATERIAL</t>
  </si>
  <si>
    <t>CORROSION ALLOWANCE</t>
  </si>
  <si>
    <t>SERVICE</t>
  </si>
  <si>
    <t>MaxPressure @ Min Temp (barg)</t>
  </si>
  <si>
    <t>MaxPressure @ Max Temp (barg)</t>
  </si>
  <si>
    <t>Sheet No.</t>
  </si>
  <si>
    <t>150#</t>
  </si>
  <si>
    <t>CS</t>
  </si>
  <si>
    <r>
      <t>Cooling Water, Diesel, Steam, WI, HC with low CO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and 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S, Fresh Water, Hydraulic, Nitrogen, Exhaust, Fuel Oil, Tank Air Vent</t>
    </r>
  </si>
  <si>
    <t>19.6 @ -29°C</t>
  </si>
  <si>
    <t>13.8 @ 200°C</t>
  </si>
  <si>
    <t>300#</t>
  </si>
  <si>
    <r>
      <t>Cooling Water, Diesel, WI, HC with low CO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and 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S, Steam, Hydraulic</t>
    </r>
  </si>
  <si>
    <t>51.1 @ -29°C</t>
  </si>
  <si>
    <t>43.8 @ 200°C</t>
  </si>
  <si>
    <t>600#</t>
  </si>
  <si>
    <t>102.1 @ -29°C</t>
  </si>
  <si>
    <t>87.6 @ 200°C</t>
  </si>
  <si>
    <t>900#</t>
  </si>
  <si>
    <r>
      <t>Diesel, WI, HC with low CO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and 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S, Steam, Hydraulic</t>
    </r>
  </si>
  <si>
    <t>153.2 @ -29°C</t>
  </si>
  <si>
    <t>131.4 @ 200°C</t>
  </si>
  <si>
    <t>1500#</t>
  </si>
  <si>
    <t>255.3 @ -29°C</t>
  </si>
  <si>
    <t>219 @ 200°C</t>
  </si>
  <si>
    <t>2500#</t>
  </si>
  <si>
    <t>HC with low CO2 and H2S, Steam, Hydraulic</t>
  </si>
  <si>
    <t>399.8 @ -29°C</t>
  </si>
  <si>
    <t>342.9 @ 200°C</t>
  </si>
  <si>
    <t>CS NACE</t>
  </si>
  <si>
    <t>13.8 @ 250°C</t>
  </si>
  <si>
    <t>43.8 @ 250°C</t>
  </si>
  <si>
    <t>87.6 @ 250°C</t>
  </si>
  <si>
    <t>131.4 @ 250°C</t>
  </si>
  <si>
    <t>A2</t>
  </si>
  <si>
    <t>Crude Oil</t>
  </si>
  <si>
    <t>LTCS NACE</t>
  </si>
  <si>
    <t>19.6 @ -45°C</t>
  </si>
  <si>
    <t>51.1 @ -45°C</t>
  </si>
  <si>
    <t>102.1 @ -45°C</t>
  </si>
  <si>
    <t>153.2 @ -45°C</t>
  </si>
  <si>
    <t>255.3 @ -45°C</t>
  </si>
  <si>
    <t>A3</t>
  </si>
  <si>
    <t>CS GALV (Valve: SS)</t>
  </si>
  <si>
    <t>Utility Water</t>
  </si>
  <si>
    <t>19 @ -29°C</t>
  </si>
  <si>
    <t xml:space="preserve"> 16.2 @ 100°C</t>
  </si>
  <si>
    <t>A4</t>
  </si>
  <si>
    <t>1.5 mm</t>
  </si>
  <si>
    <t>Bilge, drain, sewage, produced water, C02 Gas</t>
  </si>
  <si>
    <t>B4</t>
  </si>
  <si>
    <t>D4</t>
  </si>
  <si>
    <t>A5</t>
  </si>
  <si>
    <t>CS GALV</t>
  </si>
  <si>
    <t>Chemical (penetration), Firewater (penetration), Seawater (penetration), Ballast, Inert Gas, COW/Tank Cleaning, Slop, Stripping, Seawater</t>
  </si>
  <si>
    <t>A6</t>
  </si>
  <si>
    <t>CS - Epoxy Lined</t>
  </si>
  <si>
    <t>Ballast, Inert Gas, COW/Tank Cleaning, Slop, Seawater, Firewater</t>
  </si>
  <si>
    <t>A3, A4, A5, A6, A10</t>
  </si>
  <si>
    <t>SS316L</t>
  </si>
  <si>
    <t>Air, Nitrogen, Lube oil, Chemical, Foam, hydraulic, IA, Diesel Fuel, UW, Bilge, Drain, Sewage, PW, CO2 Gas, Ballast, IG, COW/Tank Cleaning, Slop, Fire Water</t>
  </si>
  <si>
    <t>15.9 @ -100°C</t>
  </si>
  <si>
    <t>11.2 @ 200°C</t>
  </si>
  <si>
    <t>Air, Nitrogen, Lube oil, Chemical, Foam, Hydraulic, Instrument Air, Diesel Fuel</t>
  </si>
  <si>
    <t>41.4 @ -100°C</t>
  </si>
  <si>
    <t>29.2 @ 200°C</t>
  </si>
  <si>
    <t>Air, Nitrogen, Lube oil, Chemical, Hydraulic</t>
  </si>
  <si>
    <t>82.7 @ -100°C</t>
  </si>
  <si>
    <t>58.3 @ 200°C</t>
  </si>
  <si>
    <t>124.1 @ -100°C</t>
  </si>
  <si>
    <t>87.5 @ 200°C</t>
  </si>
  <si>
    <t>206.8 @ -100°C</t>
  </si>
  <si>
    <t>145.8 @ 200°C</t>
  </si>
  <si>
    <t>344.7 @ -100°C</t>
  </si>
  <si>
    <t>243 @ 200°C</t>
  </si>
  <si>
    <t>SS316L NACE</t>
  </si>
  <si>
    <t>DSS NACE</t>
  </si>
  <si>
    <t>20 @ -46°C</t>
  </si>
  <si>
    <t>51.7 @ -46°C</t>
  </si>
  <si>
    <t>42.7 @ 200°C</t>
  </si>
  <si>
    <t>103.4 @ -46°C</t>
  </si>
  <si>
    <t>85.3 @ 200°C</t>
  </si>
  <si>
    <t>155.1 @ -46°C</t>
  </si>
  <si>
    <t>128 @ 200°C</t>
  </si>
  <si>
    <t>258.6 @ -46°C</t>
  </si>
  <si>
    <t>213.3 @ 200°C</t>
  </si>
  <si>
    <t>430.9 @ -46°C</t>
  </si>
  <si>
    <t>355.4 @ 200°C</t>
  </si>
  <si>
    <t>SDSS</t>
  </si>
  <si>
    <t>Firewater, Raw Seawater and Topsides Seawater</t>
  </si>
  <si>
    <t>SDSS NACE</t>
  </si>
  <si>
    <t>EEMUA 20 bar</t>
  </si>
  <si>
    <t>CuNi (Valve: NAB)</t>
  </si>
  <si>
    <t>Raw Sea Water, Fire Water, Hypochlorite, Sewage</t>
  </si>
  <si>
    <t>20 @ 0°C</t>
  </si>
  <si>
    <t>17.3 @ 100°C</t>
  </si>
  <si>
    <t>Copper</t>
  </si>
  <si>
    <t>Potable Water</t>
  </si>
  <si>
    <t>A40</t>
  </si>
  <si>
    <t>GRE (Valve: NAB)</t>
  </si>
  <si>
    <t>Raw Sea Water</t>
  </si>
  <si>
    <t>20 @ 90°C</t>
  </si>
  <si>
    <t>A41</t>
  </si>
  <si>
    <t>Hypochlorite</t>
  </si>
  <si>
    <t>16.32 @ 0°C</t>
  </si>
  <si>
    <t>16.32 @ 82°C</t>
  </si>
  <si>
    <t>A42</t>
  </si>
  <si>
    <t>CPVC (Valve: NAB)</t>
  </si>
  <si>
    <t>Sewage, Hypochlorite</t>
  </si>
  <si>
    <t>Rev</t>
  </si>
  <si>
    <t>50502-SPE-80000-PP-SP-0002</t>
  </si>
  <si>
    <t>General Specification for Paint and Protective Coating doc : 50502-SPE-80000-ME-SP-XXXX</t>
  </si>
  <si>
    <t>2. Data sheet shall be read in conjunction with Piping Material Specification, Doc No. 50502-SPE-80000-PP-SP-0001.</t>
  </si>
  <si>
    <t>C0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</si>
</sst>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sz val="9"/>
      <color theme="0"/>
      <name val="Arial"/>
      <family val="2"/>
    </font>
    <font>
      <strike/>
      <sz val="9"/>
      <name val="Arial"/>
      <family val="2"/>
    </font>
    <font>
      <sz val="10"/>
      <name val="Arial"/>
      <family val="2"/>
    </font>
    <font>
      <b/>
      <sz val="14"/>
      <color indexed="8"/>
      <name val="Arial"/>
      <family val="2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u/>
      <sz val="11"/>
      <name val="Calibri"/>
      <family val="2"/>
      <scheme val="minor"/>
    </font>
    <font>
      <b/>
      <sz val="16"/>
      <name val="Calibri"/>
      <family val="2"/>
      <scheme val="minor"/>
    </font>
    <font>
      <vertAlign val="subscript"/>
      <sz val="1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8" fillId="0" borderId="0"/>
    <xf numFmtId="0" fontId="10" fillId="0" borderId="0" applyNumberFormat="0" applyFill="0" applyBorder="0" applyAlignment="0" applyProtection="0"/>
  </cellStyleXfs>
  <cellXfs count="81">
    <xf numFmtId="0" fontId="0" fillId="0" borderId="0" xfId="0"/>
    <xf numFmtId="0" fontId="4" fillId="0" borderId="0" xfId="0" applyFont="1"/>
    <xf numFmtId="0" fontId="2" fillId="0" borderId="1" xfId="0" applyFont="1" applyBorder="1" applyAlignment="1" applyProtection="1">
      <alignment horizontal="center" vertical="center" wrapText="1"/>
      <protection locked="0"/>
    </xf>
    <xf numFmtId="0" fontId="3" fillId="0" borderId="1" xfId="0" applyFont="1" applyBorder="1" applyAlignment="1" applyProtection="1">
      <alignment horizontal="left" vertical="center" wrapText="1" indent="1"/>
      <protection locked="0"/>
    </xf>
    <xf numFmtId="0" fontId="3" fillId="0" borderId="1" xfId="0" applyFont="1" applyBorder="1" applyAlignment="1" applyProtection="1">
      <alignment horizontal="left" vertical="center" wrapText="1"/>
      <protection locked="0"/>
    </xf>
    <xf numFmtId="0" fontId="3" fillId="0" borderId="1" xfId="0" applyFont="1" applyBorder="1" applyAlignment="1" applyProtection="1">
      <alignment horizontal="left" vertical="top" wrapText="1" indent="1"/>
      <protection locked="0"/>
    </xf>
    <xf numFmtId="0" fontId="5" fillId="0" borderId="1" xfId="0" applyFont="1" applyBorder="1" applyAlignment="1" applyProtection="1">
      <alignment horizontal="left" vertical="top" wrapText="1"/>
      <protection locked="0"/>
    </xf>
    <xf numFmtId="0" fontId="5" fillId="0" borderId="1" xfId="0" applyFont="1" applyBorder="1" applyAlignment="1" applyProtection="1">
      <alignment horizontal="left" vertical="center" wrapText="1"/>
      <protection locked="0"/>
    </xf>
    <xf numFmtId="0" fontId="4" fillId="0" borderId="2" xfId="0" applyFont="1" applyBorder="1"/>
    <xf numFmtId="0" fontId="4" fillId="0" borderId="14" xfId="0" applyFont="1" applyBorder="1"/>
    <xf numFmtId="0" fontId="4" fillId="0" borderId="3" xfId="0" applyFont="1" applyBorder="1"/>
    <xf numFmtId="0" fontId="4" fillId="0" borderId="11" xfId="0" applyFont="1" applyBorder="1"/>
    <xf numFmtId="0" fontId="4" fillId="0" borderId="12" xfId="0" applyFont="1" applyBorder="1"/>
    <xf numFmtId="0" fontId="3" fillId="0" borderId="6" xfId="0" applyFont="1" applyBorder="1" applyAlignment="1" applyProtection="1">
      <alignment horizontal="left" vertical="top" wrapText="1" indent="1"/>
      <protection locked="0"/>
    </xf>
    <xf numFmtId="0" fontId="1" fillId="0" borderId="1" xfId="0" applyFont="1" applyBorder="1" applyAlignment="1">
      <alignment horizontal="left" vertical="center" wrapText="1"/>
    </xf>
    <xf numFmtId="0" fontId="4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1" xfId="0" quotePrefix="1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11" fillId="0" borderId="15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 wrapText="1"/>
    </xf>
    <xf numFmtId="0" fontId="12" fillId="0" borderId="18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2" fillId="0" borderId="19" xfId="0" applyFont="1" applyBorder="1" applyAlignment="1">
      <alignment horizontal="center" vertical="center"/>
    </xf>
    <xf numFmtId="0" fontId="14" fillId="0" borderId="18" xfId="2" applyFont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4" fillId="0" borderId="24" xfId="2" applyFont="1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2" fillId="0" borderId="24" xfId="0" applyFont="1" applyBorder="1" applyAlignment="1">
      <alignment horizontal="center" vertical="center" wrapText="1"/>
    </xf>
    <xf numFmtId="0" fontId="12" fillId="0" borderId="25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 wrapText="1"/>
    </xf>
    <xf numFmtId="0" fontId="11" fillId="0" borderId="28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3" fillId="0" borderId="30" xfId="0" applyFont="1" applyBorder="1" applyAlignment="1">
      <alignment horizontal="center" vertical="center"/>
    </xf>
    <xf numFmtId="0" fontId="12" fillId="0" borderId="30" xfId="0" applyFont="1" applyBorder="1" applyAlignment="1">
      <alignment horizontal="center" vertical="center"/>
    </xf>
    <xf numFmtId="0" fontId="12" fillId="0" borderId="30" xfId="0" applyFont="1" applyBorder="1" applyAlignment="1">
      <alignment horizontal="center" vertical="center" wrapText="1"/>
    </xf>
    <xf numFmtId="0" fontId="12" fillId="0" borderId="31" xfId="0" applyFont="1" applyBorder="1" applyAlignment="1">
      <alignment horizontal="center" vertical="center"/>
    </xf>
    <xf numFmtId="0" fontId="15" fillId="0" borderId="15" xfId="0" applyFont="1" applyBorder="1" applyAlignment="1">
      <alignment vertical="center"/>
    </xf>
    <xf numFmtId="0" fontId="15" fillId="0" borderId="16" xfId="0" applyFont="1" applyBorder="1" applyAlignment="1">
      <alignment vertical="center"/>
    </xf>
    <xf numFmtId="0" fontId="15" fillId="0" borderId="17" xfId="0" applyFont="1" applyBorder="1" applyAlignment="1">
      <alignment vertical="center"/>
    </xf>
    <xf numFmtId="0" fontId="11" fillId="0" borderId="32" xfId="0" applyFont="1" applyBorder="1" applyAlignment="1">
      <alignment horizontal="center" vertical="center" wrapText="1"/>
    </xf>
    <xf numFmtId="0" fontId="11" fillId="0" borderId="33" xfId="0" applyFont="1" applyBorder="1" applyAlignment="1">
      <alignment horizontal="center" vertical="center" wrapText="1"/>
    </xf>
    <xf numFmtId="0" fontId="11" fillId="0" borderId="34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12" fillId="0" borderId="1" xfId="0" quotePrefix="1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3" fillId="0" borderId="8" xfId="0" applyFont="1" applyBorder="1" applyAlignment="1" applyProtection="1">
      <alignment horizontal="left" vertical="center" wrapText="1"/>
      <protection locked="0"/>
    </xf>
    <xf numFmtId="0" fontId="3" fillId="0" borderId="9" xfId="0" applyFont="1" applyBorder="1" applyAlignment="1" applyProtection="1">
      <alignment horizontal="left" vertical="center" wrapText="1"/>
      <protection locked="0"/>
    </xf>
    <xf numFmtId="0" fontId="4" fillId="0" borderId="4" xfId="0" applyFont="1" applyBorder="1" applyAlignment="1">
      <alignment horizontal="left"/>
    </xf>
    <xf numFmtId="0" fontId="4" fillId="0" borderId="10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3" fillId="0" borderId="1" xfId="0" applyFont="1" applyBorder="1" applyAlignment="1" applyProtection="1">
      <alignment horizontal="left" vertical="center" wrapText="1"/>
      <protection locked="0"/>
    </xf>
    <xf numFmtId="0" fontId="4" fillId="0" borderId="11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12" xfId="0" applyFont="1" applyBorder="1" applyAlignment="1">
      <alignment horizontal="left" vertical="top" wrapText="1"/>
    </xf>
    <xf numFmtId="0" fontId="3" fillId="0" borderId="2" xfId="0" applyFont="1" applyBorder="1" applyAlignment="1" applyProtection="1">
      <alignment horizontal="left" vertical="top" wrapText="1"/>
      <protection locked="0"/>
    </xf>
    <xf numFmtId="0" fontId="3" fillId="0" borderId="3" xfId="0" applyFont="1" applyBorder="1" applyAlignment="1" applyProtection="1">
      <alignment horizontal="left" vertical="top" wrapText="1"/>
      <protection locked="0"/>
    </xf>
    <xf numFmtId="0" fontId="3" fillId="0" borderId="2" xfId="0" applyFont="1" applyBorder="1" applyAlignment="1" applyProtection="1">
      <alignment horizontal="left" vertical="center" wrapText="1"/>
      <protection locked="0"/>
    </xf>
    <xf numFmtId="0" fontId="3" fillId="0" borderId="3" xfId="0" applyFont="1" applyBorder="1" applyAlignment="1" applyProtection="1">
      <alignment horizontal="left" vertical="center" wrapText="1"/>
      <protection locked="0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2" fillId="0" borderId="1" xfId="0" applyFont="1" applyBorder="1" applyAlignment="1" applyProtection="1">
      <alignment horizontal="center" vertical="center" wrapText="1"/>
      <protection locked="0"/>
    </xf>
  </cellXfs>
  <cellStyles count="3">
    <cellStyle name="Hyperlink" xfId="2" builtinId="8"/>
    <cellStyle name="Normal" xfId="0" builtinId="0"/>
    <cellStyle name="Normal 2 2" xfId="1" xr:uid="{5AF5B683-F745-4AA8-B0F4-A1AB6FF701B5}"/>
  </cellStyles>
  <dxfs count="6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C0D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sheetMetadata" Target="metadata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22/10/relationships/richValueRel" Target="richData/richValueRel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17/06/relationships/rdRichValueTypes" Target="richData/rdRichValueTyp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3B983-A513-4C43-9C0E-23C0CFD17697}">
  <sheetPr codeName="Sheet4">
    <pageSetUpPr fitToPage="1"/>
  </sheetPr>
  <dimension ref="A1:W73"/>
  <sheetViews>
    <sheetView tabSelected="1" view="pageBreakPreview" zoomScaleNormal="100" zoomScaleSheetLayoutView="100" workbookViewId="0">
      <selection activeCell="E3" sqref="E3"/>
    </sheetView>
  </sheetViews>
  <sheetFormatPr defaultColWidth="8.85546875" defaultRowHeight="15" x14ac:dyDescent="0.25"/>
  <cols>
    <col min="1" max="1" width="8.42578125" style="25" bestFit="1" customWidth="1"/>
    <col min="2" max="2" width="19.5703125" style="25" bestFit="1" customWidth="1"/>
    <col min="3" max="3" width="15" style="25" bestFit="1" customWidth="1"/>
    <col min="4" max="4" width="38" style="25" bestFit="1" customWidth="1"/>
    <col min="5" max="5" width="52.5703125" style="26" customWidth="1"/>
    <col min="6" max="6" width="31" style="25" bestFit="1" customWidth="1"/>
    <col min="7" max="7" width="51.28515625" style="25" bestFit="1" customWidth="1"/>
    <col min="8" max="8" width="19.85546875" style="25" bestFit="1" customWidth="1"/>
    <col min="9" max="9" width="12.28515625" style="25" bestFit="1" customWidth="1"/>
    <col min="10" max="12" width="8.85546875" style="25"/>
    <col min="13" max="13" width="9" style="25" bestFit="1" customWidth="1"/>
    <col min="14" max="14" width="20" style="25" bestFit="1" customWidth="1"/>
    <col min="15" max="15" width="12.7109375" style="25" bestFit="1" customWidth="1"/>
    <col min="16" max="16" width="22.28515625" style="25" bestFit="1" customWidth="1"/>
    <col min="17" max="17" width="17.85546875" style="25" bestFit="1" customWidth="1"/>
    <col min="18" max="18" width="23.28515625" style="25" bestFit="1" customWidth="1"/>
    <col min="19" max="19" width="160.42578125" style="26" customWidth="1"/>
    <col min="20" max="20" width="29" style="25" bestFit="1" customWidth="1"/>
    <col min="21" max="21" width="29.28515625" style="25" bestFit="1" customWidth="1"/>
    <col min="22" max="22" width="9.42578125" style="25" customWidth="1"/>
    <col min="23" max="23" width="30.42578125" bestFit="1" customWidth="1"/>
    <col min="24" max="16384" width="8.85546875" style="25"/>
  </cols>
  <sheetData>
    <row r="1" spans="1:23" ht="21.75" thickBot="1" x14ac:dyDescent="0.3">
      <c r="A1" s="19" t="s">
        <v>311</v>
      </c>
      <c r="B1" s="20" t="s">
        <v>312</v>
      </c>
      <c r="C1" s="20" t="s">
        <v>27</v>
      </c>
      <c r="D1" s="20" t="s">
        <v>28</v>
      </c>
      <c r="E1" s="23" t="s">
        <v>35</v>
      </c>
      <c r="F1" s="20" t="s">
        <v>313</v>
      </c>
      <c r="G1" s="20" t="s">
        <v>314</v>
      </c>
      <c r="H1" s="20" t="s">
        <v>26</v>
      </c>
      <c r="I1" s="21" t="s">
        <v>315</v>
      </c>
      <c r="J1" s="25" t="s">
        <v>430</v>
      </c>
      <c r="M1" s="49"/>
      <c r="N1" s="50"/>
      <c r="O1" s="50"/>
      <c r="P1" s="50"/>
      <c r="Q1" s="50"/>
      <c r="R1" s="50"/>
      <c r="S1" s="50"/>
      <c r="T1" s="50"/>
      <c r="U1" s="50"/>
      <c r="V1" s="51"/>
    </row>
    <row r="2" spans="1:23" ht="19.899999999999999" customHeight="1" thickBot="1" x14ac:dyDescent="0.3">
      <c r="A2" s="40"/>
      <c r="B2" s="41" t="s">
        <v>316</v>
      </c>
      <c r="C2" s="41"/>
      <c r="D2" s="41"/>
      <c r="E2" s="42"/>
      <c r="F2" s="41"/>
      <c r="G2" s="41"/>
      <c r="H2" s="41"/>
      <c r="I2" s="43"/>
      <c r="M2" s="52" t="s">
        <v>317</v>
      </c>
      <c r="N2" s="53" t="s">
        <v>318</v>
      </c>
      <c r="O2" s="53" t="s">
        <v>319</v>
      </c>
      <c r="P2" s="53" t="s">
        <v>320</v>
      </c>
      <c r="Q2" s="53" t="s">
        <v>321</v>
      </c>
      <c r="R2" s="53" t="s">
        <v>322</v>
      </c>
      <c r="S2" s="53" t="s">
        <v>323</v>
      </c>
      <c r="T2" s="53" t="s">
        <v>324</v>
      </c>
      <c r="U2" s="53" t="s">
        <v>325</v>
      </c>
      <c r="V2" s="54" t="s">
        <v>326</v>
      </c>
    </row>
    <row r="3" spans="1:23" ht="18.75" thickBot="1" x14ac:dyDescent="0.3">
      <c r="A3" s="44"/>
      <c r="B3" s="45" t="s">
        <v>310</v>
      </c>
      <c r="C3" s="46"/>
      <c r="D3" s="46"/>
      <c r="E3" s="47"/>
      <c r="F3" s="46"/>
      <c r="G3" s="46"/>
      <c r="H3" s="46"/>
      <c r="I3" s="48"/>
      <c r="M3" s="30">
        <v>1</v>
      </c>
      <c r="N3" s="22" t="s">
        <v>0</v>
      </c>
      <c r="O3" s="22" t="s">
        <v>327</v>
      </c>
      <c r="P3" s="22">
        <v>1.1000000000000001</v>
      </c>
      <c r="Q3" s="22" t="s">
        <v>328</v>
      </c>
      <c r="R3" s="22" t="s">
        <v>80</v>
      </c>
      <c r="S3" s="24" t="s">
        <v>329</v>
      </c>
      <c r="T3" s="22" t="s">
        <v>330</v>
      </c>
      <c r="U3" s="22" t="s">
        <v>331</v>
      </c>
      <c r="V3" s="32">
        <v>23</v>
      </c>
      <c r="W3" t="str">
        <f>T3&amp;"' "&amp;U3</f>
        <v>19.6 @ -29°C' 13.8 @ 200°C</v>
      </c>
    </row>
    <row r="4" spans="1:23" ht="18" x14ac:dyDescent="0.25">
      <c r="A4" s="30">
        <v>1</v>
      </c>
      <c r="B4" s="31" t="s">
        <v>196</v>
      </c>
      <c r="C4" s="22" t="str">
        <f ca="1">VLOOKUP($C$1,INDIRECT(""&amp;B4&amp;"!$A$5:$C$15"),3,FALSE)</f>
        <v>1/2" - 24"</v>
      </c>
      <c r="D4" s="22" t="str">
        <f ca="1">VLOOKUP($D$1,INDIRECT(""&amp;B4&amp;"!$A$5:$C$15"),3,FALSE)</f>
        <v>Globe valve, Outside Screw and Yoke</v>
      </c>
      <c r="E4" s="24" t="str">
        <f ca="1">VLOOKUP($E$1,INDIRECT(""&amp;B4&amp;"!$A$5:$C$15"),3,FALSE)</f>
        <v>Flanged ASME B16.5 RF</v>
      </c>
      <c r="F4" s="22" t="str">
        <f ca="1">VLOOKUP($F$1,INDIRECT(""&amp;B4&amp;"!$B$5:$C$35"),2,FALSE)</f>
        <v>Forged - ASTM A182 F316</v>
      </c>
      <c r="G4" s="22" t="str">
        <f ca="1">VLOOKUP($G$1,INDIRECT(""&amp;B4&amp;"!$B$5:$C$35"),2,FALSE)</f>
        <v>Forged - ASTM A182 F316, Stellite Hard Faced</v>
      </c>
      <c r="H4" s="22" t="str">
        <f ca="1">VLOOKUP($H$1,INDIRECT(""&amp;B4&amp;"!$A$5:$C$15"),3,FALSE)</f>
        <v>A1</v>
      </c>
      <c r="I4" s="32">
        <v>381</v>
      </c>
      <c r="J4" s="25" t="s">
        <v>434</v>
      </c>
      <c r="M4" s="33">
        <v>2</v>
      </c>
      <c r="N4" s="27" t="s">
        <v>5</v>
      </c>
      <c r="O4" s="27" t="s">
        <v>332</v>
      </c>
      <c r="P4" s="27">
        <v>1.1000000000000001</v>
      </c>
      <c r="Q4" s="27" t="s">
        <v>328</v>
      </c>
      <c r="R4" s="27" t="s">
        <v>80</v>
      </c>
      <c r="S4" s="29" t="s">
        <v>333</v>
      </c>
      <c r="T4" s="27" t="s">
        <v>334</v>
      </c>
      <c r="U4" s="27" t="s">
        <v>335</v>
      </c>
      <c r="V4" s="34">
        <v>24</v>
      </c>
      <c r="W4" t="str">
        <f t="shared" ref="W4:W67" si="0">T4&amp;"' "&amp;U4</f>
        <v>51.1 @ -29°C' 43.8 @ 200°C</v>
      </c>
    </row>
    <row r="5" spans="1:23" ht="18" x14ac:dyDescent="0.25">
      <c r="A5" s="33">
        <v>2</v>
      </c>
      <c r="B5" s="28" t="s">
        <v>197</v>
      </c>
      <c r="C5" s="27" t="str">
        <f t="shared" ref="C5:C61" ca="1" si="1">VLOOKUP($C$1,INDIRECT(""&amp;B5&amp;"!$A$5:$C$15"),3,FALSE)</f>
        <v>1/2" - 24"</v>
      </c>
      <c r="D5" s="27" t="str">
        <f t="shared" ref="D5:D61" ca="1" si="2">VLOOKUP($D$1,INDIRECT(""&amp;B5&amp;"!$A$5:$C$15"),3,FALSE)</f>
        <v>Globe valve, Outside Screw and Yoke</v>
      </c>
      <c r="E5" s="29" t="str">
        <f t="shared" ref="E5:E61" ca="1" si="3">VLOOKUP($E$1,INDIRECT(""&amp;B5&amp;"!$A$5:$C$15"),3,FALSE)</f>
        <v>Flanged ASME B16.5 RF</v>
      </c>
      <c r="F5" s="27" t="str">
        <f t="shared" ref="F5:F61" ca="1" si="4">VLOOKUP($F$1,INDIRECT(""&amp;B5&amp;"!$B$5:$C$35"),2,FALSE)</f>
        <v>Forged - ASTM A182 F316</v>
      </c>
      <c r="G5" s="27" t="str">
        <f t="shared" ref="G5:G61" ca="1" si="5">VLOOKUP($G$1,INDIRECT(""&amp;B5&amp;"!$B$5:$C$35"),2,FALSE)</f>
        <v>Forged - ASTM A182 F316, Stellite Hard Faced</v>
      </c>
      <c r="H5" s="27" t="str">
        <f t="shared" ref="H5:H61" ca="1" si="6">VLOOKUP($H$1,INDIRECT(""&amp;B5&amp;"!$A$5:$C$15"),3,FALSE)</f>
        <v>B1</v>
      </c>
      <c r="I5" s="34">
        <v>382</v>
      </c>
      <c r="J5" s="25" t="s">
        <v>434</v>
      </c>
      <c r="M5" s="33">
        <v>3</v>
      </c>
      <c r="N5" s="27" t="s">
        <v>23</v>
      </c>
      <c r="O5" s="27" t="s">
        <v>336</v>
      </c>
      <c r="P5" s="27">
        <v>1.1000000000000001</v>
      </c>
      <c r="Q5" s="27" t="s">
        <v>328</v>
      </c>
      <c r="R5" s="27" t="s">
        <v>80</v>
      </c>
      <c r="S5" s="29" t="s">
        <v>333</v>
      </c>
      <c r="T5" s="27" t="s">
        <v>337</v>
      </c>
      <c r="U5" s="27" t="s">
        <v>338</v>
      </c>
      <c r="V5" s="34">
        <v>25</v>
      </c>
      <c r="W5" t="str">
        <f t="shared" si="0"/>
        <v>102.1 @ -29°C' 87.6 @ 200°C</v>
      </c>
    </row>
    <row r="6" spans="1:23" ht="18" x14ac:dyDescent="0.25">
      <c r="A6" s="33">
        <v>3</v>
      </c>
      <c r="B6" s="28" t="s">
        <v>198</v>
      </c>
      <c r="C6" s="27" t="str">
        <f t="shared" ca="1" si="1"/>
        <v>1/2" - 24"</v>
      </c>
      <c r="D6" s="27" t="str">
        <f t="shared" ca="1" si="2"/>
        <v>Globe valve, Outside Screw and Yoke</v>
      </c>
      <c r="E6" s="29" t="str">
        <f t="shared" ca="1" si="3"/>
        <v>Flanged ASME B16.5 RF</v>
      </c>
      <c r="F6" s="27" t="str">
        <f t="shared" ca="1" si="4"/>
        <v>Forged - ASTM A182 F316</v>
      </c>
      <c r="G6" s="27" t="str">
        <f t="shared" ca="1" si="5"/>
        <v>Forged - ASTM A182 F316, Stellite Hard Faced</v>
      </c>
      <c r="H6" s="27" t="str">
        <f t="shared" ca="1" si="6"/>
        <v>D1</v>
      </c>
      <c r="I6" s="34">
        <v>383</v>
      </c>
      <c r="J6" s="25" t="s">
        <v>434</v>
      </c>
      <c r="M6" s="33">
        <v>4</v>
      </c>
      <c r="N6" s="27" t="s">
        <v>15</v>
      </c>
      <c r="O6" s="27" t="s">
        <v>339</v>
      </c>
      <c r="P6" s="27">
        <v>1.1000000000000001</v>
      </c>
      <c r="Q6" s="27" t="s">
        <v>328</v>
      </c>
      <c r="R6" s="27" t="s">
        <v>80</v>
      </c>
      <c r="S6" s="29" t="s">
        <v>340</v>
      </c>
      <c r="T6" s="27" t="s">
        <v>341</v>
      </c>
      <c r="U6" s="27" t="s">
        <v>342</v>
      </c>
      <c r="V6" s="34">
        <v>26</v>
      </c>
      <c r="W6" t="str">
        <f t="shared" si="0"/>
        <v>153.2 @ -29°C' 131.4 @ 200°C</v>
      </c>
    </row>
    <row r="7" spans="1:23" ht="18" x14ac:dyDescent="0.25">
      <c r="A7" s="33">
        <v>4</v>
      </c>
      <c r="B7" s="28" t="s">
        <v>199</v>
      </c>
      <c r="C7" s="27" t="str">
        <f t="shared" ca="1" si="1"/>
        <v>1/2" - 24"</v>
      </c>
      <c r="D7" s="27" t="str">
        <f t="shared" ca="1" si="2"/>
        <v>Globe valve, Outside Screw and Yoke</v>
      </c>
      <c r="E7" s="29" t="str">
        <f t="shared" ca="1" si="3"/>
        <v>Flanged ASME B16.5 RTJ</v>
      </c>
      <c r="F7" s="27" t="str">
        <f t="shared" ca="1" si="4"/>
        <v>Forged - ASTM A182 F316</v>
      </c>
      <c r="G7" s="27" t="str">
        <f t="shared" ca="1" si="5"/>
        <v>Forged - ASTM A182 F316, Stellite Hard Faced</v>
      </c>
      <c r="H7" s="27" t="str">
        <f t="shared" ca="1" si="6"/>
        <v>E1</v>
      </c>
      <c r="I7" s="34">
        <v>384</v>
      </c>
      <c r="J7" s="25" t="s">
        <v>434</v>
      </c>
      <c r="M7" s="33">
        <v>5</v>
      </c>
      <c r="N7" s="27" t="s">
        <v>22</v>
      </c>
      <c r="O7" s="27" t="s">
        <v>343</v>
      </c>
      <c r="P7" s="27">
        <v>1.1000000000000001</v>
      </c>
      <c r="Q7" s="27" t="s">
        <v>328</v>
      </c>
      <c r="R7" s="27" t="s">
        <v>80</v>
      </c>
      <c r="S7" s="29" t="s">
        <v>340</v>
      </c>
      <c r="T7" s="27" t="s">
        <v>344</v>
      </c>
      <c r="U7" s="27" t="s">
        <v>345</v>
      </c>
      <c r="V7" s="34">
        <v>27</v>
      </c>
      <c r="W7" t="str">
        <f t="shared" si="0"/>
        <v>255.3 @ -29°C' 219 @ 200°C</v>
      </c>
    </row>
    <row r="8" spans="1:23" ht="30" x14ac:dyDescent="0.25">
      <c r="A8" s="33">
        <v>5</v>
      </c>
      <c r="B8" s="28" t="s">
        <v>200</v>
      </c>
      <c r="C8" s="27" t="str">
        <f t="shared" ca="1" si="1"/>
        <v>1/2" - 24"</v>
      </c>
      <c r="D8" s="27" t="str">
        <f t="shared" ca="1" si="2"/>
        <v>Globe valve, Outside Screw and Yoke</v>
      </c>
      <c r="E8" s="29" t="str">
        <f t="shared" ca="1" si="3"/>
        <v>Flanged ASME B16.5 RTJ / Compact Flange / Hub Connector (As per PMS)</v>
      </c>
      <c r="F8" s="27" t="str">
        <f t="shared" ca="1" si="4"/>
        <v>Forged - ASTM A182 F316</v>
      </c>
      <c r="G8" s="27" t="str">
        <f t="shared" ca="1" si="5"/>
        <v>Forged - ASTM A182 F316, Stellite Hard Faced</v>
      </c>
      <c r="H8" s="27" t="str">
        <f t="shared" ca="1" si="6"/>
        <v>F1</v>
      </c>
      <c r="I8" s="34">
        <v>385</v>
      </c>
      <c r="J8" s="25" t="s">
        <v>434</v>
      </c>
      <c r="M8" s="33">
        <v>6</v>
      </c>
      <c r="N8" s="27" t="s">
        <v>153</v>
      </c>
      <c r="O8" s="27" t="s">
        <v>346</v>
      </c>
      <c r="P8" s="27">
        <v>1.1000000000000001</v>
      </c>
      <c r="Q8" s="27" t="s">
        <v>328</v>
      </c>
      <c r="R8" s="27" t="s">
        <v>80</v>
      </c>
      <c r="S8" s="29" t="s">
        <v>347</v>
      </c>
      <c r="T8" s="27" t="s">
        <v>348</v>
      </c>
      <c r="U8" s="27" t="s">
        <v>349</v>
      </c>
      <c r="V8" s="34">
        <v>28</v>
      </c>
      <c r="W8" t="str">
        <f t="shared" si="0"/>
        <v>399.8 @ -29°C' 342.9 @ 200°C</v>
      </c>
    </row>
    <row r="9" spans="1:23" ht="30" x14ac:dyDescent="0.25">
      <c r="A9" s="33">
        <v>6</v>
      </c>
      <c r="B9" s="28" t="s">
        <v>248</v>
      </c>
      <c r="C9" s="27" t="str">
        <f t="shared" ca="1" si="1"/>
        <v>1/2" - 24"</v>
      </c>
      <c r="D9" s="27" t="str">
        <f t="shared" ca="1" si="2"/>
        <v>Globe valve, Outside Screw and Yoke</v>
      </c>
      <c r="E9" s="29" t="str">
        <f t="shared" ca="1" si="3"/>
        <v>Flanged ASME B16.5 RTJ / Compact Flange / Hub Connector (As per PMS)</v>
      </c>
      <c r="F9" s="27" t="str">
        <f t="shared" ca="1" si="4"/>
        <v>Forged - ASTM A182 F316</v>
      </c>
      <c r="G9" s="27" t="str">
        <f t="shared" ca="1" si="5"/>
        <v>Forged - ASTM A182 F316, Stellite Hard Faced</v>
      </c>
      <c r="H9" s="27" t="str">
        <f t="shared" ca="1" si="6"/>
        <v>G1</v>
      </c>
      <c r="I9" s="34">
        <v>386</v>
      </c>
      <c r="J9" s="25" t="s">
        <v>434</v>
      </c>
      <c r="M9" s="33">
        <v>7</v>
      </c>
      <c r="N9" s="27" t="s">
        <v>3</v>
      </c>
      <c r="O9" s="27" t="s">
        <v>327</v>
      </c>
      <c r="P9" s="27">
        <v>1.1000000000000001</v>
      </c>
      <c r="Q9" s="27" t="s">
        <v>350</v>
      </c>
      <c r="R9" s="27" t="s">
        <v>80</v>
      </c>
      <c r="S9" s="29" t="s">
        <v>154</v>
      </c>
      <c r="T9" s="27" t="s">
        <v>330</v>
      </c>
      <c r="U9" s="27" t="s">
        <v>351</v>
      </c>
      <c r="V9" s="34">
        <v>29</v>
      </c>
      <c r="W9" t="str">
        <f t="shared" si="0"/>
        <v>19.6 @ -29°C' 13.8 @ 250°C</v>
      </c>
    </row>
    <row r="10" spans="1:23" x14ac:dyDescent="0.25">
      <c r="A10" s="33">
        <v>7</v>
      </c>
      <c r="B10" s="28" t="s">
        <v>201</v>
      </c>
      <c r="C10" s="27" t="str">
        <f t="shared" ca="1" si="1"/>
        <v>1/2" - 24"</v>
      </c>
      <c r="D10" s="27" t="str">
        <f t="shared" ca="1" si="2"/>
        <v>Globe valve, Outside Screw and Yoke</v>
      </c>
      <c r="E10" s="29" t="str">
        <f t="shared" ca="1" si="3"/>
        <v>Flanged ASME B16.5 RF</v>
      </c>
      <c r="F10" s="27" t="str">
        <f t="shared" ca="1" si="4"/>
        <v>Forged - ASTM A182 F316L</v>
      </c>
      <c r="G10" s="27" t="str">
        <f t="shared" ca="1" si="5"/>
        <v>Forged - ASTM A182 F316L, Stellite Hard Faced</v>
      </c>
      <c r="H10" s="27" t="str">
        <f t="shared" ca="1" si="6"/>
        <v>A2N</v>
      </c>
      <c r="I10" s="34">
        <v>387</v>
      </c>
      <c r="J10" s="25" t="s">
        <v>434</v>
      </c>
      <c r="M10" s="33">
        <v>8</v>
      </c>
      <c r="N10" s="27" t="s">
        <v>8</v>
      </c>
      <c r="O10" s="27" t="s">
        <v>332</v>
      </c>
      <c r="P10" s="27">
        <v>1.1000000000000001</v>
      </c>
      <c r="Q10" s="27" t="s">
        <v>350</v>
      </c>
      <c r="R10" s="27" t="s">
        <v>80</v>
      </c>
      <c r="S10" s="29" t="s">
        <v>154</v>
      </c>
      <c r="T10" s="27" t="s">
        <v>334</v>
      </c>
      <c r="U10" s="27" t="s">
        <v>352</v>
      </c>
      <c r="V10" s="34">
        <v>30</v>
      </c>
      <c r="W10" t="str">
        <f t="shared" si="0"/>
        <v>51.1 @ -29°C' 43.8 @ 250°C</v>
      </c>
    </row>
    <row r="11" spans="1:23" x14ac:dyDescent="0.25">
      <c r="A11" s="33">
        <v>8</v>
      </c>
      <c r="B11" s="28" t="s">
        <v>202</v>
      </c>
      <c r="C11" s="27" t="str">
        <f t="shared" ca="1" si="1"/>
        <v>1/2" - 24"</v>
      </c>
      <c r="D11" s="27" t="str">
        <f t="shared" ca="1" si="2"/>
        <v>Globe valve, Outside Screw and Yoke</v>
      </c>
      <c r="E11" s="29" t="str">
        <f t="shared" ca="1" si="3"/>
        <v>Flanged ASME B16.5 RF</v>
      </c>
      <c r="F11" s="27" t="str">
        <f t="shared" ca="1" si="4"/>
        <v>Forged - ASTM A182 F316L</v>
      </c>
      <c r="G11" s="27" t="str">
        <f t="shared" ca="1" si="5"/>
        <v>Forged - ASTM A182 F316L, Stellite Hard Faced</v>
      </c>
      <c r="H11" s="27" t="str">
        <f t="shared" ca="1" si="6"/>
        <v>B2N</v>
      </c>
      <c r="I11" s="34">
        <v>388</v>
      </c>
      <c r="J11" s="25" t="s">
        <v>434</v>
      </c>
      <c r="M11" s="33">
        <v>9</v>
      </c>
      <c r="N11" s="27" t="s">
        <v>9</v>
      </c>
      <c r="O11" s="27" t="s">
        <v>336</v>
      </c>
      <c r="P11" s="27">
        <v>1.1000000000000001</v>
      </c>
      <c r="Q11" s="27" t="s">
        <v>350</v>
      </c>
      <c r="R11" s="27" t="s">
        <v>80</v>
      </c>
      <c r="S11" s="29" t="s">
        <v>154</v>
      </c>
      <c r="T11" s="27" t="s">
        <v>337</v>
      </c>
      <c r="U11" s="27" t="s">
        <v>353</v>
      </c>
      <c r="V11" s="34">
        <v>31</v>
      </c>
      <c r="W11" t="str">
        <f t="shared" si="0"/>
        <v>102.1 @ -29°C' 87.6 @ 250°C</v>
      </c>
    </row>
    <row r="12" spans="1:23" x14ac:dyDescent="0.25">
      <c r="A12" s="33">
        <v>9</v>
      </c>
      <c r="B12" s="28" t="s">
        <v>203</v>
      </c>
      <c r="C12" s="27" t="str">
        <f t="shared" ca="1" si="1"/>
        <v>1/2" - 24"</v>
      </c>
      <c r="D12" s="27" t="str">
        <f t="shared" ca="1" si="2"/>
        <v>Globe valve, Outside Screw and Yoke</v>
      </c>
      <c r="E12" s="29" t="str">
        <f t="shared" ca="1" si="3"/>
        <v>Flanged ASME B16.5 RF</v>
      </c>
      <c r="F12" s="27" t="str">
        <f t="shared" ca="1" si="4"/>
        <v>Forged - ASTM A182 F316L</v>
      </c>
      <c r="G12" s="27" t="str">
        <f t="shared" ca="1" si="5"/>
        <v>Forged - ASTM A182 F316L, Stellite Hard Faced</v>
      </c>
      <c r="H12" s="27" t="str">
        <f t="shared" ca="1" si="6"/>
        <v>D2N</v>
      </c>
      <c r="I12" s="34">
        <v>389</v>
      </c>
      <c r="J12" s="25" t="s">
        <v>434</v>
      </c>
      <c r="M12" s="33">
        <v>10</v>
      </c>
      <c r="N12" s="27" t="s">
        <v>10</v>
      </c>
      <c r="O12" s="27" t="s">
        <v>339</v>
      </c>
      <c r="P12" s="27">
        <v>1.1000000000000001</v>
      </c>
      <c r="Q12" s="27" t="s">
        <v>350</v>
      </c>
      <c r="R12" s="27" t="s">
        <v>80</v>
      </c>
      <c r="S12" s="29" t="s">
        <v>154</v>
      </c>
      <c r="T12" s="27" t="s">
        <v>341</v>
      </c>
      <c r="U12" s="27" t="s">
        <v>354</v>
      </c>
      <c r="V12" s="34">
        <v>32</v>
      </c>
      <c r="W12" t="str">
        <f t="shared" si="0"/>
        <v>153.2 @ -29°C' 131.4 @ 250°C</v>
      </c>
    </row>
    <row r="13" spans="1:23" x14ac:dyDescent="0.25">
      <c r="A13" s="33">
        <v>10</v>
      </c>
      <c r="B13" s="28" t="s">
        <v>204</v>
      </c>
      <c r="C13" s="27" t="str">
        <f t="shared" ca="1" si="1"/>
        <v>1/2" - 24"</v>
      </c>
      <c r="D13" s="27" t="str">
        <f t="shared" ca="1" si="2"/>
        <v>Globe valve, Outside Screw and Yoke</v>
      </c>
      <c r="E13" s="29" t="str">
        <f t="shared" ca="1" si="3"/>
        <v>Flanged ASME B16.5 RTJ</v>
      </c>
      <c r="F13" s="27" t="str">
        <f t="shared" ca="1" si="4"/>
        <v>Forged - ASTM A182 F316L</v>
      </c>
      <c r="G13" s="27" t="str">
        <f t="shared" ca="1" si="5"/>
        <v>Forged - ASTM A182 F316L, Stellite Hard Faced</v>
      </c>
      <c r="H13" s="27" t="str">
        <f t="shared" ca="1" si="6"/>
        <v>E2N</v>
      </c>
      <c r="I13" s="34">
        <v>390</v>
      </c>
      <c r="J13" s="25" t="s">
        <v>434</v>
      </c>
      <c r="M13" s="33">
        <v>11</v>
      </c>
      <c r="N13" s="27" t="s">
        <v>11</v>
      </c>
      <c r="O13" s="27" t="s">
        <v>343</v>
      </c>
      <c r="P13" s="27">
        <v>1.1000000000000001</v>
      </c>
      <c r="Q13" s="27" t="s">
        <v>350</v>
      </c>
      <c r="R13" s="27" t="s">
        <v>80</v>
      </c>
      <c r="S13" s="29" t="s">
        <v>154</v>
      </c>
      <c r="T13" s="27" t="s">
        <v>344</v>
      </c>
      <c r="U13" s="27" t="s">
        <v>345</v>
      </c>
      <c r="V13" s="34">
        <v>33</v>
      </c>
      <c r="W13" t="str">
        <f t="shared" si="0"/>
        <v>255.3 @ -29°C' 219 @ 200°C</v>
      </c>
    </row>
    <row r="14" spans="1:23" ht="30" x14ac:dyDescent="0.25">
      <c r="A14" s="33">
        <v>11</v>
      </c>
      <c r="B14" s="28" t="s">
        <v>205</v>
      </c>
      <c r="C14" s="27" t="str">
        <f t="shared" ca="1" si="1"/>
        <v>1/2" - 24"</v>
      </c>
      <c r="D14" s="27" t="str">
        <f t="shared" ca="1" si="2"/>
        <v>Globe valve, Outside Screw and Yoke</v>
      </c>
      <c r="E14" s="29" t="str">
        <f t="shared" ca="1" si="3"/>
        <v>Flanged ASME B16.5 RTJ / Compact Flange / Hub Connector (As per PMS)</v>
      </c>
      <c r="F14" s="27" t="str">
        <f t="shared" ca="1" si="4"/>
        <v>Forged - ASTM A182 F316L</v>
      </c>
      <c r="G14" s="27" t="str">
        <f t="shared" ca="1" si="5"/>
        <v>Forged - ASTM A182 F316L, Stellite Hard Faced</v>
      </c>
      <c r="H14" s="27" t="str">
        <f t="shared" ca="1" si="6"/>
        <v>F2N</v>
      </c>
      <c r="I14" s="34">
        <v>391</v>
      </c>
      <c r="J14" s="25" t="s">
        <v>434</v>
      </c>
      <c r="M14" s="33">
        <v>12</v>
      </c>
      <c r="N14" s="27" t="s">
        <v>12</v>
      </c>
      <c r="O14" s="27" t="s">
        <v>346</v>
      </c>
      <c r="P14" s="27">
        <v>1.1000000000000001</v>
      </c>
      <c r="Q14" s="27" t="s">
        <v>350</v>
      </c>
      <c r="R14" s="27" t="s">
        <v>80</v>
      </c>
      <c r="S14" s="29" t="s">
        <v>154</v>
      </c>
      <c r="T14" s="27" t="s">
        <v>348</v>
      </c>
      <c r="U14" s="27" t="s">
        <v>349</v>
      </c>
      <c r="V14" s="34">
        <v>34</v>
      </c>
      <c r="W14" t="str">
        <f t="shared" si="0"/>
        <v>399.8 @ -29°C' 342.9 @ 200°C</v>
      </c>
    </row>
    <row r="15" spans="1:23" ht="30" x14ac:dyDescent="0.25">
      <c r="A15" s="33">
        <v>12</v>
      </c>
      <c r="B15" s="28" t="s">
        <v>206</v>
      </c>
      <c r="C15" s="27" t="str">
        <f t="shared" ca="1" si="1"/>
        <v>1/2" - 24"</v>
      </c>
      <c r="D15" s="27" t="str">
        <f t="shared" ca="1" si="2"/>
        <v>Globe valve, Outside Screw and Yoke</v>
      </c>
      <c r="E15" s="29" t="str">
        <f t="shared" ca="1" si="3"/>
        <v>Flanged ASME B16.5 RTJ / Compact Flange / Hub Connector (As per PMS)</v>
      </c>
      <c r="F15" s="27" t="str">
        <f t="shared" ca="1" si="4"/>
        <v>Forged - ASTM A182 F316L</v>
      </c>
      <c r="G15" s="27" t="str">
        <f t="shared" ca="1" si="5"/>
        <v>Forged - ASTM A182 F316L, Stellite Hard Faced</v>
      </c>
      <c r="H15" s="27" t="str">
        <f t="shared" ca="1" si="6"/>
        <v>G2N</v>
      </c>
      <c r="I15" s="34">
        <v>392</v>
      </c>
      <c r="J15" s="25" t="s">
        <v>434</v>
      </c>
      <c r="M15" s="33">
        <v>13</v>
      </c>
      <c r="N15" s="27" t="s">
        <v>355</v>
      </c>
      <c r="O15" s="27" t="s">
        <v>327</v>
      </c>
      <c r="P15" s="27">
        <v>1.1000000000000001</v>
      </c>
      <c r="Q15" s="27" t="s">
        <v>328</v>
      </c>
      <c r="R15" s="27" t="s">
        <v>81</v>
      </c>
      <c r="S15" s="29" t="s">
        <v>356</v>
      </c>
      <c r="T15" s="27" t="s">
        <v>330</v>
      </c>
      <c r="U15" s="27" t="s">
        <v>331</v>
      </c>
      <c r="V15" s="34">
        <v>35</v>
      </c>
      <c r="W15" t="str">
        <f t="shared" si="0"/>
        <v>19.6 @ -29°C' 13.8 @ 200°C</v>
      </c>
    </row>
    <row r="16" spans="1:23" x14ac:dyDescent="0.25">
      <c r="A16" s="33">
        <v>13</v>
      </c>
      <c r="B16" s="28" t="s">
        <v>207</v>
      </c>
      <c r="C16" s="27" t="str">
        <f t="shared" ca="1" si="1"/>
        <v>1/2" - 24"</v>
      </c>
      <c r="D16" s="27" t="str">
        <f t="shared" ca="1" si="2"/>
        <v>Globe valve, Outside Screw and Yoke</v>
      </c>
      <c r="E16" s="29" t="str">
        <f t="shared" ca="1" si="3"/>
        <v>Flanged ASME B16.5 RF</v>
      </c>
      <c r="F16" s="27" t="str">
        <f t="shared" ca="1" si="4"/>
        <v>Forged - ASTM A182 F316L</v>
      </c>
      <c r="G16" s="27" t="str">
        <f t="shared" ca="1" si="5"/>
        <v>Forged - ASTM A182 F316L, Stellite Hard Faced</v>
      </c>
      <c r="H16" s="27" t="str">
        <f t="shared" ca="1" si="6"/>
        <v>A1LN</v>
      </c>
      <c r="I16" s="34">
        <v>393</v>
      </c>
      <c r="J16" s="25" t="s">
        <v>434</v>
      </c>
      <c r="M16" s="33">
        <v>14</v>
      </c>
      <c r="N16" s="27" t="s">
        <v>78</v>
      </c>
      <c r="O16" s="27" t="s">
        <v>327</v>
      </c>
      <c r="P16" s="27">
        <v>1.1000000000000001</v>
      </c>
      <c r="Q16" s="27" t="s">
        <v>350</v>
      </c>
      <c r="R16" s="27" t="s">
        <v>81</v>
      </c>
      <c r="S16" s="29" t="s">
        <v>155</v>
      </c>
      <c r="T16" s="27" t="s">
        <v>330</v>
      </c>
      <c r="U16" s="27" t="s">
        <v>331</v>
      </c>
      <c r="V16" s="34">
        <v>36</v>
      </c>
      <c r="W16" t="str">
        <f t="shared" si="0"/>
        <v>19.6 @ -29°C' 13.8 @ 200°C</v>
      </c>
    </row>
    <row r="17" spans="1:23" x14ac:dyDescent="0.25">
      <c r="A17" s="33">
        <v>14</v>
      </c>
      <c r="B17" s="28" t="s">
        <v>208</v>
      </c>
      <c r="C17" s="27" t="str">
        <f t="shared" ca="1" si="1"/>
        <v>1/2" - 24"</v>
      </c>
      <c r="D17" s="27" t="str">
        <f t="shared" ca="1" si="2"/>
        <v>Globe valve, Outside Screw and Yoke</v>
      </c>
      <c r="E17" s="29" t="str">
        <f t="shared" ca="1" si="3"/>
        <v>Flanged ASME B16.5 RF</v>
      </c>
      <c r="F17" s="27" t="str">
        <f t="shared" ca="1" si="4"/>
        <v>Forged - ASTM A182 F316L</v>
      </c>
      <c r="G17" s="27" t="str">
        <f t="shared" ca="1" si="5"/>
        <v>Forged - ASTM A182 F316L, Stellite Hard Faced</v>
      </c>
      <c r="H17" s="27" t="str">
        <f t="shared" ca="1" si="6"/>
        <v>B1LN</v>
      </c>
      <c r="I17" s="34">
        <v>394</v>
      </c>
      <c r="J17" s="25" t="s">
        <v>434</v>
      </c>
      <c r="M17" s="33">
        <v>15</v>
      </c>
      <c r="N17" s="27" t="s">
        <v>113</v>
      </c>
      <c r="O17" s="27" t="s">
        <v>332</v>
      </c>
      <c r="P17" s="27">
        <v>1.1000000000000001</v>
      </c>
      <c r="Q17" s="27" t="s">
        <v>350</v>
      </c>
      <c r="R17" s="27" t="s">
        <v>81</v>
      </c>
      <c r="S17" s="29" t="s">
        <v>155</v>
      </c>
      <c r="T17" s="27" t="s">
        <v>334</v>
      </c>
      <c r="U17" s="27" t="s">
        <v>335</v>
      </c>
      <c r="V17" s="34">
        <v>37</v>
      </c>
      <c r="W17" t="str">
        <f t="shared" si="0"/>
        <v>51.1 @ -29°C' 43.8 @ 200°C</v>
      </c>
    </row>
    <row r="18" spans="1:23" x14ac:dyDescent="0.25">
      <c r="A18" s="33">
        <v>15</v>
      </c>
      <c r="B18" s="28" t="s">
        <v>209</v>
      </c>
      <c r="C18" s="27" t="str">
        <f t="shared" ca="1" si="1"/>
        <v>1/2" - 24"</v>
      </c>
      <c r="D18" s="27" t="str">
        <f t="shared" ca="1" si="2"/>
        <v>Globe valve, Outside Screw and Yoke</v>
      </c>
      <c r="E18" s="29" t="str">
        <f t="shared" ca="1" si="3"/>
        <v>Flanged ASME B16.5 RF</v>
      </c>
      <c r="F18" s="27" t="str">
        <f t="shared" ca="1" si="4"/>
        <v>Forged - ASTM A182 F316L</v>
      </c>
      <c r="G18" s="27" t="str">
        <f t="shared" ca="1" si="5"/>
        <v>Forged - ASTM A182 F316L, Stellite Hard Faced</v>
      </c>
      <c r="H18" s="27" t="str">
        <f t="shared" ca="1" si="6"/>
        <v>D1LN</v>
      </c>
      <c r="I18" s="34">
        <v>395</v>
      </c>
      <c r="J18" s="25" t="s">
        <v>434</v>
      </c>
      <c r="M18" s="33">
        <v>16</v>
      </c>
      <c r="N18" s="27" t="s">
        <v>114</v>
      </c>
      <c r="O18" s="27" t="s">
        <v>336</v>
      </c>
      <c r="P18" s="27">
        <v>1.1000000000000001</v>
      </c>
      <c r="Q18" s="27" t="s">
        <v>350</v>
      </c>
      <c r="R18" s="27" t="s">
        <v>81</v>
      </c>
      <c r="S18" s="29" t="s">
        <v>155</v>
      </c>
      <c r="T18" s="27" t="s">
        <v>337</v>
      </c>
      <c r="U18" s="27" t="s">
        <v>338</v>
      </c>
      <c r="V18" s="34">
        <v>38</v>
      </c>
      <c r="W18" t="str">
        <f t="shared" si="0"/>
        <v>102.1 @ -29°C' 87.6 @ 200°C</v>
      </c>
    </row>
    <row r="19" spans="1:23" x14ac:dyDescent="0.25">
      <c r="A19" s="33">
        <v>16</v>
      </c>
      <c r="B19" s="28" t="s">
        <v>210</v>
      </c>
      <c r="C19" s="27" t="str">
        <f t="shared" ca="1" si="1"/>
        <v>1/2" - 24"</v>
      </c>
      <c r="D19" s="27" t="str">
        <f t="shared" ca="1" si="2"/>
        <v>Globe valve, Outside Screw and Yoke</v>
      </c>
      <c r="E19" s="29" t="str">
        <f t="shared" ca="1" si="3"/>
        <v>Flanged ASME B16.5 RTJ</v>
      </c>
      <c r="F19" s="27" t="str">
        <f t="shared" ca="1" si="4"/>
        <v>Forged - ASTM A182 F316L</v>
      </c>
      <c r="G19" s="27" t="str">
        <f t="shared" ca="1" si="5"/>
        <v>Forged - ASTM A182 F316L, Stellite Hard Faced</v>
      </c>
      <c r="H19" s="27" t="str">
        <f t="shared" ca="1" si="6"/>
        <v>E1LN</v>
      </c>
      <c r="I19" s="34">
        <v>396</v>
      </c>
      <c r="J19" s="25" t="s">
        <v>434</v>
      </c>
      <c r="M19" s="33">
        <v>17</v>
      </c>
      <c r="N19" s="27" t="s">
        <v>115</v>
      </c>
      <c r="O19" s="27" t="s">
        <v>339</v>
      </c>
      <c r="P19" s="27">
        <v>1.1000000000000001</v>
      </c>
      <c r="Q19" s="27" t="s">
        <v>350</v>
      </c>
      <c r="R19" s="27" t="s">
        <v>81</v>
      </c>
      <c r="S19" s="29" t="s">
        <v>155</v>
      </c>
      <c r="T19" s="27" t="s">
        <v>341</v>
      </c>
      <c r="U19" s="27" t="s">
        <v>342</v>
      </c>
      <c r="V19" s="34">
        <v>39</v>
      </c>
      <c r="W19" t="str">
        <f t="shared" si="0"/>
        <v>153.2 @ -29°C' 131.4 @ 200°C</v>
      </c>
    </row>
    <row r="20" spans="1:23" ht="30" x14ac:dyDescent="0.25">
      <c r="A20" s="33">
        <v>17</v>
      </c>
      <c r="B20" s="28" t="s">
        <v>211</v>
      </c>
      <c r="C20" s="27" t="str">
        <f t="shared" ca="1" si="1"/>
        <v>1/2" - 24"</v>
      </c>
      <c r="D20" s="27" t="str">
        <f t="shared" ca="1" si="2"/>
        <v>Globe valve, Outside Screw and Yoke</v>
      </c>
      <c r="E20" s="29" t="str">
        <f t="shared" ca="1" si="3"/>
        <v>Flanged ASME B16.5 RTJ / Compact Flange / Hub Connector (As per PMS)</v>
      </c>
      <c r="F20" s="27" t="str">
        <f t="shared" ca="1" si="4"/>
        <v>Forged - ASTM A182 F316L</v>
      </c>
      <c r="G20" s="27" t="str">
        <f t="shared" ca="1" si="5"/>
        <v>Forged - ASTM A182 F316L, Stellite Hard Faced</v>
      </c>
      <c r="H20" s="27" t="str">
        <f t="shared" ca="1" si="6"/>
        <v>F1LN</v>
      </c>
      <c r="I20" s="34">
        <v>397</v>
      </c>
      <c r="J20" s="25" t="s">
        <v>434</v>
      </c>
      <c r="M20" s="33">
        <v>18</v>
      </c>
      <c r="N20" s="27" t="s">
        <v>116</v>
      </c>
      <c r="O20" s="27" t="s">
        <v>343</v>
      </c>
      <c r="P20" s="27">
        <v>1.1000000000000001</v>
      </c>
      <c r="Q20" s="27" t="s">
        <v>350</v>
      </c>
      <c r="R20" s="27" t="s">
        <v>81</v>
      </c>
      <c r="S20" s="29" t="s">
        <v>155</v>
      </c>
      <c r="T20" s="27" t="s">
        <v>344</v>
      </c>
      <c r="U20" s="27" t="s">
        <v>345</v>
      </c>
      <c r="V20" s="34">
        <v>40</v>
      </c>
      <c r="W20" t="str">
        <f t="shared" si="0"/>
        <v>255.3 @ -29°C' 219 @ 200°C</v>
      </c>
    </row>
    <row r="21" spans="1:23" ht="30" x14ac:dyDescent="0.25">
      <c r="A21" s="33">
        <v>18</v>
      </c>
      <c r="B21" s="28" t="s">
        <v>212</v>
      </c>
      <c r="C21" s="27" t="str">
        <f t="shared" ca="1" si="1"/>
        <v>1/2" - 24"</v>
      </c>
      <c r="D21" s="27" t="str">
        <f t="shared" ca="1" si="2"/>
        <v>Globe valve, Outside Screw and Yoke</v>
      </c>
      <c r="E21" s="29" t="str">
        <f t="shared" ca="1" si="3"/>
        <v>Flanged ASME B16.5 RTJ / Compact Flange / Hub Connector (As per PMS)</v>
      </c>
      <c r="F21" s="27" t="str">
        <f t="shared" ca="1" si="4"/>
        <v>Forged - ASTM A182 F316L</v>
      </c>
      <c r="G21" s="27" t="str">
        <f t="shared" ca="1" si="5"/>
        <v>Forged - ASTM A182 F316L, Stellite Hard Faced</v>
      </c>
      <c r="H21" s="27" t="str">
        <f t="shared" ca="1" si="6"/>
        <v>G1LN</v>
      </c>
      <c r="I21" s="34">
        <v>398</v>
      </c>
      <c r="J21" s="25" t="s">
        <v>434</v>
      </c>
      <c r="M21" s="33">
        <v>19</v>
      </c>
      <c r="N21" s="27" t="s">
        <v>117</v>
      </c>
      <c r="O21" s="27" t="s">
        <v>346</v>
      </c>
      <c r="P21" s="27">
        <v>1.1000000000000001</v>
      </c>
      <c r="Q21" s="27" t="s">
        <v>350</v>
      </c>
      <c r="R21" s="27" t="s">
        <v>81</v>
      </c>
      <c r="S21" s="29" t="s">
        <v>155</v>
      </c>
      <c r="T21" s="27" t="s">
        <v>348</v>
      </c>
      <c r="U21" s="27" t="s">
        <v>349</v>
      </c>
      <c r="V21" s="34">
        <v>41</v>
      </c>
      <c r="W21" t="str">
        <f t="shared" si="0"/>
        <v>399.8 @ -29°C' 342.9 @ 200°C</v>
      </c>
    </row>
    <row r="22" spans="1:23" x14ac:dyDescent="0.25">
      <c r="A22" s="33">
        <v>19</v>
      </c>
      <c r="B22" s="28" t="s">
        <v>213</v>
      </c>
      <c r="C22" s="27" t="str">
        <f t="shared" ca="1" si="1"/>
        <v>1/2" - 24"</v>
      </c>
      <c r="D22" s="27" t="str">
        <f t="shared" ca="1" si="2"/>
        <v>Globe valve, Outside Screw and Yoke</v>
      </c>
      <c r="E22" s="29" t="str">
        <f t="shared" ca="1" si="3"/>
        <v>Flanged ASME B16.5 RF</v>
      </c>
      <c r="F22" s="27" t="str">
        <f t="shared" ca="1" si="4"/>
        <v>Forged - ASTM A182 F316L</v>
      </c>
      <c r="G22" s="27" t="str">
        <f t="shared" ca="1" si="5"/>
        <v>Forged - ASTM A182 F316L, Stellite Hard Faced</v>
      </c>
      <c r="H22" s="27" t="str">
        <f t="shared" ca="1" si="6"/>
        <v>A1N</v>
      </c>
      <c r="I22" s="34">
        <v>399</v>
      </c>
      <c r="J22" s="25" t="s">
        <v>434</v>
      </c>
      <c r="M22" s="33">
        <v>20</v>
      </c>
      <c r="N22" s="27" t="s">
        <v>2</v>
      </c>
      <c r="O22" s="27" t="s">
        <v>327</v>
      </c>
      <c r="P22" s="27">
        <v>1.1000000000000001</v>
      </c>
      <c r="Q22" s="27" t="s">
        <v>357</v>
      </c>
      <c r="R22" s="27" t="s">
        <v>80</v>
      </c>
      <c r="S22" s="55" t="s">
        <v>156</v>
      </c>
      <c r="T22" s="27" t="s">
        <v>358</v>
      </c>
      <c r="U22" s="27" t="s">
        <v>331</v>
      </c>
      <c r="V22" s="34">
        <v>42</v>
      </c>
      <c r="W22" t="str">
        <f t="shared" si="0"/>
        <v>19.6 @ -45°C' 13.8 @ 200°C</v>
      </c>
    </row>
    <row r="23" spans="1:23" x14ac:dyDescent="0.25">
      <c r="A23" s="33">
        <v>20</v>
      </c>
      <c r="B23" s="28" t="s">
        <v>214</v>
      </c>
      <c r="C23" s="27" t="str">
        <f t="shared" ca="1" si="1"/>
        <v>1/2" - 24"</v>
      </c>
      <c r="D23" s="27" t="str">
        <f t="shared" ca="1" si="2"/>
        <v>Globe valve, Outside Screw and Yoke</v>
      </c>
      <c r="E23" s="29" t="str">
        <f t="shared" ca="1" si="3"/>
        <v>Flanged ASME B16.5 RF</v>
      </c>
      <c r="F23" s="27" t="str">
        <f t="shared" ca="1" si="4"/>
        <v>Forged - ASTM A182 F316L</v>
      </c>
      <c r="G23" s="27" t="str">
        <f t="shared" ca="1" si="5"/>
        <v>Forged - ASTM A182 F316L, Stellite Hard Faced</v>
      </c>
      <c r="H23" s="27" t="str">
        <f t="shared" ca="1" si="6"/>
        <v>B1N</v>
      </c>
      <c r="I23" s="34">
        <v>400</v>
      </c>
      <c r="J23" s="25" t="s">
        <v>434</v>
      </c>
      <c r="M23" s="33">
        <v>21</v>
      </c>
      <c r="N23" s="27" t="s">
        <v>7</v>
      </c>
      <c r="O23" s="27" t="s">
        <v>332</v>
      </c>
      <c r="P23" s="27">
        <v>1.1000000000000001</v>
      </c>
      <c r="Q23" s="27" t="s">
        <v>357</v>
      </c>
      <c r="R23" s="27" t="s">
        <v>80</v>
      </c>
      <c r="S23" s="55" t="s">
        <v>156</v>
      </c>
      <c r="T23" s="27" t="s">
        <v>359</v>
      </c>
      <c r="U23" s="27" t="s">
        <v>335</v>
      </c>
      <c r="V23" s="34">
        <v>43</v>
      </c>
      <c r="W23" t="str">
        <f t="shared" si="0"/>
        <v>51.1 @ -45°C' 43.8 @ 200°C</v>
      </c>
    </row>
    <row r="24" spans="1:23" x14ac:dyDescent="0.25">
      <c r="A24" s="33">
        <v>21</v>
      </c>
      <c r="B24" s="28" t="s">
        <v>215</v>
      </c>
      <c r="C24" s="27" t="str">
        <f t="shared" ca="1" si="1"/>
        <v>1/2" - 24"</v>
      </c>
      <c r="D24" s="27" t="str">
        <f t="shared" ca="1" si="2"/>
        <v>Globe valve, Outside Screw and Yoke</v>
      </c>
      <c r="E24" s="29" t="str">
        <f t="shared" ca="1" si="3"/>
        <v>Flanged ASME B16.5 RF</v>
      </c>
      <c r="F24" s="27" t="str">
        <f t="shared" ca="1" si="4"/>
        <v>Forged - ASTM A182 F316L</v>
      </c>
      <c r="G24" s="27" t="str">
        <f t="shared" ca="1" si="5"/>
        <v>Forged - ASTM A182 F316L, Stellite Hard Faced</v>
      </c>
      <c r="H24" s="27" t="str">
        <f t="shared" ca="1" si="6"/>
        <v>D1N</v>
      </c>
      <c r="I24" s="34">
        <v>401</v>
      </c>
      <c r="J24" s="25" t="s">
        <v>434</v>
      </c>
      <c r="M24" s="33">
        <v>22</v>
      </c>
      <c r="N24" s="27" t="s">
        <v>14</v>
      </c>
      <c r="O24" s="27" t="s">
        <v>336</v>
      </c>
      <c r="P24" s="27">
        <v>1.1000000000000001</v>
      </c>
      <c r="Q24" s="27" t="s">
        <v>357</v>
      </c>
      <c r="R24" s="27" t="s">
        <v>80</v>
      </c>
      <c r="S24" s="55" t="s">
        <v>157</v>
      </c>
      <c r="T24" s="27" t="s">
        <v>360</v>
      </c>
      <c r="U24" s="27" t="s">
        <v>338</v>
      </c>
      <c r="V24" s="34">
        <v>44</v>
      </c>
      <c r="W24" t="str">
        <f t="shared" si="0"/>
        <v>102.1 @ -45°C' 87.6 @ 200°C</v>
      </c>
    </row>
    <row r="25" spans="1:23" x14ac:dyDescent="0.25">
      <c r="A25" s="33">
        <v>22</v>
      </c>
      <c r="B25" s="28" t="s">
        <v>216</v>
      </c>
      <c r="C25" s="27" t="str">
        <f t="shared" ca="1" si="1"/>
        <v>1/2" - 24"</v>
      </c>
      <c r="D25" s="27" t="str">
        <f t="shared" ca="1" si="2"/>
        <v>Globe valve, Outside Screw and Yoke</v>
      </c>
      <c r="E25" s="29" t="str">
        <f t="shared" ca="1" si="3"/>
        <v>Flanged ASME B16.5 RTJ</v>
      </c>
      <c r="F25" s="27" t="str">
        <f t="shared" ca="1" si="4"/>
        <v>Forged - ASTM A182 F316L</v>
      </c>
      <c r="G25" s="27" t="str">
        <f t="shared" ca="1" si="5"/>
        <v>Forged - ASTM A182 F316L, Stellite Hard Faced</v>
      </c>
      <c r="H25" s="27" t="str">
        <f t="shared" ca="1" si="6"/>
        <v>E1N</v>
      </c>
      <c r="I25" s="34">
        <v>402</v>
      </c>
      <c r="J25" s="25" t="s">
        <v>434</v>
      </c>
      <c r="M25" s="33">
        <v>23</v>
      </c>
      <c r="N25" s="27" t="s">
        <v>17</v>
      </c>
      <c r="O25" s="27" t="s">
        <v>339</v>
      </c>
      <c r="P25" s="27">
        <v>1.1000000000000001</v>
      </c>
      <c r="Q25" s="27" t="s">
        <v>357</v>
      </c>
      <c r="R25" s="27" t="s">
        <v>80</v>
      </c>
      <c r="S25" s="55" t="s">
        <v>157</v>
      </c>
      <c r="T25" s="27" t="s">
        <v>361</v>
      </c>
      <c r="U25" s="27" t="s">
        <v>342</v>
      </c>
      <c r="V25" s="34">
        <v>45</v>
      </c>
      <c r="W25" t="str">
        <f t="shared" si="0"/>
        <v>153.2 @ -45°C' 131.4 @ 200°C</v>
      </c>
    </row>
    <row r="26" spans="1:23" ht="30" x14ac:dyDescent="0.25">
      <c r="A26" s="33">
        <v>23</v>
      </c>
      <c r="B26" s="28" t="s">
        <v>217</v>
      </c>
      <c r="C26" s="27" t="str">
        <f t="shared" ca="1" si="1"/>
        <v>1/2" - 24"</v>
      </c>
      <c r="D26" s="27" t="str">
        <f t="shared" ca="1" si="2"/>
        <v>Globe valve, Outside Screw and Yoke</v>
      </c>
      <c r="E26" s="29" t="str">
        <f t="shared" ca="1" si="3"/>
        <v>Flanged ASME B16.5 RTJ / Compact Flange / Hub Connector (As per PMS)</v>
      </c>
      <c r="F26" s="27" t="str">
        <f t="shared" ca="1" si="4"/>
        <v>Forged - ASTM A182 F316L</v>
      </c>
      <c r="G26" s="27" t="str">
        <f t="shared" ca="1" si="5"/>
        <v>Forged - ASTM A182 F316L, Stellite Hard Faced</v>
      </c>
      <c r="H26" s="27" t="str">
        <f t="shared" ca="1" si="6"/>
        <v>F1N</v>
      </c>
      <c r="I26" s="34">
        <v>403</v>
      </c>
      <c r="J26" s="25" t="s">
        <v>434</v>
      </c>
      <c r="M26" s="33">
        <v>24</v>
      </c>
      <c r="N26" s="27" t="s">
        <v>19</v>
      </c>
      <c r="O26" s="27" t="s">
        <v>343</v>
      </c>
      <c r="P26" s="27">
        <v>1.1000000000000001</v>
      </c>
      <c r="Q26" s="27" t="s">
        <v>357</v>
      </c>
      <c r="R26" s="27" t="s">
        <v>80</v>
      </c>
      <c r="S26" s="55" t="s">
        <v>157</v>
      </c>
      <c r="T26" s="27" t="s">
        <v>362</v>
      </c>
      <c r="U26" s="27" t="s">
        <v>345</v>
      </c>
      <c r="V26" s="34">
        <v>46</v>
      </c>
      <c r="W26" t="str">
        <f t="shared" si="0"/>
        <v>255.3 @ -45°C' 219 @ 200°C</v>
      </c>
    </row>
    <row r="27" spans="1:23" ht="30" x14ac:dyDescent="0.25">
      <c r="A27" s="33">
        <v>24</v>
      </c>
      <c r="B27" s="28" t="s">
        <v>218</v>
      </c>
      <c r="C27" s="27" t="str">
        <f t="shared" ca="1" si="1"/>
        <v>1/2" - 24"</v>
      </c>
      <c r="D27" s="27" t="str">
        <f t="shared" ca="1" si="2"/>
        <v>Globe valve, Outside Screw and Yoke</v>
      </c>
      <c r="E27" s="29" t="str">
        <f t="shared" ca="1" si="3"/>
        <v>Flanged ASME B16.5 RTJ / Compact Flange / Hub Connector (As per PMS)</v>
      </c>
      <c r="F27" s="27" t="str">
        <f t="shared" ca="1" si="4"/>
        <v>Forged - ASTM A182 F316L</v>
      </c>
      <c r="G27" s="27" t="str">
        <f t="shared" ca="1" si="5"/>
        <v>Forged - ASTM A182 F316L, Stellite Hard Faced</v>
      </c>
      <c r="H27" s="27" t="str">
        <f t="shared" ca="1" si="6"/>
        <v>G1N</v>
      </c>
      <c r="I27" s="34">
        <v>404</v>
      </c>
      <c r="J27" s="25" t="s">
        <v>434</v>
      </c>
      <c r="M27" s="33">
        <v>25</v>
      </c>
      <c r="N27" s="27" t="s">
        <v>21</v>
      </c>
      <c r="O27" s="27" t="s">
        <v>346</v>
      </c>
      <c r="P27" s="27">
        <v>1.1000000000000001</v>
      </c>
      <c r="Q27" s="27" t="s">
        <v>357</v>
      </c>
      <c r="R27" s="27" t="s">
        <v>80</v>
      </c>
      <c r="S27" s="55" t="s">
        <v>158</v>
      </c>
      <c r="T27" s="27" t="s">
        <v>348</v>
      </c>
      <c r="U27" s="27" t="s">
        <v>349</v>
      </c>
      <c r="V27" s="34">
        <v>47</v>
      </c>
      <c r="W27" t="str">
        <f t="shared" si="0"/>
        <v>399.8 @ -29°C' 342.9 @ 200°C</v>
      </c>
    </row>
    <row r="28" spans="1:23" x14ac:dyDescent="0.25">
      <c r="A28" s="33">
        <v>25</v>
      </c>
      <c r="B28" s="28" t="s">
        <v>219</v>
      </c>
      <c r="C28" s="27" t="str">
        <f t="shared" ca="1" si="1"/>
        <v>1/2" - 24"</v>
      </c>
      <c r="D28" s="27" t="str">
        <f t="shared" ca="1" si="2"/>
        <v>Globe valve, Outside Screw and Yoke</v>
      </c>
      <c r="E28" s="29" t="str">
        <f t="shared" ca="1" si="3"/>
        <v>Flanged ASME B16.5 RF</v>
      </c>
      <c r="F28" s="27" t="str">
        <f t="shared" ca="1" si="4"/>
        <v>Forged - ASTM A182 F316L</v>
      </c>
      <c r="G28" s="27" t="str">
        <f t="shared" ca="1" si="5"/>
        <v>Forged - ASTM A182 F316L, Stellite Hard Faced</v>
      </c>
      <c r="H28" s="27" t="str">
        <f t="shared" ca="1" si="6"/>
        <v>A2LN</v>
      </c>
      <c r="I28" s="34">
        <v>405</v>
      </c>
      <c r="J28" s="25" t="s">
        <v>434</v>
      </c>
      <c r="M28" s="33">
        <v>26</v>
      </c>
      <c r="N28" s="27" t="s">
        <v>159</v>
      </c>
      <c r="O28" s="27" t="s">
        <v>327</v>
      </c>
      <c r="P28" s="27">
        <v>1.1000000000000001</v>
      </c>
      <c r="Q28" s="27" t="s">
        <v>357</v>
      </c>
      <c r="R28" s="27" t="s">
        <v>81</v>
      </c>
      <c r="S28" s="55" t="s">
        <v>157</v>
      </c>
      <c r="T28" s="27" t="s">
        <v>358</v>
      </c>
      <c r="U28" s="27" t="s">
        <v>331</v>
      </c>
      <c r="V28" s="34">
        <v>48</v>
      </c>
      <c r="W28" t="str">
        <f t="shared" si="0"/>
        <v>19.6 @ -45°C' 13.8 @ 200°C</v>
      </c>
    </row>
    <row r="29" spans="1:23" x14ac:dyDescent="0.25">
      <c r="A29" s="33">
        <v>26</v>
      </c>
      <c r="B29" s="28" t="s">
        <v>220</v>
      </c>
      <c r="C29" s="27" t="str">
        <f t="shared" ca="1" si="1"/>
        <v>1/2" - 24"</v>
      </c>
      <c r="D29" s="27" t="str">
        <f t="shared" ca="1" si="2"/>
        <v>Globe valve, Outside Screw and Yoke</v>
      </c>
      <c r="E29" s="29" t="str">
        <f t="shared" ca="1" si="3"/>
        <v>Flanged ASME B16.5 RF</v>
      </c>
      <c r="F29" s="27" t="str">
        <f t="shared" ca="1" si="4"/>
        <v>Forged - ASTM A182 F316L</v>
      </c>
      <c r="G29" s="27" t="str">
        <f t="shared" ca="1" si="5"/>
        <v>Forged - ASTM A182 F316L, Stellite Hard Faced</v>
      </c>
      <c r="H29" s="27" t="str">
        <f t="shared" ca="1" si="6"/>
        <v>B2LN</v>
      </c>
      <c r="I29" s="34">
        <v>406</v>
      </c>
      <c r="J29" s="25" t="s">
        <v>434</v>
      </c>
      <c r="M29" s="33">
        <v>27</v>
      </c>
      <c r="N29" s="27" t="s">
        <v>160</v>
      </c>
      <c r="O29" s="27" t="s">
        <v>332</v>
      </c>
      <c r="P29" s="27">
        <v>1.1000000000000001</v>
      </c>
      <c r="Q29" s="27" t="s">
        <v>357</v>
      </c>
      <c r="R29" s="27" t="s">
        <v>81</v>
      </c>
      <c r="S29" s="55" t="s">
        <v>157</v>
      </c>
      <c r="T29" s="27" t="s">
        <v>359</v>
      </c>
      <c r="U29" s="27" t="s">
        <v>335</v>
      </c>
      <c r="V29" s="34">
        <v>49</v>
      </c>
      <c r="W29" t="str">
        <f t="shared" si="0"/>
        <v>51.1 @ -45°C' 43.8 @ 200°C</v>
      </c>
    </row>
    <row r="30" spans="1:23" x14ac:dyDescent="0.25">
      <c r="A30" s="33">
        <v>27</v>
      </c>
      <c r="B30" s="28" t="s">
        <v>221</v>
      </c>
      <c r="C30" s="27" t="str">
        <f t="shared" ca="1" si="1"/>
        <v>1/2" - 24"</v>
      </c>
      <c r="D30" s="27" t="str">
        <f t="shared" ca="1" si="2"/>
        <v>Globe valve, Outside Screw and Yoke</v>
      </c>
      <c r="E30" s="29" t="str">
        <f t="shared" ca="1" si="3"/>
        <v>Flanged ASME B16.5 RF</v>
      </c>
      <c r="F30" s="27" t="str">
        <f t="shared" ca="1" si="4"/>
        <v>Forged - ASTM A182 F316L</v>
      </c>
      <c r="G30" s="27" t="str">
        <f t="shared" ca="1" si="5"/>
        <v>Forged - ASTM A182 F316L, Stellite Hard Faced</v>
      </c>
      <c r="H30" s="27" t="str">
        <f t="shared" ca="1" si="6"/>
        <v>D2LN</v>
      </c>
      <c r="I30" s="34">
        <v>407</v>
      </c>
      <c r="J30" s="25" t="s">
        <v>434</v>
      </c>
      <c r="M30" s="33">
        <v>28</v>
      </c>
      <c r="N30" s="27" t="s">
        <v>161</v>
      </c>
      <c r="O30" s="27" t="s">
        <v>336</v>
      </c>
      <c r="P30" s="27">
        <v>1.1000000000000001</v>
      </c>
      <c r="Q30" s="27" t="s">
        <v>357</v>
      </c>
      <c r="R30" s="27" t="s">
        <v>81</v>
      </c>
      <c r="S30" s="55" t="s">
        <v>157</v>
      </c>
      <c r="T30" s="27" t="s">
        <v>360</v>
      </c>
      <c r="U30" s="27" t="s">
        <v>338</v>
      </c>
      <c r="V30" s="34">
        <v>50</v>
      </c>
      <c r="W30" t="str">
        <f t="shared" si="0"/>
        <v>102.1 @ -45°C' 87.6 @ 200°C</v>
      </c>
    </row>
    <row r="31" spans="1:23" x14ac:dyDescent="0.25">
      <c r="A31" s="33">
        <v>28</v>
      </c>
      <c r="B31" s="28" t="s">
        <v>222</v>
      </c>
      <c r="C31" s="27" t="str">
        <f t="shared" ca="1" si="1"/>
        <v>1/2" - 24"</v>
      </c>
      <c r="D31" s="27" t="str">
        <f t="shared" ca="1" si="2"/>
        <v>Globe valve, Outside Screw and Yoke</v>
      </c>
      <c r="E31" s="29" t="str">
        <f t="shared" ca="1" si="3"/>
        <v>Flanged ASME B16.5 RTJ</v>
      </c>
      <c r="F31" s="27" t="str">
        <f t="shared" ca="1" si="4"/>
        <v>Forged - ASTM A182 F316L</v>
      </c>
      <c r="G31" s="27" t="str">
        <f t="shared" ca="1" si="5"/>
        <v>Forged - ASTM A182 F316L, Stellite Hard Faced</v>
      </c>
      <c r="H31" s="27" t="str">
        <f t="shared" ca="1" si="6"/>
        <v>E2LN</v>
      </c>
      <c r="I31" s="34">
        <v>408</v>
      </c>
      <c r="J31" s="25" t="s">
        <v>434</v>
      </c>
      <c r="M31" s="33">
        <v>29</v>
      </c>
      <c r="N31" s="27" t="s">
        <v>162</v>
      </c>
      <c r="O31" s="27" t="s">
        <v>339</v>
      </c>
      <c r="P31" s="27">
        <v>1.1000000000000001</v>
      </c>
      <c r="Q31" s="27" t="s">
        <v>357</v>
      </c>
      <c r="R31" s="27" t="s">
        <v>81</v>
      </c>
      <c r="S31" s="55" t="s">
        <v>157</v>
      </c>
      <c r="T31" s="27" t="s">
        <v>361</v>
      </c>
      <c r="U31" s="27" t="s">
        <v>342</v>
      </c>
      <c r="V31" s="34">
        <v>51</v>
      </c>
      <c r="W31" t="str">
        <f t="shared" si="0"/>
        <v>153.2 @ -45°C' 131.4 @ 200°C</v>
      </c>
    </row>
    <row r="32" spans="1:23" ht="30" x14ac:dyDescent="0.25">
      <c r="A32" s="33">
        <v>29</v>
      </c>
      <c r="B32" s="28" t="s">
        <v>223</v>
      </c>
      <c r="C32" s="27" t="str">
        <f t="shared" ca="1" si="1"/>
        <v>1/2" - 24"</v>
      </c>
      <c r="D32" s="27" t="str">
        <f t="shared" ca="1" si="2"/>
        <v>Globe valve, Outside Screw and Yoke</v>
      </c>
      <c r="E32" s="29" t="str">
        <f t="shared" ca="1" si="3"/>
        <v>Flanged ASME B16.5 RTJ / Compact Flange / Hub Connector (As per PMS)</v>
      </c>
      <c r="F32" s="27" t="str">
        <f t="shared" ca="1" si="4"/>
        <v>Forged - ASTM A182 F316L</v>
      </c>
      <c r="G32" s="27" t="str">
        <f t="shared" ca="1" si="5"/>
        <v>Forged - ASTM A182 F316L, Stellite Hard Faced</v>
      </c>
      <c r="H32" s="27" t="str">
        <f t="shared" ca="1" si="6"/>
        <v>F2LN</v>
      </c>
      <c r="I32" s="34">
        <v>409</v>
      </c>
      <c r="J32" s="25" t="s">
        <v>434</v>
      </c>
      <c r="M32" s="33">
        <v>30</v>
      </c>
      <c r="N32" s="27" t="s">
        <v>163</v>
      </c>
      <c r="O32" s="27" t="s">
        <v>343</v>
      </c>
      <c r="P32" s="27">
        <v>1.1000000000000001</v>
      </c>
      <c r="Q32" s="27" t="s">
        <v>357</v>
      </c>
      <c r="R32" s="27" t="s">
        <v>81</v>
      </c>
      <c r="S32" s="55" t="s">
        <v>157</v>
      </c>
      <c r="T32" s="27" t="s">
        <v>362</v>
      </c>
      <c r="U32" s="27" t="s">
        <v>345</v>
      </c>
      <c r="V32" s="34">
        <v>52</v>
      </c>
      <c r="W32" t="str">
        <f t="shared" si="0"/>
        <v>255.3 @ -45°C' 219 @ 200°C</v>
      </c>
    </row>
    <row r="33" spans="1:23" ht="30" x14ac:dyDescent="0.25">
      <c r="A33" s="33">
        <v>30</v>
      </c>
      <c r="B33" s="28" t="s">
        <v>224</v>
      </c>
      <c r="C33" s="27" t="str">
        <f t="shared" ca="1" si="1"/>
        <v>1/2" - 24"</v>
      </c>
      <c r="D33" s="27" t="str">
        <f t="shared" ca="1" si="2"/>
        <v>Globe valve, Outside Screw and Yoke</v>
      </c>
      <c r="E33" s="29" t="str">
        <f t="shared" ca="1" si="3"/>
        <v>Flanged ASME B16.5 RTJ / Compact Flange / Hub Connector (As per PMS)</v>
      </c>
      <c r="F33" s="27" t="str">
        <f t="shared" ca="1" si="4"/>
        <v>Forged - ASTM A182 F316L</v>
      </c>
      <c r="G33" s="27" t="str">
        <f t="shared" ca="1" si="5"/>
        <v>Forged - ASTM A182 F316L, Stellite Hard Faced</v>
      </c>
      <c r="H33" s="27" t="str">
        <f t="shared" ca="1" si="6"/>
        <v>G2LN</v>
      </c>
      <c r="I33" s="34">
        <v>410</v>
      </c>
      <c r="J33" s="25" t="s">
        <v>434</v>
      </c>
      <c r="M33" s="33">
        <v>31</v>
      </c>
      <c r="N33" s="27" t="s">
        <v>164</v>
      </c>
      <c r="O33" s="27" t="s">
        <v>346</v>
      </c>
      <c r="P33" s="27">
        <v>1.1000000000000001</v>
      </c>
      <c r="Q33" s="27" t="s">
        <v>357</v>
      </c>
      <c r="R33" s="27" t="s">
        <v>81</v>
      </c>
      <c r="S33" s="55" t="s">
        <v>157</v>
      </c>
      <c r="T33" s="27" t="s">
        <v>348</v>
      </c>
      <c r="U33" s="27" t="s">
        <v>349</v>
      </c>
      <c r="V33" s="34">
        <v>53</v>
      </c>
      <c r="W33" t="str">
        <f t="shared" si="0"/>
        <v>399.8 @ -29°C' 342.9 @ 200°C</v>
      </c>
    </row>
    <row r="34" spans="1:23" x14ac:dyDescent="0.25">
      <c r="A34" s="33">
        <v>31</v>
      </c>
      <c r="B34" s="28" t="s">
        <v>225</v>
      </c>
      <c r="C34" s="27" t="str">
        <f t="shared" ca="1" si="1"/>
        <v>1/2" - 24"</v>
      </c>
      <c r="D34" s="27" t="str">
        <f t="shared" ca="1" si="2"/>
        <v>Globe valve, Outside Screw and Yoke</v>
      </c>
      <c r="E34" s="29" t="str">
        <f t="shared" ca="1" si="3"/>
        <v>Flanged ASME B16.5 RF</v>
      </c>
      <c r="F34" s="27" t="str">
        <f t="shared" ca="1" si="4"/>
        <v>Forged - ASTM A182 F316L</v>
      </c>
      <c r="G34" s="27" t="str">
        <f t="shared" ca="1" si="5"/>
        <v>Forged - ASTM A182 F316L, Stellite Hard Faced</v>
      </c>
      <c r="H34" s="27" t="str">
        <f t="shared" ca="1" si="6"/>
        <v>A10N</v>
      </c>
      <c r="I34" s="34">
        <v>411</v>
      </c>
      <c r="J34" s="25" t="s">
        <v>434</v>
      </c>
      <c r="M34" s="33">
        <v>32</v>
      </c>
      <c r="N34" s="27" t="s">
        <v>363</v>
      </c>
      <c r="O34" s="27" t="s">
        <v>327</v>
      </c>
      <c r="P34" s="27">
        <v>1.1000000000000001</v>
      </c>
      <c r="Q34" s="27" t="s">
        <v>364</v>
      </c>
      <c r="R34" s="27" t="s">
        <v>80</v>
      </c>
      <c r="S34" s="29" t="s">
        <v>365</v>
      </c>
      <c r="T34" s="27" t="s">
        <v>366</v>
      </c>
      <c r="U34" s="27" t="s">
        <v>367</v>
      </c>
      <c r="V34" s="34">
        <v>54</v>
      </c>
      <c r="W34" t="str">
        <f t="shared" si="0"/>
        <v>19 @ -29°C'  16.2 @ 100°C</v>
      </c>
    </row>
    <row r="35" spans="1:23" x14ac:dyDescent="0.25">
      <c r="A35" s="33">
        <v>32</v>
      </c>
      <c r="B35" s="28" t="s">
        <v>226</v>
      </c>
      <c r="C35" s="27" t="str">
        <f t="shared" ca="1" si="1"/>
        <v>1/2" - 24"</v>
      </c>
      <c r="D35" s="27" t="str">
        <f t="shared" ca="1" si="2"/>
        <v>Globe valve, Outside Screw and Yoke</v>
      </c>
      <c r="E35" s="29" t="str">
        <f t="shared" ca="1" si="3"/>
        <v>Flanged ASME B16.5 RF</v>
      </c>
      <c r="F35" s="27" t="str">
        <f t="shared" ca="1" si="4"/>
        <v>Forged - ASTM A182 F316L</v>
      </c>
      <c r="G35" s="27" t="str">
        <f t="shared" ca="1" si="5"/>
        <v>Forged - ASTM A182 F316L, Stellite Hard Faced</v>
      </c>
      <c r="H35" s="27" t="str">
        <f t="shared" ca="1" si="6"/>
        <v>B10N</v>
      </c>
      <c r="I35" s="34">
        <v>412</v>
      </c>
      <c r="J35" s="25" t="s">
        <v>434</v>
      </c>
      <c r="M35" s="33">
        <v>33</v>
      </c>
      <c r="N35" s="27" t="s">
        <v>368</v>
      </c>
      <c r="O35" s="27" t="s">
        <v>327</v>
      </c>
      <c r="P35" s="27">
        <v>1.1000000000000001</v>
      </c>
      <c r="Q35" s="27" t="s">
        <v>364</v>
      </c>
      <c r="R35" s="27" t="s">
        <v>369</v>
      </c>
      <c r="S35" s="55" t="s">
        <v>370</v>
      </c>
      <c r="T35" s="27" t="s">
        <v>366</v>
      </c>
      <c r="U35" s="27" t="s">
        <v>367</v>
      </c>
      <c r="V35" s="34">
        <v>55</v>
      </c>
      <c r="W35" t="str">
        <f t="shared" si="0"/>
        <v>19 @ -29°C'  16.2 @ 100°C</v>
      </c>
    </row>
    <row r="36" spans="1:23" x14ac:dyDescent="0.25">
      <c r="A36" s="33">
        <v>33</v>
      </c>
      <c r="B36" s="28" t="s">
        <v>227</v>
      </c>
      <c r="C36" s="27" t="str">
        <f t="shared" ca="1" si="1"/>
        <v>1/2" - 24"</v>
      </c>
      <c r="D36" s="27" t="str">
        <f t="shared" ca="1" si="2"/>
        <v>Globe valve, Outside Screw and Yoke</v>
      </c>
      <c r="E36" s="29" t="str">
        <f t="shared" ca="1" si="3"/>
        <v>Flanged ASME B16.5 RF</v>
      </c>
      <c r="F36" s="27" t="str">
        <f t="shared" ca="1" si="4"/>
        <v>Forged - ASTM A182 F316L</v>
      </c>
      <c r="G36" s="27" t="str">
        <f t="shared" ca="1" si="5"/>
        <v>Forged - ASTM A182 F316L, Stellite Hard Faced</v>
      </c>
      <c r="H36" s="27" t="str">
        <f t="shared" ca="1" si="6"/>
        <v>D10N</v>
      </c>
      <c r="I36" s="34">
        <v>413</v>
      </c>
      <c r="J36" s="25" t="s">
        <v>434</v>
      </c>
      <c r="M36" s="33">
        <v>34</v>
      </c>
      <c r="N36" s="27" t="s">
        <v>371</v>
      </c>
      <c r="O36" s="27" t="s">
        <v>332</v>
      </c>
      <c r="P36" s="27">
        <v>1.1000000000000001</v>
      </c>
      <c r="Q36" s="27" t="s">
        <v>364</v>
      </c>
      <c r="R36" s="27" t="s">
        <v>369</v>
      </c>
      <c r="S36" s="55" t="s">
        <v>370</v>
      </c>
      <c r="T36" s="27" t="s">
        <v>334</v>
      </c>
      <c r="U36" s="27" t="s">
        <v>352</v>
      </c>
      <c r="V36" s="34">
        <v>56</v>
      </c>
      <c r="W36" t="str">
        <f t="shared" si="0"/>
        <v>51.1 @ -29°C' 43.8 @ 250°C</v>
      </c>
    </row>
    <row r="37" spans="1:23" x14ac:dyDescent="0.25">
      <c r="A37" s="33">
        <v>34</v>
      </c>
      <c r="B37" s="28" t="s">
        <v>228</v>
      </c>
      <c r="C37" s="27" t="str">
        <f t="shared" ca="1" si="1"/>
        <v>1/2" - 24"</v>
      </c>
      <c r="D37" s="27" t="str">
        <f t="shared" ca="1" si="2"/>
        <v>Globe valve, Outside Screw and Yoke</v>
      </c>
      <c r="E37" s="29" t="str">
        <f t="shared" ca="1" si="3"/>
        <v>Flanged ASME B16.5 RTJ</v>
      </c>
      <c r="F37" s="27" t="str">
        <f t="shared" ca="1" si="4"/>
        <v>Forged - ASTM A182 F316L</v>
      </c>
      <c r="G37" s="27" t="str">
        <f t="shared" ca="1" si="5"/>
        <v>Forged - ASTM A182 F316L, Stellite Hard Faced</v>
      </c>
      <c r="H37" s="27" t="str">
        <f t="shared" ca="1" si="6"/>
        <v>E10N</v>
      </c>
      <c r="I37" s="34">
        <v>414</v>
      </c>
      <c r="J37" s="25" t="s">
        <v>434</v>
      </c>
      <c r="M37" s="33">
        <v>35</v>
      </c>
      <c r="N37" s="27" t="s">
        <v>372</v>
      </c>
      <c r="O37" s="27" t="s">
        <v>336</v>
      </c>
      <c r="P37" s="27">
        <v>1.1000000000000001</v>
      </c>
      <c r="Q37" s="27" t="s">
        <v>364</v>
      </c>
      <c r="R37" s="27" t="s">
        <v>369</v>
      </c>
      <c r="S37" s="55" t="s">
        <v>370</v>
      </c>
      <c r="T37" s="27" t="s">
        <v>337</v>
      </c>
      <c r="U37" s="27" t="s">
        <v>353</v>
      </c>
      <c r="V37" s="34">
        <v>57</v>
      </c>
      <c r="W37" t="str">
        <f t="shared" si="0"/>
        <v>102.1 @ -29°C' 87.6 @ 250°C</v>
      </c>
    </row>
    <row r="38" spans="1:23" ht="30" x14ac:dyDescent="0.25">
      <c r="A38" s="33">
        <v>35</v>
      </c>
      <c r="B38" s="28" t="s">
        <v>229</v>
      </c>
      <c r="C38" s="27" t="str">
        <f t="shared" ca="1" si="1"/>
        <v>1/2" - 24"</v>
      </c>
      <c r="D38" s="27" t="str">
        <f t="shared" ca="1" si="2"/>
        <v>Globe valve, Outside Screw and Yoke</v>
      </c>
      <c r="E38" s="29" t="str">
        <f t="shared" ca="1" si="3"/>
        <v>Flanged ASME B16.5 RTJ / Compact Flange / Hub Connector (As per PMS)</v>
      </c>
      <c r="F38" s="27" t="str">
        <f t="shared" ca="1" si="4"/>
        <v>Forged - ASTM A182 F316L</v>
      </c>
      <c r="G38" s="27" t="str">
        <f t="shared" ca="1" si="5"/>
        <v>Forged - ASTM A182 F316L, Stellite Hard Faced</v>
      </c>
      <c r="H38" s="27" t="str">
        <f t="shared" ca="1" si="6"/>
        <v>F10N</v>
      </c>
      <c r="I38" s="34">
        <v>415</v>
      </c>
      <c r="J38" s="25" t="s">
        <v>434</v>
      </c>
      <c r="M38" s="33">
        <v>36</v>
      </c>
      <c r="N38" s="27" t="s">
        <v>373</v>
      </c>
      <c r="O38" s="27" t="s">
        <v>327</v>
      </c>
      <c r="P38" s="27">
        <v>1.1000000000000001</v>
      </c>
      <c r="Q38" s="27" t="s">
        <v>374</v>
      </c>
      <c r="R38" s="27" t="s">
        <v>81</v>
      </c>
      <c r="S38" s="29" t="s">
        <v>375</v>
      </c>
      <c r="T38" s="27" t="s">
        <v>366</v>
      </c>
      <c r="U38" s="27" t="s">
        <v>367</v>
      </c>
      <c r="V38" s="34">
        <v>58</v>
      </c>
      <c r="W38" t="str">
        <f t="shared" si="0"/>
        <v>19 @ -29°C'  16.2 @ 100°C</v>
      </c>
    </row>
    <row r="39" spans="1:23" ht="30" x14ac:dyDescent="0.25">
      <c r="A39" s="33">
        <v>36</v>
      </c>
      <c r="B39" s="28" t="s">
        <v>230</v>
      </c>
      <c r="C39" s="27" t="str">
        <f t="shared" ca="1" si="1"/>
        <v>1/2" - 24"</v>
      </c>
      <c r="D39" s="27" t="str">
        <f t="shared" ca="1" si="2"/>
        <v>Globe valve, Outside Screw and Yoke</v>
      </c>
      <c r="E39" s="29" t="str">
        <f t="shared" ca="1" si="3"/>
        <v>Flanged ASME B16.5 RTJ / Compact Flange / Hub Connector (As per PMS)</v>
      </c>
      <c r="F39" s="27" t="str">
        <f t="shared" ca="1" si="4"/>
        <v>Forged - ASTM A182 F316L</v>
      </c>
      <c r="G39" s="27" t="str">
        <f t="shared" ca="1" si="5"/>
        <v>Forged - ASTM A182 F316L, Stellite Hard Faced</v>
      </c>
      <c r="H39" s="27" t="str">
        <f t="shared" ca="1" si="6"/>
        <v>G10N</v>
      </c>
      <c r="I39" s="34">
        <v>416</v>
      </c>
      <c r="J39" s="25" t="s">
        <v>434</v>
      </c>
      <c r="M39" s="33">
        <v>37</v>
      </c>
      <c r="N39" s="27" t="s">
        <v>376</v>
      </c>
      <c r="O39" s="27" t="s">
        <v>327</v>
      </c>
      <c r="P39" s="27">
        <v>1.1000000000000001</v>
      </c>
      <c r="Q39" s="27" t="s">
        <v>377</v>
      </c>
      <c r="R39" s="27" t="s">
        <v>81</v>
      </c>
      <c r="S39" s="29" t="s">
        <v>378</v>
      </c>
      <c r="T39" s="27" t="s">
        <v>366</v>
      </c>
      <c r="U39" s="27" t="s">
        <v>367</v>
      </c>
      <c r="V39" s="34">
        <v>59</v>
      </c>
      <c r="W39" t="str">
        <f t="shared" si="0"/>
        <v>19 @ -29°C'  16.2 @ 100°C</v>
      </c>
    </row>
    <row r="40" spans="1:23" x14ac:dyDescent="0.25">
      <c r="A40" s="33">
        <v>37</v>
      </c>
      <c r="B40" s="28" t="s">
        <v>231</v>
      </c>
      <c r="C40" s="27" t="str">
        <f t="shared" ca="1" si="1"/>
        <v>1/2" - 24"</v>
      </c>
      <c r="D40" s="27" t="str">
        <f t="shared" ca="1" si="2"/>
        <v>Globe valve, Outside Screw and Yoke</v>
      </c>
      <c r="E40" s="29" t="str">
        <f t="shared" ca="1" si="3"/>
        <v>Flanged ASME B16.5 RF</v>
      </c>
      <c r="F40" s="27" t="str">
        <f t="shared" ca="1" si="4"/>
        <v>Forged - ASTM A182 F316L</v>
      </c>
      <c r="G40" s="27" t="str">
        <f t="shared" ca="1" si="5"/>
        <v>Forged - ASTM A182 F316L, Stellite Hard Faced</v>
      </c>
      <c r="H40" s="27" t="str">
        <f t="shared" ca="1" si="6"/>
        <v>A3, A10</v>
      </c>
      <c r="I40" s="34">
        <v>417</v>
      </c>
      <c r="J40" s="25" t="s">
        <v>434</v>
      </c>
      <c r="M40" s="33">
        <v>38</v>
      </c>
      <c r="N40" s="27" t="s">
        <v>379</v>
      </c>
      <c r="O40" s="27" t="s">
        <v>327</v>
      </c>
      <c r="P40" s="27">
        <v>2.2999999999999998</v>
      </c>
      <c r="Q40" s="27" t="s">
        <v>380</v>
      </c>
      <c r="R40" s="27" t="s">
        <v>82</v>
      </c>
      <c r="S40" s="29" t="s">
        <v>381</v>
      </c>
      <c r="T40" s="27" t="s">
        <v>382</v>
      </c>
      <c r="U40" s="27" t="s">
        <v>383</v>
      </c>
      <c r="V40" s="34">
        <v>60</v>
      </c>
      <c r="W40" t="str">
        <f t="shared" si="0"/>
        <v>15.9 @ -100°C' 11.2 @ 200°C</v>
      </c>
    </row>
    <row r="41" spans="1:23" x14ac:dyDescent="0.25">
      <c r="A41" s="33">
        <v>38</v>
      </c>
      <c r="B41" s="28" t="s">
        <v>232</v>
      </c>
      <c r="C41" s="27" t="str">
        <f t="shared" ca="1" si="1"/>
        <v>1/2" - 24"</v>
      </c>
      <c r="D41" s="27" t="str">
        <f t="shared" ca="1" si="2"/>
        <v>Globe valve, Outside Screw and Yoke</v>
      </c>
      <c r="E41" s="29" t="str">
        <f t="shared" ca="1" si="3"/>
        <v>Flanged ASME B16.5 RF</v>
      </c>
      <c r="F41" s="27" t="str">
        <f t="shared" ca="1" si="4"/>
        <v>Forged - ASTM A182 F316L</v>
      </c>
      <c r="G41" s="27" t="str">
        <f t="shared" ca="1" si="5"/>
        <v>Forged - ASTM A182 F316L, Stellite Hard Faced</v>
      </c>
      <c r="H41" s="27" t="str">
        <f t="shared" ca="1" si="6"/>
        <v>B10</v>
      </c>
      <c r="I41" s="34">
        <v>418</v>
      </c>
      <c r="J41" s="25" t="s">
        <v>434</v>
      </c>
      <c r="M41" s="33">
        <v>39</v>
      </c>
      <c r="N41" s="27" t="s">
        <v>6</v>
      </c>
      <c r="O41" s="27" t="s">
        <v>332</v>
      </c>
      <c r="P41" s="27">
        <v>2.2999999999999998</v>
      </c>
      <c r="Q41" s="27" t="s">
        <v>380</v>
      </c>
      <c r="R41" s="27" t="s">
        <v>82</v>
      </c>
      <c r="S41" s="29" t="s">
        <v>384</v>
      </c>
      <c r="T41" s="27" t="s">
        <v>385</v>
      </c>
      <c r="U41" s="27" t="s">
        <v>386</v>
      </c>
      <c r="V41" s="34">
        <v>61</v>
      </c>
      <c r="W41" t="str">
        <f t="shared" si="0"/>
        <v>41.4 @ -100°C' 29.2 @ 200°C</v>
      </c>
    </row>
    <row r="42" spans="1:23" x14ac:dyDescent="0.25">
      <c r="A42" s="33">
        <v>39</v>
      </c>
      <c r="B42" s="28" t="s">
        <v>233</v>
      </c>
      <c r="C42" s="27" t="str">
        <f t="shared" ca="1" si="1"/>
        <v>1/2" - 24"</v>
      </c>
      <c r="D42" s="27" t="str">
        <f t="shared" ca="1" si="2"/>
        <v>Globe valve, Outside Screw and Yoke</v>
      </c>
      <c r="E42" s="29" t="str">
        <f t="shared" ca="1" si="3"/>
        <v>Flanged ASME B16.5 RF</v>
      </c>
      <c r="F42" s="27" t="str">
        <f t="shared" ca="1" si="4"/>
        <v>Forged - ASTM A182 F316L</v>
      </c>
      <c r="G42" s="27" t="str">
        <f t="shared" ca="1" si="5"/>
        <v>Forged - ASTM A182 F316L, Stellite Hard Faced</v>
      </c>
      <c r="H42" s="27" t="str">
        <f t="shared" ca="1" si="6"/>
        <v>D10</v>
      </c>
      <c r="I42" s="34">
        <v>419</v>
      </c>
      <c r="J42" s="25" t="s">
        <v>434</v>
      </c>
      <c r="M42" s="33">
        <v>40</v>
      </c>
      <c r="N42" s="27" t="s">
        <v>13</v>
      </c>
      <c r="O42" s="27" t="s">
        <v>336</v>
      </c>
      <c r="P42" s="27">
        <v>2.2999999999999998</v>
      </c>
      <c r="Q42" s="27" t="s">
        <v>380</v>
      </c>
      <c r="R42" s="27" t="s">
        <v>82</v>
      </c>
      <c r="S42" s="55" t="s">
        <v>387</v>
      </c>
      <c r="T42" s="27" t="s">
        <v>388</v>
      </c>
      <c r="U42" s="27" t="s">
        <v>389</v>
      </c>
      <c r="V42" s="34">
        <v>62</v>
      </c>
      <c r="W42" t="str">
        <f t="shared" si="0"/>
        <v>82.7 @ -100°C' 58.3 @ 200°C</v>
      </c>
    </row>
    <row r="43" spans="1:23" x14ac:dyDescent="0.25">
      <c r="A43" s="33">
        <v>40</v>
      </c>
      <c r="B43" s="28" t="s">
        <v>234</v>
      </c>
      <c r="C43" s="27" t="str">
        <f t="shared" ca="1" si="1"/>
        <v>1/2" - 24"</v>
      </c>
      <c r="D43" s="27" t="str">
        <f t="shared" ca="1" si="2"/>
        <v>Globe valve, Outside Screw and Yoke</v>
      </c>
      <c r="E43" s="29" t="str">
        <f t="shared" ca="1" si="3"/>
        <v>Flanged ASME B16.5 RTJ</v>
      </c>
      <c r="F43" s="27" t="str">
        <f t="shared" ca="1" si="4"/>
        <v>Forged - ASTM A182 F316L</v>
      </c>
      <c r="G43" s="27" t="str">
        <f t="shared" ca="1" si="5"/>
        <v>Forged - ASTM A182 F316L, Stellite Hard Faced</v>
      </c>
      <c r="H43" s="27" t="str">
        <f t="shared" ca="1" si="6"/>
        <v>E10</v>
      </c>
      <c r="I43" s="34">
        <v>420</v>
      </c>
      <c r="J43" s="25" t="s">
        <v>434</v>
      </c>
      <c r="M43" s="33">
        <v>41</v>
      </c>
      <c r="N43" s="27" t="s">
        <v>16</v>
      </c>
      <c r="O43" s="27" t="s">
        <v>339</v>
      </c>
      <c r="P43" s="27">
        <v>2.2999999999999998</v>
      </c>
      <c r="Q43" s="27" t="s">
        <v>380</v>
      </c>
      <c r="R43" s="27" t="s">
        <v>82</v>
      </c>
      <c r="S43" s="55" t="s">
        <v>387</v>
      </c>
      <c r="T43" s="27" t="s">
        <v>390</v>
      </c>
      <c r="U43" s="27" t="s">
        <v>391</v>
      </c>
      <c r="V43" s="34">
        <v>63</v>
      </c>
      <c r="W43" t="str">
        <f t="shared" si="0"/>
        <v>124.1 @ -100°C' 87.5 @ 200°C</v>
      </c>
    </row>
    <row r="44" spans="1:23" ht="30" x14ac:dyDescent="0.25">
      <c r="A44" s="33">
        <v>41</v>
      </c>
      <c r="B44" s="28" t="s">
        <v>249</v>
      </c>
      <c r="C44" s="27" t="str">
        <f t="shared" ca="1" si="1"/>
        <v>1/2" - 24"</v>
      </c>
      <c r="D44" s="27" t="str">
        <f t="shared" ca="1" si="2"/>
        <v>Globe valve, Outside Screw and Yoke</v>
      </c>
      <c r="E44" s="29" t="str">
        <f t="shared" ca="1" si="3"/>
        <v>Flanged ASME B16.5 RTJ / Compact Flange / Hub Connector (As per PMS)</v>
      </c>
      <c r="F44" s="27" t="str">
        <f t="shared" ca="1" si="4"/>
        <v>Forged - ASTM A182 F316L</v>
      </c>
      <c r="G44" s="27" t="str">
        <f t="shared" ca="1" si="5"/>
        <v>Forged - ASTM A182 F316L, Stellite Hard Faced</v>
      </c>
      <c r="H44" s="27" t="str">
        <f t="shared" ca="1" si="6"/>
        <v>F10</v>
      </c>
      <c r="I44" s="34">
        <v>421</v>
      </c>
      <c r="J44" s="25" t="s">
        <v>434</v>
      </c>
      <c r="M44" s="33">
        <v>42</v>
      </c>
      <c r="N44" s="27" t="s">
        <v>18</v>
      </c>
      <c r="O44" s="27" t="s">
        <v>343</v>
      </c>
      <c r="P44" s="27">
        <v>2.2999999999999998</v>
      </c>
      <c r="Q44" s="27" t="s">
        <v>380</v>
      </c>
      <c r="R44" s="27" t="s">
        <v>82</v>
      </c>
      <c r="S44" s="55" t="s">
        <v>387</v>
      </c>
      <c r="T44" s="27" t="s">
        <v>392</v>
      </c>
      <c r="U44" s="27" t="s">
        <v>393</v>
      </c>
      <c r="V44" s="34">
        <v>64</v>
      </c>
      <c r="W44" t="str">
        <f t="shared" si="0"/>
        <v>206.8 @ -100°C' 145.8 @ 200°C</v>
      </c>
    </row>
    <row r="45" spans="1:23" ht="30" x14ac:dyDescent="0.25">
      <c r="A45" s="33">
        <v>42</v>
      </c>
      <c r="B45" s="28" t="s">
        <v>250</v>
      </c>
      <c r="C45" s="27" t="str">
        <f t="shared" ca="1" si="1"/>
        <v>1/2" - 24"</v>
      </c>
      <c r="D45" s="27" t="str">
        <f t="shared" ca="1" si="2"/>
        <v>Globe valve, Outside Screw and Yoke</v>
      </c>
      <c r="E45" s="29" t="str">
        <f t="shared" ca="1" si="3"/>
        <v>Flanged ASME B16.5 RTJ / Compact Flange / Hub Connector (As per PMS)</v>
      </c>
      <c r="F45" s="27" t="str">
        <f t="shared" ca="1" si="4"/>
        <v>Forged - ASTM A182 F316L</v>
      </c>
      <c r="G45" s="27" t="str">
        <f t="shared" ca="1" si="5"/>
        <v>Forged - ASTM A182 F316L, Stellite Hard Faced</v>
      </c>
      <c r="H45" s="27" t="str">
        <f t="shared" ca="1" si="6"/>
        <v>G10</v>
      </c>
      <c r="I45" s="34">
        <v>422</v>
      </c>
      <c r="J45" s="25" t="s">
        <v>434</v>
      </c>
      <c r="M45" s="33">
        <v>43</v>
      </c>
      <c r="N45" s="27" t="s">
        <v>20</v>
      </c>
      <c r="O45" s="27" t="s">
        <v>346</v>
      </c>
      <c r="P45" s="27">
        <v>2.2999999999999998</v>
      </c>
      <c r="Q45" s="27" t="s">
        <v>380</v>
      </c>
      <c r="R45" s="27" t="s">
        <v>82</v>
      </c>
      <c r="S45" s="55" t="s">
        <v>387</v>
      </c>
      <c r="T45" s="27" t="s">
        <v>394</v>
      </c>
      <c r="U45" s="27" t="s">
        <v>395</v>
      </c>
      <c r="V45" s="34">
        <v>65</v>
      </c>
      <c r="W45" t="str">
        <f t="shared" si="0"/>
        <v>344.7 @ -100°C' 243 @ 200°C</v>
      </c>
    </row>
    <row r="46" spans="1:23" x14ac:dyDescent="0.25">
      <c r="A46" s="33">
        <v>43</v>
      </c>
      <c r="B46" s="28" t="s">
        <v>235</v>
      </c>
      <c r="C46" s="27" t="str">
        <f t="shared" ca="1" si="1"/>
        <v>1/2" - 24"</v>
      </c>
      <c r="D46" s="27" t="str">
        <f t="shared" ca="1" si="2"/>
        <v>Globe valve, Outside Screw and Yoke</v>
      </c>
      <c r="E46" s="29" t="str">
        <f t="shared" ca="1" si="3"/>
        <v>Flanged ASME B16.5 RF</v>
      </c>
      <c r="F46" s="27" t="str">
        <f t="shared" ca="1" si="4"/>
        <v>Forged - ASTM A182 F60</v>
      </c>
      <c r="G46" s="27" t="str">
        <f t="shared" ca="1" si="5"/>
        <v>Forged - ASTM A182 F60, Stellite Hard Faced</v>
      </c>
      <c r="H46" s="27" t="str">
        <f t="shared" ca="1" si="6"/>
        <v>A20N</v>
      </c>
      <c r="I46" s="34">
        <v>423</v>
      </c>
      <c r="J46" s="25" t="s">
        <v>434</v>
      </c>
      <c r="M46" s="33">
        <v>44</v>
      </c>
      <c r="N46" s="27" t="s">
        <v>165</v>
      </c>
      <c r="O46" s="27" t="s">
        <v>327</v>
      </c>
      <c r="P46" s="27">
        <v>2.2999999999999998</v>
      </c>
      <c r="Q46" s="27" t="s">
        <v>396</v>
      </c>
      <c r="R46" s="27" t="s">
        <v>82</v>
      </c>
      <c r="S46" s="55" t="s">
        <v>166</v>
      </c>
      <c r="T46" s="27" t="s">
        <v>382</v>
      </c>
      <c r="U46" s="27" t="s">
        <v>383</v>
      </c>
      <c r="V46" s="34">
        <v>66</v>
      </c>
      <c r="W46" t="str">
        <f t="shared" si="0"/>
        <v>15.9 @ -100°C' 11.2 @ 200°C</v>
      </c>
    </row>
    <row r="47" spans="1:23" x14ac:dyDescent="0.25">
      <c r="A47" s="33">
        <v>44</v>
      </c>
      <c r="B47" s="28" t="s">
        <v>236</v>
      </c>
      <c r="C47" s="27" t="str">
        <f t="shared" ca="1" si="1"/>
        <v>1/2" - 24"</v>
      </c>
      <c r="D47" s="27" t="str">
        <f t="shared" ca="1" si="2"/>
        <v>Globe valve, Outside Screw and Yoke</v>
      </c>
      <c r="E47" s="29" t="str">
        <f t="shared" ca="1" si="3"/>
        <v>Flanged ASME B16.5 RF</v>
      </c>
      <c r="F47" s="27" t="str">
        <f t="shared" ca="1" si="4"/>
        <v>Forged - ASTM A182 F60</v>
      </c>
      <c r="G47" s="27" t="str">
        <f t="shared" ca="1" si="5"/>
        <v>Forged - ASTM A182 F60, Stellite Hard Faced</v>
      </c>
      <c r="H47" s="27" t="str">
        <f t="shared" ca="1" si="6"/>
        <v>B20N</v>
      </c>
      <c r="I47" s="34">
        <v>424</v>
      </c>
      <c r="J47" s="25" t="s">
        <v>434</v>
      </c>
      <c r="M47" s="33">
        <v>45</v>
      </c>
      <c r="N47" s="27" t="s">
        <v>167</v>
      </c>
      <c r="O47" s="27" t="s">
        <v>332</v>
      </c>
      <c r="P47" s="27">
        <v>2.2999999999999998</v>
      </c>
      <c r="Q47" s="27" t="s">
        <v>396</v>
      </c>
      <c r="R47" s="27" t="s">
        <v>82</v>
      </c>
      <c r="S47" s="55" t="s">
        <v>166</v>
      </c>
      <c r="T47" s="27" t="s">
        <v>385</v>
      </c>
      <c r="U47" s="27" t="s">
        <v>386</v>
      </c>
      <c r="V47" s="34">
        <v>67</v>
      </c>
      <c r="W47" t="str">
        <f t="shared" si="0"/>
        <v>41.4 @ -100°C' 29.2 @ 200°C</v>
      </c>
    </row>
    <row r="48" spans="1:23" x14ac:dyDescent="0.25">
      <c r="A48" s="33">
        <v>45</v>
      </c>
      <c r="B48" s="28" t="s">
        <v>237</v>
      </c>
      <c r="C48" s="27" t="str">
        <f t="shared" ca="1" si="1"/>
        <v>1/2" - 24"</v>
      </c>
      <c r="D48" s="27" t="str">
        <f t="shared" ca="1" si="2"/>
        <v>Globe valve, Outside Screw and Yoke</v>
      </c>
      <c r="E48" s="29" t="str">
        <f t="shared" ca="1" si="3"/>
        <v>Flanged ASME B16.5 RF</v>
      </c>
      <c r="F48" s="27" t="str">
        <f t="shared" ca="1" si="4"/>
        <v>Forged - ASTM A182 F60</v>
      </c>
      <c r="G48" s="27" t="str">
        <f t="shared" ca="1" si="5"/>
        <v>Forged - ASTM A182 F60, Stellite Hard Faced</v>
      </c>
      <c r="H48" s="27" t="str">
        <f t="shared" ca="1" si="6"/>
        <v>D20N</v>
      </c>
      <c r="I48" s="34">
        <v>425</v>
      </c>
      <c r="J48" s="25" t="s">
        <v>434</v>
      </c>
      <c r="M48" s="33">
        <v>46</v>
      </c>
      <c r="N48" s="27" t="s">
        <v>168</v>
      </c>
      <c r="O48" s="27" t="s">
        <v>336</v>
      </c>
      <c r="P48" s="27">
        <v>2.2999999999999998</v>
      </c>
      <c r="Q48" s="27" t="s">
        <v>396</v>
      </c>
      <c r="R48" s="27" t="s">
        <v>82</v>
      </c>
      <c r="S48" s="55" t="s">
        <v>166</v>
      </c>
      <c r="T48" s="27" t="s">
        <v>388</v>
      </c>
      <c r="U48" s="27" t="s">
        <v>389</v>
      </c>
      <c r="V48" s="34">
        <v>68</v>
      </c>
      <c r="W48" t="str">
        <f t="shared" si="0"/>
        <v>82.7 @ -100°C' 58.3 @ 200°C</v>
      </c>
    </row>
    <row r="49" spans="1:23" x14ac:dyDescent="0.25">
      <c r="A49" s="33">
        <v>46</v>
      </c>
      <c r="B49" s="28" t="s">
        <v>238</v>
      </c>
      <c r="C49" s="27" t="str">
        <f t="shared" ca="1" si="1"/>
        <v>1/2" - 24"</v>
      </c>
      <c r="D49" s="27" t="str">
        <f t="shared" ca="1" si="2"/>
        <v>Globe valve, Outside Screw and Yoke</v>
      </c>
      <c r="E49" s="29" t="str">
        <f t="shared" ca="1" si="3"/>
        <v>Flanged ASME B16.5 RTJ</v>
      </c>
      <c r="F49" s="27" t="str">
        <f t="shared" ca="1" si="4"/>
        <v>Forged - ASTM A182 F60</v>
      </c>
      <c r="G49" s="27" t="str">
        <f t="shared" ca="1" si="5"/>
        <v>Forged - ASTM A182 F60, Stellite Hard Faced</v>
      </c>
      <c r="H49" s="27" t="str">
        <f t="shared" ca="1" si="6"/>
        <v>E20N</v>
      </c>
      <c r="I49" s="34">
        <v>426</v>
      </c>
      <c r="J49" s="25" t="s">
        <v>434</v>
      </c>
      <c r="M49" s="33">
        <v>47</v>
      </c>
      <c r="N49" s="27" t="s">
        <v>169</v>
      </c>
      <c r="O49" s="27" t="s">
        <v>339</v>
      </c>
      <c r="P49" s="27">
        <v>2.2999999999999998</v>
      </c>
      <c r="Q49" s="27" t="s">
        <v>396</v>
      </c>
      <c r="R49" s="27" t="s">
        <v>82</v>
      </c>
      <c r="S49" s="55" t="s">
        <v>166</v>
      </c>
      <c r="T49" s="27" t="s">
        <v>390</v>
      </c>
      <c r="U49" s="27" t="s">
        <v>391</v>
      </c>
      <c r="V49" s="34">
        <v>69</v>
      </c>
      <c r="W49" t="str">
        <f t="shared" si="0"/>
        <v>124.1 @ -100°C' 87.5 @ 200°C</v>
      </c>
    </row>
    <row r="50" spans="1:23" ht="30" x14ac:dyDescent="0.25">
      <c r="A50" s="33">
        <v>47</v>
      </c>
      <c r="B50" s="28" t="s">
        <v>239</v>
      </c>
      <c r="C50" s="27" t="str">
        <f t="shared" ca="1" si="1"/>
        <v>1/2" - 24"</v>
      </c>
      <c r="D50" s="27" t="str">
        <f t="shared" ca="1" si="2"/>
        <v>Globe valve, Outside Screw and Yoke</v>
      </c>
      <c r="E50" s="29" t="str">
        <f t="shared" ca="1" si="3"/>
        <v>Flanged ASME B16.5 RTJ / Compact Flange / Hub Connector (As per PMS)</v>
      </c>
      <c r="F50" s="27" t="str">
        <f t="shared" ca="1" si="4"/>
        <v>Forged - ASTM A182 F60</v>
      </c>
      <c r="G50" s="27" t="str">
        <f t="shared" ca="1" si="5"/>
        <v>Forged - ASTM A182 F60, Stellite Hard Faced</v>
      </c>
      <c r="H50" s="27" t="str">
        <f t="shared" ca="1" si="6"/>
        <v>F20N</v>
      </c>
      <c r="I50" s="34">
        <v>427</v>
      </c>
      <c r="J50" s="25" t="s">
        <v>434</v>
      </c>
      <c r="M50" s="33">
        <v>48</v>
      </c>
      <c r="N50" s="27" t="s">
        <v>170</v>
      </c>
      <c r="O50" s="27" t="s">
        <v>343</v>
      </c>
      <c r="P50" s="27">
        <v>2.2999999999999998</v>
      </c>
      <c r="Q50" s="27" t="s">
        <v>396</v>
      </c>
      <c r="R50" s="27" t="s">
        <v>82</v>
      </c>
      <c r="S50" s="55" t="s">
        <v>166</v>
      </c>
      <c r="T50" s="27" t="s">
        <v>392</v>
      </c>
      <c r="U50" s="27" t="s">
        <v>393</v>
      </c>
      <c r="V50" s="34">
        <v>70</v>
      </c>
      <c r="W50" t="str">
        <f t="shared" si="0"/>
        <v>206.8 @ -100°C' 145.8 @ 200°C</v>
      </c>
    </row>
    <row r="51" spans="1:23" ht="30" x14ac:dyDescent="0.25">
      <c r="A51" s="33">
        <v>48</v>
      </c>
      <c r="B51" s="28" t="s">
        <v>240</v>
      </c>
      <c r="C51" s="27" t="str">
        <f t="shared" ca="1" si="1"/>
        <v>1/2" - 24"</v>
      </c>
      <c r="D51" s="27" t="str">
        <f t="shared" ca="1" si="2"/>
        <v>Globe valve, Outside Screw and Yoke</v>
      </c>
      <c r="E51" s="29" t="str">
        <f t="shared" ca="1" si="3"/>
        <v>Flanged ASME B16.5 RTJ / Compact Flange / Hub Connector (As per PMS)</v>
      </c>
      <c r="F51" s="27" t="str">
        <f t="shared" ca="1" si="4"/>
        <v>Forged - ASTM A182 F60</v>
      </c>
      <c r="G51" s="27" t="str">
        <f t="shared" ca="1" si="5"/>
        <v>Forged - ASTM A182 F60, Stellite Hard Faced</v>
      </c>
      <c r="H51" s="27" t="str">
        <f t="shared" ca="1" si="6"/>
        <v>G20N</v>
      </c>
      <c r="I51" s="34">
        <v>428</v>
      </c>
      <c r="J51" s="25" t="s">
        <v>434</v>
      </c>
      <c r="M51" s="33">
        <v>49</v>
      </c>
      <c r="N51" s="27" t="s">
        <v>171</v>
      </c>
      <c r="O51" s="27" t="s">
        <v>346</v>
      </c>
      <c r="P51" s="27">
        <v>2.2999999999999998</v>
      </c>
      <c r="Q51" s="27" t="s">
        <v>396</v>
      </c>
      <c r="R51" s="27" t="s">
        <v>82</v>
      </c>
      <c r="S51" s="55" t="s">
        <v>166</v>
      </c>
      <c r="T51" s="27" t="s">
        <v>394</v>
      </c>
      <c r="U51" s="27" t="s">
        <v>395</v>
      </c>
      <c r="V51" s="34">
        <v>71</v>
      </c>
      <c r="W51" t="str">
        <f t="shared" si="0"/>
        <v>344.7 @ -100°C' 243 @ 200°C</v>
      </c>
    </row>
    <row r="52" spans="1:23" x14ac:dyDescent="0.25">
      <c r="A52" s="33">
        <v>49</v>
      </c>
      <c r="B52" s="28" t="s">
        <v>293</v>
      </c>
      <c r="C52" s="27" t="str">
        <f t="shared" ca="1" si="1"/>
        <v>1/2" - 24"</v>
      </c>
      <c r="D52" s="27" t="str">
        <f t="shared" ca="1" si="2"/>
        <v>Globe valve, Outside Screw and Yoke</v>
      </c>
      <c r="E52" s="29" t="str">
        <f t="shared" ca="1" si="3"/>
        <v>Flanged ASME B16.5 RF</v>
      </c>
      <c r="F52" s="27" t="str">
        <f t="shared" ca="1" si="4"/>
        <v>Forged - ASTM A182 F53</v>
      </c>
      <c r="G52" s="27" t="str">
        <f t="shared" ca="1" si="5"/>
        <v>Forged - ASTM A182 F53, Stellite Hard Faced</v>
      </c>
      <c r="H52" s="27" t="str">
        <f t="shared" ca="1" si="6"/>
        <v>A25</v>
      </c>
      <c r="I52" s="34">
        <v>429</v>
      </c>
      <c r="J52" s="25" t="s">
        <v>434</v>
      </c>
      <c r="M52" s="33">
        <v>50</v>
      </c>
      <c r="N52" s="27" t="s">
        <v>172</v>
      </c>
      <c r="O52" s="27" t="s">
        <v>327</v>
      </c>
      <c r="P52" s="27">
        <v>2.8</v>
      </c>
      <c r="Q52" s="27" t="s">
        <v>397</v>
      </c>
      <c r="R52" s="27" t="s">
        <v>82</v>
      </c>
      <c r="S52" s="29" t="s">
        <v>155</v>
      </c>
      <c r="T52" s="27" t="s">
        <v>398</v>
      </c>
      <c r="U52" s="27" t="s">
        <v>331</v>
      </c>
      <c r="V52" s="34">
        <v>72</v>
      </c>
      <c r="W52" t="str">
        <f t="shared" si="0"/>
        <v>20 @ -46°C' 13.8 @ 200°C</v>
      </c>
    </row>
    <row r="53" spans="1:23" ht="30" x14ac:dyDescent="0.25">
      <c r="A53" s="33">
        <v>50</v>
      </c>
      <c r="B53" s="28" t="s">
        <v>292</v>
      </c>
      <c r="C53" s="27" t="str">
        <f t="shared" ca="1" si="1"/>
        <v>1/2" - 24"</v>
      </c>
      <c r="D53" s="27" t="str">
        <f t="shared" ca="1" si="2"/>
        <v>Globe valve, Outside Screw and Yoke</v>
      </c>
      <c r="E53" s="29" t="str">
        <f t="shared" ca="1" si="3"/>
        <v>Flanged ASME B16.5 RTJ / Compact Flange / Hub Connector (As per PMS)</v>
      </c>
      <c r="F53" s="27" t="str">
        <f t="shared" ca="1" si="4"/>
        <v>Forged - ASTM A182 F53</v>
      </c>
      <c r="G53" s="27" t="str">
        <f t="shared" ca="1" si="5"/>
        <v>Forged - ASTM A182 F53, Stellite Hard Faced</v>
      </c>
      <c r="H53" s="27" t="str">
        <f t="shared" ca="1" si="6"/>
        <v>G25</v>
      </c>
      <c r="I53" s="34">
        <v>430</v>
      </c>
      <c r="J53" s="25" t="s">
        <v>434</v>
      </c>
      <c r="M53" s="33">
        <v>51</v>
      </c>
      <c r="N53" s="27" t="s">
        <v>173</v>
      </c>
      <c r="O53" s="27" t="s">
        <v>332</v>
      </c>
      <c r="P53" s="27">
        <v>2.8</v>
      </c>
      <c r="Q53" s="27" t="s">
        <v>397</v>
      </c>
      <c r="R53" s="27" t="s">
        <v>82</v>
      </c>
      <c r="S53" s="29" t="s">
        <v>155</v>
      </c>
      <c r="T53" s="27" t="s">
        <v>399</v>
      </c>
      <c r="U53" s="27" t="s">
        <v>400</v>
      </c>
      <c r="V53" s="34">
        <v>73</v>
      </c>
      <c r="W53" t="str">
        <f t="shared" si="0"/>
        <v>51.7 @ -46°C' 42.7 @ 200°C</v>
      </c>
    </row>
    <row r="54" spans="1:23" x14ac:dyDescent="0.25">
      <c r="A54" s="33">
        <v>51</v>
      </c>
      <c r="B54" s="28" t="s">
        <v>241</v>
      </c>
      <c r="C54" s="27" t="str">
        <f t="shared" ca="1" si="1"/>
        <v>1/2" - 24"</v>
      </c>
      <c r="D54" s="27" t="str">
        <f t="shared" ca="1" si="2"/>
        <v>Globe valve, Outside Screw and Yoke</v>
      </c>
      <c r="E54" s="29" t="str">
        <f t="shared" ca="1" si="3"/>
        <v>Flanged ASME B16.5 RF</v>
      </c>
      <c r="F54" s="27" t="str">
        <f t="shared" ca="1" si="4"/>
        <v>Forged - ASTM A182 F53</v>
      </c>
      <c r="G54" s="27" t="str">
        <f t="shared" ca="1" si="5"/>
        <v>Forged - ASTM A182 F53, Stellite Hard Faced</v>
      </c>
      <c r="H54" s="27" t="str">
        <f t="shared" ca="1" si="6"/>
        <v>A25N</v>
      </c>
      <c r="I54" s="34">
        <v>431</v>
      </c>
      <c r="J54" s="25" t="s">
        <v>434</v>
      </c>
      <c r="M54" s="33">
        <v>52</v>
      </c>
      <c r="N54" s="27" t="s">
        <v>174</v>
      </c>
      <c r="O54" s="27" t="s">
        <v>336</v>
      </c>
      <c r="P54" s="27">
        <v>2.8</v>
      </c>
      <c r="Q54" s="27" t="s">
        <v>397</v>
      </c>
      <c r="R54" s="27" t="s">
        <v>82</v>
      </c>
      <c r="S54" s="29" t="s">
        <v>155</v>
      </c>
      <c r="T54" s="27" t="s">
        <v>401</v>
      </c>
      <c r="U54" s="27" t="s">
        <v>402</v>
      </c>
      <c r="V54" s="34">
        <v>74</v>
      </c>
      <c r="W54" t="str">
        <f t="shared" si="0"/>
        <v>103.4 @ -46°C' 85.3 @ 200°C</v>
      </c>
    </row>
    <row r="55" spans="1:23" x14ac:dyDescent="0.25">
      <c r="A55" s="33">
        <v>52</v>
      </c>
      <c r="B55" s="28" t="s">
        <v>242</v>
      </c>
      <c r="C55" s="27" t="str">
        <f t="shared" ca="1" si="1"/>
        <v>1/2" - 24"</v>
      </c>
      <c r="D55" s="27" t="str">
        <f t="shared" ca="1" si="2"/>
        <v>Globe valve, Outside Screw and Yoke</v>
      </c>
      <c r="E55" s="29" t="str">
        <f t="shared" ca="1" si="3"/>
        <v>Flanged ASME B16.5 RF</v>
      </c>
      <c r="F55" s="27" t="str">
        <f t="shared" ca="1" si="4"/>
        <v>Forged - ASTM A182 F53</v>
      </c>
      <c r="G55" s="27" t="str">
        <f t="shared" ca="1" si="5"/>
        <v>Forged - ASTM A182 F53, Stellite Hard Faced</v>
      </c>
      <c r="H55" s="27" t="str">
        <f t="shared" ca="1" si="6"/>
        <v>B25N</v>
      </c>
      <c r="I55" s="34">
        <v>432</v>
      </c>
      <c r="J55" s="25" t="s">
        <v>434</v>
      </c>
      <c r="M55" s="33">
        <v>53</v>
      </c>
      <c r="N55" s="27" t="s">
        <v>175</v>
      </c>
      <c r="O55" s="27" t="s">
        <v>339</v>
      </c>
      <c r="P55" s="27">
        <v>2.8</v>
      </c>
      <c r="Q55" s="27" t="s">
        <v>397</v>
      </c>
      <c r="R55" s="27" t="s">
        <v>82</v>
      </c>
      <c r="S55" s="29" t="s">
        <v>155</v>
      </c>
      <c r="T55" s="27" t="s">
        <v>403</v>
      </c>
      <c r="U55" s="27" t="s">
        <v>404</v>
      </c>
      <c r="V55" s="34">
        <v>75</v>
      </c>
      <c r="W55" t="str">
        <f t="shared" si="0"/>
        <v>155.1 @ -46°C' 128 @ 200°C</v>
      </c>
    </row>
    <row r="56" spans="1:23" x14ac:dyDescent="0.25">
      <c r="A56" s="33">
        <v>53</v>
      </c>
      <c r="B56" s="28" t="s">
        <v>243</v>
      </c>
      <c r="C56" s="27" t="str">
        <f t="shared" ca="1" si="1"/>
        <v>1/2" - 24"</v>
      </c>
      <c r="D56" s="27" t="str">
        <f t="shared" ca="1" si="2"/>
        <v>Globe valve, Outside Screw and Yoke</v>
      </c>
      <c r="E56" s="29" t="str">
        <f t="shared" ca="1" si="3"/>
        <v>Flanged ASME B16.5 RF</v>
      </c>
      <c r="F56" s="27" t="str">
        <f t="shared" ca="1" si="4"/>
        <v>Forged - ASTM A182 F53</v>
      </c>
      <c r="G56" s="27" t="str">
        <f t="shared" ca="1" si="5"/>
        <v>Forged - ASTM A182 F53, Stellite Hard Faced</v>
      </c>
      <c r="H56" s="27" t="str">
        <f t="shared" ca="1" si="6"/>
        <v>D25N</v>
      </c>
      <c r="I56" s="34">
        <v>433</v>
      </c>
      <c r="J56" s="25" t="s">
        <v>434</v>
      </c>
      <c r="M56" s="33">
        <v>54</v>
      </c>
      <c r="N56" s="27" t="s">
        <v>176</v>
      </c>
      <c r="O56" s="27" t="s">
        <v>343</v>
      </c>
      <c r="P56" s="27">
        <v>2.8</v>
      </c>
      <c r="Q56" s="27" t="s">
        <v>397</v>
      </c>
      <c r="R56" s="27" t="s">
        <v>82</v>
      </c>
      <c r="S56" s="29" t="s">
        <v>155</v>
      </c>
      <c r="T56" s="27" t="s">
        <v>405</v>
      </c>
      <c r="U56" s="27" t="s">
        <v>406</v>
      </c>
      <c r="V56" s="34">
        <v>76</v>
      </c>
      <c r="W56" t="str">
        <f t="shared" si="0"/>
        <v>258.6 @ -46°C' 213.3 @ 200°C</v>
      </c>
    </row>
    <row r="57" spans="1:23" x14ac:dyDescent="0.25">
      <c r="A57" s="33">
        <v>54</v>
      </c>
      <c r="B57" s="28" t="s">
        <v>251</v>
      </c>
      <c r="C57" s="27" t="str">
        <f t="shared" ca="1" si="1"/>
        <v>1/2" - 24"</v>
      </c>
      <c r="D57" s="27" t="str">
        <f t="shared" ca="1" si="2"/>
        <v>Globe valve, Outside Screw and Yoke</v>
      </c>
      <c r="E57" s="29" t="str">
        <f t="shared" ca="1" si="3"/>
        <v>Flanged ASME B16.5 RTJ</v>
      </c>
      <c r="F57" s="27" t="str">
        <f t="shared" ca="1" si="4"/>
        <v>Forged - ASTM A182 F53</v>
      </c>
      <c r="G57" s="27" t="str">
        <f t="shared" ca="1" si="5"/>
        <v>Forged - ASTM A182 F53, Stellite Hard Faced</v>
      </c>
      <c r="H57" s="27" t="str">
        <f t="shared" ca="1" si="6"/>
        <v>E25N</v>
      </c>
      <c r="I57" s="34">
        <v>434</v>
      </c>
      <c r="J57" s="25" t="s">
        <v>434</v>
      </c>
      <c r="M57" s="33">
        <v>55</v>
      </c>
      <c r="N57" s="27" t="s">
        <v>177</v>
      </c>
      <c r="O57" s="27" t="s">
        <v>346</v>
      </c>
      <c r="P57" s="27">
        <v>2.8</v>
      </c>
      <c r="Q57" s="27" t="s">
        <v>397</v>
      </c>
      <c r="R57" s="27" t="s">
        <v>82</v>
      </c>
      <c r="S57" s="29" t="s">
        <v>155</v>
      </c>
      <c r="T57" s="27" t="s">
        <v>407</v>
      </c>
      <c r="U57" s="27" t="s">
        <v>408</v>
      </c>
      <c r="V57" s="34">
        <v>77</v>
      </c>
      <c r="W57" t="str">
        <f t="shared" si="0"/>
        <v>430.9 @ -46°C' 355.4 @ 200°C</v>
      </c>
    </row>
    <row r="58" spans="1:23" ht="30" x14ac:dyDescent="0.25">
      <c r="A58" s="33">
        <v>55</v>
      </c>
      <c r="B58" s="28" t="s">
        <v>252</v>
      </c>
      <c r="C58" s="27" t="str">
        <f t="shared" ca="1" si="1"/>
        <v>1/2" - 24"</v>
      </c>
      <c r="D58" s="27" t="str">
        <f t="shared" ca="1" si="2"/>
        <v>Globe valve, Outside Screw and Yoke</v>
      </c>
      <c r="E58" s="29" t="str">
        <f t="shared" ca="1" si="3"/>
        <v>Flanged ASME B16.5 RTJ / Compact Flange / Hub Connector (As per PMS)</v>
      </c>
      <c r="F58" s="27" t="str">
        <f t="shared" ca="1" si="4"/>
        <v>Forged - ASTM A182 F53</v>
      </c>
      <c r="G58" s="27" t="str">
        <f t="shared" ca="1" si="5"/>
        <v>Forged - ASTM A182 F53, Stellite Hard Faced</v>
      </c>
      <c r="H58" s="27" t="str">
        <f t="shared" ca="1" si="6"/>
        <v>F25N</v>
      </c>
      <c r="I58" s="34">
        <v>435</v>
      </c>
      <c r="J58" s="25" t="s">
        <v>434</v>
      </c>
      <c r="M58" s="33">
        <v>56</v>
      </c>
      <c r="N58" s="27" t="s">
        <v>294</v>
      </c>
      <c r="O58" s="27" t="s">
        <v>327</v>
      </c>
      <c r="P58" s="27">
        <v>2.8</v>
      </c>
      <c r="Q58" s="27" t="s">
        <v>409</v>
      </c>
      <c r="R58" s="27" t="s">
        <v>82</v>
      </c>
      <c r="S58" s="29" t="s">
        <v>410</v>
      </c>
      <c r="T58" s="27" t="s">
        <v>398</v>
      </c>
      <c r="U58" s="27" t="s">
        <v>331</v>
      </c>
      <c r="V58" s="34">
        <v>78</v>
      </c>
      <c r="W58" t="str">
        <f t="shared" si="0"/>
        <v>20 @ -46°C' 13.8 @ 200°C</v>
      </c>
    </row>
    <row r="59" spans="1:23" ht="30" x14ac:dyDescent="0.25">
      <c r="A59" s="33">
        <v>56</v>
      </c>
      <c r="B59" s="28" t="s">
        <v>253</v>
      </c>
      <c r="C59" s="27" t="str">
        <f t="shared" ca="1" si="1"/>
        <v>1/2" - 24"</v>
      </c>
      <c r="D59" s="27" t="str">
        <f t="shared" ca="1" si="2"/>
        <v>Globe valve, Outside Screw and Yoke</v>
      </c>
      <c r="E59" s="29" t="str">
        <f t="shared" ca="1" si="3"/>
        <v>Flanged ASME B16.5 RTJ / Compact Flange / Hub Connector (As per PMS)</v>
      </c>
      <c r="F59" s="27" t="str">
        <f t="shared" ca="1" si="4"/>
        <v>Forged - ASTM A182 F53</v>
      </c>
      <c r="G59" s="27" t="str">
        <f t="shared" ca="1" si="5"/>
        <v>Forged - ASTM A182 F53, Stellite Hard Faced</v>
      </c>
      <c r="H59" s="27" t="str">
        <f t="shared" ca="1" si="6"/>
        <v>G25N</v>
      </c>
      <c r="I59" s="34">
        <v>436</v>
      </c>
      <c r="J59" s="25" t="s">
        <v>434</v>
      </c>
      <c r="M59" s="33">
        <v>62</v>
      </c>
      <c r="N59" s="27" t="s">
        <v>291</v>
      </c>
      <c r="O59" s="27" t="s">
        <v>346</v>
      </c>
      <c r="P59" s="27">
        <v>2.8</v>
      </c>
      <c r="Q59" s="27" t="s">
        <v>409</v>
      </c>
      <c r="R59" s="27" t="s">
        <v>82</v>
      </c>
      <c r="S59" s="29" t="s">
        <v>295</v>
      </c>
      <c r="T59" s="27" t="s">
        <v>407</v>
      </c>
      <c r="U59" s="27" t="s">
        <v>408</v>
      </c>
      <c r="V59" s="34">
        <v>79</v>
      </c>
      <c r="W59" t="str">
        <f t="shared" si="0"/>
        <v>430.9 @ -46°C' 355.4 @ 200°C</v>
      </c>
    </row>
    <row r="60" spans="1:23" x14ac:dyDescent="0.25">
      <c r="A60" s="33">
        <v>57</v>
      </c>
      <c r="B60" s="28" t="s">
        <v>296</v>
      </c>
      <c r="C60" s="27" t="str">
        <f t="shared" ca="1" si="1"/>
        <v>1/2" - 24"</v>
      </c>
      <c r="D60" s="27" t="str">
        <f t="shared" ca="1" si="2"/>
        <v>Globe valve, Outside Screw and Yoke</v>
      </c>
      <c r="E60" s="29" t="str">
        <f t="shared" ca="1" si="3"/>
        <v>Flanged ASME B16.5 FF</v>
      </c>
      <c r="F60" s="27" t="str">
        <f t="shared" ca="1" si="4"/>
        <v>Monel K500</v>
      </c>
      <c r="G60" s="27" t="str">
        <f t="shared" ca="1" si="5"/>
        <v>Monel K500, hard faced</v>
      </c>
      <c r="H60" s="27" t="str">
        <f t="shared" ca="1" si="6"/>
        <v>A30, A40, A41, A42</v>
      </c>
      <c r="I60" s="34">
        <v>437</v>
      </c>
      <c r="J60" s="25" t="s">
        <v>434</v>
      </c>
      <c r="M60" s="33">
        <v>57</v>
      </c>
      <c r="N60" s="27" t="s">
        <v>4</v>
      </c>
      <c r="O60" s="27" t="s">
        <v>327</v>
      </c>
      <c r="P60" s="27">
        <v>2.8</v>
      </c>
      <c r="Q60" s="27" t="s">
        <v>411</v>
      </c>
      <c r="R60" s="27" t="s">
        <v>82</v>
      </c>
      <c r="S60" s="29" t="s">
        <v>155</v>
      </c>
      <c r="T60" s="27" t="s">
        <v>398</v>
      </c>
      <c r="U60" s="27" t="s">
        <v>331</v>
      </c>
      <c r="V60" s="34">
        <v>80</v>
      </c>
      <c r="W60" t="str">
        <f t="shared" si="0"/>
        <v>20 @ -46°C' 13.8 @ 200°C</v>
      </c>
    </row>
    <row r="61" spans="1:23" ht="30.75" thickBot="1" x14ac:dyDescent="0.3">
      <c r="A61" s="35">
        <v>58</v>
      </c>
      <c r="B61" s="36" t="s">
        <v>304</v>
      </c>
      <c r="C61" s="37" t="str">
        <f t="shared" ca="1" si="1"/>
        <v>1/2" - 4"</v>
      </c>
      <c r="D61" s="37" t="str">
        <f t="shared" ca="1" si="2"/>
        <v>Globe valve, Outside Screw and Yoke</v>
      </c>
      <c r="E61" s="38" t="str">
        <f t="shared" ca="1" si="3"/>
        <v>Brazed with 100mm Nipples on both sides (for 1 1/2" and below) / Flanged ASME B16.5 FF (for 2" and above)</v>
      </c>
      <c r="F61" s="37" t="str">
        <f t="shared" ca="1" si="4"/>
        <v>ASTM B124 UNS NO C 37700</v>
      </c>
      <c r="G61" s="37" t="str">
        <f t="shared" ca="1" si="5"/>
        <v>Forged - ASTM B124 UNS NO C 37700, hard faced</v>
      </c>
      <c r="H61" s="37" t="str">
        <f t="shared" ca="1" si="6"/>
        <v>A31</v>
      </c>
      <c r="I61" s="39">
        <v>438</v>
      </c>
      <c r="J61" s="25" t="s">
        <v>434</v>
      </c>
      <c r="M61" s="33">
        <v>58</v>
      </c>
      <c r="N61" s="27" t="s">
        <v>24</v>
      </c>
      <c r="O61" s="27" t="s">
        <v>332</v>
      </c>
      <c r="P61" s="27">
        <v>2.8</v>
      </c>
      <c r="Q61" s="27" t="s">
        <v>411</v>
      </c>
      <c r="R61" s="27" t="s">
        <v>82</v>
      </c>
      <c r="S61" s="29" t="s">
        <v>155</v>
      </c>
      <c r="T61" s="27" t="s">
        <v>399</v>
      </c>
      <c r="U61" s="27" t="s">
        <v>400</v>
      </c>
      <c r="V61" s="34">
        <v>81</v>
      </c>
      <c r="W61" t="str">
        <f t="shared" si="0"/>
        <v>51.7 @ -46°C' 42.7 @ 200°C</v>
      </c>
    </row>
    <row r="62" spans="1:23" x14ac:dyDescent="0.25">
      <c r="M62" s="33">
        <v>59</v>
      </c>
      <c r="N62" s="27" t="s">
        <v>25</v>
      </c>
      <c r="O62" s="27" t="s">
        <v>336</v>
      </c>
      <c r="P62" s="27">
        <v>2.8</v>
      </c>
      <c r="Q62" s="27" t="s">
        <v>411</v>
      </c>
      <c r="R62" s="27" t="s">
        <v>82</v>
      </c>
      <c r="S62" s="29" t="s">
        <v>155</v>
      </c>
      <c r="T62" s="27" t="s">
        <v>401</v>
      </c>
      <c r="U62" s="27" t="s">
        <v>402</v>
      </c>
      <c r="V62" s="34">
        <v>82</v>
      </c>
      <c r="W62" t="str">
        <f t="shared" si="0"/>
        <v>103.4 @ -46°C' 85.3 @ 200°C</v>
      </c>
    </row>
    <row r="63" spans="1:23" x14ac:dyDescent="0.25">
      <c r="M63" s="33">
        <v>60</v>
      </c>
      <c r="N63" s="27" t="s">
        <v>178</v>
      </c>
      <c r="O63" s="27" t="s">
        <v>339</v>
      </c>
      <c r="P63" s="27">
        <v>2.8</v>
      </c>
      <c r="Q63" s="56" t="s">
        <v>411</v>
      </c>
      <c r="R63" s="27" t="s">
        <v>82</v>
      </c>
      <c r="S63" s="29" t="s">
        <v>155</v>
      </c>
      <c r="T63" s="27" t="s">
        <v>403</v>
      </c>
      <c r="U63" s="27" t="s">
        <v>404</v>
      </c>
      <c r="V63" s="34">
        <v>83</v>
      </c>
      <c r="W63" t="str">
        <f t="shared" si="0"/>
        <v>155.1 @ -46°C' 128 @ 200°C</v>
      </c>
    </row>
    <row r="64" spans="1:23" x14ac:dyDescent="0.25">
      <c r="M64" s="33">
        <v>61</v>
      </c>
      <c r="N64" s="27" t="s">
        <v>179</v>
      </c>
      <c r="O64" s="27" t="s">
        <v>343</v>
      </c>
      <c r="P64" s="27">
        <v>2.8</v>
      </c>
      <c r="Q64" s="27" t="s">
        <v>411</v>
      </c>
      <c r="R64" s="27" t="s">
        <v>82</v>
      </c>
      <c r="S64" s="29" t="s">
        <v>155</v>
      </c>
      <c r="T64" s="27" t="s">
        <v>405</v>
      </c>
      <c r="U64" s="27" t="s">
        <v>406</v>
      </c>
      <c r="V64" s="34">
        <v>84</v>
      </c>
      <c r="W64" t="str">
        <f t="shared" si="0"/>
        <v>258.6 @ -46°C' 213.3 @ 200°C</v>
      </c>
    </row>
    <row r="65" spans="13:23" x14ac:dyDescent="0.25">
      <c r="M65" s="33">
        <v>62</v>
      </c>
      <c r="N65" s="27" t="s">
        <v>180</v>
      </c>
      <c r="O65" s="27" t="s">
        <v>346</v>
      </c>
      <c r="P65" s="27">
        <v>2.8</v>
      </c>
      <c r="Q65" s="27" t="s">
        <v>411</v>
      </c>
      <c r="R65" s="27" t="s">
        <v>82</v>
      </c>
      <c r="S65" s="29" t="s">
        <v>155</v>
      </c>
      <c r="T65" s="27" t="s">
        <v>407</v>
      </c>
      <c r="U65" s="27" t="s">
        <v>408</v>
      </c>
      <c r="V65" s="34">
        <v>85</v>
      </c>
      <c r="W65" t="str">
        <f t="shared" si="0"/>
        <v>430.9 @ -46°C' 355.4 @ 200°C</v>
      </c>
    </row>
    <row r="66" spans="13:23" x14ac:dyDescent="0.25">
      <c r="M66" s="33">
        <v>63</v>
      </c>
      <c r="N66" s="27" t="s">
        <v>298</v>
      </c>
      <c r="O66" s="27" t="s">
        <v>412</v>
      </c>
      <c r="P66" s="27" t="s">
        <v>34</v>
      </c>
      <c r="Q66" s="27" t="s">
        <v>413</v>
      </c>
      <c r="R66" s="27" t="s">
        <v>82</v>
      </c>
      <c r="S66" s="29" t="s">
        <v>414</v>
      </c>
      <c r="T66" s="27" t="s">
        <v>415</v>
      </c>
      <c r="U66" s="27" t="s">
        <v>416</v>
      </c>
      <c r="V66" s="34">
        <v>86</v>
      </c>
      <c r="W66" t="str">
        <f t="shared" si="0"/>
        <v>20 @ 0°C' 17.3 @ 100°C</v>
      </c>
    </row>
    <row r="67" spans="13:23" x14ac:dyDescent="0.25">
      <c r="M67" s="33">
        <v>64</v>
      </c>
      <c r="N67" s="27" t="s">
        <v>303</v>
      </c>
      <c r="O67" s="27" t="s">
        <v>327</v>
      </c>
      <c r="P67" s="27" t="s">
        <v>34</v>
      </c>
      <c r="Q67" s="27" t="s">
        <v>417</v>
      </c>
      <c r="R67" s="27" t="s">
        <v>82</v>
      </c>
      <c r="S67" s="29" t="s">
        <v>418</v>
      </c>
      <c r="T67" s="27" t="s">
        <v>415</v>
      </c>
      <c r="U67" s="27" t="s">
        <v>416</v>
      </c>
      <c r="V67" s="34">
        <v>87</v>
      </c>
      <c r="W67" t="str">
        <f t="shared" si="0"/>
        <v>20 @ 0°C' 17.3 @ 100°C</v>
      </c>
    </row>
    <row r="68" spans="13:23" x14ac:dyDescent="0.25">
      <c r="M68" s="33">
        <v>65</v>
      </c>
      <c r="N68" s="27" t="s">
        <v>419</v>
      </c>
      <c r="O68" s="27" t="s">
        <v>327</v>
      </c>
      <c r="P68" s="27" t="s">
        <v>34</v>
      </c>
      <c r="Q68" s="27" t="s">
        <v>420</v>
      </c>
      <c r="R68" s="27" t="s">
        <v>82</v>
      </c>
      <c r="S68" s="29" t="s">
        <v>421</v>
      </c>
      <c r="T68" s="27" t="s">
        <v>415</v>
      </c>
      <c r="U68" s="27" t="s">
        <v>422</v>
      </c>
      <c r="V68" s="34">
        <v>88</v>
      </c>
      <c r="W68" t="str">
        <f t="shared" ref="W68:W70" si="7">T68&amp;"' "&amp;U68</f>
        <v>20 @ 0°C' 20 @ 90°C</v>
      </c>
    </row>
    <row r="69" spans="13:23" x14ac:dyDescent="0.25">
      <c r="M69" s="33">
        <v>65</v>
      </c>
      <c r="N69" s="27" t="s">
        <v>423</v>
      </c>
      <c r="O69" s="27" t="s">
        <v>327</v>
      </c>
      <c r="P69" s="27" t="s">
        <v>34</v>
      </c>
      <c r="Q69" s="27" t="s">
        <v>420</v>
      </c>
      <c r="R69" s="27" t="s">
        <v>82</v>
      </c>
      <c r="S69" s="29" t="s">
        <v>424</v>
      </c>
      <c r="T69" s="27" t="s">
        <v>425</v>
      </c>
      <c r="U69" s="27" t="s">
        <v>426</v>
      </c>
      <c r="V69" s="34">
        <v>89</v>
      </c>
      <c r="W69" t="str">
        <f t="shared" si="7"/>
        <v>16.32 @ 0°C' 16.32 @ 82°C</v>
      </c>
    </row>
    <row r="70" spans="13:23" ht="15.75" thickBot="1" x14ac:dyDescent="0.3">
      <c r="M70" s="35">
        <v>66</v>
      </c>
      <c r="N70" s="37" t="s">
        <v>427</v>
      </c>
      <c r="O70" s="37" t="s">
        <v>327</v>
      </c>
      <c r="P70" s="37" t="s">
        <v>34</v>
      </c>
      <c r="Q70" s="37" t="s">
        <v>428</v>
      </c>
      <c r="R70" s="37" t="s">
        <v>82</v>
      </c>
      <c r="S70" s="38" t="s">
        <v>429</v>
      </c>
      <c r="T70" s="37" t="s">
        <v>415</v>
      </c>
      <c r="U70" s="37" t="s">
        <v>422</v>
      </c>
      <c r="V70" s="39">
        <v>90</v>
      </c>
      <c r="W70" t="str">
        <f t="shared" si="7"/>
        <v>20 @ 0°C' 20 @ 90°C</v>
      </c>
    </row>
    <row r="71" spans="13:23" x14ac:dyDescent="0.25">
      <c r="T71" s="57"/>
    </row>
    <row r="73" spans="13:23" x14ac:dyDescent="0.25">
      <c r="T73" s="25" t="str">
        <f>T66&amp;", "&amp;U66</f>
        <v>20 @ 0°C, 17.3 @ 100°C</v>
      </c>
    </row>
  </sheetData>
  <phoneticPr fontId="17" type="noConversion"/>
  <hyperlinks>
    <hyperlink ref="B4" location="'GLSA1R'!A1" display="GLSA1R" xr:uid="{63E2C4A6-7FCE-4097-B127-98E136953A48}"/>
    <hyperlink ref="B5" location="'GLSB1R'!A1" display="GLSB1R" xr:uid="{7E18C855-73F6-4DA1-928D-394A8CAFA27C}"/>
    <hyperlink ref="B6" location="'GLSD1R'!A1" display="GLSD1R" xr:uid="{A158EFE3-4280-48F9-8E61-77236D12623A}"/>
    <hyperlink ref="B7" location="'GLSE1J'!A1" display="GLSE1J" xr:uid="{B342E003-D998-451E-A657-68B36FA6E707}"/>
    <hyperlink ref="B8" location="'GLSF1J'!A1" display="GLSF1J" xr:uid="{43718531-14E3-4D09-A80F-7C2A17F7801A}"/>
    <hyperlink ref="B9" location="'GLSG1J'!A1" display="GLSG1J" xr:uid="{A7DF8390-4435-4210-AB19-FB1D3FC74D7B}"/>
    <hyperlink ref="B10" location="'GLSA2NR'!A1" display="GLSA2NR" xr:uid="{04B2CF9B-48F0-4425-90CB-0249FD4FAA0A}"/>
    <hyperlink ref="B11" location="'GLSB2NR'!A1" display="GLSB2NR" xr:uid="{35110641-E641-4A62-9E17-CD162C2A94C9}"/>
    <hyperlink ref="B12" location="'GLSD2NR'!A1" display="GLSD2NR" xr:uid="{7F3A5020-8217-4800-A198-871E80170F64}"/>
    <hyperlink ref="B13" location="'GLSE2NJ'!A1" display="GLSE2NJ" xr:uid="{49257E89-0E66-4BB3-B039-3CE6B9F9B807}"/>
    <hyperlink ref="B14" location="'GLSF2NJ'!A1" display="GLSF2NJ" xr:uid="{15B34E87-86DC-49BD-8E23-F9BA4BBA4071}"/>
    <hyperlink ref="B15" location="'GLSG2NJ'!A1" display="GLSG2NJ" xr:uid="{1F2F5D61-9BCA-45C4-A7D3-EF90FD1D3F10}"/>
    <hyperlink ref="B16" location="'GLSA1LNR'!A1" display="GLSA1LNR" xr:uid="{B551FFE7-A5A0-465B-9785-EBFAE5C4FD8A}"/>
    <hyperlink ref="B17" location="'GLSB1LNR'!A1" display="GLSB1LNR" xr:uid="{7954B60F-CD19-40A7-A165-FC7ADBDF991C}"/>
    <hyperlink ref="B18" location="'GLSD1LNR'!A1" display="GLSD1LNR" xr:uid="{E8FC161F-38A0-43C3-A4B5-5455D9BBD12D}"/>
    <hyperlink ref="B19" location="'GLSE1LNJ'!A1" display="GLSE1LNJ" xr:uid="{E0C5B7E0-8C14-42A5-873E-BE79DDB22BB9}"/>
    <hyperlink ref="B20" location="'GLSF1LNJ'!A1" display="GLSF1LNJ" xr:uid="{C9E6D3A7-1A56-4141-A70C-BEAFE9802EEF}"/>
    <hyperlink ref="B21" location="'GLSG1LNJ'!A1" display="GLSG1LNJ" xr:uid="{3D0C205E-437A-4B2C-AAF0-3580C689A491}"/>
    <hyperlink ref="B22" location="'GLSA1NR'!A1" display="GLSA1NR" xr:uid="{329BB4A2-E173-44C3-AF24-20D869A67792}"/>
    <hyperlink ref="B23" location="'GLSB1NR'!A1" display="GLSB1NR" xr:uid="{172226F6-040D-4611-A316-86B4207C199F}"/>
    <hyperlink ref="B24" location="'GLSD1NR'!A1" display="GLSD1NR" xr:uid="{7AE2C10B-40DC-4529-B973-002A7E1E54F1}"/>
    <hyperlink ref="B25" location="'GLSE1NJ'!A1" display="GLSE1NJ" xr:uid="{A6BAC7E1-C824-4F1E-93B7-0134C6566452}"/>
    <hyperlink ref="B26" location="'GLSF1NJ'!A1" display="GLSF1NJ" xr:uid="{99EF0296-A55E-4390-8583-B90326CA97D7}"/>
    <hyperlink ref="B27" location="'GLSG1NJ'!A1" display="GLSG1NJ" xr:uid="{5F72B9F1-7E60-49FE-A703-D636738CEE89}"/>
    <hyperlink ref="B28" location="'GLSA2LNR'!A1" display="GLSA2LNR" xr:uid="{53B9BCF5-18EB-4A95-A0E4-B461B463EA02}"/>
    <hyperlink ref="B29" location="'GLSB2LNR'!A1" display="GLSB2LNR" xr:uid="{A29CAC52-9DCF-4367-B7F8-C9A5CC465081}"/>
    <hyperlink ref="B30" location="'GLSD2LNR'!A1" display="GLSD2LNR" xr:uid="{32EF0999-B327-4D6E-89EE-B28B21EA79A0}"/>
    <hyperlink ref="B31" location="'GLSE2LNJ'!A1" display="GLSE2LNJ" xr:uid="{6CE565BB-1AE7-4714-80A3-FBA11F53CEEC}"/>
    <hyperlink ref="B32" location="'GLSF2LNJ'!A1" display="GLSF2LNJ" xr:uid="{843C879E-D7EB-4250-8287-B42F273857E2}"/>
    <hyperlink ref="B33" location="'GLSG2LNJ'!A1" display="GLSG2LNJ" xr:uid="{66F2CF00-866F-4F27-A03F-DE113575E5ED}"/>
    <hyperlink ref="B34" location="'GLSA10NR'!A1" display="GLSA10NR" xr:uid="{3E8DEE50-95D7-4BF8-B4A1-8BB4D7F2886E}"/>
    <hyperlink ref="B35" location="'GLSB10NR'!A1" display="GLSB10NR" xr:uid="{40576DD1-A3B6-42B1-8740-A788A19130B8}"/>
    <hyperlink ref="B36" location="'GLSD10NR'!A1" display="GLSD10NR" xr:uid="{B6414AC3-29A4-4A4D-B75B-924D143551AF}"/>
    <hyperlink ref="B37" location="'GLSE10NJ'!A1" display="GLSE10NJ" xr:uid="{4CDFEB61-6024-455A-A47A-D88DB851E88A}"/>
    <hyperlink ref="B38" location="'GLSF10NJ'!A1" display="GLSF10NJ" xr:uid="{FE1E0FFF-E85E-4363-BCDA-A5CDAF18F9DC}"/>
    <hyperlink ref="B39" location="'GLSG10NJ'!A1" display="GLSG10NJ" xr:uid="{14E7CAAA-CE70-40CA-998E-DA7E50572B7A}"/>
    <hyperlink ref="B40" location="'GLSA10R'!A1" display="GLSA10R" xr:uid="{8C1A7BE7-E8FB-45F1-AB7C-12EBF2E79F2F}"/>
    <hyperlink ref="B41" location="'GLSB10R'!A1" display="GLSB10R" xr:uid="{4B0C0C2F-6126-4453-83C1-005BD64C248E}"/>
    <hyperlink ref="B42" location="'GLSD10R'!A1" display="GLSD10R" xr:uid="{5EB062FC-4433-4C57-BF2C-5937D4788F9A}"/>
    <hyperlink ref="B43" location="'GLSE10J'!A1" display="GLSE10J" xr:uid="{25E006E5-E12E-40E5-92C6-3C279A634BB3}"/>
    <hyperlink ref="B44" location="'GLSF10J'!A1" display="GLSF10J" xr:uid="{3B409E00-5BEE-4452-9F66-F115AAD367B4}"/>
    <hyperlink ref="B45" location="'GLSG10J'!A1" display="GLSG10J" xr:uid="{464FC2D7-0FED-4A67-8006-41903A557EB4}"/>
    <hyperlink ref="B46" location="'GLSA20NR'!A1" display="GLSA20NR" xr:uid="{2EC3A9B2-60C8-4DED-8E74-E9B8DBBEEF68}"/>
    <hyperlink ref="B47" location="'GLSB20NR'!A1" display="GLSB20NR" xr:uid="{99B2E674-79A2-40FE-BDE7-49B175972A20}"/>
    <hyperlink ref="B48" location="'GLSD20NR'!A1" display="GLSD20NR" xr:uid="{F4975A03-FEA2-4DEF-BD53-CC5C37FE533F}"/>
    <hyperlink ref="B49" location="'GLSE20NJ'!A1" display="GLSE20NJ" xr:uid="{AFDA9854-6E4C-4E56-BB95-5C79F601DFFE}"/>
    <hyperlink ref="B50" location="'GLSF20NJ'!A1" display="GLSF20NJ" xr:uid="{5098DD28-4F4B-4342-960C-130241E67F6D}"/>
    <hyperlink ref="B51" location="'GLSG20NJ'!A1" display="GLSG20NJ" xr:uid="{534825C6-CD48-4EEB-83F5-34E3A3432285}"/>
    <hyperlink ref="B52" location="'GLSA25R'!A1" display="GLSA25R" xr:uid="{B69CE79B-61EC-4B81-9169-42D16450FDB9}"/>
    <hyperlink ref="B53" location="'GLSG25R'!A1" display="GLSG25R" xr:uid="{EC43D095-2BF8-466E-9E1F-236103078345}"/>
    <hyperlink ref="B54" location="'GLSA25NR'!A1" display="GLSA25NR" xr:uid="{51F3A671-3F25-4016-BF15-009E3BBDC508}"/>
    <hyperlink ref="B55" location="'GLSB25NR'!A1" display="GLSB25NR" xr:uid="{F5817ECD-EC1B-4B8A-B4FF-BD8D1705880A}"/>
    <hyperlink ref="B56" location="'GLSD25NR'!A1" display="GLSD25NR" xr:uid="{B7EED9F4-8751-4BF0-A9DF-A823EABE2560}"/>
    <hyperlink ref="B57" location="'GLSE25NR'!A1" display="GLSE25NR" xr:uid="{5542AA65-A652-45B3-9708-C107B535A7AA}"/>
    <hyperlink ref="B58" location="'GLSF25NR'!A1" display="GLSF25NR" xr:uid="{E99BEF74-EF5B-47B9-936B-208A9C3FEC5C}"/>
    <hyperlink ref="B59" location="'GLSG25NR'!A1" display="GLSG25NR" xr:uid="{6430D0B0-92BA-474B-A6F1-82D27B1FD886}"/>
    <hyperlink ref="B60" location="'GLSA30F'!A1" display="GLSA30F" xr:uid="{E27BC066-F786-4484-B72D-9F96AE45C4D0}"/>
    <hyperlink ref="B61" location="'GLSA31F'!A1" display="GLSA31F" xr:uid="{ABA1E0AE-986C-4627-9892-1B8A6EB2E273}"/>
  </hyperlinks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27E96-FBCE-4C68-8433-8D3560E418A7}">
  <sheetPr codeName="Sheet9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381</v>
      </c>
    </row>
    <row r="4" spans="1:5" x14ac:dyDescent="0.2">
      <c r="A4" s="80" t="s">
        <v>74</v>
      </c>
      <c r="B4" s="80"/>
      <c r="C4" s="2" t="s">
        <v>196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0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ht="36" x14ac:dyDescent="0.2">
      <c r="A8" s="63" t="s">
        <v>29</v>
      </c>
      <c r="B8" s="63"/>
      <c r="C8" s="3" t="str">
        <f>VLOOKUP(C5,Index!N:W,6,FALSE)</f>
        <v>Cooling Water, Diesel, Steam, WI, HC with low CO2 and H2S, Fresh Water, Hydraulic, Nitrogen, Exhaust, Fuel Oil, Tank Air Vent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55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19.6 @ -29°C' 13.8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3 mm</v>
      </c>
      <c r="D12" s="63"/>
      <c r="E12" s="63"/>
    </row>
    <row r="13" spans="1:5" x14ac:dyDescent="0.2">
      <c r="A13" s="63" t="s">
        <v>33</v>
      </c>
      <c r="B13" s="63"/>
      <c r="C13" s="3" t="s">
        <v>34</v>
      </c>
      <c r="D13" s="63"/>
      <c r="E13" s="63"/>
    </row>
    <row r="14" spans="1:5" x14ac:dyDescent="0.2">
      <c r="A14" s="63" t="s">
        <v>35</v>
      </c>
      <c r="B14" s="63"/>
      <c r="C14" s="3" t="s">
        <v>247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x14ac:dyDescent="0.2">
      <c r="A18" s="63"/>
      <c r="B18" s="4" t="s">
        <v>68</v>
      </c>
      <c r="C18" s="3" t="s">
        <v>103</v>
      </c>
      <c r="D18" s="63"/>
      <c r="E18" s="63"/>
    </row>
    <row r="19" spans="1:5" x14ac:dyDescent="0.2">
      <c r="A19" s="63"/>
      <c r="B19" s="4" t="s">
        <v>140</v>
      </c>
      <c r="C19" s="3" t="s">
        <v>143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120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244</v>
      </c>
      <c r="D23" s="63"/>
      <c r="E23" s="63"/>
    </row>
    <row r="24" spans="1:5" x14ac:dyDescent="0.2">
      <c r="A24" s="63"/>
      <c r="B24" s="4" t="s">
        <v>89</v>
      </c>
      <c r="C24" s="3" t="s">
        <v>245</v>
      </c>
      <c r="D24" s="63"/>
      <c r="E24" s="63"/>
    </row>
    <row r="25" spans="1:5" x14ac:dyDescent="0.2">
      <c r="A25" s="63"/>
      <c r="B25" s="4" t="s">
        <v>93</v>
      </c>
      <c r="C25" s="3" t="s">
        <v>102</v>
      </c>
      <c r="D25" s="63"/>
      <c r="E25" s="63"/>
    </row>
    <row r="26" spans="1:5" x14ac:dyDescent="0.2">
      <c r="A26" s="63"/>
      <c r="B26" s="4" t="s">
        <v>88</v>
      </c>
      <c r="C26" s="3" t="s">
        <v>102</v>
      </c>
      <c r="D26" s="63"/>
      <c r="E26" s="63"/>
    </row>
    <row r="27" spans="1:5" x14ac:dyDescent="0.2">
      <c r="A27" s="63"/>
      <c r="B27" s="4" t="s">
        <v>90</v>
      </c>
      <c r="C27" s="3" t="s">
        <v>132</v>
      </c>
      <c r="D27" s="63"/>
      <c r="E27" s="63"/>
    </row>
    <row r="28" spans="1:5" x14ac:dyDescent="0.2">
      <c r="A28" s="63"/>
      <c r="B28" s="4" t="s">
        <v>142</v>
      </c>
      <c r="C28" s="3" t="s">
        <v>132</v>
      </c>
      <c r="D28" s="63"/>
      <c r="E28" s="63"/>
    </row>
    <row r="29" spans="1:5" x14ac:dyDescent="0.2">
      <c r="A29" s="63"/>
      <c r="B29" s="4" t="s">
        <v>91</v>
      </c>
      <c r="C29" s="3" t="s">
        <v>136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182</v>
      </c>
      <c r="D32" s="63"/>
      <c r="E32" s="63"/>
    </row>
    <row r="33" spans="1:5" ht="36" x14ac:dyDescent="0.2">
      <c r="A33" s="63"/>
      <c r="B33" s="4" t="s">
        <v>43</v>
      </c>
      <c r="C33" s="3" t="s">
        <v>192</v>
      </c>
      <c r="D33" s="63"/>
      <c r="E33" s="63"/>
    </row>
    <row r="34" spans="1:5" ht="36" x14ac:dyDescent="0.2">
      <c r="A34" s="63"/>
      <c r="B34" s="4" t="s">
        <v>44</v>
      </c>
      <c r="C34" s="3" t="s">
        <v>181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288</v>
      </c>
      <c r="D39" s="58"/>
      <c r="E39" s="59"/>
    </row>
    <row r="40" spans="1:5" x14ac:dyDescent="0.2">
      <c r="A40" s="58" t="s">
        <v>125</v>
      </c>
      <c r="B40" s="59"/>
      <c r="C40" s="3" t="s">
        <v>289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107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637" priority="2"/>
  </conditionalFormatting>
  <conditionalFormatting sqref="B24">
    <cfRule type="duplicateValues" dxfId="636" priority="10"/>
  </conditionalFormatting>
  <conditionalFormatting sqref="B25">
    <cfRule type="duplicateValues" dxfId="635" priority="3"/>
  </conditionalFormatting>
  <conditionalFormatting sqref="B28">
    <cfRule type="duplicateValues" dxfId="634" priority="1"/>
  </conditionalFormatting>
  <conditionalFormatting sqref="B31">
    <cfRule type="duplicateValues" dxfId="633" priority="9"/>
  </conditionalFormatting>
  <conditionalFormatting sqref="B37">
    <cfRule type="duplicateValues" dxfId="632" priority="5"/>
  </conditionalFormatting>
  <conditionalFormatting sqref="B38">
    <cfRule type="duplicateValues" dxfId="631" priority="4"/>
  </conditionalFormatting>
  <conditionalFormatting sqref="B39">
    <cfRule type="duplicateValues" dxfId="630" priority="8"/>
  </conditionalFormatting>
  <conditionalFormatting sqref="B40">
    <cfRule type="duplicateValues" dxfId="629" priority="7"/>
  </conditionalFormatting>
  <conditionalFormatting sqref="B41">
    <cfRule type="duplicateValues" dxfId="628" priority="6"/>
  </conditionalFormatting>
  <conditionalFormatting sqref="B55:B1048576 B26:B27 B4:B10 B12:B18 B32:B36 B42:B46 B20:B23 B29:B30">
    <cfRule type="duplicateValues" dxfId="627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4DCB2-0A21-43C3-8484-73E24E56877F}">
  <sheetPr codeName="Sheet11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382</v>
      </c>
    </row>
    <row r="4" spans="1:5" x14ac:dyDescent="0.2">
      <c r="A4" s="80" t="s">
        <v>74</v>
      </c>
      <c r="B4" s="80"/>
      <c r="C4" s="2" t="s">
        <v>197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5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ht="24" x14ac:dyDescent="0.2">
      <c r="A8" s="63" t="s">
        <v>29</v>
      </c>
      <c r="B8" s="63"/>
      <c r="C8" s="3" t="str">
        <f>VLOOKUP(C5,Index!N:W,6,FALSE)</f>
        <v>Cooling Water, Diesel, WI, HC with low CO2 and H2S, Steam, Hydraulic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58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51.1 @ -29°C' 43.8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3 mm</v>
      </c>
      <c r="D12" s="63"/>
      <c r="E12" s="63"/>
    </row>
    <row r="13" spans="1:5" x14ac:dyDescent="0.2">
      <c r="A13" s="63" t="s">
        <v>33</v>
      </c>
      <c r="B13" s="63"/>
      <c r="C13" s="3" t="s">
        <v>34</v>
      </c>
      <c r="D13" s="63"/>
      <c r="E13" s="63"/>
    </row>
    <row r="14" spans="1:5" x14ac:dyDescent="0.2">
      <c r="A14" s="63" t="s">
        <v>35</v>
      </c>
      <c r="B14" s="63"/>
      <c r="C14" s="3" t="s">
        <v>247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x14ac:dyDescent="0.2">
      <c r="A18" s="63"/>
      <c r="B18" s="4" t="s">
        <v>68</v>
      </c>
      <c r="C18" s="3" t="s">
        <v>103</v>
      </c>
      <c r="D18" s="63"/>
      <c r="E18" s="63"/>
    </row>
    <row r="19" spans="1:5" x14ac:dyDescent="0.2">
      <c r="A19" s="63"/>
      <c r="B19" s="4" t="s">
        <v>140</v>
      </c>
      <c r="C19" s="3" t="s">
        <v>143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123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244</v>
      </c>
      <c r="D23" s="63"/>
      <c r="E23" s="63"/>
    </row>
    <row r="24" spans="1:5" x14ac:dyDescent="0.2">
      <c r="A24" s="63"/>
      <c r="B24" s="4" t="s">
        <v>89</v>
      </c>
      <c r="C24" s="3" t="s">
        <v>245</v>
      </c>
      <c r="D24" s="63"/>
      <c r="E24" s="63"/>
    </row>
    <row r="25" spans="1:5" x14ac:dyDescent="0.2">
      <c r="A25" s="63"/>
      <c r="B25" s="4" t="s">
        <v>93</v>
      </c>
      <c r="C25" s="3" t="s">
        <v>102</v>
      </c>
      <c r="D25" s="63"/>
      <c r="E25" s="63"/>
    </row>
    <row r="26" spans="1:5" x14ac:dyDescent="0.2">
      <c r="A26" s="63"/>
      <c r="B26" s="4" t="s">
        <v>88</v>
      </c>
      <c r="C26" s="3" t="s">
        <v>102</v>
      </c>
      <c r="D26" s="63"/>
      <c r="E26" s="63"/>
    </row>
    <row r="27" spans="1:5" x14ac:dyDescent="0.2">
      <c r="A27" s="63"/>
      <c r="B27" s="4" t="s">
        <v>90</v>
      </c>
      <c r="C27" s="3" t="s">
        <v>132</v>
      </c>
      <c r="D27" s="63"/>
      <c r="E27" s="63"/>
    </row>
    <row r="28" spans="1:5" x14ac:dyDescent="0.2">
      <c r="A28" s="63"/>
      <c r="B28" s="4" t="s">
        <v>142</v>
      </c>
      <c r="C28" s="3" t="s">
        <v>132</v>
      </c>
      <c r="D28" s="63"/>
      <c r="E28" s="63"/>
    </row>
    <row r="29" spans="1:5" x14ac:dyDescent="0.2">
      <c r="A29" s="63"/>
      <c r="B29" s="4" t="s">
        <v>91</v>
      </c>
      <c r="C29" s="3" t="s">
        <v>136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182</v>
      </c>
      <c r="D32" s="63"/>
      <c r="E32" s="63"/>
    </row>
    <row r="33" spans="1:5" ht="36" x14ac:dyDescent="0.2">
      <c r="A33" s="63"/>
      <c r="B33" s="4" t="s">
        <v>43</v>
      </c>
      <c r="C33" s="3" t="s">
        <v>192</v>
      </c>
      <c r="D33" s="63"/>
      <c r="E33" s="63"/>
    </row>
    <row r="34" spans="1:5" ht="36" x14ac:dyDescent="0.2">
      <c r="A34" s="63"/>
      <c r="B34" s="4" t="s">
        <v>44</v>
      </c>
      <c r="C34" s="3" t="s">
        <v>181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286</v>
      </c>
      <c r="D39" s="58"/>
      <c r="E39" s="59"/>
    </row>
    <row r="40" spans="1:5" x14ac:dyDescent="0.2">
      <c r="A40" s="58" t="s">
        <v>125</v>
      </c>
      <c r="B40" s="59"/>
      <c r="C40" s="3" t="s">
        <v>287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107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626" priority="2"/>
  </conditionalFormatting>
  <conditionalFormatting sqref="B24">
    <cfRule type="duplicateValues" dxfId="625" priority="10"/>
  </conditionalFormatting>
  <conditionalFormatting sqref="B25">
    <cfRule type="duplicateValues" dxfId="624" priority="3"/>
  </conditionalFormatting>
  <conditionalFormatting sqref="B28">
    <cfRule type="duplicateValues" dxfId="623" priority="1"/>
  </conditionalFormatting>
  <conditionalFormatting sqref="B31">
    <cfRule type="duplicateValues" dxfId="622" priority="9"/>
  </conditionalFormatting>
  <conditionalFormatting sqref="B37">
    <cfRule type="duplicateValues" dxfId="621" priority="5"/>
  </conditionalFormatting>
  <conditionalFormatting sqref="B38">
    <cfRule type="duplicateValues" dxfId="620" priority="4"/>
  </conditionalFormatting>
  <conditionalFormatting sqref="B39">
    <cfRule type="duplicateValues" dxfId="619" priority="8"/>
  </conditionalFormatting>
  <conditionalFormatting sqref="B40">
    <cfRule type="duplicateValues" dxfId="618" priority="7"/>
  </conditionalFormatting>
  <conditionalFormatting sqref="B41">
    <cfRule type="duplicateValues" dxfId="617" priority="6"/>
  </conditionalFormatting>
  <conditionalFormatting sqref="B55:B1048576 B26:B27 B4:B10 B12:B18 B32:B36 B42:B46 B20:B23 B29:B30">
    <cfRule type="duplicateValues" dxfId="616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DBFDF-278B-4A97-B5E4-ACA73CC6739D}">
  <sheetPr codeName="Sheet14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383</v>
      </c>
    </row>
    <row r="4" spans="1:5" x14ac:dyDescent="0.2">
      <c r="A4" s="80" t="s">
        <v>74</v>
      </c>
      <c r="B4" s="80"/>
      <c r="C4" s="2" t="s">
        <v>198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23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ht="24" x14ac:dyDescent="0.2">
      <c r="A8" s="63" t="s">
        <v>29</v>
      </c>
      <c r="B8" s="63"/>
      <c r="C8" s="3" t="str">
        <f>VLOOKUP(C5,Index!N:W,6,FALSE)</f>
        <v>Cooling Water, Diesel, WI, HC with low CO2 and H2S, Steam, Hydraulic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59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102.1 @ -29°C' 87.6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3 mm</v>
      </c>
      <c r="D12" s="63"/>
      <c r="E12" s="63"/>
    </row>
    <row r="13" spans="1:5" x14ac:dyDescent="0.2">
      <c r="A13" s="63" t="s">
        <v>33</v>
      </c>
      <c r="B13" s="63"/>
      <c r="C13" s="3" t="s">
        <v>34</v>
      </c>
      <c r="D13" s="63"/>
      <c r="E13" s="63"/>
    </row>
    <row r="14" spans="1:5" x14ac:dyDescent="0.2">
      <c r="A14" s="63" t="s">
        <v>35</v>
      </c>
      <c r="B14" s="63"/>
      <c r="C14" s="3" t="s">
        <v>247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x14ac:dyDescent="0.2">
      <c r="A18" s="63"/>
      <c r="B18" s="4" t="s">
        <v>68</v>
      </c>
      <c r="C18" s="3" t="s">
        <v>103</v>
      </c>
      <c r="D18" s="63"/>
      <c r="E18" s="63"/>
    </row>
    <row r="19" spans="1:5" x14ac:dyDescent="0.2">
      <c r="A19" s="63"/>
      <c r="B19" s="4" t="s">
        <v>140</v>
      </c>
      <c r="C19" s="3" t="s">
        <v>143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122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244</v>
      </c>
      <c r="D23" s="63"/>
      <c r="E23" s="63"/>
    </row>
    <row r="24" spans="1:5" x14ac:dyDescent="0.2">
      <c r="A24" s="63"/>
      <c r="B24" s="4" t="s">
        <v>89</v>
      </c>
      <c r="C24" s="3" t="s">
        <v>245</v>
      </c>
      <c r="D24" s="63"/>
      <c r="E24" s="63"/>
    </row>
    <row r="25" spans="1:5" x14ac:dyDescent="0.2">
      <c r="A25" s="63"/>
      <c r="B25" s="4" t="s">
        <v>93</v>
      </c>
      <c r="C25" s="3" t="s">
        <v>102</v>
      </c>
      <c r="D25" s="63"/>
      <c r="E25" s="63"/>
    </row>
    <row r="26" spans="1:5" x14ac:dyDescent="0.2">
      <c r="A26" s="63"/>
      <c r="B26" s="4" t="s">
        <v>88</v>
      </c>
      <c r="C26" s="3" t="s">
        <v>102</v>
      </c>
      <c r="D26" s="63"/>
      <c r="E26" s="63"/>
    </row>
    <row r="27" spans="1:5" x14ac:dyDescent="0.2">
      <c r="A27" s="63"/>
      <c r="B27" s="4" t="s">
        <v>90</v>
      </c>
      <c r="C27" s="3" t="s">
        <v>132</v>
      </c>
      <c r="D27" s="63"/>
      <c r="E27" s="63"/>
    </row>
    <row r="28" spans="1:5" x14ac:dyDescent="0.2">
      <c r="A28" s="63"/>
      <c r="B28" s="4" t="s">
        <v>142</v>
      </c>
      <c r="C28" s="3" t="s">
        <v>132</v>
      </c>
      <c r="D28" s="63"/>
      <c r="E28" s="63"/>
    </row>
    <row r="29" spans="1:5" x14ac:dyDescent="0.2">
      <c r="A29" s="63"/>
      <c r="B29" s="4" t="s">
        <v>91</v>
      </c>
      <c r="C29" s="3" t="s">
        <v>136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182</v>
      </c>
      <c r="D32" s="63"/>
      <c r="E32" s="63"/>
    </row>
    <row r="33" spans="1:5" ht="36" x14ac:dyDescent="0.2">
      <c r="A33" s="63"/>
      <c r="B33" s="4" t="s">
        <v>43</v>
      </c>
      <c r="C33" s="3" t="s">
        <v>192</v>
      </c>
      <c r="D33" s="63"/>
      <c r="E33" s="63"/>
    </row>
    <row r="34" spans="1:5" ht="36" x14ac:dyDescent="0.2">
      <c r="A34" s="63"/>
      <c r="B34" s="4" t="s">
        <v>44</v>
      </c>
      <c r="C34" s="3" t="s">
        <v>181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284</v>
      </c>
      <c r="D39" s="58"/>
      <c r="E39" s="59"/>
    </row>
    <row r="40" spans="1:5" x14ac:dyDescent="0.2">
      <c r="A40" s="58" t="s">
        <v>125</v>
      </c>
      <c r="B40" s="59"/>
      <c r="C40" s="3" t="s">
        <v>285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107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615" priority="2"/>
  </conditionalFormatting>
  <conditionalFormatting sqref="B24">
    <cfRule type="duplicateValues" dxfId="614" priority="10"/>
  </conditionalFormatting>
  <conditionalFormatting sqref="B25">
    <cfRule type="duplicateValues" dxfId="613" priority="3"/>
  </conditionalFormatting>
  <conditionalFormatting sqref="B28">
    <cfRule type="duplicateValues" dxfId="612" priority="1"/>
  </conditionalFormatting>
  <conditionalFormatting sqref="B31">
    <cfRule type="duplicateValues" dxfId="611" priority="9"/>
  </conditionalFormatting>
  <conditionalFormatting sqref="B37">
    <cfRule type="duplicateValues" dxfId="610" priority="5"/>
  </conditionalFormatting>
  <conditionalFormatting sqref="B38">
    <cfRule type="duplicateValues" dxfId="609" priority="4"/>
  </conditionalFormatting>
  <conditionalFormatting sqref="B39">
    <cfRule type="duplicateValues" dxfId="608" priority="8"/>
  </conditionalFormatting>
  <conditionalFormatting sqref="B40">
    <cfRule type="duplicateValues" dxfId="607" priority="7"/>
  </conditionalFormatting>
  <conditionalFormatting sqref="B41">
    <cfRule type="duplicateValues" dxfId="606" priority="6"/>
  </conditionalFormatting>
  <conditionalFormatting sqref="B55:B1048576 B26:B27 B4:B10 B12:B18 B32:B36 B42:B46 B20:B23 B29:B30">
    <cfRule type="duplicateValues" dxfId="605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644CB-79CA-49D5-AD15-BC50AA17FC16}">
  <sheetPr codeName="Sheet15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384</v>
      </c>
    </row>
    <row r="4" spans="1:5" x14ac:dyDescent="0.2">
      <c r="A4" s="80" t="s">
        <v>74</v>
      </c>
      <c r="B4" s="80"/>
      <c r="C4" s="2" t="s">
        <v>199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15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ht="24" x14ac:dyDescent="0.2">
      <c r="A8" s="63" t="s">
        <v>29</v>
      </c>
      <c r="B8" s="63"/>
      <c r="C8" s="3" t="str">
        <f>VLOOKUP(C5,Index!N:W,6,FALSE)</f>
        <v>Diesel, WI, HC with low CO2 and H2S, Steam, Hydraulic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60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153.2 @ -29°C' 131.4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3 mm</v>
      </c>
      <c r="D12" s="63"/>
      <c r="E12" s="63"/>
    </row>
    <row r="13" spans="1:5" x14ac:dyDescent="0.2">
      <c r="A13" s="63" t="s">
        <v>33</v>
      </c>
      <c r="B13" s="63"/>
      <c r="C13" s="3" t="s">
        <v>34</v>
      </c>
      <c r="D13" s="63"/>
      <c r="E13" s="63"/>
    </row>
    <row r="14" spans="1:5" x14ac:dyDescent="0.2">
      <c r="A14" s="63" t="s">
        <v>35</v>
      </c>
      <c r="B14" s="63"/>
      <c r="C14" s="3" t="s">
        <v>61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x14ac:dyDescent="0.2">
      <c r="A18" s="63"/>
      <c r="B18" s="4" t="s">
        <v>68</v>
      </c>
      <c r="C18" s="3" t="s">
        <v>103</v>
      </c>
      <c r="D18" s="63"/>
      <c r="E18" s="63"/>
    </row>
    <row r="19" spans="1:5" x14ac:dyDescent="0.2">
      <c r="A19" s="63"/>
      <c r="B19" s="4" t="s">
        <v>140</v>
      </c>
      <c r="C19" s="3" t="s">
        <v>143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122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244</v>
      </c>
      <c r="D23" s="63"/>
      <c r="E23" s="63"/>
    </row>
    <row r="24" spans="1:5" x14ac:dyDescent="0.2">
      <c r="A24" s="63"/>
      <c r="B24" s="4" t="s">
        <v>89</v>
      </c>
      <c r="C24" s="3" t="s">
        <v>245</v>
      </c>
      <c r="D24" s="63"/>
      <c r="E24" s="63"/>
    </row>
    <row r="25" spans="1:5" x14ac:dyDescent="0.2">
      <c r="A25" s="63"/>
      <c r="B25" s="4" t="s">
        <v>93</v>
      </c>
      <c r="C25" s="3" t="s">
        <v>102</v>
      </c>
      <c r="D25" s="63"/>
      <c r="E25" s="63"/>
    </row>
    <row r="26" spans="1:5" x14ac:dyDescent="0.2">
      <c r="A26" s="63"/>
      <c r="B26" s="4" t="s">
        <v>88</v>
      </c>
      <c r="C26" s="3" t="s">
        <v>102</v>
      </c>
      <c r="D26" s="63"/>
      <c r="E26" s="63"/>
    </row>
    <row r="27" spans="1:5" x14ac:dyDescent="0.2">
      <c r="A27" s="63"/>
      <c r="B27" s="4" t="s">
        <v>90</v>
      </c>
      <c r="C27" s="3" t="s">
        <v>132</v>
      </c>
      <c r="D27" s="63"/>
      <c r="E27" s="63"/>
    </row>
    <row r="28" spans="1:5" x14ac:dyDescent="0.2">
      <c r="A28" s="63"/>
      <c r="B28" s="4" t="s">
        <v>142</v>
      </c>
      <c r="C28" s="3" t="s">
        <v>132</v>
      </c>
      <c r="D28" s="63"/>
      <c r="E28" s="63"/>
    </row>
    <row r="29" spans="1:5" x14ac:dyDescent="0.2">
      <c r="A29" s="63"/>
      <c r="B29" s="4" t="s">
        <v>91</v>
      </c>
      <c r="C29" s="3" t="s">
        <v>136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183</v>
      </c>
      <c r="D32" s="63"/>
      <c r="E32" s="63"/>
    </row>
    <row r="33" spans="1:5" ht="36" x14ac:dyDescent="0.2">
      <c r="A33" s="63"/>
      <c r="B33" s="4" t="s">
        <v>43</v>
      </c>
      <c r="C33" s="3" t="s">
        <v>192</v>
      </c>
      <c r="D33" s="63"/>
      <c r="E33" s="63"/>
    </row>
    <row r="34" spans="1:5" ht="36" x14ac:dyDescent="0.2">
      <c r="A34" s="63"/>
      <c r="B34" s="4" t="s">
        <v>44</v>
      </c>
      <c r="C34" s="3" t="s">
        <v>181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282</v>
      </c>
      <c r="D39" s="58"/>
      <c r="E39" s="59"/>
    </row>
    <row r="40" spans="1:5" x14ac:dyDescent="0.2">
      <c r="A40" s="58" t="s">
        <v>125</v>
      </c>
      <c r="B40" s="59"/>
      <c r="C40" s="3" t="s">
        <v>283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107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604" priority="2"/>
  </conditionalFormatting>
  <conditionalFormatting sqref="B24">
    <cfRule type="duplicateValues" dxfId="603" priority="10"/>
  </conditionalFormatting>
  <conditionalFormatting sqref="B25">
    <cfRule type="duplicateValues" dxfId="602" priority="3"/>
  </conditionalFormatting>
  <conditionalFormatting sqref="B28">
    <cfRule type="duplicateValues" dxfId="601" priority="1"/>
  </conditionalFormatting>
  <conditionalFormatting sqref="B31">
    <cfRule type="duplicateValues" dxfId="600" priority="9"/>
  </conditionalFormatting>
  <conditionalFormatting sqref="B37">
    <cfRule type="duplicateValues" dxfId="599" priority="5"/>
  </conditionalFormatting>
  <conditionalFormatting sqref="B38">
    <cfRule type="duplicateValues" dxfId="598" priority="4"/>
  </conditionalFormatting>
  <conditionalFormatting sqref="B39">
    <cfRule type="duplicateValues" dxfId="597" priority="8"/>
  </conditionalFormatting>
  <conditionalFormatting sqref="B40">
    <cfRule type="duplicateValues" dxfId="596" priority="7"/>
  </conditionalFormatting>
  <conditionalFormatting sqref="B41">
    <cfRule type="duplicateValues" dxfId="595" priority="6"/>
  </conditionalFormatting>
  <conditionalFormatting sqref="B55:B1048576 B26:B27 B4:B10 B12:B18 B32:B36 B42:B46 B20:B23 B29:B30">
    <cfRule type="duplicateValues" dxfId="594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A735B-F0EE-44B8-AF16-3711CB68F99C}">
  <sheetPr codeName="Sheet16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385</v>
      </c>
    </row>
    <row r="4" spans="1:5" x14ac:dyDescent="0.2">
      <c r="A4" s="80" t="s">
        <v>74</v>
      </c>
      <c r="B4" s="80"/>
      <c r="C4" s="2" t="s">
        <v>200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22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ht="24" x14ac:dyDescent="0.2">
      <c r="A8" s="63" t="s">
        <v>29</v>
      </c>
      <c r="B8" s="63"/>
      <c r="C8" s="3" t="str">
        <f>VLOOKUP(C5,Index!N:W,6,FALSE)</f>
        <v>Diesel, WI, HC with low CO2 and H2S, Steam, Hydraulic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62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255.3 @ -29°C' 219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3 mm</v>
      </c>
      <c r="D12" s="63"/>
      <c r="E12" s="63"/>
    </row>
    <row r="13" spans="1:5" x14ac:dyDescent="0.2">
      <c r="A13" s="63" t="s">
        <v>33</v>
      </c>
      <c r="B13" s="63"/>
      <c r="C13" s="3" t="s">
        <v>34</v>
      </c>
      <c r="D13" s="63"/>
      <c r="E13" s="63"/>
    </row>
    <row r="14" spans="1:5" ht="24" x14ac:dyDescent="0.2">
      <c r="A14" s="63" t="s">
        <v>35</v>
      </c>
      <c r="B14" s="63"/>
      <c r="C14" s="3" t="s">
        <v>297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x14ac:dyDescent="0.2">
      <c r="A18" s="63"/>
      <c r="B18" s="4" t="s">
        <v>68</v>
      </c>
      <c r="C18" s="3" t="s">
        <v>103</v>
      </c>
      <c r="D18" s="63"/>
      <c r="E18" s="63"/>
    </row>
    <row r="19" spans="1:5" x14ac:dyDescent="0.2">
      <c r="A19" s="63"/>
      <c r="B19" s="4" t="s">
        <v>140</v>
      </c>
      <c r="C19" s="3" t="s">
        <v>143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121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244</v>
      </c>
      <c r="D23" s="63"/>
      <c r="E23" s="63"/>
    </row>
    <row r="24" spans="1:5" x14ac:dyDescent="0.2">
      <c r="A24" s="63"/>
      <c r="B24" s="4" t="s">
        <v>89</v>
      </c>
      <c r="C24" s="3" t="s">
        <v>245</v>
      </c>
      <c r="D24" s="63"/>
      <c r="E24" s="63"/>
    </row>
    <row r="25" spans="1:5" x14ac:dyDescent="0.2">
      <c r="A25" s="63"/>
      <c r="B25" s="4" t="s">
        <v>93</v>
      </c>
      <c r="C25" s="3" t="s">
        <v>102</v>
      </c>
      <c r="D25" s="63"/>
      <c r="E25" s="63"/>
    </row>
    <row r="26" spans="1:5" x14ac:dyDescent="0.2">
      <c r="A26" s="63"/>
      <c r="B26" s="4" t="s">
        <v>88</v>
      </c>
      <c r="C26" s="3" t="s">
        <v>102</v>
      </c>
      <c r="D26" s="63"/>
      <c r="E26" s="63"/>
    </row>
    <row r="27" spans="1:5" x14ac:dyDescent="0.2">
      <c r="A27" s="63"/>
      <c r="B27" s="4" t="s">
        <v>90</v>
      </c>
      <c r="C27" s="3" t="s">
        <v>132</v>
      </c>
      <c r="D27" s="63"/>
      <c r="E27" s="63"/>
    </row>
    <row r="28" spans="1:5" x14ac:dyDescent="0.2">
      <c r="A28" s="63"/>
      <c r="B28" s="4" t="s">
        <v>142</v>
      </c>
      <c r="C28" s="3" t="s">
        <v>132</v>
      </c>
      <c r="D28" s="63"/>
      <c r="E28" s="63"/>
    </row>
    <row r="29" spans="1:5" x14ac:dyDescent="0.2">
      <c r="A29" s="63"/>
      <c r="B29" s="4" t="s">
        <v>91</v>
      </c>
      <c r="C29" s="3" t="s">
        <v>136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183</v>
      </c>
      <c r="D32" s="63"/>
      <c r="E32" s="63"/>
    </row>
    <row r="33" spans="1:5" ht="36" x14ac:dyDescent="0.2">
      <c r="A33" s="63"/>
      <c r="B33" s="4" t="s">
        <v>43</v>
      </c>
      <c r="C33" s="3" t="s">
        <v>192</v>
      </c>
      <c r="D33" s="63"/>
      <c r="E33" s="63"/>
    </row>
    <row r="34" spans="1:5" ht="36" x14ac:dyDescent="0.2">
      <c r="A34" s="63"/>
      <c r="B34" s="4" t="s">
        <v>44</v>
      </c>
      <c r="C34" s="3" t="s">
        <v>181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280</v>
      </c>
      <c r="D39" s="58"/>
      <c r="E39" s="59"/>
    </row>
    <row r="40" spans="1:5" x14ac:dyDescent="0.2">
      <c r="A40" s="58" t="s">
        <v>125</v>
      </c>
      <c r="B40" s="59"/>
      <c r="C40" s="3" t="s">
        <v>281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107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593" priority="2"/>
  </conditionalFormatting>
  <conditionalFormatting sqref="B24">
    <cfRule type="duplicateValues" dxfId="592" priority="10"/>
  </conditionalFormatting>
  <conditionalFormatting sqref="B25">
    <cfRule type="duplicateValues" dxfId="591" priority="3"/>
  </conditionalFormatting>
  <conditionalFormatting sqref="B28">
    <cfRule type="duplicateValues" dxfId="590" priority="1"/>
  </conditionalFormatting>
  <conditionalFormatting sqref="B31">
    <cfRule type="duplicateValues" dxfId="589" priority="9"/>
  </conditionalFormatting>
  <conditionalFormatting sqref="B37">
    <cfRule type="duplicateValues" dxfId="588" priority="5"/>
  </conditionalFormatting>
  <conditionalFormatting sqref="B38">
    <cfRule type="duplicateValues" dxfId="587" priority="4"/>
  </conditionalFormatting>
  <conditionalFormatting sqref="B39">
    <cfRule type="duplicateValues" dxfId="586" priority="8"/>
  </conditionalFormatting>
  <conditionalFormatting sqref="B40">
    <cfRule type="duplicateValues" dxfId="585" priority="7"/>
  </conditionalFormatting>
  <conditionalFormatting sqref="B41">
    <cfRule type="duplicateValues" dxfId="584" priority="6"/>
  </conditionalFormatting>
  <conditionalFormatting sqref="B55:B1048576 B26:B27 B4:B10 B12:B18 B32:B36 B42:B46 B20:B23 B29:B30">
    <cfRule type="duplicateValues" dxfId="583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D0154-D3E8-4B1D-AE48-06BA62A46E0E}">
  <sheetPr codeName="Sheet17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386</v>
      </c>
    </row>
    <row r="4" spans="1:5" x14ac:dyDescent="0.2">
      <c r="A4" s="80" t="s">
        <v>74</v>
      </c>
      <c r="B4" s="80"/>
      <c r="C4" s="2" t="s">
        <v>248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153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HC with low CO2 and H2S, Steam, Hydraulic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63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399.8 @ -29°C' 342.9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3 mm</v>
      </c>
      <c r="D12" s="63"/>
      <c r="E12" s="63"/>
    </row>
    <row r="13" spans="1:5" x14ac:dyDescent="0.2">
      <c r="A13" s="63" t="s">
        <v>33</v>
      </c>
      <c r="B13" s="63"/>
      <c r="C13" s="3" t="s">
        <v>34</v>
      </c>
      <c r="D13" s="63"/>
      <c r="E13" s="63"/>
    </row>
    <row r="14" spans="1:5" ht="24" x14ac:dyDescent="0.2">
      <c r="A14" s="63" t="s">
        <v>35</v>
      </c>
      <c r="B14" s="63"/>
      <c r="C14" s="3" t="s">
        <v>297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x14ac:dyDescent="0.2">
      <c r="A18" s="63"/>
      <c r="B18" s="4" t="s">
        <v>68</v>
      </c>
      <c r="C18" s="3" t="s">
        <v>103</v>
      </c>
      <c r="D18" s="63"/>
      <c r="E18" s="63"/>
    </row>
    <row r="19" spans="1:5" x14ac:dyDescent="0.2">
      <c r="A19" s="63"/>
      <c r="B19" s="4" t="s">
        <v>140</v>
      </c>
      <c r="C19" s="3" t="s">
        <v>143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121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244</v>
      </c>
      <c r="D23" s="63"/>
      <c r="E23" s="63"/>
    </row>
    <row r="24" spans="1:5" x14ac:dyDescent="0.2">
      <c r="A24" s="63"/>
      <c r="B24" s="4" t="s">
        <v>89</v>
      </c>
      <c r="C24" s="3" t="s">
        <v>245</v>
      </c>
      <c r="D24" s="63"/>
      <c r="E24" s="63"/>
    </row>
    <row r="25" spans="1:5" x14ac:dyDescent="0.2">
      <c r="A25" s="63"/>
      <c r="B25" s="4" t="s">
        <v>93</v>
      </c>
      <c r="C25" s="3" t="s">
        <v>102</v>
      </c>
      <c r="D25" s="63"/>
      <c r="E25" s="63"/>
    </row>
    <row r="26" spans="1:5" x14ac:dyDescent="0.2">
      <c r="A26" s="63"/>
      <c r="B26" s="4" t="s">
        <v>88</v>
      </c>
      <c r="C26" s="3" t="s">
        <v>102</v>
      </c>
      <c r="D26" s="63"/>
      <c r="E26" s="63"/>
    </row>
    <row r="27" spans="1:5" x14ac:dyDescent="0.2">
      <c r="A27" s="63"/>
      <c r="B27" s="4" t="s">
        <v>90</v>
      </c>
      <c r="C27" s="3" t="s">
        <v>132</v>
      </c>
      <c r="D27" s="63"/>
      <c r="E27" s="63"/>
    </row>
    <row r="28" spans="1:5" x14ac:dyDescent="0.2">
      <c r="A28" s="63"/>
      <c r="B28" s="4" t="s">
        <v>142</v>
      </c>
      <c r="C28" s="3" t="s">
        <v>132</v>
      </c>
      <c r="D28" s="63"/>
      <c r="E28" s="63"/>
    </row>
    <row r="29" spans="1:5" x14ac:dyDescent="0.2">
      <c r="A29" s="63"/>
      <c r="B29" s="4" t="s">
        <v>91</v>
      </c>
      <c r="C29" s="3" t="s">
        <v>136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183</v>
      </c>
      <c r="D32" s="63"/>
      <c r="E32" s="63"/>
    </row>
    <row r="33" spans="1:5" ht="36" x14ac:dyDescent="0.2">
      <c r="A33" s="63"/>
      <c r="B33" s="4" t="s">
        <v>43</v>
      </c>
      <c r="C33" s="3" t="s">
        <v>192</v>
      </c>
      <c r="D33" s="63"/>
      <c r="E33" s="63"/>
    </row>
    <row r="34" spans="1:5" ht="36" x14ac:dyDescent="0.2">
      <c r="A34" s="63"/>
      <c r="B34" s="4" t="s">
        <v>44</v>
      </c>
      <c r="C34" s="3" t="s">
        <v>181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278</v>
      </c>
      <c r="D39" s="58"/>
      <c r="E39" s="59"/>
    </row>
    <row r="40" spans="1:5" x14ac:dyDescent="0.2">
      <c r="A40" s="58" t="s">
        <v>125</v>
      </c>
      <c r="B40" s="59"/>
      <c r="C40" s="3" t="s">
        <v>279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107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582" priority="2"/>
  </conditionalFormatting>
  <conditionalFormatting sqref="B24">
    <cfRule type="duplicateValues" dxfId="581" priority="10"/>
  </conditionalFormatting>
  <conditionalFormatting sqref="B25">
    <cfRule type="duplicateValues" dxfId="580" priority="3"/>
  </conditionalFormatting>
  <conditionalFormatting sqref="B28">
    <cfRule type="duplicateValues" dxfId="579" priority="1"/>
  </conditionalFormatting>
  <conditionalFormatting sqref="B31">
    <cfRule type="duplicateValues" dxfId="578" priority="9"/>
  </conditionalFormatting>
  <conditionalFormatting sqref="B37">
    <cfRule type="duplicateValues" dxfId="577" priority="5"/>
  </conditionalFormatting>
  <conditionalFormatting sqref="B38">
    <cfRule type="duplicateValues" dxfId="576" priority="4"/>
  </conditionalFormatting>
  <conditionalFormatting sqref="B39">
    <cfRule type="duplicateValues" dxfId="575" priority="8"/>
  </conditionalFormatting>
  <conditionalFormatting sqref="B40">
    <cfRule type="duplicateValues" dxfId="574" priority="7"/>
  </conditionalFormatting>
  <conditionalFormatting sqref="B41">
    <cfRule type="duplicateValues" dxfId="573" priority="6"/>
  </conditionalFormatting>
  <conditionalFormatting sqref="B55:B1048576 B26:B27 B4:B10 B12:B18 B32:B36 B42:B46 B20:B23 B29:B30">
    <cfRule type="duplicateValues" dxfId="572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71D92-9839-4C5B-81F1-39B8AB9C20D6}">
  <sheetPr codeName="Sheet18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387</v>
      </c>
    </row>
    <row r="4" spans="1:5" x14ac:dyDescent="0.2">
      <c r="A4" s="80" t="s">
        <v>74</v>
      </c>
      <c r="B4" s="80"/>
      <c r="C4" s="2" t="s">
        <v>201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78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Corrosive HC service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55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19.6 @ -29°C' 13.8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6 mm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x14ac:dyDescent="0.2">
      <c r="A14" s="63" t="s">
        <v>35</v>
      </c>
      <c r="B14" s="63"/>
      <c r="C14" s="3" t="s">
        <v>247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x14ac:dyDescent="0.2">
      <c r="A18" s="63"/>
      <c r="B18" s="4" t="s">
        <v>68</v>
      </c>
      <c r="C18" s="3" t="s">
        <v>103</v>
      </c>
      <c r="D18" s="63"/>
      <c r="E18" s="63"/>
    </row>
    <row r="19" spans="1:5" x14ac:dyDescent="0.2">
      <c r="A19" s="63"/>
      <c r="B19" s="4" t="s">
        <v>140</v>
      </c>
      <c r="C19" s="3" t="s">
        <v>143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120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85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105</v>
      </c>
      <c r="D28" s="63"/>
      <c r="E28" s="63"/>
    </row>
    <row r="29" spans="1:5" x14ac:dyDescent="0.2">
      <c r="A29" s="63"/>
      <c r="B29" s="4" t="s">
        <v>91</v>
      </c>
      <c r="C29" s="3" t="s">
        <v>136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182</v>
      </c>
      <c r="D32" s="63"/>
      <c r="E32" s="63"/>
    </row>
    <row r="33" spans="1:5" ht="36" x14ac:dyDescent="0.2">
      <c r="A33" s="63"/>
      <c r="B33" s="4" t="s">
        <v>43</v>
      </c>
      <c r="C33" s="3" t="s">
        <v>192</v>
      </c>
      <c r="D33" s="63"/>
      <c r="E33" s="63"/>
    </row>
    <row r="34" spans="1:5" ht="36" x14ac:dyDescent="0.2">
      <c r="A34" s="63"/>
      <c r="B34" s="4" t="s">
        <v>44</v>
      </c>
      <c r="C34" s="3" t="s">
        <v>181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288</v>
      </c>
      <c r="D39" s="58"/>
      <c r="E39" s="59"/>
    </row>
    <row r="40" spans="1:5" x14ac:dyDescent="0.2">
      <c r="A40" s="58" t="s">
        <v>125</v>
      </c>
      <c r="B40" s="59"/>
      <c r="C40" s="3" t="s">
        <v>289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571" priority="2"/>
  </conditionalFormatting>
  <conditionalFormatting sqref="B24">
    <cfRule type="duplicateValues" dxfId="570" priority="10"/>
  </conditionalFormatting>
  <conditionalFormatting sqref="B25">
    <cfRule type="duplicateValues" dxfId="569" priority="3"/>
  </conditionalFormatting>
  <conditionalFormatting sqref="B28">
    <cfRule type="duplicateValues" dxfId="568" priority="1"/>
  </conditionalFormatting>
  <conditionalFormatting sqref="B31">
    <cfRule type="duplicateValues" dxfId="567" priority="9"/>
  </conditionalFormatting>
  <conditionalFormatting sqref="B37">
    <cfRule type="duplicateValues" dxfId="566" priority="5"/>
  </conditionalFormatting>
  <conditionalFormatting sqref="B38">
    <cfRule type="duplicateValues" dxfId="565" priority="4"/>
  </conditionalFormatting>
  <conditionalFormatting sqref="B39">
    <cfRule type="duplicateValues" dxfId="564" priority="8"/>
  </conditionalFormatting>
  <conditionalFormatting sqref="B40">
    <cfRule type="duplicateValues" dxfId="563" priority="7"/>
  </conditionalFormatting>
  <conditionalFormatting sqref="B41">
    <cfRule type="duplicateValues" dxfId="562" priority="6"/>
  </conditionalFormatting>
  <conditionalFormatting sqref="B55:B1048576 B26:B27 B4:B10 B12:B18 B32:B36 B42:B46 B20:B23 B29:B30">
    <cfRule type="duplicateValues" dxfId="561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308C2-CFA9-4100-BD65-F074D6298F1A}">
  <sheetPr codeName="Sheet19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388</v>
      </c>
    </row>
    <row r="4" spans="1:5" x14ac:dyDescent="0.2">
      <c r="A4" s="80" t="s">
        <v>74</v>
      </c>
      <c r="B4" s="80"/>
      <c r="C4" s="2" t="s">
        <v>202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113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Corrosive HC service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58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51.1 @ -29°C' 43.8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6 mm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x14ac:dyDescent="0.2">
      <c r="A14" s="63" t="s">
        <v>35</v>
      </c>
      <c r="B14" s="63"/>
      <c r="C14" s="3" t="s">
        <v>247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x14ac:dyDescent="0.2">
      <c r="A18" s="63"/>
      <c r="B18" s="4" t="s">
        <v>68</v>
      </c>
      <c r="C18" s="3" t="s">
        <v>103</v>
      </c>
      <c r="D18" s="63"/>
      <c r="E18" s="63"/>
    </row>
    <row r="19" spans="1:5" x14ac:dyDescent="0.2">
      <c r="A19" s="63"/>
      <c r="B19" s="4" t="s">
        <v>140</v>
      </c>
      <c r="C19" s="3" t="s">
        <v>143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123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85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105</v>
      </c>
      <c r="D28" s="63"/>
      <c r="E28" s="63"/>
    </row>
    <row r="29" spans="1:5" x14ac:dyDescent="0.2">
      <c r="A29" s="63"/>
      <c r="B29" s="4" t="s">
        <v>91</v>
      </c>
      <c r="C29" s="3" t="s">
        <v>136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182</v>
      </c>
      <c r="D32" s="63"/>
      <c r="E32" s="63"/>
    </row>
    <row r="33" spans="1:5" ht="36" x14ac:dyDescent="0.2">
      <c r="A33" s="63"/>
      <c r="B33" s="4" t="s">
        <v>43</v>
      </c>
      <c r="C33" s="3" t="s">
        <v>192</v>
      </c>
      <c r="D33" s="63"/>
      <c r="E33" s="63"/>
    </row>
    <row r="34" spans="1:5" ht="36" x14ac:dyDescent="0.2">
      <c r="A34" s="63"/>
      <c r="B34" s="4" t="s">
        <v>44</v>
      </c>
      <c r="C34" s="3" t="s">
        <v>181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286</v>
      </c>
      <c r="D39" s="58"/>
      <c r="E39" s="59"/>
    </row>
    <row r="40" spans="1:5" x14ac:dyDescent="0.2">
      <c r="A40" s="58" t="s">
        <v>125</v>
      </c>
      <c r="B40" s="59"/>
      <c r="C40" s="3" t="s">
        <v>287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560" priority="2"/>
  </conditionalFormatting>
  <conditionalFormatting sqref="B24">
    <cfRule type="duplicateValues" dxfId="559" priority="10"/>
  </conditionalFormatting>
  <conditionalFormatting sqref="B25">
    <cfRule type="duplicateValues" dxfId="558" priority="3"/>
  </conditionalFormatting>
  <conditionalFormatting sqref="B28">
    <cfRule type="duplicateValues" dxfId="557" priority="1"/>
  </conditionalFormatting>
  <conditionalFormatting sqref="B31">
    <cfRule type="duplicateValues" dxfId="556" priority="9"/>
  </conditionalFormatting>
  <conditionalFormatting sqref="B37">
    <cfRule type="duplicateValues" dxfId="555" priority="5"/>
  </conditionalFormatting>
  <conditionalFormatting sqref="B38">
    <cfRule type="duplicateValues" dxfId="554" priority="4"/>
  </conditionalFormatting>
  <conditionalFormatting sqref="B39">
    <cfRule type="duplicateValues" dxfId="553" priority="8"/>
  </conditionalFormatting>
  <conditionalFormatting sqref="B40">
    <cfRule type="duplicateValues" dxfId="552" priority="7"/>
  </conditionalFormatting>
  <conditionalFormatting sqref="B41">
    <cfRule type="duplicateValues" dxfId="551" priority="6"/>
  </conditionalFormatting>
  <conditionalFormatting sqref="B55:B1048576 B26:B27 B4:B10 B12:B18 B32:B36 B42:B46 B20:B23 B29:B30">
    <cfRule type="duplicateValues" dxfId="550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89BE5-F2EE-4A68-BB3E-80D531CA2339}">
  <sheetPr codeName="Sheet20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389</v>
      </c>
    </row>
    <row r="4" spans="1:5" x14ac:dyDescent="0.2">
      <c r="A4" s="80" t="s">
        <v>74</v>
      </c>
      <c r="B4" s="80"/>
      <c r="C4" s="2" t="s">
        <v>203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114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Corrosive HC service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59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102.1 @ -29°C' 87.6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6 mm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x14ac:dyDescent="0.2">
      <c r="A14" s="63" t="s">
        <v>35</v>
      </c>
      <c r="B14" s="63"/>
      <c r="C14" s="3" t="s">
        <v>247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x14ac:dyDescent="0.2">
      <c r="A18" s="63"/>
      <c r="B18" s="4" t="s">
        <v>68</v>
      </c>
      <c r="C18" s="3" t="s">
        <v>103</v>
      </c>
      <c r="D18" s="63"/>
      <c r="E18" s="63"/>
    </row>
    <row r="19" spans="1:5" x14ac:dyDescent="0.2">
      <c r="A19" s="63"/>
      <c r="B19" s="4" t="s">
        <v>140</v>
      </c>
      <c r="C19" s="3" t="s">
        <v>143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122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85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105</v>
      </c>
      <c r="D28" s="63"/>
      <c r="E28" s="63"/>
    </row>
    <row r="29" spans="1:5" x14ac:dyDescent="0.2">
      <c r="A29" s="63"/>
      <c r="B29" s="4" t="s">
        <v>91</v>
      </c>
      <c r="C29" s="3" t="s">
        <v>136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182</v>
      </c>
      <c r="D32" s="63"/>
      <c r="E32" s="63"/>
    </row>
    <row r="33" spans="1:5" ht="36" x14ac:dyDescent="0.2">
      <c r="A33" s="63"/>
      <c r="B33" s="4" t="s">
        <v>43</v>
      </c>
      <c r="C33" s="3" t="s">
        <v>192</v>
      </c>
      <c r="D33" s="63"/>
      <c r="E33" s="63"/>
    </row>
    <row r="34" spans="1:5" ht="36" x14ac:dyDescent="0.2">
      <c r="A34" s="63"/>
      <c r="B34" s="4" t="s">
        <v>44</v>
      </c>
      <c r="C34" s="3" t="s">
        <v>181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284</v>
      </c>
      <c r="D39" s="58"/>
      <c r="E39" s="59"/>
    </row>
    <row r="40" spans="1:5" x14ac:dyDescent="0.2">
      <c r="A40" s="58" t="s">
        <v>125</v>
      </c>
      <c r="B40" s="59"/>
      <c r="C40" s="3" t="s">
        <v>285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549" priority="2"/>
  </conditionalFormatting>
  <conditionalFormatting sqref="B24">
    <cfRule type="duplicateValues" dxfId="548" priority="10"/>
  </conditionalFormatting>
  <conditionalFormatting sqref="B25">
    <cfRule type="duplicateValues" dxfId="547" priority="3"/>
  </conditionalFormatting>
  <conditionalFormatting sqref="B28">
    <cfRule type="duplicateValues" dxfId="546" priority="1"/>
  </conditionalFormatting>
  <conditionalFormatting sqref="B31">
    <cfRule type="duplicateValues" dxfId="545" priority="9"/>
  </conditionalFormatting>
  <conditionalFormatting sqref="B37">
    <cfRule type="duplicateValues" dxfId="544" priority="5"/>
  </conditionalFormatting>
  <conditionalFormatting sqref="B38">
    <cfRule type="duplicateValues" dxfId="543" priority="4"/>
  </conditionalFormatting>
  <conditionalFormatting sqref="B39">
    <cfRule type="duplicateValues" dxfId="542" priority="8"/>
  </conditionalFormatting>
  <conditionalFormatting sqref="B40">
    <cfRule type="duplicateValues" dxfId="541" priority="7"/>
  </conditionalFormatting>
  <conditionalFormatting sqref="B41">
    <cfRule type="duplicateValues" dxfId="540" priority="6"/>
  </conditionalFormatting>
  <conditionalFormatting sqref="B55:B1048576 B26:B27 B4:B10 B12:B18 B32:B36 B42:B46 B20:B23 B29:B30">
    <cfRule type="duplicateValues" dxfId="539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2F159-28ED-4DDD-8791-E0375417D607}">
  <sheetPr codeName="Sheet21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390</v>
      </c>
    </row>
    <row r="4" spans="1:5" x14ac:dyDescent="0.2">
      <c r="A4" s="80" t="s">
        <v>74</v>
      </c>
      <c r="B4" s="80"/>
      <c r="C4" s="2" t="s">
        <v>204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115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Corrosive HC service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60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153.2 @ -29°C' 131.4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6 mm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x14ac:dyDescent="0.2">
      <c r="A14" s="63" t="s">
        <v>35</v>
      </c>
      <c r="B14" s="63"/>
      <c r="C14" s="3" t="s">
        <v>61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x14ac:dyDescent="0.2">
      <c r="A18" s="63"/>
      <c r="B18" s="4" t="s">
        <v>68</v>
      </c>
      <c r="C18" s="3" t="s">
        <v>103</v>
      </c>
      <c r="D18" s="63"/>
      <c r="E18" s="63"/>
    </row>
    <row r="19" spans="1:5" x14ac:dyDescent="0.2">
      <c r="A19" s="63"/>
      <c r="B19" s="4" t="s">
        <v>140</v>
      </c>
      <c r="C19" s="3" t="s">
        <v>143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122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85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105</v>
      </c>
      <c r="D28" s="63"/>
      <c r="E28" s="63"/>
    </row>
    <row r="29" spans="1:5" x14ac:dyDescent="0.2">
      <c r="A29" s="63"/>
      <c r="B29" s="4" t="s">
        <v>91</v>
      </c>
      <c r="C29" s="3" t="s">
        <v>136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183</v>
      </c>
      <c r="D32" s="63"/>
      <c r="E32" s="63"/>
    </row>
    <row r="33" spans="1:5" ht="36" x14ac:dyDescent="0.2">
      <c r="A33" s="63"/>
      <c r="B33" s="4" t="s">
        <v>43</v>
      </c>
      <c r="C33" s="3" t="s">
        <v>192</v>
      </c>
      <c r="D33" s="63"/>
      <c r="E33" s="63"/>
    </row>
    <row r="34" spans="1:5" ht="36" x14ac:dyDescent="0.2">
      <c r="A34" s="63"/>
      <c r="B34" s="4" t="s">
        <v>44</v>
      </c>
      <c r="C34" s="3" t="s">
        <v>181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282</v>
      </c>
      <c r="D39" s="58"/>
      <c r="E39" s="59"/>
    </row>
    <row r="40" spans="1:5" x14ac:dyDescent="0.2">
      <c r="A40" s="58" t="s">
        <v>125</v>
      </c>
      <c r="B40" s="59"/>
      <c r="C40" s="3" t="s">
        <v>283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538" priority="2"/>
  </conditionalFormatting>
  <conditionalFormatting sqref="B24">
    <cfRule type="duplicateValues" dxfId="537" priority="10"/>
  </conditionalFormatting>
  <conditionalFormatting sqref="B25">
    <cfRule type="duplicateValues" dxfId="536" priority="3"/>
  </conditionalFormatting>
  <conditionalFormatting sqref="B28">
    <cfRule type="duplicateValues" dxfId="535" priority="1"/>
  </conditionalFormatting>
  <conditionalFormatting sqref="B31">
    <cfRule type="duplicateValues" dxfId="534" priority="9"/>
  </conditionalFormatting>
  <conditionalFormatting sqref="B37">
    <cfRule type="duplicateValues" dxfId="533" priority="5"/>
  </conditionalFormatting>
  <conditionalFormatting sqref="B38">
    <cfRule type="duplicateValues" dxfId="532" priority="4"/>
  </conditionalFormatting>
  <conditionalFormatting sqref="B39">
    <cfRule type="duplicateValues" dxfId="531" priority="8"/>
  </conditionalFormatting>
  <conditionalFormatting sqref="B40">
    <cfRule type="duplicateValues" dxfId="530" priority="7"/>
  </conditionalFormatting>
  <conditionalFormatting sqref="B41">
    <cfRule type="duplicateValues" dxfId="529" priority="6"/>
  </conditionalFormatting>
  <conditionalFormatting sqref="B55:B1048576 B26:B27 B4:B10 B12:B18 B32:B36 B42:B46 B20:B23 B29:B30">
    <cfRule type="duplicateValues" dxfId="528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1D9D1-5C1C-4291-9AE3-0042D47E9AD6}">
  <sheetPr codeName="Sheet22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391</v>
      </c>
    </row>
    <row r="4" spans="1:5" x14ac:dyDescent="0.2">
      <c r="A4" s="80" t="s">
        <v>74</v>
      </c>
      <c r="B4" s="80"/>
      <c r="C4" s="2" t="s">
        <v>205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116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Corrosive HC service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62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255.3 @ -29°C' 219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6 mm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ht="24" x14ac:dyDescent="0.2">
      <c r="A14" s="63" t="s">
        <v>35</v>
      </c>
      <c r="B14" s="63"/>
      <c r="C14" s="3" t="s">
        <v>297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x14ac:dyDescent="0.2">
      <c r="A18" s="63"/>
      <c r="B18" s="4" t="s">
        <v>68</v>
      </c>
      <c r="C18" s="3" t="s">
        <v>103</v>
      </c>
      <c r="D18" s="63"/>
      <c r="E18" s="63"/>
    </row>
    <row r="19" spans="1:5" x14ac:dyDescent="0.2">
      <c r="A19" s="63"/>
      <c r="B19" s="4" t="s">
        <v>140</v>
      </c>
      <c r="C19" s="3" t="s">
        <v>143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121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85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105</v>
      </c>
      <c r="D28" s="63"/>
      <c r="E28" s="63"/>
    </row>
    <row r="29" spans="1:5" x14ac:dyDescent="0.2">
      <c r="A29" s="63"/>
      <c r="B29" s="4" t="s">
        <v>91</v>
      </c>
      <c r="C29" s="3" t="s">
        <v>136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183</v>
      </c>
      <c r="D32" s="63"/>
      <c r="E32" s="63"/>
    </row>
    <row r="33" spans="1:5" ht="36" x14ac:dyDescent="0.2">
      <c r="A33" s="63"/>
      <c r="B33" s="4" t="s">
        <v>43</v>
      </c>
      <c r="C33" s="3" t="s">
        <v>192</v>
      </c>
      <c r="D33" s="63"/>
      <c r="E33" s="63"/>
    </row>
    <row r="34" spans="1:5" ht="36" x14ac:dyDescent="0.2">
      <c r="A34" s="63"/>
      <c r="B34" s="4" t="s">
        <v>44</v>
      </c>
      <c r="C34" s="3" t="s">
        <v>181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280</v>
      </c>
      <c r="D39" s="58"/>
      <c r="E39" s="59"/>
    </row>
    <row r="40" spans="1:5" x14ac:dyDescent="0.2">
      <c r="A40" s="58" t="s">
        <v>125</v>
      </c>
      <c r="B40" s="59"/>
      <c r="C40" s="3" t="s">
        <v>281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527" priority="2"/>
  </conditionalFormatting>
  <conditionalFormatting sqref="B24">
    <cfRule type="duplicateValues" dxfId="526" priority="10"/>
  </conditionalFormatting>
  <conditionalFormatting sqref="B25">
    <cfRule type="duplicateValues" dxfId="525" priority="3"/>
  </conditionalFormatting>
  <conditionalFormatting sqref="B28">
    <cfRule type="duplicateValues" dxfId="524" priority="1"/>
  </conditionalFormatting>
  <conditionalFormatting sqref="B31">
    <cfRule type="duplicateValues" dxfId="523" priority="9"/>
  </conditionalFormatting>
  <conditionalFormatting sqref="B37">
    <cfRule type="duplicateValues" dxfId="522" priority="5"/>
  </conditionalFormatting>
  <conditionalFormatting sqref="B38">
    <cfRule type="duplicateValues" dxfId="521" priority="4"/>
  </conditionalFormatting>
  <conditionalFormatting sqref="B39">
    <cfRule type="duplicateValues" dxfId="520" priority="8"/>
  </conditionalFormatting>
  <conditionalFormatting sqref="B40">
    <cfRule type="duplicateValues" dxfId="519" priority="7"/>
  </conditionalFormatting>
  <conditionalFormatting sqref="B41">
    <cfRule type="duplicateValues" dxfId="518" priority="6"/>
  </conditionalFormatting>
  <conditionalFormatting sqref="B55:B1048576 B26:B27 B4:B10 B12:B18 B32:B36 B42:B46 B20:B23 B29:B30">
    <cfRule type="duplicateValues" dxfId="517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C1A95-A58C-4767-9B45-A15C106FA589}">
  <sheetPr codeName="Sheet23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392</v>
      </c>
    </row>
    <row r="4" spans="1:5" x14ac:dyDescent="0.2">
      <c r="A4" s="80" t="s">
        <v>74</v>
      </c>
      <c r="B4" s="80"/>
      <c r="C4" s="2" t="s">
        <v>206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117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Corrosive HC service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63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399.8 @ -29°C' 342.9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6 mm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ht="24" x14ac:dyDescent="0.2">
      <c r="A14" s="63" t="s">
        <v>35</v>
      </c>
      <c r="B14" s="63"/>
      <c r="C14" s="3" t="s">
        <v>297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x14ac:dyDescent="0.2">
      <c r="A18" s="63"/>
      <c r="B18" s="4" t="s">
        <v>68</v>
      </c>
      <c r="C18" s="3" t="s">
        <v>103</v>
      </c>
      <c r="D18" s="63"/>
      <c r="E18" s="63"/>
    </row>
    <row r="19" spans="1:5" x14ac:dyDescent="0.2">
      <c r="A19" s="63"/>
      <c r="B19" s="4" t="s">
        <v>140</v>
      </c>
      <c r="C19" s="3" t="s">
        <v>143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121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85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105</v>
      </c>
      <c r="D28" s="63"/>
      <c r="E28" s="63"/>
    </row>
    <row r="29" spans="1:5" x14ac:dyDescent="0.2">
      <c r="A29" s="63"/>
      <c r="B29" s="4" t="s">
        <v>91</v>
      </c>
      <c r="C29" s="3" t="s">
        <v>136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183</v>
      </c>
      <c r="D32" s="63"/>
      <c r="E32" s="63"/>
    </row>
    <row r="33" spans="1:5" ht="36" x14ac:dyDescent="0.2">
      <c r="A33" s="63"/>
      <c r="B33" s="4" t="s">
        <v>43</v>
      </c>
      <c r="C33" s="3" t="s">
        <v>192</v>
      </c>
      <c r="D33" s="63"/>
      <c r="E33" s="63"/>
    </row>
    <row r="34" spans="1:5" ht="36" x14ac:dyDescent="0.2">
      <c r="A34" s="63"/>
      <c r="B34" s="4" t="s">
        <v>44</v>
      </c>
      <c r="C34" s="3" t="s">
        <v>181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278</v>
      </c>
      <c r="D39" s="58"/>
      <c r="E39" s="59"/>
    </row>
    <row r="40" spans="1:5" x14ac:dyDescent="0.2">
      <c r="A40" s="58" t="s">
        <v>125</v>
      </c>
      <c r="B40" s="59"/>
      <c r="C40" s="3" t="s">
        <v>279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516" priority="2"/>
  </conditionalFormatting>
  <conditionalFormatting sqref="B24">
    <cfRule type="duplicateValues" dxfId="515" priority="10"/>
  </conditionalFormatting>
  <conditionalFormatting sqref="B25">
    <cfRule type="duplicateValues" dxfId="514" priority="3"/>
  </conditionalFormatting>
  <conditionalFormatting sqref="B28">
    <cfRule type="duplicateValues" dxfId="513" priority="1"/>
  </conditionalFormatting>
  <conditionalFormatting sqref="B31">
    <cfRule type="duplicateValues" dxfId="512" priority="9"/>
  </conditionalFormatting>
  <conditionalFormatting sqref="B37">
    <cfRule type="duplicateValues" dxfId="511" priority="5"/>
  </conditionalFormatting>
  <conditionalFormatting sqref="B38">
    <cfRule type="duplicateValues" dxfId="510" priority="4"/>
  </conditionalFormatting>
  <conditionalFormatting sqref="B39">
    <cfRule type="duplicateValues" dxfId="509" priority="8"/>
  </conditionalFormatting>
  <conditionalFormatting sqref="B40">
    <cfRule type="duplicateValues" dxfId="508" priority="7"/>
  </conditionalFormatting>
  <conditionalFormatting sqref="B41">
    <cfRule type="duplicateValues" dxfId="507" priority="6"/>
  </conditionalFormatting>
  <conditionalFormatting sqref="B55:B1048576 B26:B27 B4:B10 B12:B18 B32:B36 B42:B46 B20:B23 B29:B30">
    <cfRule type="duplicateValues" dxfId="506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C7323-765D-45D6-AA02-32AE78BED92F}">
  <sheetPr codeName="Sheet24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393</v>
      </c>
    </row>
    <row r="4" spans="1:5" x14ac:dyDescent="0.2">
      <c r="A4" s="80" t="s">
        <v>74</v>
      </c>
      <c r="B4" s="80"/>
      <c r="C4" s="2" t="s">
        <v>207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2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Flare, Corrosive HC service (Low Temp)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55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19.6 @ -45°C' 13.8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3 mm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x14ac:dyDescent="0.2">
      <c r="A14" s="63" t="s">
        <v>35</v>
      </c>
      <c r="B14" s="63"/>
      <c r="C14" s="3" t="s">
        <v>247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x14ac:dyDescent="0.2">
      <c r="A18" s="63"/>
      <c r="B18" s="4" t="s">
        <v>68</v>
      </c>
      <c r="C18" s="3" t="s">
        <v>103</v>
      </c>
      <c r="D18" s="63"/>
      <c r="E18" s="63"/>
    </row>
    <row r="19" spans="1:5" x14ac:dyDescent="0.2">
      <c r="A19" s="63"/>
      <c r="B19" s="4" t="s">
        <v>140</v>
      </c>
      <c r="C19" s="3" t="s">
        <v>143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120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76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105</v>
      </c>
      <c r="D28" s="63"/>
      <c r="E28" s="63"/>
    </row>
    <row r="29" spans="1:5" x14ac:dyDescent="0.2">
      <c r="A29" s="63"/>
      <c r="B29" s="4" t="s">
        <v>91</v>
      </c>
      <c r="C29" s="3" t="s">
        <v>133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185</v>
      </c>
      <c r="D32" s="63"/>
      <c r="E32" s="63"/>
    </row>
    <row r="33" spans="1:5" ht="36" x14ac:dyDescent="0.2">
      <c r="A33" s="63"/>
      <c r="B33" s="4" t="s">
        <v>43</v>
      </c>
      <c r="C33" s="3" t="s">
        <v>194</v>
      </c>
      <c r="D33" s="63"/>
      <c r="E33" s="63"/>
    </row>
    <row r="34" spans="1:5" ht="36" x14ac:dyDescent="0.2">
      <c r="A34" s="63"/>
      <c r="B34" s="4" t="s">
        <v>44</v>
      </c>
      <c r="C34" s="3" t="s">
        <v>184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288</v>
      </c>
      <c r="D39" s="58"/>
      <c r="E39" s="59"/>
    </row>
    <row r="40" spans="1:5" x14ac:dyDescent="0.2">
      <c r="A40" s="58" t="s">
        <v>125</v>
      </c>
      <c r="B40" s="59"/>
      <c r="C40" s="3" t="s">
        <v>289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505" priority="2"/>
  </conditionalFormatting>
  <conditionalFormatting sqref="B24">
    <cfRule type="duplicateValues" dxfId="504" priority="10"/>
  </conditionalFormatting>
  <conditionalFormatting sqref="B25">
    <cfRule type="duplicateValues" dxfId="503" priority="3"/>
  </conditionalFormatting>
  <conditionalFormatting sqref="B28">
    <cfRule type="duplicateValues" dxfId="502" priority="1"/>
  </conditionalFormatting>
  <conditionalFormatting sqref="B31">
    <cfRule type="duplicateValues" dxfId="501" priority="9"/>
  </conditionalFormatting>
  <conditionalFormatting sqref="B37">
    <cfRule type="duplicateValues" dxfId="500" priority="5"/>
  </conditionalFormatting>
  <conditionalFormatting sqref="B38">
    <cfRule type="duplicateValues" dxfId="499" priority="4"/>
  </conditionalFormatting>
  <conditionalFormatting sqref="B39">
    <cfRule type="duplicateValues" dxfId="498" priority="8"/>
  </conditionalFormatting>
  <conditionalFormatting sqref="B40">
    <cfRule type="duplicateValues" dxfId="497" priority="7"/>
  </conditionalFormatting>
  <conditionalFormatting sqref="B41">
    <cfRule type="duplicateValues" dxfId="496" priority="6"/>
  </conditionalFormatting>
  <conditionalFormatting sqref="B55:B1048576 B26:B27 B4:B10 B12:B18 B32:B36 B42:B46 B20:B23 B29:B30">
    <cfRule type="duplicateValues" dxfId="495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0EB51-780B-402F-BD04-3C613D657D53}">
  <sheetPr codeName="Sheet25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394</v>
      </c>
    </row>
    <row r="4" spans="1:5" x14ac:dyDescent="0.2">
      <c r="A4" s="80" t="s">
        <v>74</v>
      </c>
      <c r="B4" s="80"/>
      <c r="C4" s="2" t="s">
        <v>208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7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Flare, Corrosive HC service (Low Temp)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58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51.1 @ -45°C' 43.8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3 mm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x14ac:dyDescent="0.2">
      <c r="A14" s="63" t="s">
        <v>35</v>
      </c>
      <c r="B14" s="63"/>
      <c r="C14" s="3" t="s">
        <v>247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x14ac:dyDescent="0.2">
      <c r="A18" s="63"/>
      <c r="B18" s="4" t="s">
        <v>68</v>
      </c>
      <c r="C18" s="3" t="s">
        <v>103</v>
      </c>
      <c r="D18" s="63"/>
      <c r="E18" s="63"/>
    </row>
    <row r="19" spans="1:5" x14ac:dyDescent="0.2">
      <c r="A19" s="63"/>
      <c r="B19" s="4" t="s">
        <v>140</v>
      </c>
      <c r="C19" s="3" t="s">
        <v>143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123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76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105</v>
      </c>
      <c r="D28" s="63"/>
      <c r="E28" s="63"/>
    </row>
    <row r="29" spans="1:5" x14ac:dyDescent="0.2">
      <c r="A29" s="63"/>
      <c r="B29" s="4" t="s">
        <v>91</v>
      </c>
      <c r="C29" s="3" t="s">
        <v>133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185</v>
      </c>
      <c r="D32" s="63"/>
      <c r="E32" s="63"/>
    </row>
    <row r="33" spans="1:5" ht="36" x14ac:dyDescent="0.2">
      <c r="A33" s="63"/>
      <c r="B33" s="4" t="s">
        <v>43</v>
      </c>
      <c r="C33" s="3" t="s">
        <v>194</v>
      </c>
      <c r="D33" s="63"/>
      <c r="E33" s="63"/>
    </row>
    <row r="34" spans="1:5" ht="36" x14ac:dyDescent="0.2">
      <c r="A34" s="63"/>
      <c r="B34" s="4" t="s">
        <v>44</v>
      </c>
      <c r="C34" s="3" t="s">
        <v>184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286</v>
      </c>
      <c r="D39" s="58"/>
      <c r="E39" s="59"/>
    </row>
    <row r="40" spans="1:5" x14ac:dyDescent="0.2">
      <c r="A40" s="58" t="s">
        <v>125</v>
      </c>
      <c r="B40" s="59"/>
      <c r="C40" s="3" t="s">
        <v>287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494" priority="2"/>
  </conditionalFormatting>
  <conditionalFormatting sqref="B24">
    <cfRule type="duplicateValues" dxfId="493" priority="10"/>
  </conditionalFormatting>
  <conditionalFormatting sqref="B25">
    <cfRule type="duplicateValues" dxfId="492" priority="3"/>
  </conditionalFormatting>
  <conditionalFormatting sqref="B28">
    <cfRule type="duplicateValues" dxfId="491" priority="1"/>
  </conditionalFormatting>
  <conditionalFormatting sqref="B31">
    <cfRule type="duplicateValues" dxfId="490" priority="9"/>
  </conditionalFormatting>
  <conditionalFormatting sqref="B37">
    <cfRule type="duplicateValues" dxfId="489" priority="5"/>
  </conditionalFormatting>
  <conditionalFormatting sqref="B38">
    <cfRule type="duplicateValues" dxfId="488" priority="4"/>
  </conditionalFormatting>
  <conditionalFormatting sqref="B39">
    <cfRule type="duplicateValues" dxfId="487" priority="8"/>
  </conditionalFormatting>
  <conditionalFormatting sqref="B40">
    <cfRule type="duplicateValues" dxfId="486" priority="7"/>
  </conditionalFormatting>
  <conditionalFormatting sqref="B41">
    <cfRule type="duplicateValues" dxfId="485" priority="6"/>
  </conditionalFormatting>
  <conditionalFormatting sqref="B55:B1048576 B26:B27 B4:B10 B12:B18 B32:B36 B42:B46 B20:B23 B29:B30">
    <cfRule type="duplicateValues" dxfId="484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5F5C9-6982-447F-BD77-540FDA296B7D}">
  <sheetPr codeName="Sheet26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395</v>
      </c>
    </row>
    <row r="4" spans="1:5" x14ac:dyDescent="0.2">
      <c r="A4" s="80" t="s">
        <v>74</v>
      </c>
      <c r="B4" s="80"/>
      <c r="C4" s="2" t="s">
        <v>209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14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Corrosive HC service (Low Temp)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59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102.1 @ -45°C' 87.6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3 mm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x14ac:dyDescent="0.2">
      <c r="A14" s="63" t="s">
        <v>35</v>
      </c>
      <c r="B14" s="63"/>
      <c r="C14" s="3" t="s">
        <v>247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x14ac:dyDescent="0.2">
      <c r="A18" s="63"/>
      <c r="B18" s="4" t="s">
        <v>68</v>
      </c>
      <c r="C18" s="3" t="s">
        <v>103</v>
      </c>
      <c r="D18" s="63"/>
      <c r="E18" s="63"/>
    </row>
    <row r="19" spans="1:5" x14ac:dyDescent="0.2">
      <c r="A19" s="63"/>
      <c r="B19" s="4" t="s">
        <v>140</v>
      </c>
      <c r="C19" s="3" t="s">
        <v>143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122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76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105</v>
      </c>
      <c r="D28" s="63"/>
      <c r="E28" s="63"/>
    </row>
    <row r="29" spans="1:5" x14ac:dyDescent="0.2">
      <c r="A29" s="63"/>
      <c r="B29" s="4" t="s">
        <v>91</v>
      </c>
      <c r="C29" s="3" t="s">
        <v>133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185</v>
      </c>
      <c r="D32" s="63"/>
      <c r="E32" s="63"/>
    </row>
    <row r="33" spans="1:5" ht="36" x14ac:dyDescent="0.2">
      <c r="A33" s="63"/>
      <c r="B33" s="4" t="s">
        <v>43</v>
      </c>
      <c r="C33" s="3" t="s">
        <v>194</v>
      </c>
      <c r="D33" s="63"/>
      <c r="E33" s="63"/>
    </row>
    <row r="34" spans="1:5" ht="36" x14ac:dyDescent="0.2">
      <c r="A34" s="63"/>
      <c r="B34" s="4" t="s">
        <v>44</v>
      </c>
      <c r="C34" s="3" t="s">
        <v>184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284</v>
      </c>
      <c r="D39" s="58"/>
      <c r="E39" s="59"/>
    </row>
    <row r="40" spans="1:5" x14ac:dyDescent="0.2">
      <c r="A40" s="58" t="s">
        <v>125</v>
      </c>
      <c r="B40" s="59"/>
      <c r="C40" s="3" t="s">
        <v>285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483" priority="2"/>
  </conditionalFormatting>
  <conditionalFormatting sqref="B24">
    <cfRule type="duplicateValues" dxfId="482" priority="10"/>
  </conditionalFormatting>
  <conditionalFormatting sqref="B25">
    <cfRule type="duplicateValues" dxfId="481" priority="3"/>
  </conditionalFormatting>
  <conditionalFormatting sqref="B28">
    <cfRule type="duplicateValues" dxfId="480" priority="1"/>
  </conditionalFormatting>
  <conditionalFormatting sqref="B31">
    <cfRule type="duplicateValues" dxfId="479" priority="9"/>
  </conditionalFormatting>
  <conditionalFormatting sqref="B37">
    <cfRule type="duplicateValues" dxfId="478" priority="5"/>
  </conditionalFormatting>
  <conditionalFormatting sqref="B38">
    <cfRule type="duplicateValues" dxfId="477" priority="4"/>
  </conditionalFormatting>
  <conditionalFormatting sqref="B39">
    <cfRule type="duplicateValues" dxfId="476" priority="8"/>
  </conditionalFormatting>
  <conditionalFormatting sqref="B40">
    <cfRule type="duplicateValues" dxfId="475" priority="7"/>
  </conditionalFormatting>
  <conditionalFormatting sqref="B41">
    <cfRule type="duplicateValues" dxfId="474" priority="6"/>
  </conditionalFormatting>
  <conditionalFormatting sqref="B55:B1048576 B26:B27 B4:B10 B12:B18 B32:B36 B42:B46 B20:B23 B29:B30">
    <cfRule type="duplicateValues" dxfId="473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203BA-C109-4B96-BB68-3B0A67FE9961}">
  <sheetPr codeName="Sheet27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396</v>
      </c>
    </row>
    <row r="4" spans="1:5" x14ac:dyDescent="0.2">
      <c r="A4" s="80" t="s">
        <v>74</v>
      </c>
      <c r="B4" s="80"/>
      <c r="C4" s="2" t="s">
        <v>210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17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Corrosive HC service (Low Temp)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60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153.2 @ -45°C' 131.4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3 mm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x14ac:dyDescent="0.2">
      <c r="A14" s="63" t="s">
        <v>35</v>
      </c>
      <c r="B14" s="63"/>
      <c r="C14" s="3" t="s">
        <v>61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x14ac:dyDescent="0.2">
      <c r="A18" s="63"/>
      <c r="B18" s="4" t="s">
        <v>68</v>
      </c>
      <c r="C18" s="3" t="s">
        <v>103</v>
      </c>
      <c r="D18" s="63"/>
      <c r="E18" s="63"/>
    </row>
    <row r="19" spans="1:5" x14ac:dyDescent="0.2">
      <c r="A19" s="63"/>
      <c r="B19" s="4" t="s">
        <v>140</v>
      </c>
      <c r="C19" s="3" t="s">
        <v>143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122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76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105</v>
      </c>
      <c r="D28" s="63"/>
      <c r="E28" s="63"/>
    </row>
    <row r="29" spans="1:5" x14ac:dyDescent="0.2">
      <c r="A29" s="63"/>
      <c r="B29" s="4" t="s">
        <v>91</v>
      </c>
      <c r="C29" s="3" t="s">
        <v>133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186</v>
      </c>
      <c r="D32" s="63"/>
      <c r="E32" s="63"/>
    </row>
    <row r="33" spans="1:5" ht="36" x14ac:dyDescent="0.2">
      <c r="A33" s="63"/>
      <c r="B33" s="4" t="s">
        <v>43</v>
      </c>
      <c r="C33" s="3" t="s">
        <v>194</v>
      </c>
      <c r="D33" s="63"/>
      <c r="E33" s="63"/>
    </row>
    <row r="34" spans="1:5" ht="36" x14ac:dyDescent="0.2">
      <c r="A34" s="63"/>
      <c r="B34" s="4" t="s">
        <v>44</v>
      </c>
      <c r="C34" s="3" t="s">
        <v>184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282</v>
      </c>
      <c r="D39" s="58"/>
      <c r="E39" s="59"/>
    </row>
    <row r="40" spans="1:5" x14ac:dyDescent="0.2">
      <c r="A40" s="58" t="s">
        <v>125</v>
      </c>
      <c r="B40" s="59"/>
      <c r="C40" s="3" t="s">
        <v>283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472" priority="2"/>
  </conditionalFormatting>
  <conditionalFormatting sqref="B24">
    <cfRule type="duplicateValues" dxfId="471" priority="10"/>
  </conditionalFormatting>
  <conditionalFormatting sqref="B25">
    <cfRule type="duplicateValues" dxfId="470" priority="3"/>
  </conditionalFormatting>
  <conditionalFormatting sqref="B28">
    <cfRule type="duplicateValues" dxfId="469" priority="1"/>
  </conditionalFormatting>
  <conditionalFormatting sqref="B31">
    <cfRule type="duplicateValues" dxfId="468" priority="9"/>
  </conditionalFormatting>
  <conditionalFormatting sqref="B37">
    <cfRule type="duplicateValues" dxfId="467" priority="5"/>
  </conditionalFormatting>
  <conditionalFormatting sqref="B38">
    <cfRule type="duplicateValues" dxfId="466" priority="4"/>
  </conditionalFormatting>
  <conditionalFormatting sqref="B39">
    <cfRule type="duplicateValues" dxfId="465" priority="8"/>
  </conditionalFormatting>
  <conditionalFormatting sqref="B40">
    <cfRule type="duplicateValues" dxfId="464" priority="7"/>
  </conditionalFormatting>
  <conditionalFormatting sqref="B41">
    <cfRule type="duplicateValues" dxfId="463" priority="6"/>
  </conditionalFormatting>
  <conditionalFormatting sqref="B55:B1048576 B26:B27 B4:B10 B12:B18 B32:B36 B42:B46 B20:B23 B29:B30">
    <cfRule type="duplicateValues" dxfId="462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F9D69-13FD-471A-A3B5-04CEE74B69FF}">
  <sheetPr codeName="Sheet28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397</v>
      </c>
    </row>
    <row r="4" spans="1:5" x14ac:dyDescent="0.2">
      <c r="A4" s="80" t="s">
        <v>74</v>
      </c>
      <c r="B4" s="80"/>
      <c r="C4" s="2" t="s">
        <v>211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19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Corrosive HC service (Low Temp)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62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255.3 @ -45°C' 219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3 mm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ht="24" x14ac:dyDescent="0.2">
      <c r="A14" s="63" t="s">
        <v>35</v>
      </c>
      <c r="B14" s="63"/>
      <c r="C14" s="3" t="s">
        <v>297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x14ac:dyDescent="0.2">
      <c r="A18" s="63"/>
      <c r="B18" s="4" t="s">
        <v>68</v>
      </c>
      <c r="C18" s="3" t="s">
        <v>103</v>
      </c>
      <c r="D18" s="63"/>
      <c r="E18" s="63"/>
    </row>
    <row r="19" spans="1:5" x14ac:dyDescent="0.2">
      <c r="A19" s="63"/>
      <c r="B19" s="4" t="s">
        <v>140</v>
      </c>
      <c r="C19" s="3" t="s">
        <v>143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121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76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105</v>
      </c>
      <c r="D28" s="63"/>
      <c r="E28" s="63"/>
    </row>
    <row r="29" spans="1:5" x14ac:dyDescent="0.2">
      <c r="A29" s="63"/>
      <c r="B29" s="4" t="s">
        <v>91</v>
      </c>
      <c r="C29" s="3" t="s">
        <v>133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186</v>
      </c>
      <c r="D32" s="63"/>
      <c r="E32" s="63"/>
    </row>
    <row r="33" spans="1:5" ht="36" x14ac:dyDescent="0.2">
      <c r="A33" s="63"/>
      <c r="B33" s="4" t="s">
        <v>43</v>
      </c>
      <c r="C33" s="3" t="s">
        <v>194</v>
      </c>
      <c r="D33" s="63"/>
      <c r="E33" s="63"/>
    </row>
    <row r="34" spans="1:5" ht="36" x14ac:dyDescent="0.2">
      <c r="A34" s="63"/>
      <c r="B34" s="4" t="s">
        <v>44</v>
      </c>
      <c r="C34" s="3" t="s">
        <v>184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280</v>
      </c>
      <c r="D39" s="58"/>
      <c r="E39" s="59"/>
    </row>
    <row r="40" spans="1:5" x14ac:dyDescent="0.2">
      <c r="A40" s="58" t="s">
        <v>125</v>
      </c>
      <c r="B40" s="59"/>
      <c r="C40" s="3" t="s">
        <v>281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461" priority="2"/>
  </conditionalFormatting>
  <conditionalFormatting sqref="B24">
    <cfRule type="duplicateValues" dxfId="460" priority="10"/>
  </conditionalFormatting>
  <conditionalFormatting sqref="B25">
    <cfRule type="duplicateValues" dxfId="459" priority="3"/>
  </conditionalFormatting>
  <conditionalFormatting sqref="B28">
    <cfRule type="duplicateValues" dxfId="458" priority="1"/>
  </conditionalFormatting>
  <conditionalFormatting sqref="B31">
    <cfRule type="duplicateValues" dxfId="457" priority="9"/>
  </conditionalFormatting>
  <conditionalFormatting sqref="B37">
    <cfRule type="duplicateValues" dxfId="456" priority="5"/>
  </conditionalFormatting>
  <conditionalFormatting sqref="B38">
    <cfRule type="duplicateValues" dxfId="455" priority="4"/>
  </conditionalFormatting>
  <conditionalFormatting sqref="B39">
    <cfRule type="duplicateValues" dxfId="454" priority="8"/>
  </conditionalFormatting>
  <conditionalFormatting sqref="B40">
    <cfRule type="duplicateValues" dxfId="453" priority="7"/>
  </conditionalFormatting>
  <conditionalFormatting sqref="B41">
    <cfRule type="duplicateValues" dxfId="452" priority="6"/>
  </conditionalFormatting>
  <conditionalFormatting sqref="B55:B1048576 B26:B27 B4:B10 B12:B18 B32:B36 B42:B46 B20:B23 B29:B30">
    <cfRule type="duplicateValues" dxfId="451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1289E-E0BA-4841-91CF-1B5DD1ABBAD2}">
  <sheetPr codeName="Sheet29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398</v>
      </c>
    </row>
    <row r="4" spans="1:5" x14ac:dyDescent="0.2">
      <c r="A4" s="80" t="s">
        <v>74</v>
      </c>
      <c r="B4" s="80"/>
      <c r="C4" s="2" t="s">
        <v>212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21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Gas Lift, Corrosive HC service (Low Temp)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63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399.8 @ -29°C' 342.9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3 mm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ht="24" x14ac:dyDescent="0.2">
      <c r="A14" s="63" t="s">
        <v>35</v>
      </c>
      <c r="B14" s="63"/>
      <c r="C14" s="3" t="s">
        <v>297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x14ac:dyDescent="0.2">
      <c r="A18" s="63"/>
      <c r="B18" s="4" t="s">
        <v>68</v>
      </c>
      <c r="C18" s="3" t="s">
        <v>103</v>
      </c>
      <c r="D18" s="63"/>
      <c r="E18" s="63"/>
    </row>
    <row r="19" spans="1:5" x14ac:dyDescent="0.2">
      <c r="A19" s="63"/>
      <c r="B19" s="4" t="s">
        <v>140</v>
      </c>
      <c r="C19" s="3" t="s">
        <v>143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121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76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105</v>
      </c>
      <c r="D28" s="63"/>
      <c r="E28" s="63"/>
    </row>
    <row r="29" spans="1:5" x14ac:dyDescent="0.2">
      <c r="A29" s="63"/>
      <c r="B29" s="4" t="s">
        <v>91</v>
      </c>
      <c r="C29" s="3" t="s">
        <v>133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186</v>
      </c>
      <c r="D32" s="63"/>
      <c r="E32" s="63"/>
    </row>
    <row r="33" spans="1:5" ht="36" x14ac:dyDescent="0.2">
      <c r="A33" s="63"/>
      <c r="B33" s="4" t="s">
        <v>43</v>
      </c>
      <c r="C33" s="3" t="s">
        <v>194</v>
      </c>
      <c r="D33" s="63"/>
      <c r="E33" s="63"/>
    </row>
    <row r="34" spans="1:5" ht="36" x14ac:dyDescent="0.2">
      <c r="A34" s="63"/>
      <c r="B34" s="4" t="s">
        <v>44</v>
      </c>
      <c r="C34" s="3" t="s">
        <v>184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278</v>
      </c>
      <c r="D39" s="58"/>
      <c r="E39" s="59"/>
    </row>
    <row r="40" spans="1:5" x14ac:dyDescent="0.2">
      <c r="A40" s="58" t="s">
        <v>125</v>
      </c>
      <c r="B40" s="59"/>
      <c r="C40" s="3" t="s">
        <v>279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450" priority="2"/>
  </conditionalFormatting>
  <conditionalFormatting sqref="B24">
    <cfRule type="duplicateValues" dxfId="449" priority="10"/>
  </conditionalFormatting>
  <conditionalFormatting sqref="B25">
    <cfRule type="duplicateValues" dxfId="448" priority="3"/>
  </conditionalFormatting>
  <conditionalFormatting sqref="B28">
    <cfRule type="duplicateValues" dxfId="447" priority="1"/>
  </conditionalFormatting>
  <conditionalFormatting sqref="B31">
    <cfRule type="duplicateValues" dxfId="446" priority="9"/>
  </conditionalFormatting>
  <conditionalFormatting sqref="B37">
    <cfRule type="duplicateValues" dxfId="445" priority="5"/>
  </conditionalFormatting>
  <conditionalFormatting sqref="B38">
    <cfRule type="duplicateValues" dxfId="444" priority="4"/>
  </conditionalFormatting>
  <conditionalFormatting sqref="B39">
    <cfRule type="duplicateValues" dxfId="443" priority="8"/>
  </conditionalFormatting>
  <conditionalFormatting sqref="B40">
    <cfRule type="duplicateValues" dxfId="442" priority="7"/>
  </conditionalFormatting>
  <conditionalFormatting sqref="B41">
    <cfRule type="duplicateValues" dxfId="441" priority="6"/>
  </conditionalFormatting>
  <conditionalFormatting sqref="B55:B1048576 B26:B27 B4:B10 B12:B18 B32:B36 B42:B46 B20:B23 B29:B30">
    <cfRule type="duplicateValues" dxfId="440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AED84-A478-4996-A349-5FD335BD97B9}">
  <sheetPr codeName="Sheet30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399</v>
      </c>
    </row>
    <row r="4" spans="1:5" x14ac:dyDescent="0.2">
      <c r="A4" s="80" t="s">
        <v>74</v>
      </c>
      <c r="B4" s="80"/>
      <c r="C4" s="2" t="s">
        <v>213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3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Glycol, FG, HC service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55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19.6 @ -29°C' 13.8 @ 250°C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3 mm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x14ac:dyDescent="0.2">
      <c r="A14" s="63" t="s">
        <v>35</v>
      </c>
      <c r="B14" s="63"/>
      <c r="C14" s="3" t="s">
        <v>247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x14ac:dyDescent="0.2">
      <c r="A18" s="63"/>
      <c r="B18" s="4" t="s">
        <v>68</v>
      </c>
      <c r="C18" s="3" t="s">
        <v>103</v>
      </c>
      <c r="D18" s="63"/>
      <c r="E18" s="63"/>
    </row>
    <row r="19" spans="1:5" x14ac:dyDescent="0.2">
      <c r="A19" s="63"/>
      <c r="B19" s="4" t="s">
        <v>140</v>
      </c>
      <c r="C19" s="3" t="s">
        <v>143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120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85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105</v>
      </c>
      <c r="D28" s="63"/>
      <c r="E28" s="63"/>
    </row>
    <row r="29" spans="1:5" x14ac:dyDescent="0.2">
      <c r="A29" s="63"/>
      <c r="B29" s="4" t="s">
        <v>91</v>
      </c>
      <c r="C29" s="3" t="s">
        <v>136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182</v>
      </c>
      <c r="D32" s="63"/>
      <c r="E32" s="63"/>
    </row>
    <row r="33" spans="1:5" ht="36" x14ac:dyDescent="0.2">
      <c r="A33" s="63"/>
      <c r="B33" s="4" t="s">
        <v>43</v>
      </c>
      <c r="C33" s="3" t="s">
        <v>192</v>
      </c>
      <c r="D33" s="63"/>
      <c r="E33" s="63"/>
    </row>
    <row r="34" spans="1:5" ht="36" x14ac:dyDescent="0.2">
      <c r="A34" s="63"/>
      <c r="B34" s="4" t="s">
        <v>44</v>
      </c>
      <c r="C34" s="3" t="s">
        <v>181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288</v>
      </c>
      <c r="D39" s="58"/>
      <c r="E39" s="59"/>
    </row>
    <row r="40" spans="1:5" x14ac:dyDescent="0.2">
      <c r="A40" s="58" t="s">
        <v>125</v>
      </c>
      <c r="B40" s="59"/>
      <c r="C40" s="3" t="s">
        <v>289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439" priority="2"/>
  </conditionalFormatting>
  <conditionalFormatting sqref="B24">
    <cfRule type="duplicateValues" dxfId="438" priority="10"/>
  </conditionalFormatting>
  <conditionalFormatting sqref="B25">
    <cfRule type="duplicateValues" dxfId="437" priority="3"/>
  </conditionalFormatting>
  <conditionalFormatting sqref="B28">
    <cfRule type="duplicateValues" dxfId="436" priority="1"/>
  </conditionalFormatting>
  <conditionalFormatting sqref="B31">
    <cfRule type="duplicateValues" dxfId="435" priority="9"/>
  </conditionalFormatting>
  <conditionalFormatting sqref="B37">
    <cfRule type="duplicateValues" dxfId="434" priority="5"/>
  </conditionalFormatting>
  <conditionalFormatting sqref="B38">
    <cfRule type="duplicateValues" dxfId="433" priority="4"/>
  </conditionalFormatting>
  <conditionalFormatting sqref="B39">
    <cfRule type="duplicateValues" dxfId="432" priority="8"/>
  </conditionalFormatting>
  <conditionalFormatting sqref="B40">
    <cfRule type="duplicateValues" dxfId="431" priority="7"/>
  </conditionalFormatting>
  <conditionalFormatting sqref="B41">
    <cfRule type="duplicateValues" dxfId="430" priority="6"/>
  </conditionalFormatting>
  <conditionalFormatting sqref="B55:B1048576 B26:B27 B4:B10 B12:B18 B32:B36 B42:B46 B20:B23 B29:B30">
    <cfRule type="duplicateValues" dxfId="429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B21EB-8640-4D14-9594-66349A70532B}">
  <sheetPr codeName="Sheet31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400</v>
      </c>
    </row>
    <row r="4" spans="1:5" x14ac:dyDescent="0.2">
      <c r="A4" s="80" t="s">
        <v>74</v>
      </c>
      <c r="B4" s="80"/>
      <c r="C4" s="2" t="s">
        <v>214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8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Glycol, FG, HC service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58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51.1 @ -29°C' 43.8 @ 250°C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3 mm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x14ac:dyDescent="0.2">
      <c r="A14" s="63" t="s">
        <v>35</v>
      </c>
      <c r="B14" s="63"/>
      <c r="C14" s="3" t="s">
        <v>247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x14ac:dyDescent="0.2">
      <c r="A18" s="63"/>
      <c r="B18" s="4" t="s">
        <v>68</v>
      </c>
      <c r="C18" s="3" t="s">
        <v>103</v>
      </c>
      <c r="D18" s="63"/>
      <c r="E18" s="63"/>
    </row>
    <row r="19" spans="1:5" x14ac:dyDescent="0.2">
      <c r="A19" s="63"/>
      <c r="B19" s="4" t="s">
        <v>140</v>
      </c>
      <c r="C19" s="3" t="s">
        <v>143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123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85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105</v>
      </c>
      <c r="D28" s="63"/>
      <c r="E28" s="63"/>
    </row>
    <row r="29" spans="1:5" x14ac:dyDescent="0.2">
      <c r="A29" s="63"/>
      <c r="B29" s="4" t="s">
        <v>91</v>
      </c>
      <c r="C29" s="3" t="s">
        <v>136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182</v>
      </c>
      <c r="D32" s="63"/>
      <c r="E32" s="63"/>
    </row>
    <row r="33" spans="1:5" x14ac:dyDescent="0.2">
      <c r="A33" s="63"/>
      <c r="B33" s="4" t="s">
        <v>43</v>
      </c>
      <c r="C33" s="3" t="s">
        <v>86</v>
      </c>
      <c r="D33" s="63"/>
      <c r="E33" s="63"/>
    </row>
    <row r="34" spans="1:5" x14ac:dyDescent="0.2">
      <c r="A34" s="63"/>
      <c r="B34" s="4" t="s">
        <v>44</v>
      </c>
      <c r="C34" s="3" t="s">
        <v>87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286</v>
      </c>
      <c r="D39" s="58"/>
      <c r="E39" s="59"/>
    </row>
    <row r="40" spans="1:5" x14ac:dyDescent="0.2">
      <c r="A40" s="58" t="s">
        <v>125</v>
      </c>
      <c r="B40" s="59"/>
      <c r="C40" s="3" t="s">
        <v>287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428" priority="2"/>
  </conditionalFormatting>
  <conditionalFormatting sqref="B24">
    <cfRule type="duplicateValues" dxfId="427" priority="10"/>
  </conditionalFormatting>
  <conditionalFormatting sqref="B25">
    <cfRule type="duplicateValues" dxfId="426" priority="3"/>
  </conditionalFormatting>
  <conditionalFormatting sqref="B28">
    <cfRule type="duplicateValues" dxfId="425" priority="1"/>
  </conditionalFormatting>
  <conditionalFormatting sqref="B31">
    <cfRule type="duplicateValues" dxfId="424" priority="9"/>
  </conditionalFormatting>
  <conditionalFormatting sqref="B37">
    <cfRule type="duplicateValues" dxfId="423" priority="5"/>
  </conditionalFormatting>
  <conditionalFormatting sqref="B38">
    <cfRule type="duplicateValues" dxfId="422" priority="4"/>
  </conditionalFormatting>
  <conditionalFormatting sqref="B39">
    <cfRule type="duplicateValues" dxfId="421" priority="8"/>
  </conditionalFormatting>
  <conditionalFormatting sqref="B40">
    <cfRule type="duplicateValues" dxfId="420" priority="7"/>
  </conditionalFormatting>
  <conditionalFormatting sqref="B41">
    <cfRule type="duplicateValues" dxfId="419" priority="6"/>
  </conditionalFormatting>
  <conditionalFormatting sqref="B55:B1048576 B26:B27 B4:B10 B12:B18 B32:B36 B42:B46 B20:B23 B29:B30">
    <cfRule type="duplicateValues" dxfId="418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014A6-568F-49AA-B98B-4842FA083691}">
  <sheetPr codeName="Sheet32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401</v>
      </c>
    </row>
    <row r="4" spans="1:5" x14ac:dyDescent="0.2">
      <c r="A4" s="80" t="s">
        <v>74</v>
      </c>
      <c r="B4" s="80"/>
      <c r="C4" s="2" t="s">
        <v>215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9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Glycol, FG, HC service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59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102.1 @ -29°C' 87.6 @ 250°C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3 mm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x14ac:dyDescent="0.2">
      <c r="A14" s="63" t="s">
        <v>35</v>
      </c>
      <c r="B14" s="63"/>
      <c r="C14" s="3" t="s">
        <v>247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x14ac:dyDescent="0.2">
      <c r="A18" s="63"/>
      <c r="B18" s="4" t="s">
        <v>68</v>
      </c>
      <c r="C18" s="3" t="s">
        <v>103</v>
      </c>
      <c r="D18" s="63"/>
      <c r="E18" s="63"/>
    </row>
    <row r="19" spans="1:5" x14ac:dyDescent="0.2">
      <c r="A19" s="63"/>
      <c r="B19" s="4" t="s">
        <v>140</v>
      </c>
      <c r="C19" s="3" t="s">
        <v>143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122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85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105</v>
      </c>
      <c r="D28" s="63"/>
      <c r="E28" s="63"/>
    </row>
    <row r="29" spans="1:5" x14ac:dyDescent="0.2">
      <c r="A29" s="63"/>
      <c r="B29" s="4" t="s">
        <v>91</v>
      </c>
      <c r="C29" s="3" t="s">
        <v>136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182</v>
      </c>
      <c r="D32" s="63"/>
      <c r="E32" s="63"/>
    </row>
    <row r="33" spans="1:5" x14ac:dyDescent="0.2">
      <c r="A33" s="63"/>
      <c r="B33" s="4" t="s">
        <v>43</v>
      </c>
      <c r="C33" s="3" t="s">
        <v>86</v>
      </c>
      <c r="D33" s="63"/>
      <c r="E33" s="63"/>
    </row>
    <row r="34" spans="1:5" x14ac:dyDescent="0.2">
      <c r="A34" s="63"/>
      <c r="B34" s="4" t="s">
        <v>44</v>
      </c>
      <c r="C34" s="3" t="s">
        <v>87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284</v>
      </c>
      <c r="D39" s="58"/>
      <c r="E39" s="59"/>
    </row>
    <row r="40" spans="1:5" x14ac:dyDescent="0.2">
      <c r="A40" s="58" t="s">
        <v>125</v>
      </c>
      <c r="B40" s="59"/>
      <c r="C40" s="3" t="s">
        <v>285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417" priority="2"/>
  </conditionalFormatting>
  <conditionalFormatting sqref="B24">
    <cfRule type="duplicateValues" dxfId="416" priority="10"/>
  </conditionalFormatting>
  <conditionalFormatting sqref="B25">
    <cfRule type="duplicateValues" dxfId="415" priority="3"/>
  </conditionalFormatting>
  <conditionalFormatting sqref="B28">
    <cfRule type="duplicateValues" dxfId="414" priority="1"/>
  </conditionalFormatting>
  <conditionalFormatting sqref="B31">
    <cfRule type="duplicateValues" dxfId="413" priority="9"/>
  </conditionalFormatting>
  <conditionalFormatting sqref="B37">
    <cfRule type="duplicateValues" dxfId="412" priority="5"/>
  </conditionalFormatting>
  <conditionalFormatting sqref="B38">
    <cfRule type="duplicateValues" dxfId="411" priority="4"/>
  </conditionalFormatting>
  <conditionalFormatting sqref="B39">
    <cfRule type="duplicateValues" dxfId="410" priority="8"/>
  </conditionalFormatting>
  <conditionalFormatting sqref="B40">
    <cfRule type="duplicateValues" dxfId="409" priority="7"/>
  </conditionalFormatting>
  <conditionalFormatting sqref="B41">
    <cfRule type="duplicateValues" dxfId="408" priority="6"/>
  </conditionalFormatting>
  <conditionalFormatting sqref="B55:B1048576 B26:B27 B4:B10 B12:B18 B32:B36 B42:B46 B20:B23 B29:B30">
    <cfRule type="duplicateValues" dxfId="407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539CC-AFD2-419B-AD29-E28CFC4865BD}">
  <sheetPr codeName="Sheet33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402</v>
      </c>
    </row>
    <row r="4" spans="1:5" x14ac:dyDescent="0.2">
      <c r="A4" s="80" t="s">
        <v>74</v>
      </c>
      <c r="B4" s="80"/>
      <c r="C4" s="2" t="s">
        <v>216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10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Glycol, FG, HC service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60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153.2 @ -29°C' 131.4 @ 250°C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3 mm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x14ac:dyDescent="0.2">
      <c r="A14" s="63" t="s">
        <v>35</v>
      </c>
      <c r="B14" s="63"/>
      <c r="C14" s="3" t="s">
        <v>61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x14ac:dyDescent="0.2">
      <c r="A18" s="63"/>
      <c r="B18" s="4" t="s">
        <v>68</v>
      </c>
      <c r="C18" s="3" t="s">
        <v>103</v>
      </c>
      <c r="D18" s="63"/>
      <c r="E18" s="63"/>
    </row>
    <row r="19" spans="1:5" x14ac:dyDescent="0.2">
      <c r="A19" s="63"/>
      <c r="B19" s="4" t="s">
        <v>140</v>
      </c>
      <c r="C19" s="3" t="s">
        <v>143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122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85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105</v>
      </c>
      <c r="D28" s="63"/>
      <c r="E28" s="63"/>
    </row>
    <row r="29" spans="1:5" x14ac:dyDescent="0.2">
      <c r="A29" s="63"/>
      <c r="B29" s="4" t="s">
        <v>91</v>
      </c>
      <c r="C29" s="3" t="s">
        <v>136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183</v>
      </c>
      <c r="D32" s="63"/>
      <c r="E32" s="63"/>
    </row>
    <row r="33" spans="1:5" x14ac:dyDescent="0.2">
      <c r="A33" s="63"/>
      <c r="B33" s="4" t="s">
        <v>43</v>
      </c>
      <c r="C33" s="3" t="s">
        <v>86</v>
      </c>
      <c r="D33" s="63"/>
      <c r="E33" s="63"/>
    </row>
    <row r="34" spans="1:5" x14ac:dyDescent="0.2">
      <c r="A34" s="63"/>
      <c r="B34" s="4" t="s">
        <v>44</v>
      </c>
      <c r="C34" s="3" t="s">
        <v>87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282</v>
      </c>
      <c r="D39" s="58"/>
      <c r="E39" s="59"/>
    </row>
    <row r="40" spans="1:5" x14ac:dyDescent="0.2">
      <c r="A40" s="58" t="s">
        <v>125</v>
      </c>
      <c r="B40" s="59"/>
      <c r="C40" s="3" t="s">
        <v>283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406" priority="2"/>
  </conditionalFormatting>
  <conditionalFormatting sqref="B24">
    <cfRule type="duplicateValues" dxfId="405" priority="10"/>
  </conditionalFormatting>
  <conditionalFormatting sqref="B25">
    <cfRule type="duplicateValues" dxfId="404" priority="3"/>
  </conditionalFormatting>
  <conditionalFormatting sqref="B28">
    <cfRule type="duplicateValues" dxfId="403" priority="1"/>
  </conditionalFormatting>
  <conditionalFormatting sqref="B31">
    <cfRule type="duplicateValues" dxfId="402" priority="9"/>
  </conditionalFormatting>
  <conditionalFormatting sqref="B37">
    <cfRule type="duplicateValues" dxfId="401" priority="5"/>
  </conditionalFormatting>
  <conditionalFormatting sqref="B38">
    <cfRule type="duplicateValues" dxfId="400" priority="4"/>
  </conditionalFormatting>
  <conditionalFormatting sqref="B39">
    <cfRule type="duplicateValues" dxfId="399" priority="8"/>
  </conditionalFormatting>
  <conditionalFormatting sqref="B40">
    <cfRule type="duplicateValues" dxfId="398" priority="7"/>
  </conditionalFormatting>
  <conditionalFormatting sqref="B41">
    <cfRule type="duplicateValues" dxfId="397" priority="6"/>
  </conditionalFormatting>
  <conditionalFormatting sqref="B55:B1048576 B26:B27 B4:B10 B12:B18 B32:B36 B42:B46 B20:B23 B29:B30">
    <cfRule type="duplicateValues" dxfId="396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4782C-220C-4876-9CC9-BBEE8CC1186F}">
  <sheetPr codeName="Sheet34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403</v>
      </c>
    </row>
    <row r="4" spans="1:5" x14ac:dyDescent="0.2">
      <c r="A4" s="80" t="s">
        <v>74</v>
      </c>
      <c r="B4" s="80"/>
      <c r="C4" s="2" t="s">
        <v>217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11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Glycol, FG, HC service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62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255.3 @ -29°C' 219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3 mm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ht="24" x14ac:dyDescent="0.2">
      <c r="A14" s="63" t="s">
        <v>35</v>
      </c>
      <c r="B14" s="63"/>
      <c r="C14" s="3" t="s">
        <v>297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x14ac:dyDescent="0.2">
      <c r="A18" s="63"/>
      <c r="B18" s="4" t="s">
        <v>68</v>
      </c>
      <c r="C18" s="3" t="s">
        <v>103</v>
      </c>
      <c r="D18" s="63"/>
      <c r="E18" s="63"/>
    </row>
    <row r="19" spans="1:5" x14ac:dyDescent="0.2">
      <c r="A19" s="63"/>
      <c r="B19" s="4" t="s">
        <v>140</v>
      </c>
      <c r="C19" s="3" t="s">
        <v>143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121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85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105</v>
      </c>
      <c r="D28" s="63"/>
      <c r="E28" s="63"/>
    </row>
    <row r="29" spans="1:5" x14ac:dyDescent="0.2">
      <c r="A29" s="63"/>
      <c r="B29" s="4" t="s">
        <v>91</v>
      </c>
      <c r="C29" s="3" t="s">
        <v>136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183</v>
      </c>
      <c r="D32" s="63"/>
      <c r="E32" s="63"/>
    </row>
    <row r="33" spans="1:5" x14ac:dyDescent="0.2">
      <c r="A33" s="63"/>
      <c r="B33" s="4" t="s">
        <v>43</v>
      </c>
      <c r="C33" s="3" t="s">
        <v>86</v>
      </c>
      <c r="D33" s="63"/>
      <c r="E33" s="63"/>
    </row>
    <row r="34" spans="1:5" x14ac:dyDescent="0.2">
      <c r="A34" s="63"/>
      <c r="B34" s="4" t="s">
        <v>44</v>
      </c>
      <c r="C34" s="3" t="s">
        <v>87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280</v>
      </c>
      <c r="D39" s="58"/>
      <c r="E39" s="59"/>
    </row>
    <row r="40" spans="1:5" x14ac:dyDescent="0.2">
      <c r="A40" s="58" t="s">
        <v>125</v>
      </c>
      <c r="B40" s="59"/>
      <c r="C40" s="3" t="s">
        <v>281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395" priority="2"/>
  </conditionalFormatting>
  <conditionalFormatting sqref="B24">
    <cfRule type="duplicateValues" dxfId="394" priority="10"/>
  </conditionalFormatting>
  <conditionalFormatting sqref="B25">
    <cfRule type="duplicateValues" dxfId="393" priority="3"/>
  </conditionalFormatting>
  <conditionalFormatting sqref="B28">
    <cfRule type="duplicateValues" dxfId="392" priority="1"/>
  </conditionalFormatting>
  <conditionalFormatting sqref="B31">
    <cfRule type="duplicateValues" dxfId="391" priority="9"/>
  </conditionalFormatting>
  <conditionalFormatting sqref="B37">
    <cfRule type="duplicateValues" dxfId="390" priority="5"/>
  </conditionalFormatting>
  <conditionalFormatting sqref="B38">
    <cfRule type="duplicateValues" dxfId="389" priority="4"/>
  </conditionalFormatting>
  <conditionalFormatting sqref="B39">
    <cfRule type="duplicateValues" dxfId="388" priority="8"/>
  </conditionalFormatting>
  <conditionalFormatting sqref="B40">
    <cfRule type="duplicateValues" dxfId="387" priority="7"/>
  </conditionalFormatting>
  <conditionalFormatting sqref="B41">
    <cfRule type="duplicateValues" dxfId="386" priority="6"/>
  </conditionalFormatting>
  <conditionalFormatting sqref="B55:B1048576 B26:B27 B4:B10 B12:B18 B32:B36 B42:B46 B20:B23 B29:B30">
    <cfRule type="duplicateValues" dxfId="385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9B2AC-DDA0-44ED-9BCE-6959BE6C52A8}">
  <sheetPr codeName="Sheet35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404</v>
      </c>
    </row>
    <row r="4" spans="1:5" x14ac:dyDescent="0.2">
      <c r="A4" s="80" t="s">
        <v>74</v>
      </c>
      <c r="B4" s="80"/>
      <c r="C4" s="2" t="s">
        <v>218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12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Glycol, FG, HC service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63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399.8 @ -29°C' 342.9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3 mm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ht="24" x14ac:dyDescent="0.2">
      <c r="A14" s="63" t="s">
        <v>35</v>
      </c>
      <c r="B14" s="63"/>
      <c r="C14" s="3" t="s">
        <v>297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x14ac:dyDescent="0.2">
      <c r="A18" s="63"/>
      <c r="B18" s="4" t="s">
        <v>68</v>
      </c>
      <c r="C18" s="3" t="s">
        <v>103</v>
      </c>
      <c r="D18" s="63"/>
      <c r="E18" s="63"/>
    </row>
    <row r="19" spans="1:5" x14ac:dyDescent="0.2">
      <c r="A19" s="63"/>
      <c r="B19" s="4" t="s">
        <v>140</v>
      </c>
      <c r="C19" s="3" t="s">
        <v>143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121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85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105</v>
      </c>
      <c r="D28" s="63"/>
      <c r="E28" s="63"/>
    </row>
    <row r="29" spans="1:5" x14ac:dyDescent="0.2">
      <c r="A29" s="63"/>
      <c r="B29" s="4" t="s">
        <v>91</v>
      </c>
      <c r="C29" s="3" t="s">
        <v>136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183</v>
      </c>
      <c r="D32" s="63"/>
      <c r="E32" s="63"/>
    </row>
    <row r="33" spans="1:5" x14ac:dyDescent="0.2">
      <c r="A33" s="63"/>
      <c r="B33" s="4" t="s">
        <v>43</v>
      </c>
      <c r="C33" s="3" t="s">
        <v>86</v>
      </c>
      <c r="D33" s="63"/>
      <c r="E33" s="63"/>
    </row>
    <row r="34" spans="1:5" x14ac:dyDescent="0.2">
      <c r="A34" s="63"/>
      <c r="B34" s="4" t="s">
        <v>44</v>
      </c>
      <c r="C34" s="3" t="s">
        <v>87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278</v>
      </c>
      <c r="D39" s="58"/>
      <c r="E39" s="59"/>
    </row>
    <row r="40" spans="1:5" x14ac:dyDescent="0.2">
      <c r="A40" s="58" t="s">
        <v>125</v>
      </c>
      <c r="B40" s="59"/>
      <c r="C40" s="3" t="s">
        <v>279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384" priority="2"/>
  </conditionalFormatting>
  <conditionalFormatting sqref="B24">
    <cfRule type="duplicateValues" dxfId="383" priority="10"/>
  </conditionalFormatting>
  <conditionalFormatting sqref="B25">
    <cfRule type="duplicateValues" dxfId="382" priority="3"/>
  </conditionalFormatting>
  <conditionalFormatting sqref="B28">
    <cfRule type="duplicateValues" dxfId="381" priority="1"/>
  </conditionalFormatting>
  <conditionalFormatting sqref="B31">
    <cfRule type="duplicateValues" dxfId="380" priority="9"/>
  </conditionalFormatting>
  <conditionalFormatting sqref="B37">
    <cfRule type="duplicateValues" dxfId="379" priority="5"/>
  </conditionalFormatting>
  <conditionalFormatting sqref="B38">
    <cfRule type="duplicateValues" dxfId="378" priority="4"/>
  </conditionalFormatting>
  <conditionalFormatting sqref="B39">
    <cfRule type="duplicateValues" dxfId="377" priority="8"/>
  </conditionalFormatting>
  <conditionalFormatting sqref="B40">
    <cfRule type="duplicateValues" dxfId="376" priority="7"/>
  </conditionalFormatting>
  <conditionalFormatting sqref="B41">
    <cfRule type="duplicateValues" dxfId="375" priority="6"/>
  </conditionalFormatting>
  <conditionalFormatting sqref="B55:B1048576 B26:B27 B4:B10 B12:B18 B32:B36 B42:B46 B20:B23 B29:B30">
    <cfRule type="duplicateValues" dxfId="374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017A6-EFEB-4DFE-AC08-1252195FAF15}">
  <sheetPr codeName="Sheet37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405</v>
      </c>
    </row>
    <row r="4" spans="1:5" x14ac:dyDescent="0.2">
      <c r="A4" s="80" t="s">
        <v>74</v>
      </c>
      <c r="B4" s="80"/>
      <c r="C4" s="2" t="s">
        <v>219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159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Corrosive HC service (Low Temp)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55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19.6 @ -45°C' 13.8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6 mm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x14ac:dyDescent="0.2">
      <c r="A14" s="63" t="s">
        <v>35</v>
      </c>
      <c r="B14" s="63"/>
      <c r="C14" s="3" t="s">
        <v>247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x14ac:dyDescent="0.2">
      <c r="A18" s="63"/>
      <c r="B18" s="4" t="s">
        <v>68</v>
      </c>
      <c r="C18" s="3" t="s">
        <v>103</v>
      </c>
      <c r="D18" s="63"/>
      <c r="E18" s="63"/>
    </row>
    <row r="19" spans="1:5" x14ac:dyDescent="0.2">
      <c r="A19" s="63"/>
      <c r="B19" s="4" t="s">
        <v>140</v>
      </c>
      <c r="C19" s="3" t="s">
        <v>143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120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76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105</v>
      </c>
      <c r="D28" s="63"/>
      <c r="E28" s="63"/>
    </row>
    <row r="29" spans="1:5" x14ac:dyDescent="0.2">
      <c r="A29" s="63"/>
      <c r="B29" s="4" t="s">
        <v>91</v>
      </c>
      <c r="C29" s="3" t="s">
        <v>133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185</v>
      </c>
      <c r="D32" s="63"/>
      <c r="E32" s="63"/>
    </row>
    <row r="33" spans="1:5" ht="36" x14ac:dyDescent="0.2">
      <c r="A33" s="63"/>
      <c r="B33" s="4" t="s">
        <v>43</v>
      </c>
      <c r="C33" s="3" t="s">
        <v>194</v>
      </c>
      <c r="D33" s="63"/>
      <c r="E33" s="63"/>
    </row>
    <row r="34" spans="1:5" ht="36" x14ac:dyDescent="0.2">
      <c r="A34" s="63"/>
      <c r="B34" s="4" t="s">
        <v>44</v>
      </c>
      <c r="C34" s="3" t="s">
        <v>184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288</v>
      </c>
      <c r="D39" s="58"/>
      <c r="E39" s="59"/>
    </row>
    <row r="40" spans="1:5" x14ac:dyDescent="0.2">
      <c r="A40" s="58" t="s">
        <v>125</v>
      </c>
      <c r="B40" s="59"/>
      <c r="C40" s="3" t="s">
        <v>289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373" priority="2"/>
  </conditionalFormatting>
  <conditionalFormatting sqref="B24">
    <cfRule type="duplicateValues" dxfId="372" priority="10"/>
  </conditionalFormatting>
  <conditionalFormatting sqref="B25">
    <cfRule type="duplicateValues" dxfId="371" priority="3"/>
  </conditionalFormatting>
  <conditionalFormatting sqref="B28">
    <cfRule type="duplicateValues" dxfId="370" priority="1"/>
  </conditionalFormatting>
  <conditionalFormatting sqref="B31">
    <cfRule type="duplicateValues" dxfId="369" priority="9"/>
  </conditionalFormatting>
  <conditionalFormatting sqref="B37">
    <cfRule type="duplicateValues" dxfId="368" priority="5"/>
  </conditionalFormatting>
  <conditionalFormatting sqref="B38">
    <cfRule type="duplicateValues" dxfId="367" priority="4"/>
  </conditionalFormatting>
  <conditionalFormatting sqref="B39">
    <cfRule type="duplicateValues" dxfId="366" priority="8"/>
  </conditionalFormatting>
  <conditionalFormatting sqref="B40">
    <cfRule type="duplicateValues" dxfId="365" priority="7"/>
  </conditionalFormatting>
  <conditionalFormatting sqref="B41">
    <cfRule type="duplicateValues" dxfId="364" priority="6"/>
  </conditionalFormatting>
  <conditionalFormatting sqref="B55:B1048576 B26:B27 B4:B10 B12:B18 B32:B36 B42:B46 B20:B23 B29:B30">
    <cfRule type="duplicateValues" dxfId="363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997C2-E0E7-487D-9C2F-30574BEE0F95}">
  <sheetPr codeName="Sheet38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406</v>
      </c>
    </row>
    <row r="4" spans="1:5" x14ac:dyDescent="0.2">
      <c r="A4" s="80" t="s">
        <v>74</v>
      </c>
      <c r="B4" s="80"/>
      <c r="C4" s="2" t="s">
        <v>220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160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Corrosive HC service (Low Temp)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58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51.1 @ -45°C' 43.8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6 mm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x14ac:dyDescent="0.2">
      <c r="A14" s="63" t="s">
        <v>35</v>
      </c>
      <c r="B14" s="63"/>
      <c r="C14" s="3" t="s">
        <v>247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x14ac:dyDescent="0.2">
      <c r="A18" s="63"/>
      <c r="B18" s="4" t="s">
        <v>68</v>
      </c>
      <c r="C18" s="3" t="s">
        <v>103</v>
      </c>
      <c r="D18" s="63"/>
      <c r="E18" s="63"/>
    </row>
    <row r="19" spans="1:5" x14ac:dyDescent="0.2">
      <c r="A19" s="63"/>
      <c r="B19" s="4" t="s">
        <v>140</v>
      </c>
      <c r="C19" s="3" t="s">
        <v>143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123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76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105</v>
      </c>
      <c r="D28" s="63"/>
      <c r="E28" s="63"/>
    </row>
    <row r="29" spans="1:5" x14ac:dyDescent="0.2">
      <c r="A29" s="63"/>
      <c r="B29" s="4" t="s">
        <v>91</v>
      </c>
      <c r="C29" s="3" t="s">
        <v>133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185</v>
      </c>
      <c r="D32" s="63"/>
      <c r="E32" s="63"/>
    </row>
    <row r="33" spans="1:5" ht="36" x14ac:dyDescent="0.2">
      <c r="A33" s="63"/>
      <c r="B33" s="4" t="s">
        <v>43</v>
      </c>
      <c r="C33" s="3" t="s">
        <v>194</v>
      </c>
      <c r="D33" s="63"/>
      <c r="E33" s="63"/>
    </row>
    <row r="34" spans="1:5" ht="36" x14ac:dyDescent="0.2">
      <c r="A34" s="63"/>
      <c r="B34" s="4" t="s">
        <v>44</v>
      </c>
      <c r="C34" s="3" t="s">
        <v>184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286</v>
      </c>
      <c r="D39" s="58"/>
      <c r="E39" s="59"/>
    </row>
    <row r="40" spans="1:5" x14ac:dyDescent="0.2">
      <c r="A40" s="58" t="s">
        <v>125</v>
      </c>
      <c r="B40" s="59"/>
      <c r="C40" s="3" t="s">
        <v>287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362" priority="2"/>
  </conditionalFormatting>
  <conditionalFormatting sqref="B24">
    <cfRule type="duplicateValues" dxfId="361" priority="10"/>
  </conditionalFormatting>
  <conditionalFormatting sqref="B25">
    <cfRule type="duplicateValues" dxfId="360" priority="3"/>
  </conditionalFormatting>
  <conditionalFormatting sqref="B28">
    <cfRule type="duplicateValues" dxfId="359" priority="1"/>
  </conditionalFormatting>
  <conditionalFormatting sqref="B31">
    <cfRule type="duplicateValues" dxfId="358" priority="9"/>
  </conditionalFormatting>
  <conditionalFormatting sqref="B37">
    <cfRule type="duplicateValues" dxfId="357" priority="5"/>
  </conditionalFormatting>
  <conditionalFormatting sqref="B38">
    <cfRule type="duplicateValues" dxfId="356" priority="4"/>
  </conditionalFormatting>
  <conditionalFormatting sqref="B39">
    <cfRule type="duplicateValues" dxfId="355" priority="8"/>
  </conditionalFormatting>
  <conditionalFormatting sqref="B40">
    <cfRule type="duplicateValues" dxfId="354" priority="7"/>
  </conditionalFormatting>
  <conditionalFormatting sqref="B41">
    <cfRule type="duplicateValues" dxfId="353" priority="6"/>
  </conditionalFormatting>
  <conditionalFormatting sqref="B55:B1048576 B26:B27 B4:B10 B12:B18 B32:B36 B42:B46 B20:B23 B29:B30">
    <cfRule type="duplicateValues" dxfId="352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0D95C-E1B3-4447-B783-E190876F27CE}">
  <sheetPr codeName="Sheet39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407</v>
      </c>
    </row>
    <row r="4" spans="1:5" x14ac:dyDescent="0.2">
      <c r="A4" s="80" t="s">
        <v>74</v>
      </c>
      <c r="B4" s="80"/>
      <c r="C4" s="2" t="s">
        <v>221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161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Corrosive HC service (Low Temp)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59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102.1 @ -45°C' 87.6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6 mm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x14ac:dyDescent="0.2">
      <c r="A14" s="63" t="s">
        <v>35</v>
      </c>
      <c r="B14" s="63"/>
      <c r="C14" s="3" t="s">
        <v>247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x14ac:dyDescent="0.2">
      <c r="A18" s="63"/>
      <c r="B18" s="4" t="s">
        <v>68</v>
      </c>
      <c r="C18" s="3" t="s">
        <v>103</v>
      </c>
      <c r="D18" s="63"/>
      <c r="E18" s="63"/>
    </row>
    <row r="19" spans="1:5" x14ac:dyDescent="0.2">
      <c r="A19" s="63"/>
      <c r="B19" s="4" t="s">
        <v>140</v>
      </c>
      <c r="C19" s="3" t="s">
        <v>143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122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76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105</v>
      </c>
      <c r="D28" s="63"/>
      <c r="E28" s="63"/>
    </row>
    <row r="29" spans="1:5" x14ac:dyDescent="0.2">
      <c r="A29" s="63"/>
      <c r="B29" s="4" t="s">
        <v>91</v>
      </c>
      <c r="C29" s="3" t="s">
        <v>133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185</v>
      </c>
      <c r="D32" s="63"/>
      <c r="E32" s="63"/>
    </row>
    <row r="33" spans="1:5" ht="36" x14ac:dyDescent="0.2">
      <c r="A33" s="63"/>
      <c r="B33" s="4" t="s">
        <v>43</v>
      </c>
      <c r="C33" s="3" t="s">
        <v>194</v>
      </c>
      <c r="D33" s="63"/>
      <c r="E33" s="63"/>
    </row>
    <row r="34" spans="1:5" ht="36" x14ac:dyDescent="0.2">
      <c r="A34" s="63"/>
      <c r="B34" s="4" t="s">
        <v>44</v>
      </c>
      <c r="C34" s="3" t="s">
        <v>184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284</v>
      </c>
      <c r="D39" s="58"/>
      <c r="E39" s="59"/>
    </row>
    <row r="40" spans="1:5" x14ac:dyDescent="0.2">
      <c r="A40" s="58" t="s">
        <v>125</v>
      </c>
      <c r="B40" s="59"/>
      <c r="C40" s="3" t="s">
        <v>285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351" priority="2"/>
  </conditionalFormatting>
  <conditionalFormatting sqref="B24">
    <cfRule type="duplicateValues" dxfId="350" priority="10"/>
  </conditionalFormatting>
  <conditionalFormatting sqref="B25">
    <cfRule type="duplicateValues" dxfId="349" priority="3"/>
  </conditionalFormatting>
  <conditionalFormatting sqref="B28">
    <cfRule type="duplicateValues" dxfId="348" priority="1"/>
  </conditionalFormatting>
  <conditionalFormatting sqref="B31">
    <cfRule type="duplicateValues" dxfId="347" priority="9"/>
  </conditionalFormatting>
  <conditionalFormatting sqref="B37">
    <cfRule type="duplicateValues" dxfId="346" priority="5"/>
  </conditionalFormatting>
  <conditionalFormatting sqref="B38">
    <cfRule type="duplicateValues" dxfId="345" priority="4"/>
  </conditionalFormatting>
  <conditionalFormatting sqref="B39">
    <cfRule type="duplicateValues" dxfId="344" priority="8"/>
  </conditionalFormatting>
  <conditionalFormatting sqref="B40">
    <cfRule type="duplicateValues" dxfId="343" priority="7"/>
  </conditionalFormatting>
  <conditionalFormatting sqref="B41">
    <cfRule type="duplicateValues" dxfId="342" priority="6"/>
  </conditionalFormatting>
  <conditionalFormatting sqref="B55:B1048576 B26:B27 B4:B10 B12:B18 B32:B36 B42:B46 B20:B23 B29:B30">
    <cfRule type="duplicateValues" dxfId="341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576AD-F239-4F20-AF86-DABA36EA0615}">
  <sheetPr codeName="Sheet40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408</v>
      </c>
    </row>
    <row r="4" spans="1:5" x14ac:dyDescent="0.2">
      <c r="A4" s="80" t="s">
        <v>74</v>
      </c>
      <c r="B4" s="80"/>
      <c r="C4" s="2" t="s">
        <v>222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162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Corrosive HC service (Low Temp)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60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153.2 @ -45°C' 131.4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6 mm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x14ac:dyDescent="0.2">
      <c r="A14" s="63" t="s">
        <v>35</v>
      </c>
      <c r="B14" s="63"/>
      <c r="C14" s="3" t="s">
        <v>61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x14ac:dyDescent="0.2">
      <c r="A18" s="63"/>
      <c r="B18" s="4" t="s">
        <v>68</v>
      </c>
      <c r="C18" s="3" t="s">
        <v>103</v>
      </c>
      <c r="D18" s="63"/>
      <c r="E18" s="63"/>
    </row>
    <row r="19" spans="1:5" x14ac:dyDescent="0.2">
      <c r="A19" s="63"/>
      <c r="B19" s="4" t="s">
        <v>140</v>
      </c>
      <c r="C19" s="3" t="s">
        <v>143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122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76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105</v>
      </c>
      <c r="D28" s="63"/>
      <c r="E28" s="63"/>
    </row>
    <row r="29" spans="1:5" x14ac:dyDescent="0.2">
      <c r="A29" s="63"/>
      <c r="B29" s="4" t="s">
        <v>91</v>
      </c>
      <c r="C29" s="3" t="s">
        <v>133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186</v>
      </c>
      <c r="D32" s="63"/>
      <c r="E32" s="63"/>
    </row>
    <row r="33" spans="1:5" ht="36" x14ac:dyDescent="0.2">
      <c r="A33" s="63"/>
      <c r="B33" s="4" t="s">
        <v>43</v>
      </c>
      <c r="C33" s="3" t="s">
        <v>194</v>
      </c>
      <c r="D33" s="63"/>
      <c r="E33" s="63"/>
    </row>
    <row r="34" spans="1:5" ht="36" x14ac:dyDescent="0.2">
      <c r="A34" s="63"/>
      <c r="B34" s="4" t="s">
        <v>44</v>
      </c>
      <c r="C34" s="3" t="s">
        <v>184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282</v>
      </c>
      <c r="D39" s="58"/>
      <c r="E39" s="59"/>
    </row>
    <row r="40" spans="1:5" x14ac:dyDescent="0.2">
      <c r="A40" s="58" t="s">
        <v>125</v>
      </c>
      <c r="B40" s="59"/>
      <c r="C40" s="3" t="s">
        <v>283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340" priority="2"/>
  </conditionalFormatting>
  <conditionalFormatting sqref="B24">
    <cfRule type="duplicateValues" dxfId="339" priority="10"/>
  </conditionalFormatting>
  <conditionalFormatting sqref="B25">
    <cfRule type="duplicateValues" dxfId="338" priority="3"/>
  </conditionalFormatting>
  <conditionalFormatting sqref="B28">
    <cfRule type="duplicateValues" dxfId="337" priority="1"/>
  </conditionalFormatting>
  <conditionalFormatting sqref="B31">
    <cfRule type="duplicateValues" dxfId="336" priority="9"/>
  </conditionalFormatting>
  <conditionalFormatting sqref="B37">
    <cfRule type="duplicateValues" dxfId="335" priority="5"/>
  </conditionalFormatting>
  <conditionalFormatting sqref="B38">
    <cfRule type="duplicateValues" dxfId="334" priority="4"/>
  </conditionalFormatting>
  <conditionalFormatting sqref="B39">
    <cfRule type="duplicateValues" dxfId="333" priority="8"/>
  </conditionalFormatting>
  <conditionalFormatting sqref="B40">
    <cfRule type="duplicateValues" dxfId="332" priority="7"/>
  </conditionalFormatting>
  <conditionalFormatting sqref="B41">
    <cfRule type="duplicateValues" dxfId="331" priority="6"/>
  </conditionalFormatting>
  <conditionalFormatting sqref="B55:B1048576 B26:B27 B4:B10 B12:B18 B32:B36 B42:B46 B20:B23 B29:B30">
    <cfRule type="duplicateValues" dxfId="330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A0225-9279-47AE-B59C-5F1CFBDBA032}">
  <sheetPr codeName="Sheet41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409</v>
      </c>
    </row>
    <row r="4" spans="1:5" x14ac:dyDescent="0.2">
      <c r="A4" s="80" t="s">
        <v>74</v>
      </c>
      <c r="B4" s="80"/>
      <c r="C4" s="2" t="s">
        <v>223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163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Corrosive HC service (Low Temp)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62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255.3 @ -45°C' 219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6 mm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ht="24" x14ac:dyDescent="0.2">
      <c r="A14" s="63" t="s">
        <v>35</v>
      </c>
      <c r="B14" s="63"/>
      <c r="C14" s="3" t="s">
        <v>297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x14ac:dyDescent="0.2">
      <c r="A18" s="63"/>
      <c r="B18" s="4" t="s">
        <v>68</v>
      </c>
      <c r="C18" s="3" t="s">
        <v>103</v>
      </c>
      <c r="D18" s="63"/>
      <c r="E18" s="63"/>
    </row>
    <row r="19" spans="1:5" x14ac:dyDescent="0.2">
      <c r="A19" s="63"/>
      <c r="B19" s="4" t="s">
        <v>140</v>
      </c>
      <c r="C19" s="3" t="s">
        <v>143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121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76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105</v>
      </c>
      <c r="D28" s="63"/>
      <c r="E28" s="63"/>
    </row>
    <row r="29" spans="1:5" x14ac:dyDescent="0.2">
      <c r="A29" s="63"/>
      <c r="B29" s="4" t="s">
        <v>91</v>
      </c>
      <c r="C29" s="3" t="s">
        <v>133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186</v>
      </c>
      <c r="D32" s="63"/>
      <c r="E32" s="63"/>
    </row>
    <row r="33" spans="1:5" ht="36" x14ac:dyDescent="0.2">
      <c r="A33" s="63"/>
      <c r="B33" s="4" t="s">
        <v>43</v>
      </c>
      <c r="C33" s="3" t="s">
        <v>194</v>
      </c>
      <c r="D33" s="63"/>
      <c r="E33" s="63"/>
    </row>
    <row r="34" spans="1:5" ht="36" x14ac:dyDescent="0.2">
      <c r="A34" s="63"/>
      <c r="B34" s="4" t="s">
        <v>44</v>
      </c>
      <c r="C34" s="3" t="s">
        <v>184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280</v>
      </c>
      <c r="D39" s="58"/>
      <c r="E39" s="59"/>
    </row>
    <row r="40" spans="1:5" x14ac:dyDescent="0.2">
      <c r="A40" s="58" t="s">
        <v>125</v>
      </c>
      <c r="B40" s="59"/>
      <c r="C40" s="3" t="s">
        <v>281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329" priority="2"/>
  </conditionalFormatting>
  <conditionalFormatting sqref="B24">
    <cfRule type="duplicateValues" dxfId="328" priority="10"/>
  </conditionalFormatting>
  <conditionalFormatting sqref="B25">
    <cfRule type="duplicateValues" dxfId="327" priority="3"/>
  </conditionalFormatting>
  <conditionalFormatting sqref="B28">
    <cfRule type="duplicateValues" dxfId="326" priority="1"/>
  </conditionalFormatting>
  <conditionalFormatting sqref="B31">
    <cfRule type="duplicateValues" dxfId="325" priority="9"/>
  </conditionalFormatting>
  <conditionalFormatting sqref="B37">
    <cfRule type="duplicateValues" dxfId="324" priority="5"/>
  </conditionalFormatting>
  <conditionalFormatting sqref="B38">
    <cfRule type="duplicateValues" dxfId="323" priority="4"/>
  </conditionalFormatting>
  <conditionalFormatting sqref="B39">
    <cfRule type="duplicateValues" dxfId="322" priority="8"/>
  </conditionalFormatting>
  <conditionalFormatting sqref="B40">
    <cfRule type="duplicateValues" dxfId="321" priority="7"/>
  </conditionalFormatting>
  <conditionalFormatting sqref="B41">
    <cfRule type="duplicateValues" dxfId="320" priority="6"/>
  </conditionalFormatting>
  <conditionalFormatting sqref="B55:B1048576 B26:B27 B4:B10 B12:B18 B32:B36 B42:B46 B20:B23 B29:B30">
    <cfRule type="duplicateValues" dxfId="319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72640-2098-4936-99E1-1BC561351B57}">
  <sheetPr codeName="Sheet42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410</v>
      </c>
    </row>
    <row r="4" spans="1:5" x14ac:dyDescent="0.2">
      <c r="A4" s="80" t="s">
        <v>74</v>
      </c>
      <c r="B4" s="80"/>
      <c r="C4" s="2" t="s">
        <v>224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164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Corrosive HC service (Low Temp)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63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399.8 @ -29°C' 342.9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6 mm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ht="24" x14ac:dyDescent="0.2">
      <c r="A14" s="63" t="s">
        <v>35</v>
      </c>
      <c r="B14" s="63"/>
      <c r="C14" s="3" t="s">
        <v>297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x14ac:dyDescent="0.2">
      <c r="A18" s="63"/>
      <c r="B18" s="4" t="s">
        <v>68</v>
      </c>
      <c r="C18" s="3" t="s">
        <v>103</v>
      </c>
      <c r="D18" s="63"/>
      <c r="E18" s="63"/>
    </row>
    <row r="19" spans="1:5" x14ac:dyDescent="0.2">
      <c r="A19" s="63"/>
      <c r="B19" s="4" t="s">
        <v>140</v>
      </c>
      <c r="C19" s="3" t="s">
        <v>143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121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76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105</v>
      </c>
      <c r="D28" s="63"/>
      <c r="E28" s="63"/>
    </row>
    <row r="29" spans="1:5" x14ac:dyDescent="0.2">
      <c r="A29" s="63"/>
      <c r="B29" s="4" t="s">
        <v>91</v>
      </c>
      <c r="C29" s="3" t="s">
        <v>133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186</v>
      </c>
      <c r="D32" s="63"/>
      <c r="E32" s="63"/>
    </row>
    <row r="33" spans="1:5" ht="36" x14ac:dyDescent="0.2">
      <c r="A33" s="63"/>
      <c r="B33" s="4" t="s">
        <v>43</v>
      </c>
      <c r="C33" s="3" t="s">
        <v>194</v>
      </c>
      <c r="D33" s="63"/>
      <c r="E33" s="63"/>
    </row>
    <row r="34" spans="1:5" ht="36" x14ac:dyDescent="0.2">
      <c r="A34" s="63"/>
      <c r="B34" s="4" t="s">
        <v>44</v>
      </c>
      <c r="C34" s="3" t="s">
        <v>184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278</v>
      </c>
      <c r="D39" s="58"/>
      <c r="E39" s="59"/>
    </row>
    <row r="40" spans="1:5" x14ac:dyDescent="0.2">
      <c r="A40" s="58" t="s">
        <v>125</v>
      </c>
      <c r="B40" s="59"/>
      <c r="C40" s="3" t="s">
        <v>279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318" priority="2"/>
  </conditionalFormatting>
  <conditionalFormatting sqref="B24">
    <cfRule type="duplicateValues" dxfId="317" priority="10"/>
  </conditionalFormatting>
  <conditionalFormatting sqref="B25">
    <cfRule type="duplicateValues" dxfId="316" priority="3"/>
  </conditionalFormatting>
  <conditionalFormatting sqref="B28">
    <cfRule type="duplicateValues" dxfId="315" priority="1"/>
  </conditionalFormatting>
  <conditionalFormatting sqref="B31">
    <cfRule type="duplicateValues" dxfId="314" priority="9"/>
  </conditionalFormatting>
  <conditionalFormatting sqref="B37">
    <cfRule type="duplicateValues" dxfId="313" priority="5"/>
  </conditionalFormatting>
  <conditionalFormatting sqref="B38">
    <cfRule type="duplicateValues" dxfId="312" priority="4"/>
  </conditionalFormatting>
  <conditionalFormatting sqref="B39">
    <cfRule type="duplicateValues" dxfId="311" priority="8"/>
  </conditionalFormatting>
  <conditionalFormatting sqref="B40">
    <cfRule type="duplicateValues" dxfId="310" priority="7"/>
  </conditionalFormatting>
  <conditionalFormatting sqref="B41">
    <cfRule type="duplicateValues" dxfId="309" priority="6"/>
  </conditionalFormatting>
  <conditionalFormatting sqref="B55:B1048576 B26:B27 B4:B10 B12:B18 B32:B36 B42:B46 B20:B23 B29:B30">
    <cfRule type="duplicateValues" dxfId="308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4FA2C-0739-4C88-A33E-DAC24E5144E9}">
  <sheetPr codeName="Sheet43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411</v>
      </c>
    </row>
    <row r="4" spans="1:5" x14ac:dyDescent="0.2">
      <c r="A4" s="80" t="s">
        <v>74</v>
      </c>
      <c r="B4" s="80"/>
      <c r="C4" s="2" t="s">
        <v>225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165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Glycol, Corrosive HC service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55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15.9 @ -100°C' 11.2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NIL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x14ac:dyDescent="0.2">
      <c r="A14" s="63" t="s">
        <v>35</v>
      </c>
      <c r="B14" s="63"/>
      <c r="C14" s="3" t="s">
        <v>247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ht="24" x14ac:dyDescent="0.2">
      <c r="A18" s="63"/>
      <c r="B18" s="4" t="s">
        <v>68</v>
      </c>
      <c r="C18" s="3" t="s">
        <v>144</v>
      </c>
      <c r="D18" s="63"/>
      <c r="E18" s="63"/>
    </row>
    <row r="19" spans="1:5" x14ac:dyDescent="0.2">
      <c r="A19" s="63"/>
      <c r="B19" s="4" t="s">
        <v>140</v>
      </c>
      <c r="C19" s="3" t="s">
        <v>141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120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77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152</v>
      </c>
      <c r="D28" s="63"/>
      <c r="E28" s="63"/>
    </row>
    <row r="29" spans="1:5" x14ac:dyDescent="0.2">
      <c r="A29" s="63"/>
      <c r="B29" s="4" t="s">
        <v>91</v>
      </c>
      <c r="C29" s="3" t="s">
        <v>101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185</v>
      </c>
      <c r="D32" s="63"/>
      <c r="E32" s="63"/>
    </row>
    <row r="33" spans="1:5" ht="36" x14ac:dyDescent="0.2">
      <c r="A33" s="63"/>
      <c r="B33" s="4" t="s">
        <v>43</v>
      </c>
      <c r="C33" s="3" t="s">
        <v>194</v>
      </c>
      <c r="D33" s="63"/>
      <c r="E33" s="63"/>
    </row>
    <row r="34" spans="1:5" ht="36" x14ac:dyDescent="0.2">
      <c r="A34" s="63"/>
      <c r="B34" s="4" t="s">
        <v>44</v>
      </c>
      <c r="C34" s="3" t="s">
        <v>184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276</v>
      </c>
      <c r="D39" s="58"/>
      <c r="E39" s="59"/>
    </row>
    <row r="40" spans="1:5" x14ac:dyDescent="0.2">
      <c r="A40" s="58" t="s">
        <v>125</v>
      </c>
      <c r="B40" s="59"/>
      <c r="C40" s="3" t="s">
        <v>277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307" priority="2"/>
  </conditionalFormatting>
  <conditionalFormatting sqref="B24">
    <cfRule type="duplicateValues" dxfId="306" priority="10"/>
  </conditionalFormatting>
  <conditionalFormatting sqref="B25">
    <cfRule type="duplicateValues" dxfId="305" priority="3"/>
  </conditionalFormatting>
  <conditionalFormatting sqref="B28">
    <cfRule type="duplicateValues" dxfId="304" priority="1"/>
  </conditionalFormatting>
  <conditionalFormatting sqref="B31">
    <cfRule type="duplicateValues" dxfId="303" priority="9"/>
  </conditionalFormatting>
  <conditionalFormatting sqref="B37">
    <cfRule type="duplicateValues" dxfId="302" priority="5"/>
  </conditionalFormatting>
  <conditionalFormatting sqref="B38">
    <cfRule type="duplicateValues" dxfId="301" priority="4"/>
  </conditionalFormatting>
  <conditionalFormatting sqref="B39">
    <cfRule type="duplicateValues" dxfId="300" priority="8"/>
  </conditionalFormatting>
  <conditionalFormatting sqref="B40">
    <cfRule type="duplicateValues" dxfId="299" priority="7"/>
  </conditionalFormatting>
  <conditionalFormatting sqref="B41">
    <cfRule type="duplicateValues" dxfId="298" priority="6"/>
  </conditionalFormatting>
  <conditionalFormatting sqref="B55:B1048576 B26:B27 B4:B10 B12:B18 B32:B36 B42:B46 B20:B23 B29:B30">
    <cfRule type="duplicateValues" dxfId="297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C0B41-2E9A-473B-9ED7-8C8CBBFE7C80}">
  <sheetPr codeName="Sheet44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412</v>
      </c>
    </row>
    <row r="4" spans="1:5" x14ac:dyDescent="0.2">
      <c r="A4" s="80" t="s">
        <v>74</v>
      </c>
      <c r="B4" s="80"/>
      <c r="C4" s="2" t="s">
        <v>226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167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Glycol, Corrosive HC service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58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41.4 @ -100°C' 29.2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NIL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x14ac:dyDescent="0.2">
      <c r="A14" s="63" t="s">
        <v>35</v>
      </c>
      <c r="B14" s="63"/>
      <c r="C14" s="3" t="s">
        <v>247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ht="24" x14ac:dyDescent="0.2">
      <c r="A18" s="63"/>
      <c r="B18" s="4" t="s">
        <v>68</v>
      </c>
      <c r="C18" s="3" t="s">
        <v>144</v>
      </c>
      <c r="D18" s="63"/>
      <c r="E18" s="63"/>
    </row>
    <row r="19" spans="1:5" x14ac:dyDescent="0.2">
      <c r="A19" s="63"/>
      <c r="B19" s="4" t="s">
        <v>140</v>
      </c>
      <c r="C19" s="3" t="s">
        <v>141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123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77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152</v>
      </c>
      <c r="D28" s="63"/>
      <c r="E28" s="63"/>
    </row>
    <row r="29" spans="1:5" x14ac:dyDescent="0.2">
      <c r="A29" s="63"/>
      <c r="B29" s="4" t="s">
        <v>91</v>
      </c>
      <c r="C29" s="3" t="s">
        <v>101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185</v>
      </c>
      <c r="D32" s="63"/>
      <c r="E32" s="63"/>
    </row>
    <row r="33" spans="1:5" ht="36" x14ac:dyDescent="0.2">
      <c r="A33" s="63"/>
      <c r="B33" s="4" t="s">
        <v>43</v>
      </c>
      <c r="C33" s="3" t="s">
        <v>194</v>
      </c>
      <c r="D33" s="63"/>
      <c r="E33" s="63"/>
    </row>
    <row r="34" spans="1:5" ht="36" x14ac:dyDescent="0.2">
      <c r="A34" s="63"/>
      <c r="B34" s="4" t="s">
        <v>44</v>
      </c>
      <c r="C34" s="3" t="s">
        <v>184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274</v>
      </c>
      <c r="D39" s="58"/>
      <c r="E39" s="59"/>
    </row>
    <row r="40" spans="1:5" x14ac:dyDescent="0.2">
      <c r="A40" s="58" t="s">
        <v>125</v>
      </c>
      <c r="B40" s="59"/>
      <c r="C40" s="3" t="s">
        <v>275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296" priority="2"/>
  </conditionalFormatting>
  <conditionalFormatting sqref="B24">
    <cfRule type="duplicateValues" dxfId="295" priority="10"/>
  </conditionalFormatting>
  <conditionalFormatting sqref="B25">
    <cfRule type="duplicateValues" dxfId="294" priority="3"/>
  </conditionalFormatting>
  <conditionalFormatting sqref="B28">
    <cfRule type="duplicateValues" dxfId="293" priority="1"/>
  </conditionalFormatting>
  <conditionalFormatting sqref="B31">
    <cfRule type="duplicateValues" dxfId="292" priority="9"/>
  </conditionalFormatting>
  <conditionalFormatting sqref="B37">
    <cfRule type="duplicateValues" dxfId="291" priority="5"/>
  </conditionalFormatting>
  <conditionalFormatting sqref="B38">
    <cfRule type="duplicateValues" dxfId="290" priority="4"/>
  </conditionalFormatting>
  <conditionalFormatting sqref="B39">
    <cfRule type="duplicateValues" dxfId="289" priority="8"/>
  </conditionalFormatting>
  <conditionalFormatting sqref="B40">
    <cfRule type="duplicateValues" dxfId="288" priority="7"/>
  </conditionalFormatting>
  <conditionalFormatting sqref="B41">
    <cfRule type="duplicateValues" dxfId="287" priority="6"/>
  </conditionalFormatting>
  <conditionalFormatting sqref="B55:B1048576 B26:B27 B4:B10 B12:B18 B32:B36 B42:B46 B20:B23 B29:B30">
    <cfRule type="duplicateValues" dxfId="286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A2758-6FD3-45F8-8A6A-CCA33CE84630}">
  <sheetPr codeName="Sheet45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413</v>
      </c>
    </row>
    <row r="4" spans="1:5" x14ac:dyDescent="0.2">
      <c r="A4" s="80" t="s">
        <v>74</v>
      </c>
      <c r="B4" s="80"/>
      <c r="C4" s="2" t="s">
        <v>227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168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Glycol, Corrosive HC service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59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82.7 @ -100°C' 58.3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NIL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x14ac:dyDescent="0.2">
      <c r="A14" s="63" t="s">
        <v>35</v>
      </c>
      <c r="B14" s="63"/>
      <c r="C14" s="3" t="s">
        <v>247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ht="24" x14ac:dyDescent="0.2">
      <c r="A18" s="63"/>
      <c r="B18" s="4" t="s">
        <v>68</v>
      </c>
      <c r="C18" s="3" t="s">
        <v>144</v>
      </c>
      <c r="D18" s="63"/>
      <c r="E18" s="63"/>
    </row>
    <row r="19" spans="1:5" x14ac:dyDescent="0.2">
      <c r="A19" s="63"/>
      <c r="B19" s="4" t="s">
        <v>140</v>
      </c>
      <c r="C19" s="3" t="s">
        <v>141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122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77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152</v>
      </c>
      <c r="D28" s="63"/>
      <c r="E28" s="63"/>
    </row>
    <row r="29" spans="1:5" x14ac:dyDescent="0.2">
      <c r="A29" s="63"/>
      <c r="B29" s="4" t="s">
        <v>91</v>
      </c>
      <c r="C29" s="3" t="s">
        <v>101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185</v>
      </c>
      <c r="D32" s="63"/>
      <c r="E32" s="63"/>
    </row>
    <row r="33" spans="1:5" ht="36" x14ac:dyDescent="0.2">
      <c r="A33" s="63"/>
      <c r="B33" s="4" t="s">
        <v>43</v>
      </c>
      <c r="C33" s="3" t="s">
        <v>194</v>
      </c>
      <c r="D33" s="63"/>
      <c r="E33" s="63"/>
    </row>
    <row r="34" spans="1:5" ht="36" x14ac:dyDescent="0.2">
      <c r="A34" s="63"/>
      <c r="B34" s="4" t="s">
        <v>44</v>
      </c>
      <c r="C34" s="3" t="s">
        <v>184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272</v>
      </c>
      <c r="D39" s="58"/>
      <c r="E39" s="59"/>
    </row>
    <row r="40" spans="1:5" x14ac:dyDescent="0.2">
      <c r="A40" s="58" t="s">
        <v>125</v>
      </c>
      <c r="B40" s="59"/>
      <c r="C40" s="3" t="s">
        <v>273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285" priority="2"/>
  </conditionalFormatting>
  <conditionalFormatting sqref="B24">
    <cfRule type="duplicateValues" dxfId="284" priority="10"/>
  </conditionalFormatting>
  <conditionalFormatting sqref="B25">
    <cfRule type="duplicateValues" dxfId="283" priority="3"/>
  </conditionalFormatting>
  <conditionalFormatting sqref="B28">
    <cfRule type="duplicateValues" dxfId="282" priority="1"/>
  </conditionalFormatting>
  <conditionalFormatting sqref="B31">
    <cfRule type="duplicateValues" dxfId="281" priority="9"/>
  </conditionalFormatting>
  <conditionalFormatting sqref="B37">
    <cfRule type="duplicateValues" dxfId="280" priority="5"/>
  </conditionalFormatting>
  <conditionalFormatting sqref="B38">
    <cfRule type="duplicateValues" dxfId="279" priority="4"/>
  </conditionalFormatting>
  <conditionalFormatting sqref="B39">
    <cfRule type="duplicateValues" dxfId="278" priority="8"/>
  </conditionalFormatting>
  <conditionalFormatting sqref="B40">
    <cfRule type="duplicateValues" dxfId="277" priority="7"/>
  </conditionalFormatting>
  <conditionalFormatting sqref="B41">
    <cfRule type="duplicateValues" dxfId="276" priority="6"/>
  </conditionalFormatting>
  <conditionalFormatting sqref="B55:B1048576 B26:B27 B4:B10 B12:B18 B32:B36 B42:B46 B20:B23 B29:B30">
    <cfRule type="duplicateValues" dxfId="275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5FB19-F846-4306-8AFE-9D212FCF5A4F}">
  <sheetPr codeName="Sheet46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414</v>
      </c>
    </row>
    <row r="4" spans="1:5" x14ac:dyDescent="0.2">
      <c r="A4" s="80" t="s">
        <v>74</v>
      </c>
      <c r="B4" s="80"/>
      <c r="C4" s="2" t="s">
        <v>228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169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Glycol, Corrosive HC service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60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124.1 @ -100°C' 87.5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NIL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x14ac:dyDescent="0.2">
      <c r="A14" s="63" t="s">
        <v>35</v>
      </c>
      <c r="B14" s="63"/>
      <c r="C14" s="3" t="s">
        <v>61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ht="24" x14ac:dyDescent="0.2">
      <c r="A18" s="63"/>
      <c r="B18" s="4" t="s">
        <v>68</v>
      </c>
      <c r="C18" s="3" t="s">
        <v>144</v>
      </c>
      <c r="D18" s="63"/>
      <c r="E18" s="63"/>
    </row>
    <row r="19" spans="1:5" x14ac:dyDescent="0.2">
      <c r="A19" s="63"/>
      <c r="B19" s="4" t="s">
        <v>140</v>
      </c>
      <c r="C19" s="3" t="s">
        <v>141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122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77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152</v>
      </c>
      <c r="D28" s="63"/>
      <c r="E28" s="63"/>
    </row>
    <row r="29" spans="1:5" x14ac:dyDescent="0.2">
      <c r="A29" s="63"/>
      <c r="B29" s="4" t="s">
        <v>91</v>
      </c>
      <c r="C29" s="3" t="s">
        <v>101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187</v>
      </c>
      <c r="D32" s="63"/>
      <c r="E32" s="63"/>
    </row>
    <row r="33" spans="1:5" ht="36" x14ac:dyDescent="0.2">
      <c r="A33" s="63"/>
      <c r="B33" s="4" t="s">
        <v>43</v>
      </c>
      <c r="C33" s="3" t="s">
        <v>194</v>
      </c>
      <c r="D33" s="63"/>
      <c r="E33" s="63"/>
    </row>
    <row r="34" spans="1:5" ht="36" x14ac:dyDescent="0.2">
      <c r="A34" s="63"/>
      <c r="B34" s="4" t="s">
        <v>44</v>
      </c>
      <c r="C34" s="3" t="s">
        <v>184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270</v>
      </c>
      <c r="D39" s="58"/>
      <c r="E39" s="59"/>
    </row>
    <row r="40" spans="1:5" x14ac:dyDescent="0.2">
      <c r="A40" s="58" t="s">
        <v>125</v>
      </c>
      <c r="B40" s="59"/>
      <c r="C40" s="3" t="s">
        <v>271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274" priority="2"/>
  </conditionalFormatting>
  <conditionalFormatting sqref="B24">
    <cfRule type="duplicateValues" dxfId="273" priority="10"/>
  </conditionalFormatting>
  <conditionalFormatting sqref="B25">
    <cfRule type="duplicateValues" dxfId="272" priority="3"/>
  </conditionalFormatting>
  <conditionalFormatting sqref="B28">
    <cfRule type="duplicateValues" dxfId="271" priority="1"/>
  </conditionalFormatting>
  <conditionalFormatting sqref="B31">
    <cfRule type="duplicateValues" dxfId="270" priority="9"/>
  </conditionalFormatting>
  <conditionalFormatting sqref="B37">
    <cfRule type="duplicateValues" dxfId="269" priority="5"/>
  </conditionalFormatting>
  <conditionalFormatting sqref="B38">
    <cfRule type="duplicateValues" dxfId="268" priority="4"/>
  </conditionalFormatting>
  <conditionalFormatting sqref="B39">
    <cfRule type="duplicateValues" dxfId="267" priority="8"/>
  </conditionalFormatting>
  <conditionalFormatting sqref="B40">
    <cfRule type="duplicateValues" dxfId="266" priority="7"/>
  </conditionalFormatting>
  <conditionalFormatting sqref="B41">
    <cfRule type="duplicateValues" dxfId="265" priority="6"/>
  </conditionalFormatting>
  <conditionalFormatting sqref="B55:B1048576 B26:B27 B4:B10 B12:B18 B32:B36 B42:B46 B20:B23 B29:B30">
    <cfRule type="duplicateValues" dxfId="264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1D326-169F-4523-99B4-18E22BBBF036}">
  <sheetPr codeName="Sheet47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415</v>
      </c>
    </row>
    <row r="4" spans="1:5" x14ac:dyDescent="0.2">
      <c r="A4" s="80" t="s">
        <v>74</v>
      </c>
      <c r="B4" s="80"/>
      <c r="C4" s="2" t="s">
        <v>229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170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Glycol, Corrosive HC service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62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206.8 @ -100°C' 145.8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NIL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ht="24" x14ac:dyDescent="0.2">
      <c r="A14" s="63" t="s">
        <v>35</v>
      </c>
      <c r="B14" s="63"/>
      <c r="C14" s="3" t="s">
        <v>297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ht="24" x14ac:dyDescent="0.2">
      <c r="A18" s="63"/>
      <c r="B18" s="4" t="s">
        <v>68</v>
      </c>
      <c r="C18" s="3" t="s">
        <v>144</v>
      </c>
      <c r="D18" s="63"/>
      <c r="E18" s="63"/>
    </row>
    <row r="19" spans="1:5" x14ac:dyDescent="0.2">
      <c r="A19" s="63"/>
      <c r="B19" s="4" t="s">
        <v>140</v>
      </c>
      <c r="C19" s="3" t="s">
        <v>141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121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77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152</v>
      </c>
      <c r="D28" s="63"/>
      <c r="E28" s="63"/>
    </row>
    <row r="29" spans="1:5" x14ac:dyDescent="0.2">
      <c r="A29" s="63"/>
      <c r="B29" s="4" t="s">
        <v>91</v>
      </c>
      <c r="C29" s="3" t="s">
        <v>101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187</v>
      </c>
      <c r="D32" s="63"/>
      <c r="E32" s="63"/>
    </row>
    <row r="33" spans="1:5" ht="36" x14ac:dyDescent="0.2">
      <c r="A33" s="63"/>
      <c r="B33" s="4" t="s">
        <v>43</v>
      </c>
      <c r="C33" s="3" t="s">
        <v>194</v>
      </c>
      <c r="D33" s="63"/>
      <c r="E33" s="63"/>
    </row>
    <row r="34" spans="1:5" ht="36" x14ac:dyDescent="0.2">
      <c r="A34" s="63"/>
      <c r="B34" s="4" t="s">
        <v>44</v>
      </c>
      <c r="C34" s="3" t="s">
        <v>184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268</v>
      </c>
      <c r="D39" s="58"/>
      <c r="E39" s="59"/>
    </row>
    <row r="40" spans="1:5" x14ac:dyDescent="0.2">
      <c r="A40" s="58" t="s">
        <v>125</v>
      </c>
      <c r="B40" s="59"/>
      <c r="C40" s="3" t="s">
        <v>269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263" priority="2"/>
  </conditionalFormatting>
  <conditionalFormatting sqref="B24">
    <cfRule type="duplicateValues" dxfId="262" priority="10"/>
  </conditionalFormatting>
  <conditionalFormatting sqref="B25">
    <cfRule type="duplicateValues" dxfId="261" priority="3"/>
  </conditionalFormatting>
  <conditionalFormatting sqref="B28">
    <cfRule type="duplicateValues" dxfId="260" priority="1"/>
  </conditionalFormatting>
  <conditionalFormatting sqref="B31">
    <cfRule type="duplicateValues" dxfId="259" priority="9"/>
  </conditionalFormatting>
  <conditionalFormatting sqref="B37">
    <cfRule type="duplicateValues" dxfId="258" priority="5"/>
  </conditionalFormatting>
  <conditionalFormatting sqref="B38">
    <cfRule type="duplicateValues" dxfId="257" priority="4"/>
  </conditionalFormatting>
  <conditionalFormatting sqref="B39">
    <cfRule type="duplicateValues" dxfId="256" priority="8"/>
  </conditionalFormatting>
  <conditionalFormatting sqref="B40">
    <cfRule type="duplicateValues" dxfId="255" priority="7"/>
  </conditionalFormatting>
  <conditionalFormatting sqref="B41">
    <cfRule type="duplicateValues" dxfId="254" priority="6"/>
  </conditionalFormatting>
  <conditionalFormatting sqref="B55:B1048576 B26:B27 B4:B10 B12:B18 B32:B36 B42:B46 B20:B23 B29:B30">
    <cfRule type="duplicateValues" dxfId="253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9E365-CDF5-42DB-B1C6-9BA66FBC4D29}">
  <sheetPr codeName="Sheet48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416</v>
      </c>
    </row>
    <row r="4" spans="1:5" x14ac:dyDescent="0.2">
      <c r="A4" s="80" t="s">
        <v>74</v>
      </c>
      <c r="B4" s="80"/>
      <c r="C4" s="2" t="s">
        <v>230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171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Glycol, Corrosive HC service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63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344.7 @ -100°C' 243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NIL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ht="24" x14ac:dyDescent="0.2">
      <c r="A14" s="63" t="s">
        <v>35</v>
      </c>
      <c r="B14" s="63"/>
      <c r="C14" s="3" t="s">
        <v>297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ht="24" x14ac:dyDescent="0.2">
      <c r="A18" s="63"/>
      <c r="B18" s="4" t="s">
        <v>68</v>
      </c>
      <c r="C18" s="3" t="s">
        <v>144</v>
      </c>
      <c r="D18" s="63"/>
      <c r="E18" s="63"/>
    </row>
    <row r="19" spans="1:5" x14ac:dyDescent="0.2">
      <c r="A19" s="63"/>
      <c r="B19" s="4" t="s">
        <v>140</v>
      </c>
      <c r="C19" s="3" t="s">
        <v>141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121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77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152</v>
      </c>
      <c r="D28" s="63"/>
      <c r="E28" s="63"/>
    </row>
    <row r="29" spans="1:5" x14ac:dyDescent="0.2">
      <c r="A29" s="63"/>
      <c r="B29" s="4" t="s">
        <v>91</v>
      </c>
      <c r="C29" s="3" t="s">
        <v>101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187</v>
      </c>
      <c r="D32" s="63"/>
      <c r="E32" s="63"/>
    </row>
    <row r="33" spans="1:5" ht="36" x14ac:dyDescent="0.2">
      <c r="A33" s="63"/>
      <c r="B33" s="4" t="s">
        <v>43</v>
      </c>
      <c r="C33" s="3" t="s">
        <v>194</v>
      </c>
      <c r="D33" s="63"/>
      <c r="E33" s="63"/>
    </row>
    <row r="34" spans="1:5" ht="36" x14ac:dyDescent="0.2">
      <c r="A34" s="63"/>
      <c r="B34" s="4" t="s">
        <v>44</v>
      </c>
      <c r="C34" s="3" t="s">
        <v>184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266</v>
      </c>
      <c r="D39" s="58"/>
      <c r="E39" s="59"/>
    </row>
    <row r="40" spans="1:5" x14ac:dyDescent="0.2">
      <c r="A40" s="58" t="s">
        <v>125</v>
      </c>
      <c r="B40" s="59"/>
      <c r="C40" s="3" t="s">
        <v>267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252" priority="2"/>
  </conditionalFormatting>
  <conditionalFormatting sqref="B24">
    <cfRule type="duplicateValues" dxfId="251" priority="10"/>
  </conditionalFormatting>
  <conditionalFormatting sqref="B25">
    <cfRule type="duplicateValues" dxfId="250" priority="3"/>
  </conditionalFormatting>
  <conditionalFormatting sqref="B28">
    <cfRule type="duplicateValues" dxfId="249" priority="1"/>
  </conditionalFormatting>
  <conditionalFormatting sqref="B31">
    <cfRule type="duplicateValues" dxfId="248" priority="9"/>
  </conditionalFormatting>
  <conditionalFormatting sqref="B37">
    <cfRule type="duplicateValues" dxfId="247" priority="5"/>
  </conditionalFormatting>
  <conditionalFormatting sqref="B38">
    <cfRule type="duplicateValues" dxfId="246" priority="4"/>
  </conditionalFormatting>
  <conditionalFormatting sqref="B39">
    <cfRule type="duplicateValues" dxfId="245" priority="8"/>
  </conditionalFormatting>
  <conditionalFormatting sqref="B40">
    <cfRule type="duplicateValues" dxfId="244" priority="7"/>
  </conditionalFormatting>
  <conditionalFormatting sqref="B41">
    <cfRule type="duplicateValues" dxfId="243" priority="6"/>
  </conditionalFormatting>
  <conditionalFormatting sqref="B55:B1048576 B26:B27 B4:B10 B12:B18 B32:B36 B42:B46 B20:B23 B29:B30">
    <cfRule type="duplicateValues" dxfId="242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BBBB9-0284-435C-964F-FF23B5103007}">
  <sheetPr codeName="Sheet49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417</v>
      </c>
    </row>
    <row r="4" spans="1:5" x14ac:dyDescent="0.2">
      <c r="A4" s="80" t="s">
        <v>74</v>
      </c>
      <c r="B4" s="80"/>
      <c r="C4" s="2" t="s">
        <v>231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246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e">
        <f>VLOOKUP(C5,Index!N:W,6,FALSE)</f>
        <v>#N/A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55</v>
      </c>
      <c r="D10" s="63"/>
      <c r="E10" s="63"/>
    </row>
    <row r="11" spans="1:5" ht="11.45" customHeight="1" x14ac:dyDescent="0.2">
      <c r="A11" s="67" t="s">
        <v>119</v>
      </c>
      <c r="B11" s="68"/>
      <c r="C11" s="13" t="e">
        <f>VLOOKUP(C5,Index!N:W,10,FALSE)</f>
        <v>#N/A</v>
      </c>
      <c r="D11" s="69"/>
      <c r="E11" s="70"/>
    </row>
    <row r="12" spans="1:5" x14ac:dyDescent="0.2">
      <c r="A12" s="63" t="s">
        <v>32</v>
      </c>
      <c r="B12" s="63"/>
      <c r="C12" s="3" t="e">
        <f>VLOOKUP(C5,Index!N:W,5,FALSE)</f>
        <v>#N/A</v>
      </c>
      <c r="D12" s="63"/>
      <c r="E12" s="63"/>
    </row>
    <row r="13" spans="1:5" x14ac:dyDescent="0.2">
      <c r="A13" s="63" t="s">
        <v>33</v>
      </c>
      <c r="B13" s="63"/>
      <c r="C13" s="3" t="s">
        <v>34</v>
      </c>
      <c r="D13" s="63"/>
      <c r="E13" s="63"/>
    </row>
    <row r="14" spans="1:5" x14ac:dyDescent="0.2">
      <c r="A14" s="63" t="s">
        <v>35</v>
      </c>
      <c r="B14" s="63"/>
      <c r="C14" s="3" t="s">
        <v>247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ht="24" x14ac:dyDescent="0.2">
      <c r="A18" s="63"/>
      <c r="B18" s="4" t="s">
        <v>68</v>
      </c>
      <c r="C18" s="3" t="s">
        <v>144</v>
      </c>
      <c r="D18" s="63"/>
      <c r="E18" s="63"/>
    </row>
    <row r="19" spans="1:5" x14ac:dyDescent="0.2">
      <c r="A19" s="63"/>
      <c r="B19" s="4" t="s">
        <v>140</v>
      </c>
      <c r="C19" s="3" t="s">
        <v>141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120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77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152</v>
      </c>
      <c r="D28" s="63"/>
      <c r="E28" s="63"/>
    </row>
    <row r="29" spans="1:5" x14ac:dyDescent="0.2">
      <c r="A29" s="63"/>
      <c r="B29" s="4" t="s">
        <v>91</v>
      </c>
      <c r="C29" s="3" t="s">
        <v>101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185</v>
      </c>
      <c r="D32" s="63"/>
      <c r="E32" s="63"/>
    </row>
    <row r="33" spans="1:5" ht="36" x14ac:dyDescent="0.2">
      <c r="A33" s="63"/>
      <c r="B33" s="4" t="s">
        <v>43</v>
      </c>
      <c r="C33" s="3" t="s">
        <v>194</v>
      </c>
      <c r="D33" s="63"/>
      <c r="E33" s="63"/>
    </row>
    <row r="34" spans="1:5" ht="36" x14ac:dyDescent="0.2">
      <c r="A34" s="63"/>
      <c r="B34" s="4" t="s">
        <v>44</v>
      </c>
      <c r="C34" s="3" t="s">
        <v>184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276</v>
      </c>
      <c r="D39" s="58"/>
      <c r="E39" s="59"/>
    </row>
    <row r="40" spans="1:5" x14ac:dyDescent="0.2">
      <c r="A40" s="58" t="s">
        <v>125</v>
      </c>
      <c r="B40" s="59"/>
      <c r="C40" s="3" t="s">
        <v>277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107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241" priority="2"/>
  </conditionalFormatting>
  <conditionalFormatting sqref="B24">
    <cfRule type="duplicateValues" dxfId="240" priority="10"/>
  </conditionalFormatting>
  <conditionalFormatting sqref="B25">
    <cfRule type="duplicateValues" dxfId="239" priority="3"/>
  </conditionalFormatting>
  <conditionalFormatting sqref="B28">
    <cfRule type="duplicateValues" dxfId="238" priority="1"/>
  </conditionalFormatting>
  <conditionalFormatting sqref="B31">
    <cfRule type="duplicateValues" dxfId="237" priority="9"/>
  </conditionalFormatting>
  <conditionalFormatting sqref="B37">
    <cfRule type="duplicateValues" dxfId="236" priority="5"/>
  </conditionalFormatting>
  <conditionalFormatting sqref="B38">
    <cfRule type="duplicateValues" dxfId="235" priority="4"/>
  </conditionalFormatting>
  <conditionalFormatting sqref="B39">
    <cfRule type="duplicateValues" dxfId="234" priority="8"/>
  </conditionalFormatting>
  <conditionalFormatting sqref="B40">
    <cfRule type="duplicateValues" dxfId="233" priority="7"/>
  </conditionalFormatting>
  <conditionalFormatting sqref="B41">
    <cfRule type="duplicateValues" dxfId="232" priority="6"/>
  </conditionalFormatting>
  <conditionalFormatting sqref="B55:B1048576 B26:B27 B4:B10 B12:B18 B32:B36 B42:B46 B20:B23 B29:B30">
    <cfRule type="duplicateValues" dxfId="231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9D653-9D20-4A75-8E1C-47B9015AE2A6}">
  <sheetPr codeName="Sheet50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418</v>
      </c>
    </row>
    <row r="4" spans="1:5" x14ac:dyDescent="0.2">
      <c r="A4" s="80" t="s">
        <v>74</v>
      </c>
      <c r="B4" s="80"/>
      <c r="C4" s="2" t="s">
        <v>232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6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ht="24" x14ac:dyDescent="0.2">
      <c r="A8" s="63" t="s">
        <v>29</v>
      </c>
      <c r="B8" s="63"/>
      <c r="C8" s="3" t="str">
        <f>VLOOKUP(C5,Index!N:W,6,FALSE)</f>
        <v>Air, Nitrogen, Lube oil, Chemical, Foam, Hydraulic, Instrument Air, Diesel Fuel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58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41.4 @ -100°C' 29.2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NIL</v>
      </c>
      <c r="D12" s="63"/>
      <c r="E12" s="63"/>
    </row>
    <row r="13" spans="1:5" x14ac:dyDescent="0.2">
      <c r="A13" s="63" t="s">
        <v>33</v>
      </c>
      <c r="B13" s="63"/>
      <c r="C13" s="3" t="s">
        <v>34</v>
      </c>
      <c r="D13" s="63"/>
      <c r="E13" s="63"/>
    </row>
    <row r="14" spans="1:5" x14ac:dyDescent="0.2">
      <c r="A14" s="63" t="s">
        <v>35</v>
      </c>
      <c r="B14" s="63"/>
      <c r="C14" s="3" t="s">
        <v>247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ht="24" x14ac:dyDescent="0.2">
      <c r="A18" s="63"/>
      <c r="B18" s="4" t="s">
        <v>68</v>
      </c>
      <c r="C18" s="3" t="s">
        <v>144</v>
      </c>
      <c r="D18" s="63"/>
      <c r="E18" s="63"/>
    </row>
    <row r="19" spans="1:5" x14ac:dyDescent="0.2">
      <c r="A19" s="63"/>
      <c r="B19" s="4" t="s">
        <v>140</v>
      </c>
      <c r="C19" s="3" t="s">
        <v>141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123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77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152</v>
      </c>
      <c r="D28" s="63"/>
      <c r="E28" s="63"/>
    </row>
    <row r="29" spans="1:5" x14ac:dyDescent="0.2">
      <c r="A29" s="63"/>
      <c r="B29" s="4" t="s">
        <v>91</v>
      </c>
      <c r="C29" s="3" t="s">
        <v>101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185</v>
      </c>
      <c r="D32" s="63"/>
      <c r="E32" s="63"/>
    </row>
    <row r="33" spans="1:5" ht="36" x14ac:dyDescent="0.2">
      <c r="A33" s="63"/>
      <c r="B33" s="4" t="s">
        <v>43</v>
      </c>
      <c r="C33" s="3" t="s">
        <v>194</v>
      </c>
      <c r="D33" s="63"/>
      <c r="E33" s="63"/>
    </row>
    <row r="34" spans="1:5" ht="36" x14ac:dyDescent="0.2">
      <c r="A34" s="63"/>
      <c r="B34" s="4" t="s">
        <v>44</v>
      </c>
      <c r="C34" s="3" t="s">
        <v>184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274</v>
      </c>
      <c r="D39" s="58"/>
      <c r="E39" s="59"/>
    </row>
    <row r="40" spans="1:5" x14ac:dyDescent="0.2">
      <c r="A40" s="58" t="s">
        <v>125</v>
      </c>
      <c r="B40" s="59"/>
      <c r="C40" s="3" t="s">
        <v>275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107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230" priority="2"/>
  </conditionalFormatting>
  <conditionalFormatting sqref="B24">
    <cfRule type="duplicateValues" dxfId="229" priority="10"/>
  </conditionalFormatting>
  <conditionalFormatting sqref="B25">
    <cfRule type="duplicateValues" dxfId="228" priority="3"/>
  </conditionalFormatting>
  <conditionalFormatting sqref="B28">
    <cfRule type="duplicateValues" dxfId="227" priority="1"/>
  </conditionalFormatting>
  <conditionalFormatting sqref="B31">
    <cfRule type="duplicateValues" dxfId="226" priority="9"/>
  </conditionalFormatting>
  <conditionalFormatting sqref="B37">
    <cfRule type="duplicateValues" dxfId="225" priority="5"/>
  </conditionalFormatting>
  <conditionalFormatting sqref="B38">
    <cfRule type="duplicateValues" dxfId="224" priority="4"/>
  </conditionalFormatting>
  <conditionalFormatting sqref="B39">
    <cfRule type="duplicateValues" dxfId="223" priority="8"/>
  </conditionalFormatting>
  <conditionalFormatting sqref="B40">
    <cfRule type="duplicateValues" dxfId="222" priority="7"/>
  </conditionalFormatting>
  <conditionalFormatting sqref="B41">
    <cfRule type="duplicateValues" dxfId="221" priority="6"/>
  </conditionalFormatting>
  <conditionalFormatting sqref="B55:B1048576 B26:B27 B4:B10 B12:B18 B32:B36 B42:B46 B20:B23 B29:B30">
    <cfRule type="duplicateValues" dxfId="220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3EC70-7216-4BEE-80B4-5D5403B53E22}">
  <sheetPr codeName="Sheet51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419</v>
      </c>
    </row>
    <row r="4" spans="1:5" x14ac:dyDescent="0.2">
      <c r="A4" s="80" t="s">
        <v>74</v>
      </c>
      <c r="B4" s="80"/>
      <c r="C4" s="2" t="s">
        <v>233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13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Air, Nitrogen, Lube oil, Chemical, Hydraulic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59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82.7 @ -100°C' 58.3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NIL</v>
      </c>
      <c r="D12" s="63"/>
      <c r="E12" s="63"/>
    </row>
    <row r="13" spans="1:5" x14ac:dyDescent="0.2">
      <c r="A13" s="63" t="s">
        <v>33</v>
      </c>
      <c r="B13" s="63"/>
      <c r="C13" s="3" t="s">
        <v>34</v>
      </c>
      <c r="D13" s="63"/>
      <c r="E13" s="63"/>
    </row>
    <row r="14" spans="1:5" x14ac:dyDescent="0.2">
      <c r="A14" s="63" t="s">
        <v>35</v>
      </c>
      <c r="B14" s="63"/>
      <c r="C14" s="3" t="s">
        <v>247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ht="24" x14ac:dyDescent="0.2">
      <c r="A18" s="63"/>
      <c r="B18" s="4" t="s">
        <v>68</v>
      </c>
      <c r="C18" s="3" t="s">
        <v>144</v>
      </c>
      <c r="D18" s="63"/>
      <c r="E18" s="63"/>
    </row>
    <row r="19" spans="1:5" x14ac:dyDescent="0.2">
      <c r="A19" s="63"/>
      <c r="B19" s="4" t="s">
        <v>140</v>
      </c>
      <c r="C19" s="3" t="s">
        <v>141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122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77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152</v>
      </c>
      <c r="D28" s="63"/>
      <c r="E28" s="63"/>
    </row>
    <row r="29" spans="1:5" x14ac:dyDescent="0.2">
      <c r="A29" s="63"/>
      <c r="B29" s="4" t="s">
        <v>91</v>
      </c>
      <c r="C29" s="3" t="s">
        <v>101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185</v>
      </c>
      <c r="D32" s="63"/>
      <c r="E32" s="63"/>
    </row>
    <row r="33" spans="1:5" ht="36" x14ac:dyDescent="0.2">
      <c r="A33" s="63"/>
      <c r="B33" s="4" t="s">
        <v>43</v>
      </c>
      <c r="C33" s="3" t="s">
        <v>194</v>
      </c>
      <c r="D33" s="63"/>
      <c r="E33" s="63"/>
    </row>
    <row r="34" spans="1:5" ht="36" x14ac:dyDescent="0.2">
      <c r="A34" s="63"/>
      <c r="B34" s="4" t="s">
        <v>44</v>
      </c>
      <c r="C34" s="3" t="s">
        <v>184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272</v>
      </c>
      <c r="D39" s="58"/>
      <c r="E39" s="59"/>
    </row>
    <row r="40" spans="1:5" x14ac:dyDescent="0.2">
      <c r="A40" s="58" t="s">
        <v>125</v>
      </c>
      <c r="B40" s="59"/>
      <c r="C40" s="3" t="s">
        <v>273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107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219" priority="2"/>
  </conditionalFormatting>
  <conditionalFormatting sqref="B24">
    <cfRule type="duplicateValues" dxfId="218" priority="10"/>
  </conditionalFormatting>
  <conditionalFormatting sqref="B25">
    <cfRule type="duplicateValues" dxfId="217" priority="3"/>
  </conditionalFormatting>
  <conditionalFormatting sqref="B28">
    <cfRule type="duplicateValues" dxfId="216" priority="1"/>
  </conditionalFormatting>
  <conditionalFormatting sqref="B31">
    <cfRule type="duplicateValues" dxfId="215" priority="9"/>
  </conditionalFormatting>
  <conditionalFormatting sqref="B37">
    <cfRule type="duplicateValues" dxfId="214" priority="5"/>
  </conditionalFormatting>
  <conditionalFormatting sqref="B38">
    <cfRule type="duplicateValues" dxfId="213" priority="4"/>
  </conditionalFormatting>
  <conditionalFormatting sqref="B39">
    <cfRule type="duplicateValues" dxfId="212" priority="8"/>
  </conditionalFormatting>
  <conditionalFormatting sqref="B40">
    <cfRule type="duplicateValues" dxfId="211" priority="7"/>
  </conditionalFormatting>
  <conditionalFormatting sqref="B41">
    <cfRule type="duplicateValues" dxfId="210" priority="6"/>
  </conditionalFormatting>
  <conditionalFormatting sqref="B55:B1048576 B26:B27 B4:B10 B12:B18 B32:B36 B42:B46 B20:B23 B29:B30">
    <cfRule type="duplicateValues" dxfId="209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63CE-0981-42DD-A1F5-BFF714BA80E5}">
  <sheetPr codeName="Sheet52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420</v>
      </c>
    </row>
    <row r="4" spans="1:5" x14ac:dyDescent="0.2">
      <c r="A4" s="80" t="s">
        <v>74</v>
      </c>
      <c r="B4" s="80"/>
      <c r="C4" s="2" t="s">
        <v>234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16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Air, Nitrogen, Lube oil, Chemical, Hydraulic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60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124.1 @ -100°C' 87.5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NIL</v>
      </c>
      <c r="D12" s="63"/>
      <c r="E12" s="63"/>
    </row>
    <row r="13" spans="1:5" x14ac:dyDescent="0.2">
      <c r="A13" s="63" t="s">
        <v>33</v>
      </c>
      <c r="B13" s="63"/>
      <c r="C13" s="3" t="s">
        <v>34</v>
      </c>
      <c r="D13" s="63"/>
      <c r="E13" s="63"/>
    </row>
    <row r="14" spans="1:5" x14ac:dyDescent="0.2">
      <c r="A14" s="63" t="s">
        <v>35</v>
      </c>
      <c r="B14" s="63"/>
      <c r="C14" s="3" t="s">
        <v>61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ht="24" x14ac:dyDescent="0.2">
      <c r="A18" s="63"/>
      <c r="B18" s="4" t="s">
        <v>68</v>
      </c>
      <c r="C18" s="3" t="s">
        <v>144</v>
      </c>
      <c r="D18" s="63"/>
      <c r="E18" s="63"/>
    </row>
    <row r="19" spans="1:5" x14ac:dyDescent="0.2">
      <c r="A19" s="63"/>
      <c r="B19" s="4" t="s">
        <v>140</v>
      </c>
      <c r="C19" s="3" t="s">
        <v>141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122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77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152</v>
      </c>
      <c r="D28" s="63"/>
      <c r="E28" s="63"/>
    </row>
    <row r="29" spans="1:5" x14ac:dyDescent="0.2">
      <c r="A29" s="63"/>
      <c r="B29" s="4" t="s">
        <v>91</v>
      </c>
      <c r="C29" s="3" t="s">
        <v>101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187</v>
      </c>
      <c r="D32" s="63"/>
      <c r="E32" s="63"/>
    </row>
    <row r="33" spans="1:5" ht="36" x14ac:dyDescent="0.2">
      <c r="A33" s="63"/>
      <c r="B33" s="4" t="s">
        <v>43</v>
      </c>
      <c r="C33" s="3" t="s">
        <v>194</v>
      </c>
      <c r="D33" s="63"/>
      <c r="E33" s="63"/>
    </row>
    <row r="34" spans="1:5" ht="36" x14ac:dyDescent="0.2">
      <c r="A34" s="63"/>
      <c r="B34" s="4" t="s">
        <v>44</v>
      </c>
      <c r="C34" s="3" t="s">
        <v>184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270</v>
      </c>
      <c r="D39" s="58"/>
      <c r="E39" s="59"/>
    </row>
    <row r="40" spans="1:5" x14ac:dyDescent="0.2">
      <c r="A40" s="58" t="s">
        <v>125</v>
      </c>
      <c r="B40" s="59"/>
      <c r="C40" s="3" t="s">
        <v>271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107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208" priority="2"/>
  </conditionalFormatting>
  <conditionalFormatting sqref="B24">
    <cfRule type="duplicateValues" dxfId="207" priority="10"/>
  </conditionalFormatting>
  <conditionalFormatting sqref="B25">
    <cfRule type="duplicateValues" dxfId="206" priority="3"/>
  </conditionalFormatting>
  <conditionalFormatting sqref="B28">
    <cfRule type="duplicateValues" dxfId="205" priority="1"/>
  </conditionalFormatting>
  <conditionalFormatting sqref="B31">
    <cfRule type="duplicateValues" dxfId="204" priority="9"/>
  </conditionalFormatting>
  <conditionalFormatting sqref="B37">
    <cfRule type="duplicateValues" dxfId="203" priority="5"/>
  </conditionalFormatting>
  <conditionalFormatting sqref="B38">
    <cfRule type="duplicateValues" dxfId="202" priority="4"/>
  </conditionalFormatting>
  <conditionalFormatting sqref="B39">
    <cfRule type="duplicateValues" dxfId="201" priority="8"/>
  </conditionalFormatting>
  <conditionalFormatting sqref="B40">
    <cfRule type="duplicateValues" dxfId="200" priority="7"/>
  </conditionalFormatting>
  <conditionalFormatting sqref="B41">
    <cfRule type="duplicateValues" dxfId="199" priority="6"/>
  </conditionalFormatting>
  <conditionalFormatting sqref="B55:B1048576 B26:B27 B4:B10 B12:B18 B32:B36 B42:B46 B20:B23 B29:B30">
    <cfRule type="duplicateValues" dxfId="198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E377F-DA2E-41F3-B9FF-A4A2303D2448}">
  <sheetPr codeName="Sheet53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421</v>
      </c>
    </row>
    <row r="4" spans="1:5" x14ac:dyDescent="0.2">
      <c r="A4" s="80" t="s">
        <v>74</v>
      </c>
      <c r="B4" s="80"/>
      <c r="C4" s="2" t="s">
        <v>249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18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Air, Nitrogen, Lube oil, Chemical, Hydraulic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62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206.8 @ -100°C' 145.8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NIL</v>
      </c>
      <c r="D12" s="63"/>
      <c r="E12" s="63"/>
    </row>
    <row r="13" spans="1:5" x14ac:dyDescent="0.2">
      <c r="A13" s="63" t="s">
        <v>33</v>
      </c>
      <c r="B13" s="63"/>
      <c r="C13" s="3" t="s">
        <v>34</v>
      </c>
      <c r="D13" s="63"/>
      <c r="E13" s="63"/>
    </row>
    <row r="14" spans="1:5" ht="24" x14ac:dyDescent="0.2">
      <c r="A14" s="63" t="s">
        <v>35</v>
      </c>
      <c r="B14" s="63"/>
      <c r="C14" s="3" t="s">
        <v>297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ht="24" x14ac:dyDescent="0.2">
      <c r="A18" s="63"/>
      <c r="B18" s="4" t="s">
        <v>68</v>
      </c>
      <c r="C18" s="3" t="s">
        <v>144</v>
      </c>
      <c r="D18" s="63"/>
      <c r="E18" s="63"/>
    </row>
    <row r="19" spans="1:5" x14ac:dyDescent="0.2">
      <c r="A19" s="63"/>
      <c r="B19" s="4" t="s">
        <v>140</v>
      </c>
      <c r="C19" s="3" t="s">
        <v>141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122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77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152</v>
      </c>
      <c r="D28" s="63"/>
      <c r="E28" s="63"/>
    </row>
    <row r="29" spans="1:5" x14ac:dyDescent="0.2">
      <c r="A29" s="63"/>
      <c r="B29" s="4" t="s">
        <v>91</v>
      </c>
      <c r="C29" s="3" t="s">
        <v>101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187</v>
      </c>
      <c r="D32" s="63"/>
      <c r="E32" s="63"/>
    </row>
    <row r="33" spans="1:5" ht="36" x14ac:dyDescent="0.2">
      <c r="A33" s="63"/>
      <c r="B33" s="4" t="s">
        <v>43</v>
      </c>
      <c r="C33" s="3" t="s">
        <v>194</v>
      </c>
      <c r="D33" s="63"/>
      <c r="E33" s="63"/>
    </row>
    <row r="34" spans="1:5" ht="36" x14ac:dyDescent="0.2">
      <c r="A34" s="63"/>
      <c r="B34" s="4" t="s">
        <v>44</v>
      </c>
      <c r="C34" s="3" t="s">
        <v>184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268</v>
      </c>
      <c r="D39" s="58"/>
      <c r="E39" s="59"/>
    </row>
    <row r="40" spans="1:5" x14ac:dyDescent="0.2">
      <c r="A40" s="58" t="s">
        <v>125</v>
      </c>
      <c r="B40" s="59"/>
      <c r="C40" s="3" t="s">
        <v>269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107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197" priority="2"/>
  </conditionalFormatting>
  <conditionalFormatting sqref="B24">
    <cfRule type="duplicateValues" dxfId="196" priority="10"/>
  </conditionalFormatting>
  <conditionalFormatting sqref="B25">
    <cfRule type="duplicateValues" dxfId="195" priority="3"/>
  </conditionalFormatting>
  <conditionalFormatting sqref="B28">
    <cfRule type="duplicateValues" dxfId="194" priority="1"/>
  </conditionalFormatting>
  <conditionalFormatting sqref="B31">
    <cfRule type="duplicateValues" dxfId="193" priority="9"/>
  </conditionalFormatting>
  <conditionalFormatting sqref="B37">
    <cfRule type="duplicateValues" dxfId="192" priority="5"/>
  </conditionalFormatting>
  <conditionalFormatting sqref="B38">
    <cfRule type="duplicateValues" dxfId="191" priority="4"/>
  </conditionalFormatting>
  <conditionalFormatting sqref="B39">
    <cfRule type="duplicateValues" dxfId="190" priority="8"/>
  </conditionalFormatting>
  <conditionalFormatting sqref="B40">
    <cfRule type="duplicateValues" dxfId="189" priority="7"/>
  </conditionalFormatting>
  <conditionalFormatting sqref="B41">
    <cfRule type="duplicateValues" dxfId="188" priority="6"/>
  </conditionalFormatting>
  <conditionalFormatting sqref="B55:B1048576 B26:B27 B4:B10 B12:B18 B32:B36 B42:B46 B20:B23 B29:B30">
    <cfRule type="duplicateValues" dxfId="187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ABBE0-B272-4CFB-96A4-D48B658CED56}">
  <sheetPr codeName="Sheet54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422</v>
      </c>
    </row>
    <row r="4" spans="1:5" x14ac:dyDescent="0.2">
      <c r="A4" s="80" t="s">
        <v>74</v>
      </c>
      <c r="B4" s="80"/>
      <c r="C4" s="2" t="s">
        <v>250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20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Air, Nitrogen, Lube oil, Chemical, Hydraulic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63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344.7 @ -100°C' 243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NIL</v>
      </c>
      <c r="D12" s="63"/>
      <c r="E12" s="63"/>
    </row>
    <row r="13" spans="1:5" x14ac:dyDescent="0.2">
      <c r="A13" s="63" t="s">
        <v>33</v>
      </c>
      <c r="B13" s="63"/>
      <c r="C13" s="3" t="s">
        <v>34</v>
      </c>
      <c r="D13" s="63"/>
      <c r="E13" s="63"/>
    </row>
    <row r="14" spans="1:5" ht="24" x14ac:dyDescent="0.2">
      <c r="A14" s="63" t="s">
        <v>35</v>
      </c>
      <c r="B14" s="63"/>
      <c r="C14" s="3" t="s">
        <v>297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ht="24" x14ac:dyDescent="0.2">
      <c r="A18" s="63"/>
      <c r="B18" s="4" t="s">
        <v>68</v>
      </c>
      <c r="C18" s="3" t="s">
        <v>144</v>
      </c>
      <c r="D18" s="63"/>
      <c r="E18" s="63"/>
    </row>
    <row r="19" spans="1:5" x14ac:dyDescent="0.2">
      <c r="A19" s="63"/>
      <c r="B19" s="4" t="s">
        <v>140</v>
      </c>
      <c r="C19" s="3" t="s">
        <v>141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122</v>
      </c>
      <c r="D22" s="63"/>
      <c r="E22" s="63"/>
    </row>
    <row r="23" spans="1:5" ht="24" x14ac:dyDescent="0.2">
      <c r="A23" s="63" t="s">
        <v>41</v>
      </c>
      <c r="B23" s="4" t="s">
        <v>92</v>
      </c>
      <c r="C23" s="3" t="s">
        <v>77</v>
      </c>
      <c r="D23" s="63"/>
      <c r="E23" s="63"/>
    </row>
    <row r="24" spans="1:5" x14ac:dyDescent="0.2">
      <c r="A24" s="63"/>
      <c r="B24" s="4" t="s">
        <v>89</v>
      </c>
      <c r="C24" s="3" t="s">
        <v>149</v>
      </c>
      <c r="D24" s="63"/>
      <c r="E24" s="63"/>
    </row>
    <row r="25" spans="1:5" x14ac:dyDescent="0.2">
      <c r="A25" s="63"/>
      <c r="B25" s="4" t="s">
        <v>93</v>
      </c>
      <c r="C25" s="3" t="s">
        <v>101</v>
      </c>
      <c r="D25" s="63"/>
      <c r="E25" s="63"/>
    </row>
    <row r="26" spans="1:5" x14ac:dyDescent="0.2">
      <c r="A26" s="63"/>
      <c r="B26" s="4" t="s">
        <v>88</v>
      </c>
      <c r="C26" s="3" t="s">
        <v>101</v>
      </c>
      <c r="D26" s="63"/>
      <c r="E26" s="63"/>
    </row>
    <row r="27" spans="1:5" x14ac:dyDescent="0.2">
      <c r="A27" s="63"/>
      <c r="B27" s="4" t="s">
        <v>90</v>
      </c>
      <c r="C27" s="3" t="s">
        <v>105</v>
      </c>
      <c r="D27" s="63"/>
      <c r="E27" s="63"/>
    </row>
    <row r="28" spans="1:5" x14ac:dyDescent="0.2">
      <c r="A28" s="63"/>
      <c r="B28" s="4" t="s">
        <v>142</v>
      </c>
      <c r="C28" s="3" t="s">
        <v>152</v>
      </c>
      <c r="D28" s="63"/>
      <c r="E28" s="63"/>
    </row>
    <row r="29" spans="1:5" x14ac:dyDescent="0.2">
      <c r="A29" s="63"/>
      <c r="B29" s="4" t="s">
        <v>91</v>
      </c>
      <c r="C29" s="3" t="s">
        <v>101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187</v>
      </c>
      <c r="D32" s="63"/>
      <c r="E32" s="63"/>
    </row>
    <row r="33" spans="1:5" ht="36" x14ac:dyDescent="0.2">
      <c r="A33" s="63"/>
      <c r="B33" s="4" t="s">
        <v>43</v>
      </c>
      <c r="C33" s="3" t="s">
        <v>194</v>
      </c>
      <c r="D33" s="63"/>
      <c r="E33" s="63"/>
    </row>
    <row r="34" spans="1:5" ht="36" x14ac:dyDescent="0.2">
      <c r="A34" s="63"/>
      <c r="B34" s="4" t="s">
        <v>44</v>
      </c>
      <c r="C34" s="3" t="s">
        <v>184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266</v>
      </c>
      <c r="D39" s="58"/>
      <c r="E39" s="59"/>
    </row>
    <row r="40" spans="1:5" x14ac:dyDescent="0.2">
      <c r="A40" s="58" t="s">
        <v>125</v>
      </c>
      <c r="B40" s="59"/>
      <c r="C40" s="3" t="s">
        <v>267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107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186" priority="2"/>
  </conditionalFormatting>
  <conditionalFormatting sqref="B24">
    <cfRule type="duplicateValues" dxfId="185" priority="10"/>
  </conditionalFormatting>
  <conditionalFormatting sqref="B25">
    <cfRule type="duplicateValues" dxfId="184" priority="3"/>
  </conditionalFormatting>
  <conditionalFormatting sqref="B28">
    <cfRule type="duplicateValues" dxfId="183" priority="1"/>
  </conditionalFormatting>
  <conditionalFormatting sqref="B31">
    <cfRule type="duplicateValues" dxfId="182" priority="9"/>
  </conditionalFormatting>
  <conditionalFormatting sqref="B37">
    <cfRule type="duplicateValues" dxfId="181" priority="5"/>
  </conditionalFormatting>
  <conditionalFormatting sqref="B38">
    <cfRule type="duplicateValues" dxfId="180" priority="4"/>
  </conditionalFormatting>
  <conditionalFormatting sqref="B39">
    <cfRule type="duplicateValues" dxfId="179" priority="8"/>
  </conditionalFormatting>
  <conditionalFormatting sqref="B40">
    <cfRule type="duplicateValues" dxfId="178" priority="7"/>
  </conditionalFormatting>
  <conditionalFormatting sqref="B41">
    <cfRule type="duplicateValues" dxfId="177" priority="6"/>
  </conditionalFormatting>
  <conditionalFormatting sqref="B55:B1048576 B26:B27 B4:B10 B12:B18 B32:B36 B42:B46 B20:B23 B29:B30">
    <cfRule type="duplicateValues" dxfId="176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02462-D9A6-4F83-BCEE-4AFB81CF314B}">
  <sheetPr codeName="Sheet55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423</v>
      </c>
    </row>
    <row r="4" spans="1:5" x14ac:dyDescent="0.2">
      <c r="A4" s="80" t="s">
        <v>74</v>
      </c>
      <c r="B4" s="80"/>
      <c r="C4" s="2" t="s">
        <v>235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172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Corrosive HC service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55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20 @ -46°C' 13.8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NIL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x14ac:dyDescent="0.2">
      <c r="A14" s="63" t="s">
        <v>35</v>
      </c>
      <c r="B14" s="63"/>
      <c r="C14" s="3" t="s">
        <v>247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ht="24" x14ac:dyDescent="0.2">
      <c r="A18" s="63"/>
      <c r="B18" s="4" t="s">
        <v>68</v>
      </c>
      <c r="C18" s="3" t="s">
        <v>144</v>
      </c>
      <c r="D18" s="63"/>
      <c r="E18" s="63"/>
    </row>
    <row r="19" spans="1:5" x14ac:dyDescent="0.2">
      <c r="A19" s="63"/>
      <c r="B19" s="4" t="s">
        <v>140</v>
      </c>
      <c r="C19" s="3" t="s">
        <v>141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120</v>
      </c>
      <c r="D22" s="63"/>
      <c r="E22" s="63"/>
    </row>
    <row r="23" spans="1:5" ht="36" x14ac:dyDescent="0.2">
      <c r="A23" s="63" t="s">
        <v>41</v>
      </c>
      <c r="B23" s="4" t="s">
        <v>92</v>
      </c>
      <c r="C23" s="3" t="s">
        <v>118</v>
      </c>
      <c r="D23" s="63"/>
      <c r="E23" s="63"/>
    </row>
    <row r="24" spans="1:5" x14ac:dyDescent="0.2">
      <c r="A24" s="63"/>
      <c r="B24" s="4" t="s">
        <v>89</v>
      </c>
      <c r="C24" s="3" t="s">
        <v>131</v>
      </c>
      <c r="D24" s="63"/>
      <c r="E24" s="63"/>
    </row>
    <row r="25" spans="1:5" x14ac:dyDescent="0.2">
      <c r="A25" s="63"/>
      <c r="B25" s="4" t="s">
        <v>93</v>
      </c>
      <c r="C25" s="3" t="s">
        <v>100</v>
      </c>
      <c r="D25" s="63"/>
      <c r="E25" s="63"/>
    </row>
    <row r="26" spans="1:5" x14ac:dyDescent="0.2">
      <c r="A26" s="63"/>
      <c r="B26" s="4" t="s">
        <v>88</v>
      </c>
      <c r="C26" s="3" t="s">
        <v>100</v>
      </c>
      <c r="D26" s="63"/>
      <c r="E26" s="63"/>
    </row>
    <row r="27" spans="1:5" x14ac:dyDescent="0.2">
      <c r="A27" s="63"/>
      <c r="B27" s="4" t="s">
        <v>90</v>
      </c>
      <c r="C27" s="3" t="s">
        <v>135</v>
      </c>
      <c r="D27" s="63"/>
      <c r="E27" s="63"/>
    </row>
    <row r="28" spans="1:5" x14ac:dyDescent="0.2">
      <c r="A28" s="63"/>
      <c r="B28" s="4" t="s">
        <v>142</v>
      </c>
      <c r="C28" s="3" t="s">
        <v>152</v>
      </c>
      <c r="D28" s="63"/>
      <c r="E28" s="63"/>
    </row>
    <row r="29" spans="1:5" x14ac:dyDescent="0.2">
      <c r="A29" s="63"/>
      <c r="B29" s="4" t="s">
        <v>91</v>
      </c>
      <c r="C29" s="3" t="s">
        <v>100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188</v>
      </c>
      <c r="D32" s="63"/>
      <c r="E32" s="63"/>
    </row>
    <row r="33" spans="1:5" x14ac:dyDescent="0.2">
      <c r="A33" s="63"/>
      <c r="B33" s="4" t="s">
        <v>43</v>
      </c>
      <c r="C33" s="3" t="s">
        <v>290</v>
      </c>
      <c r="D33" s="63"/>
      <c r="E33" s="63"/>
    </row>
    <row r="34" spans="1:5" x14ac:dyDescent="0.2">
      <c r="A34" s="63"/>
      <c r="B34" s="4" t="s">
        <v>44</v>
      </c>
      <c r="C34" s="3" t="s">
        <v>290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264</v>
      </c>
      <c r="D39" s="58"/>
      <c r="E39" s="59"/>
    </row>
    <row r="40" spans="1:5" x14ac:dyDescent="0.2">
      <c r="A40" s="58" t="s">
        <v>125</v>
      </c>
      <c r="B40" s="59"/>
      <c r="C40" s="3" t="s">
        <v>265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175" priority="2"/>
  </conditionalFormatting>
  <conditionalFormatting sqref="B24">
    <cfRule type="duplicateValues" dxfId="174" priority="10"/>
  </conditionalFormatting>
  <conditionalFormatting sqref="B25">
    <cfRule type="duplicateValues" dxfId="173" priority="3"/>
  </conditionalFormatting>
  <conditionalFormatting sqref="B28">
    <cfRule type="duplicateValues" dxfId="172" priority="1"/>
  </conditionalFormatting>
  <conditionalFormatting sqref="B31">
    <cfRule type="duplicateValues" dxfId="171" priority="9"/>
  </conditionalFormatting>
  <conditionalFormatting sqref="B37">
    <cfRule type="duplicateValues" dxfId="170" priority="5"/>
  </conditionalFormatting>
  <conditionalFormatting sqref="B38">
    <cfRule type="duplicateValues" dxfId="169" priority="4"/>
  </conditionalFormatting>
  <conditionalFormatting sqref="B39">
    <cfRule type="duplicateValues" dxfId="168" priority="8"/>
  </conditionalFormatting>
  <conditionalFormatting sqref="B40">
    <cfRule type="duplicateValues" dxfId="167" priority="7"/>
  </conditionalFormatting>
  <conditionalFormatting sqref="B41">
    <cfRule type="duplicateValues" dxfId="166" priority="6"/>
  </conditionalFormatting>
  <conditionalFormatting sqref="B55:B1048576 B26:B27 B4:B10 B12:B18 B32:B36 B42:B46 B20:B23 B29:B30">
    <cfRule type="duplicateValues" dxfId="165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80F6B-A0CE-4C67-A134-B450C3B4EBBE}">
  <sheetPr codeName="Sheet56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424</v>
      </c>
    </row>
    <row r="4" spans="1:5" x14ac:dyDescent="0.2">
      <c r="A4" s="80" t="s">
        <v>74</v>
      </c>
      <c r="B4" s="80"/>
      <c r="C4" s="2" t="s">
        <v>236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173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Corrosive HC service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58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51.7 @ -46°C' 42.7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NIL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x14ac:dyDescent="0.2">
      <c r="A14" s="63" t="s">
        <v>35</v>
      </c>
      <c r="B14" s="63"/>
      <c r="C14" s="3" t="s">
        <v>247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ht="24" x14ac:dyDescent="0.2">
      <c r="A18" s="63"/>
      <c r="B18" s="4" t="s">
        <v>68</v>
      </c>
      <c r="C18" s="3" t="s">
        <v>144</v>
      </c>
      <c r="D18" s="63"/>
      <c r="E18" s="63"/>
    </row>
    <row r="19" spans="1:5" x14ac:dyDescent="0.2">
      <c r="A19" s="63"/>
      <c r="B19" s="4" t="s">
        <v>140</v>
      </c>
      <c r="C19" s="3" t="s">
        <v>141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123</v>
      </c>
      <c r="D22" s="63"/>
      <c r="E22" s="63"/>
    </row>
    <row r="23" spans="1:5" ht="36" x14ac:dyDescent="0.2">
      <c r="A23" s="63" t="s">
        <v>41</v>
      </c>
      <c r="B23" s="4" t="s">
        <v>92</v>
      </c>
      <c r="C23" s="3" t="s">
        <v>118</v>
      </c>
      <c r="D23" s="63"/>
      <c r="E23" s="63"/>
    </row>
    <row r="24" spans="1:5" x14ac:dyDescent="0.2">
      <c r="A24" s="63"/>
      <c r="B24" s="4" t="s">
        <v>89</v>
      </c>
      <c r="C24" s="3" t="s">
        <v>131</v>
      </c>
      <c r="D24" s="63"/>
      <c r="E24" s="63"/>
    </row>
    <row r="25" spans="1:5" x14ac:dyDescent="0.2">
      <c r="A25" s="63"/>
      <c r="B25" s="4" t="s">
        <v>93</v>
      </c>
      <c r="C25" s="3" t="s">
        <v>100</v>
      </c>
      <c r="D25" s="63"/>
      <c r="E25" s="63"/>
    </row>
    <row r="26" spans="1:5" x14ac:dyDescent="0.2">
      <c r="A26" s="63"/>
      <c r="B26" s="4" t="s">
        <v>88</v>
      </c>
      <c r="C26" s="3" t="s">
        <v>100</v>
      </c>
      <c r="D26" s="63"/>
      <c r="E26" s="63"/>
    </row>
    <row r="27" spans="1:5" x14ac:dyDescent="0.2">
      <c r="A27" s="63"/>
      <c r="B27" s="4" t="s">
        <v>90</v>
      </c>
      <c r="C27" s="3" t="s">
        <v>135</v>
      </c>
      <c r="D27" s="63"/>
      <c r="E27" s="63"/>
    </row>
    <row r="28" spans="1:5" x14ac:dyDescent="0.2">
      <c r="A28" s="63"/>
      <c r="B28" s="4" t="s">
        <v>142</v>
      </c>
      <c r="C28" s="3" t="s">
        <v>152</v>
      </c>
      <c r="D28" s="63"/>
      <c r="E28" s="63"/>
    </row>
    <row r="29" spans="1:5" x14ac:dyDescent="0.2">
      <c r="A29" s="63"/>
      <c r="B29" s="4" t="s">
        <v>91</v>
      </c>
      <c r="C29" s="3" t="s">
        <v>100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188</v>
      </c>
      <c r="D32" s="63"/>
      <c r="E32" s="63"/>
    </row>
    <row r="33" spans="1:5" x14ac:dyDescent="0.2">
      <c r="A33" s="63"/>
      <c r="B33" s="4" t="s">
        <v>43</v>
      </c>
      <c r="C33" s="3" t="s">
        <v>290</v>
      </c>
      <c r="D33" s="63"/>
      <c r="E33" s="63"/>
    </row>
    <row r="34" spans="1:5" x14ac:dyDescent="0.2">
      <c r="A34" s="63"/>
      <c r="B34" s="4" t="s">
        <v>44</v>
      </c>
      <c r="C34" s="3" t="s">
        <v>290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262</v>
      </c>
      <c r="D39" s="58"/>
      <c r="E39" s="59"/>
    </row>
    <row r="40" spans="1:5" x14ac:dyDescent="0.2">
      <c r="A40" s="58" t="s">
        <v>125</v>
      </c>
      <c r="B40" s="59"/>
      <c r="C40" s="3" t="s">
        <v>263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164" priority="2"/>
  </conditionalFormatting>
  <conditionalFormatting sqref="B24">
    <cfRule type="duplicateValues" dxfId="163" priority="10"/>
  </conditionalFormatting>
  <conditionalFormatting sqref="B25">
    <cfRule type="duplicateValues" dxfId="162" priority="3"/>
  </conditionalFormatting>
  <conditionalFormatting sqref="B28">
    <cfRule type="duplicateValues" dxfId="161" priority="1"/>
  </conditionalFormatting>
  <conditionalFormatting sqref="B31">
    <cfRule type="duplicateValues" dxfId="160" priority="9"/>
  </conditionalFormatting>
  <conditionalFormatting sqref="B37">
    <cfRule type="duplicateValues" dxfId="159" priority="5"/>
  </conditionalFormatting>
  <conditionalFormatting sqref="B38">
    <cfRule type="duplicateValues" dxfId="158" priority="4"/>
  </conditionalFormatting>
  <conditionalFormatting sqref="B39">
    <cfRule type="duplicateValues" dxfId="157" priority="8"/>
  </conditionalFormatting>
  <conditionalFormatting sqref="B40">
    <cfRule type="duplicateValues" dxfId="156" priority="7"/>
  </conditionalFormatting>
  <conditionalFormatting sqref="B41">
    <cfRule type="duplicateValues" dxfId="155" priority="6"/>
  </conditionalFormatting>
  <conditionalFormatting sqref="B55:B1048576 B26:B27 B4:B10 B12:B18 B32:B36 B42:B46 B20:B23 B29:B30">
    <cfRule type="duplicateValues" dxfId="154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69982-21F4-4047-8AEE-673CF4554505}">
  <sheetPr codeName="Sheet57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425</v>
      </c>
    </row>
    <row r="4" spans="1:5" x14ac:dyDescent="0.2">
      <c r="A4" s="80" t="s">
        <v>74</v>
      </c>
      <c r="B4" s="80"/>
      <c r="C4" s="2" t="s">
        <v>237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174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Corrosive HC service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59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103.4 @ -46°C' 85.3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NIL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x14ac:dyDescent="0.2">
      <c r="A14" s="63" t="s">
        <v>35</v>
      </c>
      <c r="B14" s="63"/>
      <c r="C14" s="3" t="s">
        <v>247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ht="24" x14ac:dyDescent="0.2">
      <c r="A18" s="63"/>
      <c r="B18" s="4" t="s">
        <v>68</v>
      </c>
      <c r="C18" s="3" t="s">
        <v>144</v>
      </c>
      <c r="D18" s="63"/>
      <c r="E18" s="63"/>
    </row>
    <row r="19" spans="1:5" x14ac:dyDescent="0.2">
      <c r="A19" s="63"/>
      <c r="B19" s="4" t="s">
        <v>140</v>
      </c>
      <c r="C19" s="3" t="s">
        <v>141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122</v>
      </c>
      <c r="D22" s="63"/>
      <c r="E22" s="63"/>
    </row>
    <row r="23" spans="1:5" ht="36" x14ac:dyDescent="0.2">
      <c r="A23" s="63" t="s">
        <v>41</v>
      </c>
      <c r="B23" s="4" t="s">
        <v>92</v>
      </c>
      <c r="C23" s="3" t="s">
        <v>118</v>
      </c>
      <c r="D23" s="63"/>
      <c r="E23" s="63"/>
    </row>
    <row r="24" spans="1:5" x14ac:dyDescent="0.2">
      <c r="A24" s="63"/>
      <c r="B24" s="4" t="s">
        <v>89</v>
      </c>
      <c r="C24" s="3" t="s">
        <v>131</v>
      </c>
      <c r="D24" s="63"/>
      <c r="E24" s="63"/>
    </row>
    <row r="25" spans="1:5" x14ac:dyDescent="0.2">
      <c r="A25" s="63"/>
      <c r="B25" s="4" t="s">
        <v>93</v>
      </c>
      <c r="C25" s="3" t="s">
        <v>100</v>
      </c>
      <c r="D25" s="63"/>
      <c r="E25" s="63"/>
    </row>
    <row r="26" spans="1:5" x14ac:dyDescent="0.2">
      <c r="A26" s="63"/>
      <c r="B26" s="4" t="s">
        <v>88</v>
      </c>
      <c r="C26" s="3" t="s">
        <v>100</v>
      </c>
      <c r="D26" s="63"/>
      <c r="E26" s="63"/>
    </row>
    <row r="27" spans="1:5" x14ac:dyDescent="0.2">
      <c r="A27" s="63"/>
      <c r="B27" s="4" t="s">
        <v>90</v>
      </c>
      <c r="C27" s="3" t="s">
        <v>135</v>
      </c>
      <c r="D27" s="63"/>
      <c r="E27" s="63"/>
    </row>
    <row r="28" spans="1:5" x14ac:dyDescent="0.2">
      <c r="A28" s="63"/>
      <c r="B28" s="4" t="s">
        <v>142</v>
      </c>
      <c r="C28" s="3" t="s">
        <v>152</v>
      </c>
      <c r="D28" s="63"/>
      <c r="E28" s="63"/>
    </row>
    <row r="29" spans="1:5" x14ac:dyDescent="0.2">
      <c r="A29" s="63"/>
      <c r="B29" s="4" t="s">
        <v>91</v>
      </c>
      <c r="C29" s="3" t="s">
        <v>100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188</v>
      </c>
      <c r="D32" s="63"/>
      <c r="E32" s="63"/>
    </row>
    <row r="33" spans="1:5" x14ac:dyDescent="0.2">
      <c r="A33" s="63"/>
      <c r="B33" s="4" t="s">
        <v>43</v>
      </c>
      <c r="C33" s="3" t="s">
        <v>290</v>
      </c>
      <c r="D33" s="63"/>
      <c r="E33" s="63"/>
    </row>
    <row r="34" spans="1:5" x14ac:dyDescent="0.2">
      <c r="A34" s="63"/>
      <c r="B34" s="4" t="s">
        <v>44</v>
      </c>
      <c r="C34" s="3" t="s">
        <v>290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260</v>
      </c>
      <c r="D39" s="58"/>
      <c r="E39" s="59"/>
    </row>
    <row r="40" spans="1:5" x14ac:dyDescent="0.2">
      <c r="A40" s="58" t="s">
        <v>125</v>
      </c>
      <c r="B40" s="59"/>
      <c r="C40" s="3" t="s">
        <v>261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153" priority="2"/>
  </conditionalFormatting>
  <conditionalFormatting sqref="B24">
    <cfRule type="duplicateValues" dxfId="152" priority="10"/>
  </conditionalFormatting>
  <conditionalFormatting sqref="B25">
    <cfRule type="duplicateValues" dxfId="151" priority="3"/>
  </conditionalFormatting>
  <conditionalFormatting sqref="B28">
    <cfRule type="duplicateValues" dxfId="150" priority="1"/>
  </conditionalFormatting>
  <conditionalFormatting sqref="B31">
    <cfRule type="duplicateValues" dxfId="149" priority="9"/>
  </conditionalFormatting>
  <conditionalFormatting sqref="B37">
    <cfRule type="duplicateValues" dxfId="148" priority="5"/>
  </conditionalFormatting>
  <conditionalFormatting sqref="B38">
    <cfRule type="duplicateValues" dxfId="147" priority="4"/>
  </conditionalFormatting>
  <conditionalFormatting sqref="B39">
    <cfRule type="duplicateValues" dxfId="146" priority="8"/>
  </conditionalFormatting>
  <conditionalFormatting sqref="B40">
    <cfRule type="duplicateValues" dxfId="145" priority="7"/>
  </conditionalFormatting>
  <conditionalFormatting sqref="B41">
    <cfRule type="duplicateValues" dxfId="144" priority="6"/>
  </conditionalFormatting>
  <conditionalFormatting sqref="B55:B1048576 B26:B27 B4:B10 B12:B18 B32:B36 B42:B46 B20:B23 B29:B30">
    <cfRule type="duplicateValues" dxfId="143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01809-04D9-4451-ACD6-B859FC7C9CA9}">
  <sheetPr codeName="Sheet58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426</v>
      </c>
    </row>
    <row r="4" spans="1:5" x14ac:dyDescent="0.2">
      <c r="A4" s="80" t="s">
        <v>74</v>
      </c>
      <c r="B4" s="80"/>
      <c r="C4" s="2" t="s">
        <v>238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175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Corrosive HC service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60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155.1 @ -46°C' 128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NIL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x14ac:dyDescent="0.2">
      <c r="A14" s="63" t="s">
        <v>35</v>
      </c>
      <c r="B14" s="63"/>
      <c r="C14" s="3" t="s">
        <v>61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ht="24" x14ac:dyDescent="0.2">
      <c r="A18" s="63"/>
      <c r="B18" s="4" t="s">
        <v>68</v>
      </c>
      <c r="C18" s="3" t="s">
        <v>144</v>
      </c>
      <c r="D18" s="63"/>
      <c r="E18" s="63"/>
    </row>
    <row r="19" spans="1:5" x14ac:dyDescent="0.2">
      <c r="A19" s="63"/>
      <c r="B19" s="4" t="s">
        <v>140</v>
      </c>
      <c r="C19" s="3" t="s">
        <v>141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122</v>
      </c>
      <c r="D22" s="63"/>
      <c r="E22" s="63"/>
    </row>
    <row r="23" spans="1:5" ht="36" x14ac:dyDescent="0.2">
      <c r="A23" s="63" t="s">
        <v>41</v>
      </c>
      <c r="B23" s="4" t="s">
        <v>92</v>
      </c>
      <c r="C23" s="3" t="s">
        <v>118</v>
      </c>
      <c r="D23" s="63"/>
      <c r="E23" s="63"/>
    </row>
    <row r="24" spans="1:5" x14ac:dyDescent="0.2">
      <c r="A24" s="63"/>
      <c r="B24" s="4" t="s">
        <v>89</v>
      </c>
      <c r="C24" s="3" t="s">
        <v>131</v>
      </c>
      <c r="D24" s="63"/>
      <c r="E24" s="63"/>
    </row>
    <row r="25" spans="1:5" x14ac:dyDescent="0.2">
      <c r="A25" s="63"/>
      <c r="B25" s="4" t="s">
        <v>93</v>
      </c>
      <c r="C25" s="3" t="s">
        <v>100</v>
      </c>
      <c r="D25" s="63"/>
      <c r="E25" s="63"/>
    </row>
    <row r="26" spans="1:5" x14ac:dyDescent="0.2">
      <c r="A26" s="63"/>
      <c r="B26" s="4" t="s">
        <v>88</v>
      </c>
      <c r="C26" s="3" t="s">
        <v>100</v>
      </c>
      <c r="D26" s="63"/>
      <c r="E26" s="63"/>
    </row>
    <row r="27" spans="1:5" x14ac:dyDescent="0.2">
      <c r="A27" s="63"/>
      <c r="B27" s="4" t="s">
        <v>90</v>
      </c>
      <c r="C27" s="3" t="s">
        <v>135</v>
      </c>
      <c r="D27" s="63"/>
      <c r="E27" s="63"/>
    </row>
    <row r="28" spans="1:5" x14ac:dyDescent="0.2">
      <c r="A28" s="63"/>
      <c r="B28" s="4" t="s">
        <v>142</v>
      </c>
      <c r="C28" s="3" t="s">
        <v>152</v>
      </c>
      <c r="D28" s="63"/>
      <c r="E28" s="63"/>
    </row>
    <row r="29" spans="1:5" x14ac:dyDescent="0.2">
      <c r="A29" s="63"/>
      <c r="B29" s="4" t="s">
        <v>91</v>
      </c>
      <c r="C29" s="3" t="s">
        <v>100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189</v>
      </c>
      <c r="D32" s="63"/>
      <c r="E32" s="63"/>
    </row>
    <row r="33" spans="1:5" x14ac:dyDescent="0.2">
      <c r="A33" s="63"/>
      <c r="B33" s="4" t="s">
        <v>43</v>
      </c>
      <c r="C33" s="3" t="s">
        <v>290</v>
      </c>
      <c r="D33" s="63"/>
      <c r="E33" s="63"/>
    </row>
    <row r="34" spans="1:5" x14ac:dyDescent="0.2">
      <c r="A34" s="63"/>
      <c r="B34" s="4" t="s">
        <v>44</v>
      </c>
      <c r="C34" s="3" t="s">
        <v>290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258</v>
      </c>
      <c r="D39" s="58"/>
      <c r="E39" s="59"/>
    </row>
    <row r="40" spans="1:5" x14ac:dyDescent="0.2">
      <c r="A40" s="58" t="s">
        <v>125</v>
      </c>
      <c r="B40" s="59"/>
      <c r="C40" s="3" t="s">
        <v>259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142" priority="2"/>
  </conditionalFormatting>
  <conditionalFormatting sqref="B24">
    <cfRule type="duplicateValues" dxfId="141" priority="10"/>
  </conditionalFormatting>
  <conditionalFormatting sqref="B25">
    <cfRule type="duplicateValues" dxfId="140" priority="3"/>
  </conditionalFormatting>
  <conditionalFormatting sqref="B28">
    <cfRule type="duplicateValues" dxfId="139" priority="1"/>
  </conditionalFormatting>
  <conditionalFormatting sqref="B31">
    <cfRule type="duplicateValues" dxfId="138" priority="9"/>
  </conditionalFormatting>
  <conditionalFormatting sqref="B37">
    <cfRule type="duplicateValues" dxfId="137" priority="5"/>
  </conditionalFormatting>
  <conditionalFormatting sqref="B38">
    <cfRule type="duplicateValues" dxfId="136" priority="4"/>
  </conditionalFormatting>
  <conditionalFormatting sqref="B39">
    <cfRule type="duplicateValues" dxfId="135" priority="8"/>
  </conditionalFormatting>
  <conditionalFormatting sqref="B40">
    <cfRule type="duplicateValues" dxfId="134" priority="7"/>
  </conditionalFormatting>
  <conditionalFormatting sqref="B41">
    <cfRule type="duplicateValues" dxfId="133" priority="6"/>
  </conditionalFormatting>
  <conditionalFormatting sqref="B55:B1048576 B26:B27 B4:B10 B12:B18 B32:B36 B42:B46 B20:B23 B29:B30">
    <cfRule type="duplicateValues" dxfId="132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78B9D-80E1-4B66-992E-17D52F1FF287}">
  <sheetPr codeName="Sheet59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427</v>
      </c>
    </row>
    <row r="4" spans="1:5" x14ac:dyDescent="0.2">
      <c r="A4" s="80" t="s">
        <v>74</v>
      </c>
      <c r="B4" s="80"/>
      <c r="C4" s="2" t="s">
        <v>239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176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Corrosive HC service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62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258.6 @ -46°C' 213.3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NIL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ht="24" x14ac:dyDescent="0.2">
      <c r="A14" s="63" t="s">
        <v>35</v>
      </c>
      <c r="B14" s="63"/>
      <c r="C14" s="3" t="s">
        <v>297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ht="24" x14ac:dyDescent="0.2">
      <c r="A18" s="63"/>
      <c r="B18" s="4" t="s">
        <v>68</v>
      </c>
      <c r="C18" s="3" t="s">
        <v>144</v>
      </c>
      <c r="D18" s="63"/>
      <c r="E18" s="63"/>
    </row>
    <row r="19" spans="1:5" x14ac:dyDescent="0.2">
      <c r="A19" s="63"/>
      <c r="B19" s="4" t="s">
        <v>140</v>
      </c>
      <c r="C19" s="3" t="s">
        <v>141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121</v>
      </c>
      <c r="D22" s="63"/>
      <c r="E22" s="63"/>
    </row>
    <row r="23" spans="1:5" ht="36" x14ac:dyDescent="0.2">
      <c r="A23" s="63" t="s">
        <v>41</v>
      </c>
      <c r="B23" s="4" t="s">
        <v>92</v>
      </c>
      <c r="C23" s="3" t="s">
        <v>118</v>
      </c>
      <c r="D23" s="63"/>
      <c r="E23" s="63"/>
    </row>
    <row r="24" spans="1:5" x14ac:dyDescent="0.2">
      <c r="A24" s="63"/>
      <c r="B24" s="4" t="s">
        <v>89</v>
      </c>
      <c r="C24" s="3" t="s">
        <v>131</v>
      </c>
      <c r="D24" s="63"/>
      <c r="E24" s="63"/>
    </row>
    <row r="25" spans="1:5" x14ac:dyDescent="0.2">
      <c r="A25" s="63"/>
      <c r="B25" s="4" t="s">
        <v>93</v>
      </c>
      <c r="C25" s="3" t="s">
        <v>100</v>
      </c>
      <c r="D25" s="63"/>
      <c r="E25" s="63"/>
    </row>
    <row r="26" spans="1:5" x14ac:dyDescent="0.2">
      <c r="A26" s="63"/>
      <c r="B26" s="4" t="s">
        <v>88</v>
      </c>
      <c r="C26" s="3" t="s">
        <v>100</v>
      </c>
      <c r="D26" s="63"/>
      <c r="E26" s="63"/>
    </row>
    <row r="27" spans="1:5" x14ac:dyDescent="0.2">
      <c r="A27" s="63"/>
      <c r="B27" s="4" t="s">
        <v>90</v>
      </c>
      <c r="C27" s="3" t="s">
        <v>135</v>
      </c>
      <c r="D27" s="63"/>
      <c r="E27" s="63"/>
    </row>
    <row r="28" spans="1:5" x14ac:dyDescent="0.2">
      <c r="A28" s="63"/>
      <c r="B28" s="4" t="s">
        <v>142</v>
      </c>
      <c r="C28" s="3" t="s">
        <v>152</v>
      </c>
      <c r="D28" s="63"/>
      <c r="E28" s="63"/>
    </row>
    <row r="29" spans="1:5" x14ac:dyDescent="0.2">
      <c r="A29" s="63"/>
      <c r="B29" s="4" t="s">
        <v>91</v>
      </c>
      <c r="C29" s="3" t="s">
        <v>100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189</v>
      </c>
      <c r="D32" s="63"/>
      <c r="E32" s="63"/>
    </row>
    <row r="33" spans="1:5" x14ac:dyDescent="0.2">
      <c r="A33" s="63"/>
      <c r="B33" s="4" t="s">
        <v>43</v>
      </c>
      <c r="C33" s="3" t="s">
        <v>290</v>
      </c>
      <c r="D33" s="63"/>
      <c r="E33" s="63"/>
    </row>
    <row r="34" spans="1:5" x14ac:dyDescent="0.2">
      <c r="A34" s="63"/>
      <c r="B34" s="4" t="s">
        <v>44</v>
      </c>
      <c r="C34" s="3" t="s">
        <v>290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256</v>
      </c>
      <c r="D39" s="58"/>
      <c r="E39" s="59"/>
    </row>
    <row r="40" spans="1:5" x14ac:dyDescent="0.2">
      <c r="A40" s="58" t="s">
        <v>125</v>
      </c>
      <c r="B40" s="59"/>
      <c r="C40" s="3" t="s">
        <v>257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131" priority="2"/>
  </conditionalFormatting>
  <conditionalFormatting sqref="B24">
    <cfRule type="duplicateValues" dxfId="130" priority="10"/>
  </conditionalFormatting>
  <conditionalFormatting sqref="B25">
    <cfRule type="duplicateValues" dxfId="129" priority="3"/>
  </conditionalFormatting>
  <conditionalFormatting sqref="B28">
    <cfRule type="duplicateValues" dxfId="128" priority="1"/>
  </conditionalFormatting>
  <conditionalFormatting sqref="B31">
    <cfRule type="duplicateValues" dxfId="127" priority="9"/>
  </conditionalFormatting>
  <conditionalFormatting sqref="B37">
    <cfRule type="duplicateValues" dxfId="126" priority="5"/>
  </conditionalFormatting>
  <conditionalFormatting sqref="B38">
    <cfRule type="duplicateValues" dxfId="125" priority="4"/>
  </conditionalFormatting>
  <conditionalFormatting sqref="B39">
    <cfRule type="duplicateValues" dxfId="124" priority="8"/>
  </conditionalFormatting>
  <conditionalFormatting sqref="B40">
    <cfRule type="duplicateValues" dxfId="123" priority="7"/>
  </conditionalFormatting>
  <conditionalFormatting sqref="B41">
    <cfRule type="duplicateValues" dxfId="122" priority="6"/>
  </conditionalFormatting>
  <conditionalFormatting sqref="B55:B1048576 B26:B27 B4:B10 B12:B18 B32:B36 B42:B46 B20:B23 B29:B30">
    <cfRule type="duplicateValues" dxfId="121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14D19-9899-4A05-868E-20A1BB26457C}">
  <sheetPr codeName="Sheet60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428</v>
      </c>
    </row>
    <row r="4" spans="1:5" x14ac:dyDescent="0.2">
      <c r="A4" s="80" t="s">
        <v>74</v>
      </c>
      <c r="B4" s="80"/>
      <c r="C4" s="2" t="s">
        <v>240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177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Corrosive HC service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63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430.9 @ -46°C' 355.4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NIL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ht="24" x14ac:dyDescent="0.2">
      <c r="A14" s="63" t="s">
        <v>35</v>
      </c>
      <c r="B14" s="63"/>
      <c r="C14" s="3" t="s">
        <v>297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ht="24" x14ac:dyDescent="0.2">
      <c r="A18" s="63"/>
      <c r="B18" s="4" t="s">
        <v>68</v>
      </c>
      <c r="C18" s="3" t="s">
        <v>144</v>
      </c>
      <c r="D18" s="63"/>
      <c r="E18" s="63"/>
    </row>
    <row r="19" spans="1:5" x14ac:dyDescent="0.2">
      <c r="A19" s="63"/>
      <c r="B19" s="4" t="s">
        <v>140</v>
      </c>
      <c r="C19" s="3" t="s">
        <v>141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121</v>
      </c>
      <c r="D22" s="63"/>
      <c r="E22" s="63"/>
    </row>
    <row r="23" spans="1:5" ht="36" x14ac:dyDescent="0.2">
      <c r="A23" s="63" t="s">
        <v>41</v>
      </c>
      <c r="B23" s="4" t="s">
        <v>92</v>
      </c>
      <c r="C23" s="3" t="s">
        <v>118</v>
      </c>
      <c r="D23" s="63"/>
      <c r="E23" s="63"/>
    </row>
    <row r="24" spans="1:5" x14ac:dyDescent="0.2">
      <c r="A24" s="63"/>
      <c r="B24" s="4" t="s">
        <v>89</v>
      </c>
      <c r="C24" s="3" t="s">
        <v>131</v>
      </c>
      <c r="D24" s="63"/>
      <c r="E24" s="63"/>
    </row>
    <row r="25" spans="1:5" x14ac:dyDescent="0.2">
      <c r="A25" s="63"/>
      <c r="B25" s="4" t="s">
        <v>93</v>
      </c>
      <c r="C25" s="3" t="s">
        <v>100</v>
      </c>
      <c r="D25" s="63"/>
      <c r="E25" s="63"/>
    </row>
    <row r="26" spans="1:5" x14ac:dyDescent="0.2">
      <c r="A26" s="63"/>
      <c r="B26" s="4" t="s">
        <v>88</v>
      </c>
      <c r="C26" s="3" t="s">
        <v>100</v>
      </c>
      <c r="D26" s="63"/>
      <c r="E26" s="63"/>
    </row>
    <row r="27" spans="1:5" x14ac:dyDescent="0.2">
      <c r="A27" s="63"/>
      <c r="B27" s="4" t="s">
        <v>90</v>
      </c>
      <c r="C27" s="3" t="s">
        <v>135</v>
      </c>
      <c r="D27" s="63"/>
      <c r="E27" s="63"/>
    </row>
    <row r="28" spans="1:5" x14ac:dyDescent="0.2">
      <c r="A28" s="63"/>
      <c r="B28" s="4" t="s">
        <v>142</v>
      </c>
      <c r="C28" s="3" t="s">
        <v>152</v>
      </c>
      <c r="D28" s="63"/>
      <c r="E28" s="63"/>
    </row>
    <row r="29" spans="1:5" x14ac:dyDescent="0.2">
      <c r="A29" s="63"/>
      <c r="B29" s="4" t="s">
        <v>91</v>
      </c>
      <c r="C29" s="3" t="s">
        <v>100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189</v>
      </c>
      <c r="D32" s="63"/>
      <c r="E32" s="63"/>
    </row>
    <row r="33" spans="1:5" x14ac:dyDescent="0.2">
      <c r="A33" s="63"/>
      <c r="B33" s="4" t="s">
        <v>43</v>
      </c>
      <c r="C33" s="3" t="s">
        <v>290</v>
      </c>
      <c r="D33" s="63"/>
      <c r="E33" s="63"/>
    </row>
    <row r="34" spans="1:5" x14ac:dyDescent="0.2">
      <c r="A34" s="63"/>
      <c r="B34" s="4" t="s">
        <v>44</v>
      </c>
      <c r="C34" s="3" t="s">
        <v>290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254</v>
      </c>
      <c r="D39" s="58"/>
      <c r="E39" s="59"/>
    </row>
    <row r="40" spans="1:5" x14ac:dyDescent="0.2">
      <c r="A40" s="58" t="s">
        <v>125</v>
      </c>
      <c r="B40" s="59"/>
      <c r="C40" s="3" t="s">
        <v>255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120" priority="2"/>
  </conditionalFormatting>
  <conditionalFormatting sqref="B24">
    <cfRule type="duplicateValues" dxfId="119" priority="10"/>
  </conditionalFormatting>
  <conditionalFormatting sqref="B25">
    <cfRule type="duplicateValues" dxfId="118" priority="3"/>
  </conditionalFormatting>
  <conditionalFormatting sqref="B28">
    <cfRule type="duplicateValues" dxfId="117" priority="1"/>
  </conditionalFormatting>
  <conditionalFormatting sqref="B31">
    <cfRule type="duplicateValues" dxfId="116" priority="9"/>
  </conditionalFormatting>
  <conditionalFormatting sqref="B37">
    <cfRule type="duplicateValues" dxfId="115" priority="5"/>
  </conditionalFormatting>
  <conditionalFormatting sqref="B38">
    <cfRule type="duplicateValues" dxfId="114" priority="4"/>
  </conditionalFormatting>
  <conditionalFormatting sqref="B39">
    <cfRule type="duplicateValues" dxfId="113" priority="8"/>
  </conditionalFormatting>
  <conditionalFormatting sqref="B40">
    <cfRule type="duplicateValues" dxfId="112" priority="7"/>
  </conditionalFormatting>
  <conditionalFormatting sqref="B41">
    <cfRule type="duplicateValues" dxfId="111" priority="6"/>
  </conditionalFormatting>
  <conditionalFormatting sqref="B55:B1048576 B26:B27 B4:B10 B12:B18 B32:B36 B42:B46 B20:B23 B29:B30">
    <cfRule type="duplicateValues" dxfId="110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E5460-3271-4EDC-AF9A-616F348A9DC6}">
  <sheetPr codeName="Sheet1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429</v>
      </c>
    </row>
    <row r="4" spans="1:5" x14ac:dyDescent="0.2">
      <c r="A4" s="80" t="s">
        <v>74</v>
      </c>
      <c r="B4" s="80"/>
      <c r="C4" s="2" t="s">
        <v>293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294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Firewater, Raw Seawater and Topsides Seawater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55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20 @ -46°C' 13.8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NIL</v>
      </c>
      <c r="D12" s="63"/>
      <c r="E12" s="63"/>
    </row>
    <row r="13" spans="1:5" x14ac:dyDescent="0.2">
      <c r="A13" s="63" t="s">
        <v>33</v>
      </c>
      <c r="B13" s="63"/>
      <c r="C13" s="3" t="s">
        <v>34</v>
      </c>
      <c r="D13" s="63"/>
      <c r="E13" s="63"/>
    </row>
    <row r="14" spans="1:5" x14ac:dyDescent="0.2">
      <c r="A14" s="63" t="s">
        <v>35</v>
      </c>
      <c r="B14" s="63"/>
      <c r="C14" s="3" t="s">
        <v>247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ht="24" x14ac:dyDescent="0.2">
      <c r="A18" s="63"/>
      <c r="B18" s="4" t="s">
        <v>68</v>
      </c>
      <c r="C18" s="3" t="s">
        <v>144</v>
      </c>
      <c r="D18" s="63"/>
      <c r="E18" s="63"/>
    </row>
    <row r="19" spans="1:5" x14ac:dyDescent="0.2">
      <c r="A19" s="63"/>
      <c r="B19" s="4" t="s">
        <v>140</v>
      </c>
      <c r="C19" s="3" t="s">
        <v>141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120</v>
      </c>
      <c r="D22" s="63"/>
      <c r="E22" s="63"/>
    </row>
    <row r="23" spans="1:5" ht="36" x14ac:dyDescent="0.2">
      <c r="A23" s="63" t="s">
        <v>41</v>
      </c>
      <c r="B23" s="4" t="s">
        <v>92</v>
      </c>
      <c r="C23" s="3" t="s">
        <v>108</v>
      </c>
      <c r="D23" s="63"/>
      <c r="E23" s="63"/>
    </row>
    <row r="24" spans="1:5" x14ac:dyDescent="0.2">
      <c r="A24" s="63"/>
      <c r="B24" s="4" t="s">
        <v>89</v>
      </c>
      <c r="C24" s="3" t="s">
        <v>99</v>
      </c>
      <c r="D24" s="63"/>
      <c r="E24" s="63"/>
    </row>
    <row r="25" spans="1:5" x14ac:dyDescent="0.2">
      <c r="A25" s="63"/>
      <c r="B25" s="4" t="s">
        <v>93</v>
      </c>
      <c r="C25" s="3" t="s">
        <v>71</v>
      </c>
      <c r="D25" s="63"/>
      <c r="E25" s="63"/>
    </row>
    <row r="26" spans="1:5" x14ac:dyDescent="0.2">
      <c r="A26" s="63"/>
      <c r="B26" s="4" t="s">
        <v>88</v>
      </c>
      <c r="C26" s="3" t="s">
        <v>71</v>
      </c>
      <c r="D26" s="63"/>
      <c r="E26" s="63"/>
    </row>
    <row r="27" spans="1:5" x14ac:dyDescent="0.2">
      <c r="A27" s="63"/>
      <c r="B27" s="4" t="s">
        <v>90</v>
      </c>
      <c r="C27" s="3" t="s">
        <v>134</v>
      </c>
      <c r="D27" s="63"/>
      <c r="E27" s="63"/>
    </row>
    <row r="28" spans="1:5" x14ac:dyDescent="0.2">
      <c r="A28" s="63"/>
      <c r="B28" s="4" t="s">
        <v>142</v>
      </c>
      <c r="C28" s="3" t="s">
        <v>152</v>
      </c>
      <c r="D28" s="63"/>
      <c r="E28" s="63"/>
    </row>
    <row r="29" spans="1:5" x14ac:dyDescent="0.2">
      <c r="A29" s="63"/>
      <c r="B29" s="4" t="s">
        <v>91</v>
      </c>
      <c r="C29" s="3" t="s">
        <v>71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190</v>
      </c>
      <c r="D32" s="63"/>
      <c r="E32" s="63"/>
    </row>
    <row r="33" spans="1:5" x14ac:dyDescent="0.2">
      <c r="A33" s="63"/>
      <c r="B33" s="4" t="s">
        <v>43</v>
      </c>
      <c r="C33" s="3" t="s">
        <v>290</v>
      </c>
      <c r="D33" s="63"/>
      <c r="E33" s="63"/>
    </row>
    <row r="34" spans="1:5" x14ac:dyDescent="0.2">
      <c r="A34" s="63"/>
      <c r="B34" s="4" t="s">
        <v>44</v>
      </c>
      <c r="C34" s="3" t="s">
        <v>290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264</v>
      </c>
      <c r="D39" s="58"/>
      <c r="E39" s="59"/>
    </row>
    <row r="40" spans="1:5" x14ac:dyDescent="0.2">
      <c r="A40" s="58" t="s">
        <v>125</v>
      </c>
      <c r="B40" s="59"/>
      <c r="C40" s="3" t="s">
        <v>265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  <mergeCell ref="A38:B38"/>
    <mergeCell ref="D38:E38"/>
    <mergeCell ref="A39:B39"/>
    <mergeCell ref="D39:E39"/>
    <mergeCell ref="A40:B40"/>
    <mergeCell ref="D40:E40"/>
    <mergeCell ref="A36:B36"/>
    <mergeCell ref="D36:E36"/>
    <mergeCell ref="A37:B37"/>
    <mergeCell ref="D37:E37"/>
    <mergeCell ref="A35:B35"/>
    <mergeCell ref="D35:E35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9">
    <cfRule type="duplicateValues" dxfId="109" priority="2"/>
  </conditionalFormatting>
  <conditionalFormatting sqref="B24">
    <cfRule type="duplicateValues" dxfId="108" priority="10"/>
  </conditionalFormatting>
  <conditionalFormatting sqref="B25">
    <cfRule type="duplicateValues" dxfId="107" priority="3"/>
  </conditionalFormatting>
  <conditionalFormatting sqref="B28">
    <cfRule type="duplicateValues" dxfId="106" priority="1"/>
  </conditionalFormatting>
  <conditionalFormatting sqref="B31">
    <cfRule type="duplicateValues" dxfId="105" priority="9"/>
  </conditionalFormatting>
  <conditionalFormatting sqref="B37">
    <cfRule type="duplicateValues" dxfId="104" priority="5"/>
  </conditionalFormatting>
  <conditionalFormatting sqref="B38">
    <cfRule type="duplicateValues" dxfId="103" priority="4"/>
  </conditionalFormatting>
  <conditionalFormatting sqref="B39">
    <cfRule type="duplicateValues" dxfId="102" priority="8"/>
  </conditionalFormatting>
  <conditionalFormatting sqref="B40">
    <cfRule type="duplicateValues" dxfId="101" priority="7"/>
  </conditionalFormatting>
  <conditionalFormatting sqref="B41">
    <cfRule type="duplicateValues" dxfId="100" priority="6"/>
  </conditionalFormatting>
  <conditionalFormatting sqref="B55:B1048576 B26:B27 B4:B10 B12:B18 B32:B36 B42:B46 B20:B23 B29:B30">
    <cfRule type="duplicateValues" dxfId="99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72CE4-F41C-4E0B-87B8-0320F5B587AD}">
  <sheetPr codeName="Sheet2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430</v>
      </c>
    </row>
    <row r="4" spans="1:5" x14ac:dyDescent="0.2">
      <c r="A4" s="80" t="s">
        <v>74</v>
      </c>
      <c r="B4" s="80"/>
      <c r="C4" s="2" t="s">
        <v>292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291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Topside Seawater and Water Injection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63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430.9 @ -46°C' 355.4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NIL</v>
      </c>
      <c r="D12" s="63"/>
      <c r="E12" s="63"/>
    </row>
    <row r="13" spans="1:5" x14ac:dyDescent="0.2">
      <c r="A13" s="63" t="s">
        <v>33</v>
      </c>
      <c r="B13" s="63"/>
      <c r="C13" s="3" t="s">
        <v>34</v>
      </c>
      <c r="D13" s="63"/>
      <c r="E13" s="63"/>
    </row>
    <row r="14" spans="1:5" ht="24" x14ac:dyDescent="0.2">
      <c r="A14" s="63" t="s">
        <v>35</v>
      </c>
      <c r="B14" s="63"/>
      <c r="C14" s="3" t="s">
        <v>297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ht="24" x14ac:dyDescent="0.2">
      <c r="A18" s="63"/>
      <c r="B18" s="4" t="s">
        <v>68</v>
      </c>
      <c r="C18" s="3" t="s">
        <v>144</v>
      </c>
      <c r="D18" s="63"/>
      <c r="E18" s="63"/>
    </row>
    <row r="19" spans="1:5" x14ac:dyDescent="0.2">
      <c r="A19" s="63"/>
      <c r="B19" s="4" t="s">
        <v>140</v>
      </c>
      <c r="C19" s="3" t="s">
        <v>141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122</v>
      </c>
      <c r="D22" s="63"/>
      <c r="E22" s="63"/>
    </row>
    <row r="23" spans="1:5" ht="36" x14ac:dyDescent="0.2">
      <c r="A23" s="63" t="s">
        <v>41</v>
      </c>
      <c r="B23" s="4" t="s">
        <v>92</v>
      </c>
      <c r="C23" s="3" t="s">
        <v>108</v>
      </c>
      <c r="D23" s="63"/>
      <c r="E23" s="63"/>
    </row>
    <row r="24" spans="1:5" x14ac:dyDescent="0.2">
      <c r="A24" s="63"/>
      <c r="B24" s="4" t="s">
        <v>89</v>
      </c>
      <c r="C24" s="3" t="s">
        <v>130</v>
      </c>
      <c r="D24" s="63"/>
      <c r="E24" s="63"/>
    </row>
    <row r="25" spans="1:5" x14ac:dyDescent="0.2">
      <c r="A25" s="63"/>
      <c r="B25" s="4" t="s">
        <v>93</v>
      </c>
      <c r="C25" s="3" t="s">
        <v>71</v>
      </c>
      <c r="D25" s="63"/>
      <c r="E25" s="63"/>
    </row>
    <row r="26" spans="1:5" x14ac:dyDescent="0.2">
      <c r="A26" s="63"/>
      <c r="B26" s="4" t="s">
        <v>88</v>
      </c>
      <c r="C26" s="3" t="s">
        <v>71</v>
      </c>
      <c r="D26" s="63"/>
      <c r="E26" s="63"/>
    </row>
    <row r="27" spans="1:5" x14ac:dyDescent="0.2">
      <c r="A27" s="63"/>
      <c r="B27" s="4" t="s">
        <v>90</v>
      </c>
      <c r="C27" s="3" t="s">
        <v>134</v>
      </c>
      <c r="D27" s="63"/>
      <c r="E27" s="63"/>
    </row>
    <row r="28" spans="1:5" x14ac:dyDescent="0.2">
      <c r="A28" s="63"/>
      <c r="B28" s="4" t="s">
        <v>142</v>
      </c>
      <c r="C28" s="3" t="s">
        <v>152</v>
      </c>
      <c r="D28" s="63"/>
      <c r="E28" s="63"/>
    </row>
    <row r="29" spans="1:5" x14ac:dyDescent="0.2">
      <c r="A29" s="63"/>
      <c r="B29" s="4" t="s">
        <v>91</v>
      </c>
      <c r="C29" s="3" t="s">
        <v>71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191</v>
      </c>
      <c r="D32" s="63"/>
      <c r="E32" s="63"/>
    </row>
    <row r="33" spans="1:5" x14ac:dyDescent="0.2">
      <c r="A33" s="63"/>
      <c r="B33" s="4" t="s">
        <v>43</v>
      </c>
      <c r="C33" s="3" t="s">
        <v>290</v>
      </c>
      <c r="D33" s="63"/>
      <c r="E33" s="63"/>
    </row>
    <row r="34" spans="1:5" x14ac:dyDescent="0.2">
      <c r="A34" s="63"/>
      <c r="B34" s="4" t="s">
        <v>44</v>
      </c>
      <c r="C34" s="3" t="s">
        <v>290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254</v>
      </c>
      <c r="D39" s="58"/>
      <c r="E39" s="59"/>
    </row>
    <row r="40" spans="1:5" x14ac:dyDescent="0.2">
      <c r="A40" s="58" t="s">
        <v>125</v>
      </c>
      <c r="B40" s="59"/>
      <c r="C40" s="3" t="s">
        <v>255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  <mergeCell ref="A38:B38"/>
    <mergeCell ref="D38:E38"/>
    <mergeCell ref="A39:B39"/>
    <mergeCell ref="D39:E39"/>
    <mergeCell ref="A40:B40"/>
    <mergeCell ref="D40:E40"/>
    <mergeCell ref="A36:B36"/>
    <mergeCell ref="D36:E36"/>
    <mergeCell ref="A37:B37"/>
    <mergeCell ref="D37:E37"/>
    <mergeCell ref="A35:B35"/>
    <mergeCell ref="D35:E35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9">
    <cfRule type="duplicateValues" dxfId="98" priority="2"/>
  </conditionalFormatting>
  <conditionalFormatting sqref="B24">
    <cfRule type="duplicateValues" dxfId="97" priority="10"/>
  </conditionalFormatting>
  <conditionalFormatting sqref="B25">
    <cfRule type="duplicateValues" dxfId="96" priority="3"/>
  </conditionalFormatting>
  <conditionalFormatting sqref="B28">
    <cfRule type="duplicateValues" dxfId="95" priority="1"/>
  </conditionalFormatting>
  <conditionalFormatting sqref="B31">
    <cfRule type="duplicateValues" dxfId="94" priority="9"/>
  </conditionalFormatting>
  <conditionalFormatting sqref="B37">
    <cfRule type="duplicateValues" dxfId="93" priority="5"/>
  </conditionalFormatting>
  <conditionalFormatting sqref="B38">
    <cfRule type="duplicateValues" dxfId="92" priority="4"/>
  </conditionalFormatting>
  <conditionalFormatting sqref="B39">
    <cfRule type="duplicateValues" dxfId="91" priority="8"/>
  </conditionalFormatting>
  <conditionalFormatting sqref="B40">
    <cfRule type="duplicateValues" dxfId="90" priority="7"/>
  </conditionalFormatting>
  <conditionalFormatting sqref="B41">
    <cfRule type="duplicateValues" dxfId="89" priority="6"/>
  </conditionalFormatting>
  <conditionalFormatting sqref="B55:B1048576 B26:B27 B4:B10 B12:B18 B32:B36 B42:B46 B20:B23 B29:B30">
    <cfRule type="duplicateValues" dxfId="88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27193-9951-4231-AE3B-8A4DF19D6541}">
  <sheetPr codeName="Sheet61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431</v>
      </c>
    </row>
    <row r="4" spans="1:5" x14ac:dyDescent="0.2">
      <c r="A4" s="80" t="s">
        <v>74</v>
      </c>
      <c r="B4" s="80"/>
      <c r="C4" s="2" t="s">
        <v>241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4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Corrosive HC service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55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20 @ -46°C' 13.8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NIL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x14ac:dyDescent="0.2">
      <c r="A14" s="63" t="s">
        <v>35</v>
      </c>
      <c r="B14" s="63"/>
      <c r="C14" s="3" t="s">
        <v>247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ht="24" x14ac:dyDescent="0.2">
      <c r="A18" s="63"/>
      <c r="B18" s="4" t="s">
        <v>68</v>
      </c>
      <c r="C18" s="3" t="s">
        <v>144</v>
      </c>
      <c r="D18" s="63"/>
      <c r="E18" s="63"/>
    </row>
    <row r="19" spans="1:5" x14ac:dyDescent="0.2">
      <c r="A19" s="63"/>
      <c r="B19" s="4" t="s">
        <v>140</v>
      </c>
      <c r="C19" s="3" t="s">
        <v>141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120</v>
      </c>
      <c r="D22" s="63"/>
      <c r="E22" s="63"/>
    </row>
    <row r="23" spans="1:5" ht="36" x14ac:dyDescent="0.2">
      <c r="A23" s="63" t="s">
        <v>41</v>
      </c>
      <c r="B23" s="4" t="s">
        <v>92</v>
      </c>
      <c r="C23" s="3" t="s">
        <v>108</v>
      </c>
      <c r="D23" s="63"/>
      <c r="E23" s="63"/>
    </row>
    <row r="24" spans="1:5" x14ac:dyDescent="0.2">
      <c r="A24" s="63"/>
      <c r="B24" s="4" t="s">
        <v>89</v>
      </c>
      <c r="C24" s="3" t="s">
        <v>99</v>
      </c>
      <c r="D24" s="63"/>
      <c r="E24" s="63"/>
    </row>
    <row r="25" spans="1:5" x14ac:dyDescent="0.2">
      <c r="A25" s="63"/>
      <c r="B25" s="4" t="s">
        <v>93</v>
      </c>
      <c r="C25" s="3" t="s">
        <v>71</v>
      </c>
      <c r="D25" s="63"/>
      <c r="E25" s="63"/>
    </row>
    <row r="26" spans="1:5" x14ac:dyDescent="0.2">
      <c r="A26" s="63"/>
      <c r="B26" s="4" t="s">
        <v>88</v>
      </c>
      <c r="C26" s="3" t="s">
        <v>71</v>
      </c>
      <c r="D26" s="63"/>
      <c r="E26" s="63"/>
    </row>
    <row r="27" spans="1:5" x14ac:dyDescent="0.2">
      <c r="A27" s="63"/>
      <c r="B27" s="4" t="s">
        <v>90</v>
      </c>
      <c r="C27" s="3" t="s">
        <v>134</v>
      </c>
      <c r="D27" s="63"/>
      <c r="E27" s="63"/>
    </row>
    <row r="28" spans="1:5" x14ac:dyDescent="0.2">
      <c r="A28" s="63"/>
      <c r="B28" s="4" t="s">
        <v>142</v>
      </c>
      <c r="C28" s="3" t="s">
        <v>152</v>
      </c>
      <c r="D28" s="63"/>
      <c r="E28" s="63"/>
    </row>
    <row r="29" spans="1:5" x14ac:dyDescent="0.2">
      <c r="A29" s="63"/>
      <c r="B29" s="4" t="s">
        <v>91</v>
      </c>
      <c r="C29" s="3" t="s">
        <v>71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190</v>
      </c>
      <c r="D32" s="63"/>
      <c r="E32" s="63"/>
    </row>
    <row r="33" spans="1:5" x14ac:dyDescent="0.2">
      <c r="A33" s="63"/>
      <c r="B33" s="4" t="s">
        <v>43</v>
      </c>
      <c r="C33" s="3" t="s">
        <v>290</v>
      </c>
      <c r="D33" s="63"/>
      <c r="E33" s="63"/>
    </row>
    <row r="34" spans="1:5" x14ac:dyDescent="0.2">
      <c r="A34" s="63"/>
      <c r="B34" s="4" t="s">
        <v>44</v>
      </c>
      <c r="C34" s="3" t="s">
        <v>290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264</v>
      </c>
      <c r="D39" s="58"/>
      <c r="E39" s="59"/>
    </row>
    <row r="40" spans="1:5" x14ac:dyDescent="0.2">
      <c r="A40" s="58" t="s">
        <v>125</v>
      </c>
      <c r="B40" s="59"/>
      <c r="C40" s="3" t="s">
        <v>265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87" priority="2"/>
  </conditionalFormatting>
  <conditionalFormatting sqref="B24">
    <cfRule type="duplicateValues" dxfId="86" priority="10"/>
  </conditionalFormatting>
  <conditionalFormatting sqref="B25">
    <cfRule type="duplicateValues" dxfId="85" priority="3"/>
  </conditionalFormatting>
  <conditionalFormatting sqref="B28">
    <cfRule type="duplicateValues" dxfId="84" priority="1"/>
  </conditionalFormatting>
  <conditionalFormatting sqref="B31">
    <cfRule type="duplicateValues" dxfId="83" priority="9"/>
  </conditionalFormatting>
  <conditionalFormatting sqref="B37">
    <cfRule type="duplicateValues" dxfId="82" priority="5"/>
  </conditionalFormatting>
  <conditionalFormatting sqref="B38">
    <cfRule type="duplicateValues" dxfId="81" priority="4"/>
  </conditionalFormatting>
  <conditionalFormatting sqref="B39">
    <cfRule type="duplicateValues" dxfId="80" priority="8"/>
  </conditionalFormatting>
  <conditionalFormatting sqref="B40">
    <cfRule type="duplicateValues" dxfId="79" priority="7"/>
  </conditionalFormatting>
  <conditionalFormatting sqref="B41">
    <cfRule type="duplicateValues" dxfId="78" priority="6"/>
  </conditionalFormatting>
  <conditionalFormatting sqref="B55:B1048576 B26:B27 B4:B10 B12:B18 B32:B36 B42:B46 B20:B23 B29:B30">
    <cfRule type="duplicateValues" dxfId="77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2585B-D6CB-46A5-99C1-B51A5138FE6F}">
  <sheetPr codeName="Sheet62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432</v>
      </c>
    </row>
    <row r="4" spans="1:5" x14ac:dyDescent="0.2">
      <c r="A4" s="80" t="s">
        <v>74</v>
      </c>
      <c r="B4" s="80"/>
      <c r="C4" s="2" t="s">
        <v>242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24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Corrosive HC service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58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51.7 @ -46°C' 42.7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NIL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x14ac:dyDescent="0.2">
      <c r="A14" s="63" t="s">
        <v>35</v>
      </c>
      <c r="B14" s="63"/>
      <c r="C14" s="3" t="s">
        <v>247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ht="24" x14ac:dyDescent="0.2">
      <c r="A18" s="63"/>
      <c r="B18" s="4" t="s">
        <v>68</v>
      </c>
      <c r="C18" s="3" t="s">
        <v>144</v>
      </c>
      <c r="D18" s="63"/>
      <c r="E18" s="63"/>
    </row>
    <row r="19" spans="1:5" x14ac:dyDescent="0.2">
      <c r="A19" s="63"/>
      <c r="B19" s="4" t="s">
        <v>140</v>
      </c>
      <c r="C19" s="3" t="s">
        <v>141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123</v>
      </c>
      <c r="D22" s="63"/>
      <c r="E22" s="63"/>
    </row>
    <row r="23" spans="1:5" ht="36" x14ac:dyDescent="0.2">
      <c r="A23" s="63" t="s">
        <v>41</v>
      </c>
      <c r="B23" s="4" t="s">
        <v>92</v>
      </c>
      <c r="C23" s="3" t="s">
        <v>108</v>
      </c>
      <c r="D23" s="63"/>
      <c r="E23" s="63"/>
    </row>
    <row r="24" spans="1:5" x14ac:dyDescent="0.2">
      <c r="A24" s="63"/>
      <c r="B24" s="4" t="s">
        <v>89</v>
      </c>
      <c r="C24" s="3" t="s">
        <v>99</v>
      </c>
      <c r="D24" s="63"/>
      <c r="E24" s="63"/>
    </row>
    <row r="25" spans="1:5" x14ac:dyDescent="0.2">
      <c r="A25" s="63"/>
      <c r="B25" s="4" t="s">
        <v>93</v>
      </c>
      <c r="C25" s="3" t="s">
        <v>71</v>
      </c>
      <c r="D25" s="63"/>
      <c r="E25" s="63"/>
    </row>
    <row r="26" spans="1:5" x14ac:dyDescent="0.2">
      <c r="A26" s="63"/>
      <c r="B26" s="4" t="s">
        <v>88</v>
      </c>
      <c r="C26" s="3" t="s">
        <v>71</v>
      </c>
      <c r="D26" s="63"/>
      <c r="E26" s="63"/>
    </row>
    <row r="27" spans="1:5" x14ac:dyDescent="0.2">
      <c r="A27" s="63"/>
      <c r="B27" s="4" t="s">
        <v>90</v>
      </c>
      <c r="C27" s="3" t="s">
        <v>134</v>
      </c>
      <c r="D27" s="63"/>
      <c r="E27" s="63"/>
    </row>
    <row r="28" spans="1:5" x14ac:dyDescent="0.2">
      <c r="A28" s="63"/>
      <c r="B28" s="4" t="s">
        <v>142</v>
      </c>
      <c r="C28" s="3" t="s">
        <v>152</v>
      </c>
      <c r="D28" s="63"/>
      <c r="E28" s="63"/>
    </row>
    <row r="29" spans="1:5" x14ac:dyDescent="0.2">
      <c r="A29" s="63"/>
      <c r="B29" s="4" t="s">
        <v>91</v>
      </c>
      <c r="C29" s="3" t="s">
        <v>71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190</v>
      </c>
      <c r="D32" s="63"/>
      <c r="E32" s="63"/>
    </row>
    <row r="33" spans="1:5" x14ac:dyDescent="0.2">
      <c r="A33" s="63"/>
      <c r="B33" s="4" t="s">
        <v>43</v>
      </c>
      <c r="C33" s="3" t="s">
        <v>290</v>
      </c>
      <c r="D33" s="63"/>
      <c r="E33" s="63"/>
    </row>
    <row r="34" spans="1:5" x14ac:dyDescent="0.2">
      <c r="A34" s="63"/>
      <c r="B34" s="4" t="s">
        <v>44</v>
      </c>
      <c r="C34" s="3" t="s">
        <v>290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262</v>
      </c>
      <c r="D39" s="58"/>
      <c r="E39" s="59"/>
    </row>
    <row r="40" spans="1:5" x14ac:dyDescent="0.2">
      <c r="A40" s="58" t="s">
        <v>125</v>
      </c>
      <c r="B40" s="59"/>
      <c r="C40" s="3" t="s">
        <v>263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76" priority="2"/>
  </conditionalFormatting>
  <conditionalFormatting sqref="B24">
    <cfRule type="duplicateValues" dxfId="75" priority="10"/>
  </conditionalFormatting>
  <conditionalFormatting sqref="B25">
    <cfRule type="duplicateValues" dxfId="74" priority="3"/>
  </conditionalFormatting>
  <conditionalFormatting sqref="B28">
    <cfRule type="duplicateValues" dxfId="73" priority="1"/>
  </conditionalFormatting>
  <conditionalFormatting sqref="B31">
    <cfRule type="duplicateValues" dxfId="72" priority="9"/>
  </conditionalFormatting>
  <conditionalFormatting sqref="B37">
    <cfRule type="duplicateValues" dxfId="71" priority="5"/>
  </conditionalFormatting>
  <conditionalFormatting sqref="B38">
    <cfRule type="duplicateValues" dxfId="70" priority="4"/>
  </conditionalFormatting>
  <conditionalFormatting sqref="B39">
    <cfRule type="duplicateValues" dxfId="69" priority="8"/>
  </conditionalFormatting>
  <conditionalFormatting sqref="B40">
    <cfRule type="duplicateValues" dxfId="68" priority="7"/>
  </conditionalFormatting>
  <conditionalFormatting sqref="B41">
    <cfRule type="duplicateValues" dxfId="67" priority="6"/>
  </conditionalFormatting>
  <conditionalFormatting sqref="B55:B1048576 B26:B27 B4:B10 B12:B18 B32:B36 B42:B46 B20:B23 B29:B30">
    <cfRule type="duplicateValues" dxfId="66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88FB6-A686-4263-B1DB-B8F08703B954}">
  <sheetPr codeName="Sheet63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433</v>
      </c>
    </row>
    <row r="4" spans="1:5" x14ac:dyDescent="0.2">
      <c r="A4" s="80" t="s">
        <v>74</v>
      </c>
      <c r="B4" s="80"/>
      <c r="C4" s="2" t="s">
        <v>243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25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Corrosive HC service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59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103.4 @ -46°C' 85.3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NIL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x14ac:dyDescent="0.2">
      <c r="A14" s="63" t="s">
        <v>35</v>
      </c>
      <c r="B14" s="63"/>
      <c r="C14" s="3" t="s">
        <v>247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ht="24" x14ac:dyDescent="0.2">
      <c r="A18" s="63"/>
      <c r="B18" s="4" t="s">
        <v>68</v>
      </c>
      <c r="C18" s="3" t="s">
        <v>144</v>
      </c>
      <c r="D18" s="63"/>
      <c r="E18" s="63"/>
    </row>
    <row r="19" spans="1:5" x14ac:dyDescent="0.2">
      <c r="A19" s="63"/>
      <c r="B19" s="4" t="s">
        <v>140</v>
      </c>
      <c r="C19" s="3" t="s">
        <v>141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122</v>
      </c>
      <c r="D22" s="63"/>
      <c r="E22" s="63"/>
    </row>
    <row r="23" spans="1:5" ht="36" x14ac:dyDescent="0.2">
      <c r="A23" s="63" t="s">
        <v>41</v>
      </c>
      <c r="B23" s="4" t="s">
        <v>92</v>
      </c>
      <c r="C23" s="3" t="s">
        <v>108</v>
      </c>
      <c r="D23" s="63"/>
      <c r="E23" s="63"/>
    </row>
    <row r="24" spans="1:5" x14ac:dyDescent="0.2">
      <c r="A24" s="63"/>
      <c r="B24" s="4" t="s">
        <v>89</v>
      </c>
      <c r="C24" s="3" t="s">
        <v>130</v>
      </c>
      <c r="D24" s="63"/>
      <c r="E24" s="63"/>
    </row>
    <row r="25" spans="1:5" x14ac:dyDescent="0.2">
      <c r="A25" s="63"/>
      <c r="B25" s="4" t="s">
        <v>93</v>
      </c>
      <c r="C25" s="3" t="s">
        <v>71</v>
      </c>
      <c r="D25" s="63"/>
      <c r="E25" s="63"/>
    </row>
    <row r="26" spans="1:5" x14ac:dyDescent="0.2">
      <c r="A26" s="63"/>
      <c r="B26" s="4" t="s">
        <v>88</v>
      </c>
      <c r="C26" s="3" t="s">
        <v>71</v>
      </c>
      <c r="D26" s="63"/>
      <c r="E26" s="63"/>
    </row>
    <row r="27" spans="1:5" x14ac:dyDescent="0.2">
      <c r="A27" s="63"/>
      <c r="B27" s="4" t="s">
        <v>90</v>
      </c>
      <c r="C27" s="3" t="s">
        <v>134</v>
      </c>
      <c r="D27" s="63"/>
      <c r="E27" s="63"/>
    </row>
    <row r="28" spans="1:5" x14ac:dyDescent="0.2">
      <c r="A28" s="63"/>
      <c r="B28" s="4" t="s">
        <v>142</v>
      </c>
      <c r="C28" s="3" t="s">
        <v>152</v>
      </c>
      <c r="D28" s="63"/>
      <c r="E28" s="63"/>
    </row>
    <row r="29" spans="1:5" x14ac:dyDescent="0.2">
      <c r="A29" s="63"/>
      <c r="B29" s="4" t="s">
        <v>91</v>
      </c>
      <c r="C29" s="3" t="s">
        <v>71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190</v>
      </c>
      <c r="D32" s="63"/>
      <c r="E32" s="63"/>
    </row>
    <row r="33" spans="1:5" x14ac:dyDescent="0.2">
      <c r="A33" s="63"/>
      <c r="B33" s="4" t="s">
        <v>43</v>
      </c>
      <c r="C33" s="3" t="s">
        <v>290</v>
      </c>
      <c r="D33" s="63"/>
      <c r="E33" s="63"/>
    </row>
    <row r="34" spans="1:5" x14ac:dyDescent="0.2">
      <c r="A34" s="63"/>
      <c r="B34" s="4" t="s">
        <v>44</v>
      </c>
      <c r="C34" s="3" t="s">
        <v>290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260</v>
      </c>
      <c r="D39" s="58"/>
      <c r="E39" s="59"/>
    </row>
    <row r="40" spans="1:5" x14ac:dyDescent="0.2">
      <c r="A40" s="58" t="s">
        <v>125</v>
      </c>
      <c r="B40" s="59"/>
      <c r="C40" s="3" t="s">
        <v>261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65" priority="2"/>
  </conditionalFormatting>
  <conditionalFormatting sqref="B24">
    <cfRule type="duplicateValues" dxfId="64" priority="10"/>
  </conditionalFormatting>
  <conditionalFormatting sqref="B25">
    <cfRule type="duplicateValues" dxfId="63" priority="3"/>
  </conditionalFormatting>
  <conditionalFormatting sqref="B28">
    <cfRule type="duplicateValues" dxfId="62" priority="1"/>
  </conditionalFormatting>
  <conditionalFormatting sqref="B31">
    <cfRule type="duplicateValues" dxfId="61" priority="9"/>
  </conditionalFormatting>
  <conditionalFormatting sqref="B37">
    <cfRule type="duplicateValues" dxfId="60" priority="5"/>
  </conditionalFormatting>
  <conditionalFormatting sqref="B38">
    <cfRule type="duplicateValues" dxfId="59" priority="4"/>
  </conditionalFormatting>
  <conditionalFormatting sqref="B39">
    <cfRule type="duplicateValues" dxfId="58" priority="8"/>
  </conditionalFormatting>
  <conditionalFormatting sqref="B40">
    <cfRule type="duplicateValues" dxfId="57" priority="7"/>
  </conditionalFormatting>
  <conditionalFormatting sqref="B41">
    <cfRule type="duplicateValues" dxfId="56" priority="6"/>
  </conditionalFormatting>
  <conditionalFormatting sqref="B55:B1048576 B26:B27 B4:B10 B12:B18 B32:B36 B42:B46 B20:B23 B29:B30">
    <cfRule type="duplicateValues" dxfId="55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2727A-63A6-48D2-85AC-52365F9EE56C}">
  <sheetPr codeName="Sheet64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434</v>
      </c>
    </row>
    <row r="4" spans="1:5" x14ac:dyDescent="0.2">
      <c r="A4" s="80" t="s">
        <v>74</v>
      </c>
      <c r="B4" s="80"/>
      <c r="C4" s="2" t="s">
        <v>251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178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Corrosive HC service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60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155.1 @ -46°C' 128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NIL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x14ac:dyDescent="0.2">
      <c r="A14" s="63" t="s">
        <v>35</v>
      </c>
      <c r="B14" s="63"/>
      <c r="C14" s="3" t="s">
        <v>61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ht="24" x14ac:dyDescent="0.2">
      <c r="A18" s="63"/>
      <c r="B18" s="4" t="s">
        <v>68</v>
      </c>
      <c r="C18" s="3" t="s">
        <v>144</v>
      </c>
      <c r="D18" s="63"/>
      <c r="E18" s="63"/>
    </row>
    <row r="19" spans="1:5" x14ac:dyDescent="0.2">
      <c r="A19" s="63"/>
      <c r="B19" s="4" t="s">
        <v>140</v>
      </c>
      <c r="C19" s="3" t="s">
        <v>141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122</v>
      </c>
      <c r="D22" s="63"/>
      <c r="E22" s="63"/>
    </row>
    <row r="23" spans="1:5" ht="36" x14ac:dyDescent="0.2">
      <c r="A23" s="63" t="s">
        <v>41</v>
      </c>
      <c r="B23" s="4" t="s">
        <v>92</v>
      </c>
      <c r="C23" s="3" t="s">
        <v>108</v>
      </c>
      <c r="D23" s="63"/>
      <c r="E23" s="63"/>
    </row>
    <row r="24" spans="1:5" x14ac:dyDescent="0.2">
      <c r="A24" s="63"/>
      <c r="B24" s="4" t="s">
        <v>89</v>
      </c>
      <c r="C24" s="3" t="s">
        <v>130</v>
      </c>
      <c r="D24" s="63"/>
      <c r="E24" s="63"/>
    </row>
    <row r="25" spans="1:5" x14ac:dyDescent="0.2">
      <c r="A25" s="63"/>
      <c r="B25" s="4" t="s">
        <v>93</v>
      </c>
      <c r="C25" s="3" t="s">
        <v>71</v>
      </c>
      <c r="D25" s="63"/>
      <c r="E25" s="63"/>
    </row>
    <row r="26" spans="1:5" x14ac:dyDescent="0.2">
      <c r="A26" s="63"/>
      <c r="B26" s="4" t="s">
        <v>88</v>
      </c>
      <c r="C26" s="3" t="s">
        <v>71</v>
      </c>
      <c r="D26" s="63"/>
      <c r="E26" s="63"/>
    </row>
    <row r="27" spans="1:5" x14ac:dyDescent="0.2">
      <c r="A27" s="63"/>
      <c r="B27" s="4" t="s">
        <v>90</v>
      </c>
      <c r="C27" s="3" t="s">
        <v>134</v>
      </c>
      <c r="D27" s="63"/>
      <c r="E27" s="63"/>
    </row>
    <row r="28" spans="1:5" x14ac:dyDescent="0.2">
      <c r="A28" s="63"/>
      <c r="B28" s="4" t="s">
        <v>142</v>
      </c>
      <c r="C28" s="3" t="s">
        <v>152</v>
      </c>
      <c r="D28" s="63"/>
      <c r="E28" s="63"/>
    </row>
    <row r="29" spans="1:5" x14ac:dyDescent="0.2">
      <c r="A29" s="63"/>
      <c r="B29" s="4" t="s">
        <v>91</v>
      </c>
      <c r="C29" s="3" t="s">
        <v>71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191</v>
      </c>
      <c r="D32" s="63"/>
      <c r="E32" s="63"/>
    </row>
    <row r="33" spans="1:5" x14ac:dyDescent="0.2">
      <c r="A33" s="63"/>
      <c r="B33" s="4" t="s">
        <v>43</v>
      </c>
      <c r="C33" s="3" t="s">
        <v>290</v>
      </c>
      <c r="D33" s="63"/>
      <c r="E33" s="63"/>
    </row>
    <row r="34" spans="1:5" x14ac:dyDescent="0.2">
      <c r="A34" s="63"/>
      <c r="B34" s="4" t="s">
        <v>44</v>
      </c>
      <c r="C34" s="3" t="s">
        <v>290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258</v>
      </c>
      <c r="D39" s="58"/>
      <c r="E39" s="59"/>
    </row>
    <row r="40" spans="1:5" x14ac:dyDescent="0.2">
      <c r="A40" s="58" t="s">
        <v>125</v>
      </c>
      <c r="B40" s="59"/>
      <c r="C40" s="3" t="s">
        <v>259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54" priority="2"/>
  </conditionalFormatting>
  <conditionalFormatting sqref="B24">
    <cfRule type="duplicateValues" dxfId="53" priority="10"/>
  </conditionalFormatting>
  <conditionalFormatting sqref="B25">
    <cfRule type="duplicateValues" dxfId="52" priority="3"/>
  </conditionalFormatting>
  <conditionalFormatting sqref="B28">
    <cfRule type="duplicateValues" dxfId="51" priority="1"/>
  </conditionalFormatting>
  <conditionalFormatting sqref="B31">
    <cfRule type="duplicateValues" dxfId="50" priority="9"/>
  </conditionalFormatting>
  <conditionalFormatting sqref="B37">
    <cfRule type="duplicateValues" dxfId="49" priority="5"/>
  </conditionalFormatting>
  <conditionalFormatting sqref="B38">
    <cfRule type="duplicateValues" dxfId="48" priority="4"/>
  </conditionalFormatting>
  <conditionalFormatting sqref="B39">
    <cfRule type="duplicateValues" dxfId="47" priority="8"/>
  </conditionalFormatting>
  <conditionalFormatting sqref="B40">
    <cfRule type="duplicateValues" dxfId="46" priority="7"/>
  </conditionalFormatting>
  <conditionalFormatting sqref="B41">
    <cfRule type="duplicateValues" dxfId="45" priority="6"/>
  </conditionalFormatting>
  <conditionalFormatting sqref="B55:B1048576 B26:B27 B4:B10 B12:B18 B32:B36 B42:B46 B20:B23 B29:B30">
    <cfRule type="duplicateValues" dxfId="44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B7BD-7CCD-4923-B05F-0562724670F2}">
  <sheetPr codeName="Sheet65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435</v>
      </c>
    </row>
    <row r="4" spans="1:5" x14ac:dyDescent="0.2">
      <c r="A4" s="80" t="s">
        <v>74</v>
      </c>
      <c r="B4" s="80"/>
      <c r="C4" s="2" t="s">
        <v>252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179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Corrosive HC service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62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258.6 @ -46°C' 213.3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NIL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ht="24" x14ac:dyDescent="0.2">
      <c r="A14" s="63" t="s">
        <v>35</v>
      </c>
      <c r="B14" s="63"/>
      <c r="C14" s="3" t="s">
        <v>297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ht="24" x14ac:dyDescent="0.2">
      <c r="A18" s="63"/>
      <c r="B18" s="4" t="s">
        <v>68</v>
      </c>
      <c r="C18" s="3" t="s">
        <v>144</v>
      </c>
      <c r="D18" s="63"/>
      <c r="E18" s="63"/>
    </row>
    <row r="19" spans="1:5" x14ac:dyDescent="0.2">
      <c r="A19" s="63"/>
      <c r="B19" s="4" t="s">
        <v>140</v>
      </c>
      <c r="C19" s="3" t="s">
        <v>141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122</v>
      </c>
      <c r="D22" s="63"/>
      <c r="E22" s="63"/>
    </row>
    <row r="23" spans="1:5" ht="36" x14ac:dyDescent="0.2">
      <c r="A23" s="63" t="s">
        <v>41</v>
      </c>
      <c r="B23" s="4" t="s">
        <v>92</v>
      </c>
      <c r="C23" s="3" t="s">
        <v>108</v>
      </c>
      <c r="D23" s="63"/>
      <c r="E23" s="63"/>
    </row>
    <row r="24" spans="1:5" x14ac:dyDescent="0.2">
      <c r="A24" s="63"/>
      <c r="B24" s="4" t="s">
        <v>89</v>
      </c>
      <c r="C24" s="3" t="s">
        <v>130</v>
      </c>
      <c r="D24" s="63"/>
      <c r="E24" s="63"/>
    </row>
    <row r="25" spans="1:5" x14ac:dyDescent="0.2">
      <c r="A25" s="63"/>
      <c r="B25" s="4" t="s">
        <v>93</v>
      </c>
      <c r="C25" s="3" t="s">
        <v>71</v>
      </c>
      <c r="D25" s="63"/>
      <c r="E25" s="63"/>
    </row>
    <row r="26" spans="1:5" x14ac:dyDescent="0.2">
      <c r="A26" s="63"/>
      <c r="B26" s="4" t="s">
        <v>88</v>
      </c>
      <c r="C26" s="3" t="s">
        <v>71</v>
      </c>
      <c r="D26" s="63"/>
      <c r="E26" s="63"/>
    </row>
    <row r="27" spans="1:5" x14ac:dyDescent="0.2">
      <c r="A27" s="63"/>
      <c r="B27" s="4" t="s">
        <v>90</v>
      </c>
      <c r="C27" s="3" t="s">
        <v>134</v>
      </c>
      <c r="D27" s="63"/>
      <c r="E27" s="63"/>
    </row>
    <row r="28" spans="1:5" x14ac:dyDescent="0.2">
      <c r="A28" s="63"/>
      <c r="B28" s="4" t="s">
        <v>142</v>
      </c>
      <c r="C28" s="3" t="s">
        <v>152</v>
      </c>
      <c r="D28" s="63"/>
      <c r="E28" s="63"/>
    </row>
    <row r="29" spans="1:5" x14ac:dyDescent="0.2">
      <c r="A29" s="63"/>
      <c r="B29" s="4" t="s">
        <v>91</v>
      </c>
      <c r="C29" s="3" t="s">
        <v>71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191</v>
      </c>
      <c r="D32" s="63"/>
      <c r="E32" s="63"/>
    </row>
    <row r="33" spans="1:5" x14ac:dyDescent="0.2">
      <c r="A33" s="63"/>
      <c r="B33" s="4" t="s">
        <v>43</v>
      </c>
      <c r="C33" s="3" t="s">
        <v>290</v>
      </c>
      <c r="D33" s="63"/>
      <c r="E33" s="63"/>
    </row>
    <row r="34" spans="1:5" x14ac:dyDescent="0.2">
      <c r="A34" s="63"/>
      <c r="B34" s="4" t="s">
        <v>44</v>
      </c>
      <c r="C34" s="3" t="s">
        <v>290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256</v>
      </c>
      <c r="D39" s="58"/>
      <c r="E39" s="59"/>
    </row>
    <row r="40" spans="1:5" x14ac:dyDescent="0.2">
      <c r="A40" s="58" t="s">
        <v>125</v>
      </c>
      <c r="B40" s="59"/>
      <c r="C40" s="3" t="s">
        <v>257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43" priority="2"/>
  </conditionalFormatting>
  <conditionalFormatting sqref="B24">
    <cfRule type="duplicateValues" dxfId="42" priority="10"/>
  </conditionalFormatting>
  <conditionalFormatting sqref="B25">
    <cfRule type="duplicateValues" dxfId="41" priority="3"/>
  </conditionalFormatting>
  <conditionalFormatting sqref="B28">
    <cfRule type="duplicateValues" dxfId="40" priority="1"/>
  </conditionalFormatting>
  <conditionalFormatting sqref="B31">
    <cfRule type="duplicateValues" dxfId="39" priority="9"/>
  </conditionalFormatting>
  <conditionalFormatting sqref="B37">
    <cfRule type="duplicateValues" dxfId="38" priority="5"/>
  </conditionalFormatting>
  <conditionalFormatting sqref="B38">
    <cfRule type="duplicateValues" dxfId="37" priority="4"/>
  </conditionalFormatting>
  <conditionalFormatting sqref="B39">
    <cfRule type="duplicateValues" dxfId="36" priority="8"/>
  </conditionalFormatting>
  <conditionalFormatting sqref="B40">
    <cfRule type="duplicateValues" dxfId="35" priority="7"/>
  </conditionalFormatting>
  <conditionalFormatting sqref="B41">
    <cfRule type="duplicateValues" dxfId="34" priority="6"/>
  </conditionalFormatting>
  <conditionalFormatting sqref="B55:B1048576 B26:B27 B4:B10 B12:B18 B32:B36 B42:B46 B20:B23 B29:B30">
    <cfRule type="duplicateValues" dxfId="33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E69B4-36F3-40F3-B95F-AF4F7EDEB406}">
  <sheetPr codeName="Sheet66">
    <tabColor rgb="FF7030A0"/>
    <pageSetUpPr fitToPage="1"/>
  </sheetPr>
  <dimension ref="A1:E54"/>
  <sheetViews>
    <sheetView topLeftCell="A20"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436</v>
      </c>
    </row>
    <row r="4" spans="1:5" x14ac:dyDescent="0.2">
      <c r="A4" s="80" t="s">
        <v>74</v>
      </c>
      <c r="B4" s="80"/>
      <c r="C4" s="2" t="s">
        <v>253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180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Corrosive HC service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63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430.9 @ -46°C' 355.4 @ 200°C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NIL</v>
      </c>
      <c r="D12" s="63"/>
      <c r="E12" s="63"/>
    </row>
    <row r="13" spans="1:5" ht="24" x14ac:dyDescent="0.2">
      <c r="A13" s="63" t="s">
        <v>33</v>
      </c>
      <c r="B13" s="63"/>
      <c r="C13" s="3" t="s">
        <v>95</v>
      </c>
      <c r="D13" s="63"/>
      <c r="E13" s="63"/>
    </row>
    <row r="14" spans="1:5" ht="24" x14ac:dyDescent="0.2">
      <c r="A14" s="63" t="s">
        <v>35</v>
      </c>
      <c r="B14" s="63"/>
      <c r="C14" s="3" t="s">
        <v>297</v>
      </c>
      <c r="D14" s="63"/>
      <c r="E14" s="63"/>
    </row>
    <row r="15" spans="1:5" x14ac:dyDescent="0.2">
      <c r="A15" s="63" t="s">
        <v>36</v>
      </c>
      <c r="B15" s="63"/>
      <c r="C15" s="3" t="s">
        <v>66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98</v>
      </c>
      <c r="D17" s="63"/>
      <c r="E17" s="63"/>
    </row>
    <row r="18" spans="1:5" ht="24" x14ac:dyDescent="0.2">
      <c r="A18" s="63"/>
      <c r="B18" s="4" t="s">
        <v>68</v>
      </c>
      <c r="C18" s="3" t="s">
        <v>144</v>
      </c>
      <c r="D18" s="63"/>
      <c r="E18" s="63"/>
    </row>
    <row r="19" spans="1:5" x14ac:dyDescent="0.2">
      <c r="A19" s="63"/>
      <c r="B19" s="4" t="s">
        <v>140</v>
      </c>
      <c r="C19" s="3" t="s">
        <v>141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122</v>
      </c>
      <c r="D22" s="63"/>
      <c r="E22" s="63"/>
    </row>
    <row r="23" spans="1:5" ht="36" x14ac:dyDescent="0.2">
      <c r="A23" s="63" t="s">
        <v>41</v>
      </c>
      <c r="B23" s="4" t="s">
        <v>92</v>
      </c>
      <c r="C23" s="3" t="s">
        <v>108</v>
      </c>
      <c r="D23" s="63"/>
      <c r="E23" s="63"/>
    </row>
    <row r="24" spans="1:5" x14ac:dyDescent="0.2">
      <c r="A24" s="63"/>
      <c r="B24" s="4" t="s">
        <v>89</v>
      </c>
      <c r="C24" s="3" t="s">
        <v>130</v>
      </c>
      <c r="D24" s="63"/>
      <c r="E24" s="63"/>
    </row>
    <row r="25" spans="1:5" x14ac:dyDescent="0.2">
      <c r="A25" s="63"/>
      <c r="B25" s="4" t="s">
        <v>93</v>
      </c>
      <c r="C25" s="3" t="s">
        <v>71</v>
      </c>
      <c r="D25" s="63"/>
      <c r="E25" s="63"/>
    </row>
    <row r="26" spans="1:5" x14ac:dyDescent="0.2">
      <c r="A26" s="63"/>
      <c r="B26" s="4" t="s">
        <v>88</v>
      </c>
      <c r="C26" s="3" t="s">
        <v>71</v>
      </c>
      <c r="D26" s="63"/>
      <c r="E26" s="63"/>
    </row>
    <row r="27" spans="1:5" x14ac:dyDescent="0.2">
      <c r="A27" s="63"/>
      <c r="B27" s="4" t="s">
        <v>90</v>
      </c>
      <c r="C27" s="3" t="s">
        <v>134</v>
      </c>
      <c r="D27" s="63"/>
      <c r="E27" s="63"/>
    </row>
    <row r="28" spans="1:5" x14ac:dyDescent="0.2">
      <c r="A28" s="63"/>
      <c r="B28" s="4" t="s">
        <v>142</v>
      </c>
      <c r="C28" s="3" t="s">
        <v>152</v>
      </c>
      <c r="D28" s="63"/>
      <c r="E28" s="63"/>
    </row>
    <row r="29" spans="1:5" x14ac:dyDescent="0.2">
      <c r="A29" s="63"/>
      <c r="B29" s="4" t="s">
        <v>91</v>
      </c>
      <c r="C29" s="3" t="s">
        <v>71</v>
      </c>
      <c r="D29" s="63"/>
      <c r="E29" s="63"/>
    </row>
    <row r="30" spans="1:5" ht="36" x14ac:dyDescent="0.2">
      <c r="A30" s="63"/>
      <c r="B30" s="7" t="s">
        <v>72</v>
      </c>
      <c r="C30" s="3" t="s">
        <v>138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24" x14ac:dyDescent="0.2">
      <c r="A32" s="63"/>
      <c r="B32" s="4" t="s">
        <v>42</v>
      </c>
      <c r="C32" s="3" t="s">
        <v>191</v>
      </c>
      <c r="D32" s="63"/>
      <c r="E32" s="63"/>
    </row>
    <row r="33" spans="1:5" x14ac:dyDescent="0.2">
      <c r="A33" s="63"/>
      <c r="B33" s="4" t="s">
        <v>43</v>
      </c>
      <c r="C33" s="3" t="s">
        <v>290</v>
      </c>
      <c r="D33" s="63"/>
      <c r="E33" s="63"/>
    </row>
    <row r="34" spans="1:5" x14ac:dyDescent="0.2">
      <c r="A34" s="63"/>
      <c r="B34" s="4" t="s">
        <v>44</v>
      </c>
      <c r="C34" s="3" t="s">
        <v>290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254</v>
      </c>
      <c r="D39" s="58"/>
      <c r="E39" s="59"/>
    </row>
    <row r="40" spans="1:5" x14ac:dyDescent="0.2">
      <c r="A40" s="58" t="s">
        <v>125</v>
      </c>
      <c r="B40" s="59"/>
      <c r="C40" s="3" t="s">
        <v>255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148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104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32" priority="2"/>
  </conditionalFormatting>
  <conditionalFormatting sqref="B24">
    <cfRule type="duplicateValues" dxfId="31" priority="10"/>
  </conditionalFormatting>
  <conditionalFormatting sqref="B25">
    <cfRule type="duplicateValues" dxfId="30" priority="3"/>
  </conditionalFormatting>
  <conditionalFormatting sqref="B28">
    <cfRule type="duplicateValues" dxfId="29" priority="1"/>
  </conditionalFormatting>
  <conditionalFormatting sqref="B31">
    <cfRule type="duplicateValues" dxfId="28" priority="9"/>
  </conditionalFormatting>
  <conditionalFormatting sqref="B37">
    <cfRule type="duplicateValues" dxfId="27" priority="5"/>
  </conditionalFormatting>
  <conditionalFormatting sqref="B38">
    <cfRule type="duplicateValues" dxfId="26" priority="4"/>
  </conditionalFormatting>
  <conditionalFormatting sqref="B39">
    <cfRule type="duplicateValues" dxfId="25" priority="8"/>
  </conditionalFormatting>
  <conditionalFormatting sqref="B40">
    <cfRule type="duplicateValues" dxfId="24" priority="7"/>
  </conditionalFormatting>
  <conditionalFormatting sqref="B41">
    <cfRule type="duplicateValues" dxfId="23" priority="6"/>
  </conditionalFormatting>
  <conditionalFormatting sqref="B55:B1048576 B26:B27 B4:B10 B12:B18 B32:B36 B42:B46 B20:B23 B29:B30">
    <cfRule type="duplicateValues" dxfId="22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E1A64-051C-42F8-8473-F7FEA26BF0BF}">
  <sheetPr codeName="Sheet36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437</v>
      </c>
    </row>
    <row r="4" spans="1:5" x14ac:dyDescent="0.2">
      <c r="A4" s="80" t="s">
        <v>74</v>
      </c>
      <c r="B4" s="80"/>
      <c r="C4" s="2" t="s">
        <v>296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298</v>
      </c>
      <c r="D5" s="63"/>
      <c r="E5" s="63"/>
    </row>
    <row r="6" spans="1:5" x14ac:dyDescent="0.2">
      <c r="A6" s="63" t="s">
        <v>27</v>
      </c>
      <c r="B6" s="63"/>
      <c r="C6" s="3" t="s">
        <v>75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Raw Sea Water, Fire Water, Hypochlorite, Sewage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64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20 @ 0°C' 17.3 @ 100°C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NIL</v>
      </c>
      <c r="D12" s="63"/>
      <c r="E12" s="63"/>
    </row>
    <row r="13" spans="1:5" x14ac:dyDescent="0.2">
      <c r="A13" s="63" t="s">
        <v>33</v>
      </c>
      <c r="B13" s="63"/>
      <c r="C13" s="3" t="s">
        <v>34</v>
      </c>
      <c r="D13" s="63"/>
      <c r="E13" s="63"/>
    </row>
    <row r="14" spans="1:5" x14ac:dyDescent="0.2">
      <c r="A14" s="63" t="s">
        <v>35</v>
      </c>
      <c r="B14" s="63"/>
      <c r="C14" s="3" t="s">
        <v>56</v>
      </c>
      <c r="D14" s="63"/>
      <c r="E14" s="63"/>
    </row>
    <row r="15" spans="1:5" x14ac:dyDescent="0.2">
      <c r="A15" s="63" t="s">
        <v>36</v>
      </c>
      <c r="B15" s="63"/>
      <c r="C15" s="3" t="s">
        <v>65</v>
      </c>
      <c r="D15" s="63"/>
      <c r="E15" s="63"/>
    </row>
    <row r="16" spans="1:5" x14ac:dyDescent="0.2">
      <c r="A16" s="63" t="s">
        <v>37</v>
      </c>
      <c r="B16" s="4" t="s">
        <v>38</v>
      </c>
      <c r="C16" s="3" t="s">
        <v>73</v>
      </c>
      <c r="D16" s="63"/>
      <c r="E16" s="63"/>
    </row>
    <row r="17" spans="1:5" x14ac:dyDescent="0.2">
      <c r="A17" s="63"/>
      <c r="B17" s="4" t="s">
        <v>67</v>
      </c>
      <c r="C17" s="3" t="s">
        <v>84</v>
      </c>
      <c r="D17" s="63"/>
      <c r="E17" s="63"/>
    </row>
    <row r="18" spans="1:5" x14ac:dyDescent="0.2">
      <c r="A18" s="63"/>
      <c r="B18" s="4" t="s">
        <v>68</v>
      </c>
      <c r="C18" s="3" t="s">
        <v>145</v>
      </c>
      <c r="D18" s="63"/>
      <c r="E18" s="63"/>
    </row>
    <row r="19" spans="1:5" x14ac:dyDescent="0.2">
      <c r="A19" s="63"/>
      <c r="B19" s="4" t="s">
        <v>140</v>
      </c>
      <c r="C19" s="3" t="s">
        <v>141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120</v>
      </c>
      <c r="D22" s="63"/>
      <c r="E22" s="63"/>
    </row>
    <row r="23" spans="1:5" x14ac:dyDescent="0.2">
      <c r="A23" s="63" t="s">
        <v>41</v>
      </c>
      <c r="B23" s="4" t="s">
        <v>92</v>
      </c>
      <c r="C23" s="3" t="s">
        <v>97</v>
      </c>
      <c r="D23" s="63"/>
      <c r="E23" s="63"/>
    </row>
    <row r="24" spans="1:5" x14ac:dyDescent="0.2">
      <c r="A24" s="63"/>
      <c r="B24" s="4" t="s">
        <v>89</v>
      </c>
      <c r="C24" s="3" t="s">
        <v>1</v>
      </c>
      <c r="D24" s="63"/>
      <c r="E24" s="63"/>
    </row>
    <row r="25" spans="1:5" x14ac:dyDescent="0.2">
      <c r="A25" s="63"/>
      <c r="B25" s="4" t="s">
        <v>93</v>
      </c>
      <c r="C25" s="3" t="s">
        <v>1</v>
      </c>
      <c r="D25" s="63"/>
      <c r="E25" s="63"/>
    </row>
    <row r="26" spans="1:5" x14ac:dyDescent="0.2">
      <c r="A26" s="63"/>
      <c r="B26" s="4" t="s">
        <v>88</v>
      </c>
      <c r="C26" s="3" t="s">
        <v>1</v>
      </c>
      <c r="D26" s="63"/>
      <c r="E26" s="63"/>
    </row>
    <row r="27" spans="1:5" x14ac:dyDescent="0.2">
      <c r="A27" s="63"/>
      <c r="B27" s="4" t="s">
        <v>90</v>
      </c>
      <c r="C27" s="3" t="s">
        <v>146</v>
      </c>
      <c r="D27" s="63"/>
      <c r="E27" s="63"/>
    </row>
    <row r="28" spans="1:5" x14ac:dyDescent="0.2">
      <c r="A28" s="63"/>
      <c r="B28" s="4" t="s">
        <v>142</v>
      </c>
      <c r="C28" s="3" t="s">
        <v>1</v>
      </c>
      <c r="D28" s="63"/>
      <c r="E28" s="63"/>
    </row>
    <row r="29" spans="1:5" x14ac:dyDescent="0.2">
      <c r="A29" s="63"/>
      <c r="B29" s="4" t="s">
        <v>91</v>
      </c>
      <c r="C29" s="3" t="s">
        <v>1</v>
      </c>
      <c r="D29" s="63"/>
      <c r="E29" s="63"/>
    </row>
    <row r="30" spans="1:5" ht="24" x14ac:dyDescent="0.2">
      <c r="A30" s="63"/>
      <c r="B30" s="7" t="s">
        <v>72</v>
      </c>
      <c r="C30" s="3" t="s">
        <v>137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ht="36" x14ac:dyDescent="0.2">
      <c r="A32" s="63"/>
      <c r="B32" s="4" t="s">
        <v>42</v>
      </c>
      <c r="C32" s="3" t="s">
        <v>193</v>
      </c>
      <c r="D32" s="63"/>
      <c r="E32" s="63"/>
    </row>
    <row r="33" spans="1:5" ht="36" x14ac:dyDescent="0.2">
      <c r="A33" s="63"/>
      <c r="B33" s="4" t="s">
        <v>43</v>
      </c>
      <c r="C33" s="3" t="s">
        <v>192</v>
      </c>
      <c r="D33" s="63"/>
      <c r="E33" s="63"/>
    </row>
    <row r="34" spans="1:5" ht="36" x14ac:dyDescent="0.2">
      <c r="A34" s="63"/>
      <c r="B34" s="4" t="s">
        <v>44</v>
      </c>
      <c r="C34" s="3" t="s">
        <v>181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264</v>
      </c>
      <c r="D39" s="58"/>
      <c r="E39" s="59"/>
    </row>
    <row r="40" spans="1:5" x14ac:dyDescent="0.2">
      <c r="A40" s="58" t="s">
        <v>125</v>
      </c>
      <c r="B40" s="59"/>
      <c r="C40" s="3" t="s">
        <v>265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34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107</v>
      </c>
      <c r="B54" s="61"/>
      <c r="C54" s="61"/>
      <c r="D54" s="61"/>
      <c r="E54" s="62"/>
    </row>
  </sheetData>
  <mergeCells count="74">
    <mergeCell ref="A1:B3"/>
    <mergeCell ref="C1:C3"/>
    <mergeCell ref="A4:B4"/>
    <mergeCell ref="D4:E4"/>
    <mergeCell ref="A5:B5"/>
    <mergeCell ref="D5:E5"/>
    <mergeCell ref="A6:B6"/>
    <mergeCell ref="D6:E6"/>
    <mergeCell ref="A7:B7"/>
    <mergeCell ref="D7:E7"/>
    <mergeCell ref="A8:B8"/>
    <mergeCell ref="D8:E8"/>
    <mergeCell ref="A9:B9"/>
    <mergeCell ref="D9:E9"/>
    <mergeCell ref="A10:B10"/>
    <mergeCell ref="D10:E10"/>
    <mergeCell ref="A11:B11"/>
    <mergeCell ref="D11:E11"/>
    <mergeCell ref="A12:B12"/>
    <mergeCell ref="D12:E12"/>
    <mergeCell ref="A13:B13"/>
    <mergeCell ref="D13:E13"/>
    <mergeCell ref="A14:B14"/>
    <mergeCell ref="D14:E1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36:B36"/>
    <mergeCell ref="D36:E36"/>
    <mergeCell ref="A37:B37"/>
    <mergeCell ref="D37:E37"/>
    <mergeCell ref="A35:B35"/>
    <mergeCell ref="D35:E35"/>
    <mergeCell ref="A38:B38"/>
    <mergeCell ref="D38:E38"/>
    <mergeCell ref="A39:B39"/>
    <mergeCell ref="D39:E39"/>
    <mergeCell ref="A40:B40"/>
    <mergeCell ref="D40:E40"/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</mergeCells>
  <conditionalFormatting sqref="B19">
    <cfRule type="duplicateValues" dxfId="21" priority="2"/>
  </conditionalFormatting>
  <conditionalFormatting sqref="B24">
    <cfRule type="duplicateValues" dxfId="20" priority="10"/>
  </conditionalFormatting>
  <conditionalFormatting sqref="B25">
    <cfRule type="duplicateValues" dxfId="19" priority="3"/>
  </conditionalFormatting>
  <conditionalFormatting sqref="B28">
    <cfRule type="duplicateValues" dxfId="18" priority="1"/>
  </conditionalFormatting>
  <conditionalFormatting sqref="B31">
    <cfRule type="duplicateValues" dxfId="17" priority="9"/>
  </conditionalFormatting>
  <conditionalFormatting sqref="B37">
    <cfRule type="duplicateValues" dxfId="16" priority="5"/>
  </conditionalFormatting>
  <conditionalFormatting sqref="B38">
    <cfRule type="duplicateValues" dxfId="15" priority="4"/>
  </conditionalFormatting>
  <conditionalFormatting sqref="B39">
    <cfRule type="duplicateValues" dxfId="14" priority="8"/>
  </conditionalFormatting>
  <conditionalFormatting sqref="B40">
    <cfRule type="duplicateValues" dxfId="13" priority="7"/>
  </conditionalFormatting>
  <conditionalFormatting sqref="B41">
    <cfRule type="duplicateValues" dxfId="12" priority="6"/>
  </conditionalFormatting>
  <conditionalFormatting sqref="B55:B1048576 B26:B27 B4:B10 B12:B18 B32:B36 B42:B46 B20:B23 B29:B30">
    <cfRule type="duplicateValues" dxfId="11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09258-0C1D-47E0-B194-EA8391CEA384}">
  <sheetPr codeName="Sheet3">
    <tabColor rgb="FF7030A0"/>
    <pageSetUpPr fitToPage="1"/>
  </sheetPr>
  <dimension ref="A1:E54"/>
  <sheetViews>
    <sheetView zoomScaleNormal="100" workbookViewId="0">
      <selection activeCell="D16" sqref="D16:E16"/>
    </sheetView>
  </sheetViews>
  <sheetFormatPr defaultColWidth="8.85546875" defaultRowHeight="12" x14ac:dyDescent="0.2"/>
  <cols>
    <col min="1" max="1" width="12.5703125" style="1" customWidth="1"/>
    <col min="2" max="2" width="13.5703125" style="1" customWidth="1"/>
    <col min="3" max="3" width="42.7109375" style="1" customWidth="1"/>
    <col min="4" max="4" width="7.85546875" style="1" customWidth="1"/>
    <col min="5" max="5" width="24.28515625" style="1" customWidth="1"/>
    <col min="6" max="16384" width="8.85546875" style="1"/>
  </cols>
  <sheetData>
    <row r="1" spans="1:5" s="15" customFormat="1" ht="30" customHeight="1" x14ac:dyDescent="0.25">
      <c r="A1" s="71" t="e" vm="1">
        <v>#VALUE!</v>
      </c>
      <c r="B1" s="72"/>
      <c r="C1" s="77" t="s">
        <v>112</v>
      </c>
      <c r="D1" s="14" t="s">
        <v>110</v>
      </c>
      <c r="E1" s="14" t="s">
        <v>431</v>
      </c>
    </row>
    <row r="2" spans="1:5" s="15" customFormat="1" ht="30" customHeight="1" x14ac:dyDescent="0.25">
      <c r="A2" s="73"/>
      <c r="B2" s="74"/>
      <c r="C2" s="78"/>
      <c r="D2" s="16" t="s">
        <v>109</v>
      </c>
      <c r="E2" s="17" t="str">
        <f>VLOOKUP(C4,Index!B:J,9,FALSE)</f>
        <v>C0</v>
      </c>
    </row>
    <row r="3" spans="1:5" s="15" customFormat="1" ht="30" customHeight="1" x14ac:dyDescent="0.25">
      <c r="A3" s="75"/>
      <c r="B3" s="76"/>
      <c r="C3" s="79"/>
      <c r="D3" s="16" t="s">
        <v>111</v>
      </c>
      <c r="E3" s="18">
        <f>VLOOKUP(C4,Index!B:I,8,FALSE)</f>
        <v>438</v>
      </c>
    </row>
    <row r="4" spans="1:5" x14ac:dyDescent="0.2">
      <c r="A4" s="80" t="s">
        <v>74</v>
      </c>
      <c r="B4" s="80"/>
      <c r="C4" s="2" t="s">
        <v>304</v>
      </c>
      <c r="D4" s="80" t="s">
        <v>54</v>
      </c>
      <c r="E4" s="80"/>
    </row>
    <row r="5" spans="1:5" x14ac:dyDescent="0.2">
      <c r="A5" s="63" t="s">
        <v>26</v>
      </c>
      <c r="B5" s="63"/>
      <c r="C5" s="3" t="s">
        <v>303</v>
      </c>
      <c r="D5" s="63"/>
      <c r="E5" s="63"/>
    </row>
    <row r="6" spans="1:5" x14ac:dyDescent="0.2">
      <c r="A6" s="63" t="s">
        <v>27</v>
      </c>
      <c r="B6" s="63"/>
      <c r="C6" s="3" t="s">
        <v>307</v>
      </c>
      <c r="D6" s="63"/>
      <c r="E6" s="63"/>
    </row>
    <row r="7" spans="1:5" x14ac:dyDescent="0.2">
      <c r="A7" s="63" t="s">
        <v>28</v>
      </c>
      <c r="B7" s="63"/>
      <c r="C7" s="3" t="s">
        <v>79</v>
      </c>
      <c r="D7" s="63"/>
      <c r="E7" s="63"/>
    </row>
    <row r="8" spans="1:5" x14ac:dyDescent="0.2">
      <c r="A8" s="63" t="s">
        <v>29</v>
      </c>
      <c r="B8" s="63"/>
      <c r="C8" s="3" t="str">
        <f>VLOOKUP(C5,Index!N:W,6,FALSE)</f>
        <v>Potable Water</v>
      </c>
      <c r="D8" s="63"/>
      <c r="E8" s="63"/>
    </row>
    <row r="9" spans="1:5" x14ac:dyDescent="0.2">
      <c r="A9" s="63" t="s">
        <v>30</v>
      </c>
      <c r="B9" s="63"/>
      <c r="C9" s="3" t="s">
        <v>147</v>
      </c>
      <c r="D9" s="63"/>
      <c r="E9" s="63"/>
    </row>
    <row r="10" spans="1:5" x14ac:dyDescent="0.2">
      <c r="A10" s="63" t="s">
        <v>31</v>
      </c>
      <c r="B10" s="63"/>
      <c r="C10" s="3" t="s">
        <v>64</v>
      </c>
      <c r="D10" s="63"/>
      <c r="E10" s="63"/>
    </row>
    <row r="11" spans="1:5" ht="11.45" customHeight="1" x14ac:dyDescent="0.2">
      <c r="A11" s="67" t="s">
        <v>119</v>
      </c>
      <c r="B11" s="68"/>
      <c r="C11" s="13" t="str">
        <f>VLOOKUP(C5,Index!N:W,10,FALSE)</f>
        <v>20 @ 0°C' 17.3 @ 100°C</v>
      </c>
      <c r="D11" s="69"/>
      <c r="E11" s="70"/>
    </row>
    <row r="12" spans="1:5" x14ac:dyDescent="0.2">
      <c r="A12" s="63" t="s">
        <v>32</v>
      </c>
      <c r="B12" s="63"/>
      <c r="C12" s="3" t="str">
        <f>VLOOKUP(C5,Index!N:W,5,FALSE)</f>
        <v>NIL</v>
      </c>
      <c r="D12" s="63"/>
      <c r="E12" s="63"/>
    </row>
    <row r="13" spans="1:5" x14ac:dyDescent="0.2">
      <c r="A13" s="63" t="s">
        <v>33</v>
      </c>
      <c r="B13" s="63"/>
      <c r="C13" s="3" t="s">
        <v>34</v>
      </c>
      <c r="D13" s="63"/>
      <c r="E13" s="63"/>
    </row>
    <row r="14" spans="1:5" ht="34.15" customHeight="1" x14ac:dyDescent="0.2">
      <c r="A14" s="63" t="s">
        <v>35</v>
      </c>
      <c r="B14" s="63"/>
      <c r="C14" s="3" t="s">
        <v>306</v>
      </c>
      <c r="D14" s="63"/>
      <c r="E14" s="63"/>
    </row>
    <row r="15" spans="1:5" x14ac:dyDescent="0.2">
      <c r="A15" s="63" t="s">
        <v>36</v>
      </c>
      <c r="B15" s="63"/>
      <c r="C15" s="3" t="s">
        <v>65</v>
      </c>
      <c r="D15" s="63"/>
      <c r="E15" s="63"/>
    </row>
    <row r="16" spans="1:5" ht="24" x14ac:dyDescent="0.2">
      <c r="A16" s="63" t="s">
        <v>37</v>
      </c>
      <c r="B16" s="4" t="s">
        <v>38</v>
      </c>
      <c r="C16" s="3" t="s">
        <v>305</v>
      </c>
      <c r="D16" s="63"/>
      <c r="E16" s="63"/>
    </row>
    <row r="17" spans="1:5" x14ac:dyDescent="0.2">
      <c r="A17" s="63"/>
      <c r="B17" s="4" t="s">
        <v>67</v>
      </c>
      <c r="C17" s="3" t="s">
        <v>84</v>
      </c>
      <c r="D17" s="63"/>
      <c r="E17" s="63"/>
    </row>
    <row r="18" spans="1:5" x14ac:dyDescent="0.2">
      <c r="A18" s="63"/>
      <c r="B18" s="4" t="s">
        <v>68</v>
      </c>
      <c r="C18" s="3" t="s">
        <v>145</v>
      </c>
      <c r="D18" s="63"/>
      <c r="E18" s="63"/>
    </row>
    <row r="19" spans="1:5" x14ac:dyDescent="0.2">
      <c r="A19" s="63"/>
      <c r="B19" s="4" t="s">
        <v>140</v>
      </c>
      <c r="C19" s="3" t="s">
        <v>141</v>
      </c>
      <c r="D19" s="63"/>
      <c r="E19" s="63"/>
    </row>
    <row r="20" spans="1:5" ht="24" x14ac:dyDescent="0.2">
      <c r="A20" s="63"/>
      <c r="B20" s="4" t="s">
        <v>39</v>
      </c>
      <c r="C20" s="3" t="s">
        <v>83</v>
      </c>
      <c r="D20" s="63"/>
      <c r="E20" s="63"/>
    </row>
    <row r="21" spans="1:5" x14ac:dyDescent="0.2">
      <c r="A21" s="63"/>
      <c r="B21" s="4" t="s">
        <v>69</v>
      </c>
      <c r="C21" s="3" t="s">
        <v>106</v>
      </c>
      <c r="D21" s="63"/>
      <c r="E21" s="63"/>
    </row>
    <row r="22" spans="1:5" ht="24" x14ac:dyDescent="0.2">
      <c r="A22" s="63" t="s">
        <v>40</v>
      </c>
      <c r="B22" s="63"/>
      <c r="C22" s="3" t="s">
        <v>120</v>
      </c>
      <c r="D22" s="63"/>
      <c r="E22" s="63"/>
    </row>
    <row r="23" spans="1:5" x14ac:dyDescent="0.2">
      <c r="A23" s="63" t="s">
        <v>41</v>
      </c>
      <c r="B23" s="4" t="s">
        <v>92</v>
      </c>
      <c r="C23" s="3" t="s">
        <v>299</v>
      </c>
      <c r="D23" s="63"/>
      <c r="E23" s="63"/>
    </row>
    <row r="24" spans="1:5" x14ac:dyDescent="0.2">
      <c r="A24" s="63"/>
      <c r="B24" s="4" t="s">
        <v>89</v>
      </c>
      <c r="C24" s="3" t="s">
        <v>300</v>
      </c>
      <c r="D24" s="63"/>
      <c r="E24" s="63"/>
    </row>
    <row r="25" spans="1:5" x14ac:dyDescent="0.2">
      <c r="A25" s="63"/>
      <c r="B25" s="4" t="s">
        <v>93</v>
      </c>
      <c r="C25" s="3" t="s">
        <v>300</v>
      </c>
      <c r="D25" s="63"/>
      <c r="E25" s="63"/>
    </row>
    <row r="26" spans="1:5" x14ac:dyDescent="0.2">
      <c r="A26" s="63"/>
      <c r="B26" s="4" t="s">
        <v>88</v>
      </c>
      <c r="C26" s="3" t="s">
        <v>301</v>
      </c>
      <c r="D26" s="63"/>
      <c r="E26" s="63"/>
    </row>
    <row r="27" spans="1:5" x14ac:dyDescent="0.2">
      <c r="A27" s="63"/>
      <c r="B27" s="4" t="s">
        <v>90</v>
      </c>
      <c r="C27" s="3" t="s">
        <v>302</v>
      </c>
      <c r="D27" s="63"/>
      <c r="E27" s="63"/>
    </row>
    <row r="28" spans="1:5" x14ac:dyDescent="0.2">
      <c r="A28" s="63"/>
      <c r="B28" s="4" t="s">
        <v>142</v>
      </c>
      <c r="C28" s="3" t="s">
        <v>300</v>
      </c>
      <c r="D28" s="63"/>
      <c r="E28" s="63"/>
    </row>
    <row r="29" spans="1:5" x14ac:dyDescent="0.2">
      <c r="A29" s="63"/>
      <c r="B29" s="4" t="s">
        <v>91</v>
      </c>
      <c r="C29" s="3" t="s">
        <v>300</v>
      </c>
      <c r="D29" s="63"/>
      <c r="E29" s="63"/>
    </row>
    <row r="30" spans="1:5" ht="24" x14ac:dyDescent="0.2">
      <c r="A30" s="63"/>
      <c r="B30" s="7" t="s">
        <v>72</v>
      </c>
      <c r="C30" s="3" t="s">
        <v>137</v>
      </c>
      <c r="D30" s="63"/>
      <c r="E30" s="63"/>
    </row>
    <row r="31" spans="1:5" ht="24" x14ac:dyDescent="0.2">
      <c r="A31" s="63"/>
      <c r="B31" s="6" t="s">
        <v>139</v>
      </c>
      <c r="C31" s="5" t="s">
        <v>96</v>
      </c>
      <c r="D31" s="63"/>
      <c r="E31" s="63"/>
    </row>
    <row r="32" spans="1:5" x14ac:dyDescent="0.2">
      <c r="A32" s="63"/>
      <c r="B32" s="4" t="s">
        <v>42</v>
      </c>
      <c r="C32" s="3" t="s">
        <v>65</v>
      </c>
      <c r="D32" s="63"/>
      <c r="E32" s="63"/>
    </row>
    <row r="33" spans="1:5" x14ac:dyDescent="0.2">
      <c r="A33" s="63"/>
      <c r="B33" s="4" t="s">
        <v>43</v>
      </c>
      <c r="C33" s="3" t="s">
        <v>65</v>
      </c>
      <c r="D33" s="63"/>
      <c r="E33" s="63"/>
    </row>
    <row r="34" spans="1:5" x14ac:dyDescent="0.2">
      <c r="A34" s="63"/>
      <c r="B34" s="4" t="s">
        <v>44</v>
      </c>
      <c r="C34" s="3" t="s">
        <v>65</v>
      </c>
      <c r="D34" s="63"/>
      <c r="E34" s="63"/>
    </row>
    <row r="35" spans="1:5" ht="36" x14ac:dyDescent="0.2">
      <c r="A35" s="63" t="s">
        <v>45</v>
      </c>
      <c r="B35" s="63"/>
      <c r="C35" s="3" t="s">
        <v>46</v>
      </c>
      <c r="D35" s="63"/>
      <c r="E35" s="63"/>
    </row>
    <row r="36" spans="1:5" x14ac:dyDescent="0.2">
      <c r="A36" s="63" t="s">
        <v>47</v>
      </c>
      <c r="B36" s="63"/>
      <c r="C36" s="3" t="s">
        <v>48</v>
      </c>
      <c r="D36" s="63"/>
      <c r="E36" s="63"/>
    </row>
    <row r="37" spans="1:5" x14ac:dyDescent="0.2">
      <c r="A37" s="63" t="s">
        <v>129</v>
      </c>
      <c r="B37" s="63"/>
      <c r="C37" s="3" t="s">
        <v>49</v>
      </c>
      <c r="D37" s="63"/>
      <c r="E37" s="63"/>
    </row>
    <row r="38" spans="1:5" x14ac:dyDescent="0.2">
      <c r="A38" s="63" t="s">
        <v>128</v>
      </c>
      <c r="B38" s="63"/>
      <c r="C38" s="3" t="s">
        <v>127</v>
      </c>
      <c r="D38" s="63"/>
      <c r="E38" s="63"/>
    </row>
    <row r="39" spans="1:5" x14ac:dyDescent="0.2">
      <c r="A39" s="58" t="s">
        <v>124</v>
      </c>
      <c r="B39" s="59"/>
      <c r="C39" s="3" t="s">
        <v>308</v>
      </c>
      <c r="D39" s="58"/>
      <c r="E39" s="59"/>
    </row>
    <row r="40" spans="1:5" x14ac:dyDescent="0.2">
      <c r="A40" s="58" t="s">
        <v>125</v>
      </c>
      <c r="B40" s="59"/>
      <c r="C40" s="3" t="s">
        <v>309</v>
      </c>
      <c r="D40" s="58"/>
      <c r="E40" s="59"/>
    </row>
    <row r="41" spans="1:5" x14ac:dyDescent="0.2">
      <c r="A41" s="58" t="s">
        <v>126</v>
      </c>
      <c r="B41" s="59"/>
      <c r="C41" s="3" t="s">
        <v>195</v>
      </c>
      <c r="D41" s="58"/>
      <c r="E41" s="59"/>
    </row>
    <row r="42" spans="1:5" ht="24" x14ac:dyDescent="0.2">
      <c r="A42" s="63" t="s">
        <v>50</v>
      </c>
      <c r="B42" s="63"/>
      <c r="C42" s="3" t="s">
        <v>51</v>
      </c>
      <c r="D42" s="63"/>
      <c r="E42" s="63"/>
    </row>
    <row r="43" spans="1:5" x14ac:dyDescent="0.2">
      <c r="A43" s="63" t="s">
        <v>52</v>
      </c>
      <c r="B43" s="63"/>
      <c r="C43" s="3" t="s">
        <v>34</v>
      </c>
      <c r="D43" s="63"/>
      <c r="E43" s="63"/>
    </row>
    <row r="44" spans="1:5" ht="24" x14ac:dyDescent="0.2">
      <c r="A44" s="63" t="s">
        <v>53</v>
      </c>
      <c r="B44" s="63"/>
      <c r="C44" s="3" t="s">
        <v>432</v>
      </c>
      <c r="D44" s="63"/>
      <c r="E44" s="63"/>
    </row>
    <row r="45" spans="1:5" x14ac:dyDescent="0.2">
      <c r="A45" s="8"/>
      <c r="B45" s="9"/>
      <c r="C45" s="9"/>
      <c r="D45" s="9"/>
      <c r="E45" s="10"/>
    </row>
    <row r="46" spans="1:5" x14ac:dyDescent="0.2">
      <c r="A46" s="11" t="s">
        <v>57</v>
      </c>
      <c r="E46" s="12"/>
    </row>
    <row r="47" spans="1:5" x14ac:dyDescent="0.2">
      <c r="A47" s="64" t="s">
        <v>70</v>
      </c>
      <c r="B47" s="65"/>
      <c r="C47" s="65"/>
      <c r="D47" s="65"/>
      <c r="E47" s="66"/>
    </row>
    <row r="48" spans="1:5" x14ac:dyDescent="0.2">
      <c r="A48" s="64"/>
      <c r="B48" s="65"/>
      <c r="C48" s="65"/>
      <c r="D48" s="65"/>
      <c r="E48" s="66"/>
    </row>
    <row r="49" spans="1:5" x14ac:dyDescent="0.2">
      <c r="A49" s="64" t="s">
        <v>433</v>
      </c>
      <c r="B49" s="65"/>
      <c r="C49" s="65"/>
      <c r="D49" s="65"/>
      <c r="E49" s="66"/>
    </row>
    <row r="50" spans="1:5" x14ac:dyDescent="0.2">
      <c r="A50" s="64" t="s">
        <v>94</v>
      </c>
      <c r="B50" s="65"/>
      <c r="C50" s="65"/>
      <c r="D50" s="65"/>
      <c r="E50" s="66"/>
    </row>
    <row r="51" spans="1:5" x14ac:dyDescent="0.2">
      <c r="A51" s="64"/>
      <c r="B51" s="65"/>
      <c r="C51" s="65"/>
      <c r="D51" s="65"/>
      <c r="E51" s="66"/>
    </row>
    <row r="52" spans="1:5" x14ac:dyDescent="0.2">
      <c r="A52" s="64" t="s">
        <v>150</v>
      </c>
      <c r="B52" s="65"/>
      <c r="C52" s="65"/>
      <c r="D52" s="65"/>
      <c r="E52" s="66"/>
    </row>
    <row r="53" spans="1:5" ht="11.45" customHeight="1" x14ac:dyDescent="0.2">
      <c r="A53" s="64" t="s">
        <v>151</v>
      </c>
      <c r="B53" s="65"/>
      <c r="C53" s="65"/>
      <c r="D53" s="65"/>
      <c r="E53" s="66"/>
    </row>
    <row r="54" spans="1:5" x14ac:dyDescent="0.2">
      <c r="A54" s="60" t="s">
        <v>107</v>
      </c>
      <c r="B54" s="61"/>
      <c r="C54" s="61"/>
      <c r="D54" s="61"/>
      <c r="E54" s="62"/>
    </row>
  </sheetData>
  <mergeCells count="74">
    <mergeCell ref="A41:B41"/>
    <mergeCell ref="D41:E41"/>
    <mergeCell ref="A54:E54"/>
    <mergeCell ref="A42:B42"/>
    <mergeCell ref="D42:E42"/>
    <mergeCell ref="A43:B43"/>
    <mergeCell ref="D43:E43"/>
    <mergeCell ref="A44:B44"/>
    <mergeCell ref="D44:E44"/>
    <mergeCell ref="A47:E48"/>
    <mergeCell ref="A49:E49"/>
    <mergeCell ref="A50:E51"/>
    <mergeCell ref="A52:E52"/>
    <mergeCell ref="A53:E53"/>
    <mergeCell ref="A38:B38"/>
    <mergeCell ref="D38:E38"/>
    <mergeCell ref="A39:B39"/>
    <mergeCell ref="D39:E39"/>
    <mergeCell ref="A40:B40"/>
    <mergeCell ref="D40:E40"/>
    <mergeCell ref="A36:B36"/>
    <mergeCell ref="D36:E36"/>
    <mergeCell ref="A37:B37"/>
    <mergeCell ref="D37:E37"/>
    <mergeCell ref="A35:B35"/>
    <mergeCell ref="D35:E35"/>
    <mergeCell ref="A22:B22"/>
    <mergeCell ref="D22:E22"/>
    <mergeCell ref="A23:A34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A15:B15"/>
    <mergeCell ref="D15:E15"/>
    <mergeCell ref="A16:A21"/>
    <mergeCell ref="D16:E16"/>
    <mergeCell ref="D17:E17"/>
    <mergeCell ref="D18:E18"/>
    <mergeCell ref="D19:E19"/>
    <mergeCell ref="D20:E20"/>
    <mergeCell ref="D21:E21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9">
    <cfRule type="duplicateValues" dxfId="10" priority="2"/>
  </conditionalFormatting>
  <conditionalFormatting sqref="B24">
    <cfRule type="duplicateValues" dxfId="9" priority="10"/>
  </conditionalFormatting>
  <conditionalFormatting sqref="B25">
    <cfRule type="duplicateValues" dxfId="8" priority="3"/>
  </conditionalFormatting>
  <conditionalFormatting sqref="B28">
    <cfRule type="duplicateValues" dxfId="7" priority="1"/>
  </conditionalFormatting>
  <conditionalFormatting sqref="B31">
    <cfRule type="duplicateValues" dxfId="6" priority="9"/>
  </conditionalFormatting>
  <conditionalFormatting sqref="B37">
    <cfRule type="duplicateValues" dxfId="5" priority="5"/>
  </conditionalFormatting>
  <conditionalFormatting sqref="B38">
    <cfRule type="duplicateValues" dxfId="4" priority="4"/>
  </conditionalFormatting>
  <conditionalFormatting sqref="B39">
    <cfRule type="duplicateValues" dxfId="3" priority="8"/>
  </conditionalFormatting>
  <conditionalFormatting sqref="B40">
    <cfRule type="duplicateValues" dxfId="2" priority="7"/>
  </conditionalFormatting>
  <conditionalFormatting sqref="B41">
    <cfRule type="duplicateValues" dxfId="1" priority="6"/>
  </conditionalFormatting>
  <conditionalFormatting sqref="B55:B1048576 B26:B27 B4:B10 B12:B18 B32:B36 B42:B46 B20:B23 B29:B30">
    <cfRule type="duplicateValues" dxfId="0" priority="11"/>
  </conditionalFormatting>
  <pageMargins left="0.7" right="0.7" top="0.75" bottom="0.75" header="0.3" footer="0.3"/>
  <pageSetup paperSize="9" scale="88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2</vt:i4>
      </vt:variant>
    </vt:vector>
  </HeadingPairs>
  <TitlesOfParts>
    <vt:vector size="61" baseType="lpstr">
      <vt:lpstr>Index</vt:lpstr>
      <vt:lpstr>GLSA1R</vt:lpstr>
      <vt:lpstr>GLSB1R</vt:lpstr>
      <vt:lpstr>GLSD1R</vt:lpstr>
      <vt:lpstr>GLSE1J</vt:lpstr>
      <vt:lpstr>GLSF1J</vt:lpstr>
      <vt:lpstr>GLSG1J</vt:lpstr>
      <vt:lpstr>GLSA2NR</vt:lpstr>
      <vt:lpstr>GLSB2NR</vt:lpstr>
      <vt:lpstr>GLSD2NR</vt:lpstr>
      <vt:lpstr>GLSE2NJ</vt:lpstr>
      <vt:lpstr>GLSF2NJ</vt:lpstr>
      <vt:lpstr>GLSG2NJ</vt:lpstr>
      <vt:lpstr>GLSA1LNR</vt:lpstr>
      <vt:lpstr>GLSB1LNR</vt:lpstr>
      <vt:lpstr>GLSD1LNR</vt:lpstr>
      <vt:lpstr>GLSE1LNJ</vt:lpstr>
      <vt:lpstr>GLSF1LNJ</vt:lpstr>
      <vt:lpstr>GLSG1LNJ</vt:lpstr>
      <vt:lpstr>GLSA1NR</vt:lpstr>
      <vt:lpstr>GLSB1NR</vt:lpstr>
      <vt:lpstr>GLSD1NR</vt:lpstr>
      <vt:lpstr>GLSE1NJ</vt:lpstr>
      <vt:lpstr>GLSF1NJ</vt:lpstr>
      <vt:lpstr>GLSG1NJ</vt:lpstr>
      <vt:lpstr>GLSA2LNR</vt:lpstr>
      <vt:lpstr>GLSB2LNR</vt:lpstr>
      <vt:lpstr>GLSD2LNR</vt:lpstr>
      <vt:lpstr>GLSE2LNJ</vt:lpstr>
      <vt:lpstr>GLSF2LNJ</vt:lpstr>
      <vt:lpstr>GLSG2LNJ</vt:lpstr>
      <vt:lpstr>GLSA10NR</vt:lpstr>
      <vt:lpstr>GLSB10NR</vt:lpstr>
      <vt:lpstr>GLSD10NR</vt:lpstr>
      <vt:lpstr>GLSE10NJ</vt:lpstr>
      <vt:lpstr>GLSF10NJ</vt:lpstr>
      <vt:lpstr>GLSG10NJ</vt:lpstr>
      <vt:lpstr>GLSA10R</vt:lpstr>
      <vt:lpstr>GLSB10R</vt:lpstr>
      <vt:lpstr>GLSD10R</vt:lpstr>
      <vt:lpstr>GLSE10J</vt:lpstr>
      <vt:lpstr>GLSF10J</vt:lpstr>
      <vt:lpstr>GLSG10J</vt:lpstr>
      <vt:lpstr>GLSA20NR</vt:lpstr>
      <vt:lpstr>GLSB20NR</vt:lpstr>
      <vt:lpstr>GLSD20NR</vt:lpstr>
      <vt:lpstr>GLSE20NJ</vt:lpstr>
      <vt:lpstr>GLSF20NJ</vt:lpstr>
      <vt:lpstr>GLSG20NJ</vt:lpstr>
      <vt:lpstr>GLSA25R</vt:lpstr>
      <vt:lpstr>GLSG25R</vt:lpstr>
      <vt:lpstr>GLSA25NR</vt:lpstr>
      <vt:lpstr>GLSB25NR</vt:lpstr>
      <vt:lpstr>GLSD25NR</vt:lpstr>
      <vt:lpstr>GLSE25NR</vt:lpstr>
      <vt:lpstr>GLSF25NR</vt:lpstr>
      <vt:lpstr>GLSG25NR</vt:lpstr>
      <vt:lpstr>GLSA30F</vt:lpstr>
      <vt:lpstr>GLSA31F</vt:lpstr>
      <vt:lpstr>Index!Print_Area</vt:lpstr>
      <vt:lpstr>Index!Print_Titles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Feroz Ahmad</dc:creator>
  <cp:lastModifiedBy>Feroz Ahmad</cp:lastModifiedBy>
  <cp:lastPrinted>2025-03-19T07:48:55Z</cp:lastPrinted>
  <dcterms:created xsi:type="dcterms:W3CDTF">2015-06-05T18:17:20Z</dcterms:created>
  <dcterms:modified xsi:type="dcterms:W3CDTF">2025-12-31T06:36:13Z</dcterms:modified>
</cp:coreProperties>
</file>